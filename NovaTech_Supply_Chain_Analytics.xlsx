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avishshah/Documents/Jobs/Supply Chain Project/"/>
    </mc:Choice>
  </mc:AlternateContent>
  <xr:revisionPtr revIDLastSave="0" documentId="13_ncr:1_{6D63E8D7-6573-4A44-B698-43E112EA1171}" xr6:coauthVersionLast="47" xr6:coauthVersionMax="47" xr10:uidLastSave="{00000000-0000-0000-0000-000000000000}"/>
  <bookViews>
    <workbookView xWindow="51200" yWindow="620" windowWidth="51200" windowHeight="26160" tabRatio="500" activeTab="8" xr2:uid="{00000000-000D-0000-FFFF-FFFF00000000}"/>
  </bookViews>
  <sheets>
    <sheet name="0. README" sheetId="1" r:id="rId1"/>
    <sheet name="1. Master Data" sheetId="2" r:id="rId2"/>
    <sheet name="2. Demand History" sheetId="3" r:id="rId3"/>
    <sheet name="3. Demand Forecast" sheetId="4" r:id="rId4"/>
    <sheet name="4. ABC XYZ Analysis" sheetId="5" r:id="rId5"/>
    <sheet name="5. Replenishment Model" sheetId="6" r:id="rId6"/>
    <sheet name="6. Inventory Health" sheetId="7" r:id="rId7"/>
    <sheet name="7. Supplier Performance" sheetId="8" r:id="rId8"/>
    <sheet name="8. Executive Dashboard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8" l="1"/>
  <c r="C5" i="8"/>
  <c r="K5" i="7"/>
  <c r="H5" i="7"/>
  <c r="J5" i="4"/>
  <c r="E14" i="8"/>
  <c r="C14" i="8"/>
  <c r="B14" i="8"/>
  <c r="E13" i="8"/>
  <c r="C13" i="8"/>
  <c r="B13" i="8"/>
  <c r="E12" i="8"/>
  <c r="C12" i="8"/>
  <c r="B12" i="8"/>
  <c r="E11" i="8"/>
  <c r="C11" i="8"/>
  <c r="B11" i="8"/>
  <c r="E10" i="8"/>
  <c r="C10" i="8"/>
  <c r="B10" i="8"/>
  <c r="E9" i="8"/>
  <c r="C9" i="8"/>
  <c r="B9" i="8"/>
  <c r="E8" i="8"/>
  <c r="C8" i="8"/>
  <c r="B8" i="8"/>
  <c r="E7" i="8"/>
  <c r="C7" i="8"/>
  <c r="B7" i="8"/>
  <c r="E6" i="8"/>
  <c r="C6" i="8"/>
  <c r="B6" i="8"/>
  <c r="E5" i="8"/>
  <c r="I504" i="7"/>
  <c r="G504" i="7"/>
  <c r="F504" i="7"/>
  <c r="E504" i="7"/>
  <c r="D504" i="7"/>
  <c r="C504" i="7"/>
  <c r="B504" i="7"/>
  <c r="A504" i="7"/>
  <c r="I503" i="7"/>
  <c r="G503" i="7"/>
  <c r="F503" i="7"/>
  <c r="E503" i="7"/>
  <c r="D503" i="7"/>
  <c r="C503" i="7"/>
  <c r="B503" i="7"/>
  <c r="A503" i="7"/>
  <c r="I502" i="7"/>
  <c r="G502" i="7"/>
  <c r="F502" i="7"/>
  <c r="E502" i="7"/>
  <c r="D502" i="7"/>
  <c r="C502" i="7"/>
  <c r="B502" i="7"/>
  <c r="A502" i="7"/>
  <c r="I501" i="7"/>
  <c r="G501" i="7"/>
  <c r="F501" i="7"/>
  <c r="E501" i="7"/>
  <c r="D501" i="7"/>
  <c r="C501" i="7"/>
  <c r="B501" i="7"/>
  <c r="A501" i="7"/>
  <c r="I500" i="7"/>
  <c r="G500" i="7"/>
  <c r="F500" i="7"/>
  <c r="E500" i="7"/>
  <c r="D500" i="7"/>
  <c r="C500" i="7"/>
  <c r="B500" i="7"/>
  <c r="A500" i="7"/>
  <c r="I499" i="7"/>
  <c r="G499" i="7"/>
  <c r="F499" i="7"/>
  <c r="E499" i="7"/>
  <c r="D499" i="7"/>
  <c r="C499" i="7"/>
  <c r="B499" i="7"/>
  <c r="A499" i="7"/>
  <c r="I498" i="7"/>
  <c r="G498" i="7"/>
  <c r="F498" i="7"/>
  <c r="E498" i="7"/>
  <c r="D498" i="7"/>
  <c r="C498" i="7"/>
  <c r="B498" i="7"/>
  <c r="A498" i="7"/>
  <c r="I497" i="7"/>
  <c r="G497" i="7"/>
  <c r="F497" i="7"/>
  <c r="E497" i="7"/>
  <c r="D497" i="7"/>
  <c r="C497" i="7"/>
  <c r="B497" i="7"/>
  <c r="A497" i="7"/>
  <c r="I496" i="7"/>
  <c r="G496" i="7"/>
  <c r="F496" i="7"/>
  <c r="E496" i="7"/>
  <c r="D496" i="7"/>
  <c r="C496" i="7"/>
  <c r="B496" i="7"/>
  <c r="A496" i="7"/>
  <c r="I495" i="7"/>
  <c r="G495" i="7"/>
  <c r="F495" i="7"/>
  <c r="E495" i="7"/>
  <c r="D495" i="7"/>
  <c r="C495" i="7"/>
  <c r="B495" i="7"/>
  <c r="A495" i="7"/>
  <c r="I494" i="7"/>
  <c r="G494" i="7"/>
  <c r="F494" i="7"/>
  <c r="E494" i="7"/>
  <c r="D494" i="7"/>
  <c r="C494" i="7"/>
  <c r="B494" i="7"/>
  <c r="A494" i="7"/>
  <c r="I493" i="7"/>
  <c r="G493" i="7"/>
  <c r="F493" i="7"/>
  <c r="E493" i="7"/>
  <c r="D493" i="7"/>
  <c r="C493" i="7"/>
  <c r="B493" i="7"/>
  <c r="A493" i="7"/>
  <c r="I492" i="7"/>
  <c r="G492" i="7"/>
  <c r="F492" i="7"/>
  <c r="E492" i="7"/>
  <c r="D492" i="7"/>
  <c r="C492" i="7"/>
  <c r="B492" i="7"/>
  <c r="A492" i="7"/>
  <c r="I491" i="7"/>
  <c r="G491" i="7"/>
  <c r="F491" i="7"/>
  <c r="E491" i="7"/>
  <c r="D491" i="7"/>
  <c r="C491" i="7"/>
  <c r="B491" i="7"/>
  <c r="A491" i="7"/>
  <c r="I490" i="7"/>
  <c r="G490" i="7"/>
  <c r="F490" i="7"/>
  <c r="E490" i="7"/>
  <c r="D490" i="7"/>
  <c r="C490" i="7"/>
  <c r="B490" i="7"/>
  <c r="A490" i="7"/>
  <c r="I489" i="7"/>
  <c r="G489" i="7"/>
  <c r="F489" i="7"/>
  <c r="E489" i="7"/>
  <c r="D489" i="7"/>
  <c r="C489" i="7"/>
  <c r="B489" i="7"/>
  <c r="A489" i="7"/>
  <c r="I488" i="7"/>
  <c r="G488" i="7"/>
  <c r="F488" i="7"/>
  <c r="E488" i="7"/>
  <c r="D488" i="7"/>
  <c r="C488" i="7"/>
  <c r="B488" i="7"/>
  <c r="A488" i="7"/>
  <c r="I487" i="7"/>
  <c r="G487" i="7"/>
  <c r="F487" i="7"/>
  <c r="E487" i="7"/>
  <c r="D487" i="7"/>
  <c r="C487" i="7"/>
  <c r="B487" i="7"/>
  <c r="A487" i="7"/>
  <c r="I486" i="7"/>
  <c r="G486" i="7"/>
  <c r="F486" i="7"/>
  <c r="E486" i="7"/>
  <c r="D486" i="7"/>
  <c r="C486" i="7"/>
  <c r="B486" i="7"/>
  <c r="A486" i="7"/>
  <c r="I485" i="7"/>
  <c r="G485" i="7"/>
  <c r="F485" i="7"/>
  <c r="E485" i="7"/>
  <c r="D485" i="7"/>
  <c r="C485" i="7"/>
  <c r="B485" i="7"/>
  <c r="A485" i="7"/>
  <c r="I484" i="7"/>
  <c r="G484" i="7"/>
  <c r="F484" i="7"/>
  <c r="E484" i="7"/>
  <c r="D484" i="7"/>
  <c r="C484" i="7"/>
  <c r="B484" i="7"/>
  <c r="A484" i="7"/>
  <c r="I483" i="7"/>
  <c r="G483" i="7"/>
  <c r="F483" i="7"/>
  <c r="E483" i="7"/>
  <c r="D483" i="7"/>
  <c r="C483" i="7"/>
  <c r="B483" i="7"/>
  <c r="A483" i="7"/>
  <c r="I482" i="7"/>
  <c r="G482" i="7"/>
  <c r="F482" i="7"/>
  <c r="E482" i="7"/>
  <c r="D482" i="7"/>
  <c r="C482" i="7"/>
  <c r="B482" i="7"/>
  <c r="A482" i="7"/>
  <c r="I481" i="7"/>
  <c r="G481" i="7"/>
  <c r="F481" i="7"/>
  <c r="E481" i="7"/>
  <c r="D481" i="7"/>
  <c r="C481" i="7"/>
  <c r="B481" i="7"/>
  <c r="A481" i="7"/>
  <c r="I480" i="7"/>
  <c r="G480" i="7"/>
  <c r="F480" i="7"/>
  <c r="E480" i="7"/>
  <c r="D480" i="7"/>
  <c r="C480" i="7"/>
  <c r="B480" i="7"/>
  <c r="A480" i="7"/>
  <c r="I479" i="7"/>
  <c r="G479" i="7"/>
  <c r="F479" i="7"/>
  <c r="E479" i="7"/>
  <c r="D479" i="7"/>
  <c r="C479" i="7"/>
  <c r="B479" i="7"/>
  <c r="A479" i="7"/>
  <c r="I478" i="7"/>
  <c r="G478" i="7"/>
  <c r="F478" i="7"/>
  <c r="E478" i="7"/>
  <c r="D478" i="7"/>
  <c r="C478" i="7"/>
  <c r="B478" i="7"/>
  <c r="A478" i="7"/>
  <c r="I477" i="7"/>
  <c r="G477" i="7"/>
  <c r="F477" i="7"/>
  <c r="E477" i="7"/>
  <c r="D477" i="7"/>
  <c r="C477" i="7"/>
  <c r="B477" i="7"/>
  <c r="A477" i="7"/>
  <c r="I476" i="7"/>
  <c r="G476" i="7"/>
  <c r="F476" i="7"/>
  <c r="E476" i="7"/>
  <c r="D476" i="7"/>
  <c r="C476" i="7"/>
  <c r="B476" i="7"/>
  <c r="A476" i="7"/>
  <c r="I475" i="7"/>
  <c r="G475" i="7"/>
  <c r="F475" i="7"/>
  <c r="E475" i="7"/>
  <c r="D475" i="7"/>
  <c r="C475" i="7"/>
  <c r="B475" i="7"/>
  <c r="A475" i="7"/>
  <c r="I474" i="7"/>
  <c r="G474" i="7"/>
  <c r="F474" i="7"/>
  <c r="E474" i="7"/>
  <c r="D474" i="7"/>
  <c r="C474" i="7"/>
  <c r="B474" i="7"/>
  <c r="A474" i="7"/>
  <c r="I473" i="7"/>
  <c r="G473" i="7"/>
  <c r="F473" i="7"/>
  <c r="E473" i="7"/>
  <c r="D473" i="7"/>
  <c r="C473" i="7"/>
  <c r="B473" i="7"/>
  <c r="A473" i="7"/>
  <c r="I472" i="7"/>
  <c r="G472" i="7"/>
  <c r="F472" i="7"/>
  <c r="E472" i="7"/>
  <c r="D472" i="7"/>
  <c r="C472" i="7"/>
  <c r="B472" i="7"/>
  <c r="A472" i="7"/>
  <c r="I471" i="7"/>
  <c r="G471" i="7"/>
  <c r="F471" i="7"/>
  <c r="E471" i="7"/>
  <c r="D471" i="7"/>
  <c r="C471" i="7"/>
  <c r="B471" i="7"/>
  <c r="A471" i="7"/>
  <c r="I470" i="7"/>
  <c r="G470" i="7"/>
  <c r="F470" i="7"/>
  <c r="E470" i="7"/>
  <c r="D470" i="7"/>
  <c r="C470" i="7"/>
  <c r="B470" i="7"/>
  <c r="A470" i="7"/>
  <c r="I469" i="7"/>
  <c r="G469" i="7"/>
  <c r="F469" i="7"/>
  <c r="E469" i="7"/>
  <c r="D469" i="7"/>
  <c r="C469" i="7"/>
  <c r="B469" i="7"/>
  <c r="A469" i="7"/>
  <c r="I468" i="7"/>
  <c r="G468" i="7"/>
  <c r="F468" i="7"/>
  <c r="E468" i="7"/>
  <c r="D468" i="7"/>
  <c r="C468" i="7"/>
  <c r="B468" i="7"/>
  <c r="A468" i="7"/>
  <c r="I467" i="7"/>
  <c r="G467" i="7"/>
  <c r="F467" i="7"/>
  <c r="E467" i="7"/>
  <c r="D467" i="7"/>
  <c r="C467" i="7"/>
  <c r="B467" i="7"/>
  <c r="A467" i="7"/>
  <c r="I466" i="7"/>
  <c r="G466" i="7"/>
  <c r="F466" i="7"/>
  <c r="E466" i="7"/>
  <c r="D466" i="7"/>
  <c r="C466" i="7"/>
  <c r="B466" i="7"/>
  <c r="A466" i="7"/>
  <c r="I465" i="7"/>
  <c r="G465" i="7"/>
  <c r="F465" i="7"/>
  <c r="E465" i="7"/>
  <c r="D465" i="7"/>
  <c r="C465" i="7"/>
  <c r="B465" i="7"/>
  <c r="A465" i="7"/>
  <c r="I464" i="7"/>
  <c r="G464" i="7"/>
  <c r="F464" i="7"/>
  <c r="E464" i="7"/>
  <c r="D464" i="7"/>
  <c r="C464" i="7"/>
  <c r="B464" i="7"/>
  <c r="A464" i="7"/>
  <c r="I463" i="7"/>
  <c r="G463" i="7"/>
  <c r="F463" i="7"/>
  <c r="E463" i="7"/>
  <c r="D463" i="7"/>
  <c r="C463" i="7"/>
  <c r="B463" i="7"/>
  <c r="A463" i="7"/>
  <c r="I462" i="7"/>
  <c r="G462" i="7"/>
  <c r="F462" i="7"/>
  <c r="E462" i="7"/>
  <c r="D462" i="7"/>
  <c r="C462" i="7"/>
  <c r="B462" i="7"/>
  <c r="A462" i="7"/>
  <c r="I461" i="7"/>
  <c r="G461" i="7"/>
  <c r="F461" i="7"/>
  <c r="E461" i="7"/>
  <c r="D461" i="7"/>
  <c r="C461" i="7"/>
  <c r="B461" i="7"/>
  <c r="A461" i="7"/>
  <c r="I460" i="7"/>
  <c r="G460" i="7"/>
  <c r="F460" i="7"/>
  <c r="E460" i="7"/>
  <c r="D460" i="7"/>
  <c r="C460" i="7"/>
  <c r="B460" i="7"/>
  <c r="A460" i="7"/>
  <c r="I459" i="7"/>
  <c r="G459" i="7"/>
  <c r="F459" i="7"/>
  <c r="E459" i="7"/>
  <c r="D459" i="7"/>
  <c r="C459" i="7"/>
  <c r="B459" i="7"/>
  <c r="A459" i="7"/>
  <c r="I458" i="7"/>
  <c r="G458" i="7"/>
  <c r="F458" i="7"/>
  <c r="E458" i="7"/>
  <c r="D458" i="7"/>
  <c r="C458" i="7"/>
  <c r="B458" i="7"/>
  <c r="A458" i="7"/>
  <c r="I457" i="7"/>
  <c r="G457" i="7"/>
  <c r="F457" i="7"/>
  <c r="E457" i="7"/>
  <c r="D457" i="7"/>
  <c r="C457" i="7"/>
  <c r="B457" i="7"/>
  <c r="A457" i="7"/>
  <c r="I456" i="7"/>
  <c r="G456" i="7"/>
  <c r="F456" i="7"/>
  <c r="E456" i="7"/>
  <c r="D456" i="7"/>
  <c r="C456" i="7"/>
  <c r="B456" i="7"/>
  <c r="A456" i="7"/>
  <c r="I455" i="7"/>
  <c r="G455" i="7"/>
  <c r="F455" i="7"/>
  <c r="E455" i="7"/>
  <c r="D455" i="7"/>
  <c r="C455" i="7"/>
  <c r="B455" i="7"/>
  <c r="A455" i="7"/>
  <c r="I454" i="7"/>
  <c r="G454" i="7"/>
  <c r="F454" i="7"/>
  <c r="E454" i="7"/>
  <c r="D454" i="7"/>
  <c r="C454" i="7"/>
  <c r="B454" i="7"/>
  <c r="A454" i="7"/>
  <c r="I453" i="7"/>
  <c r="G453" i="7"/>
  <c r="F453" i="7"/>
  <c r="E453" i="7"/>
  <c r="D453" i="7"/>
  <c r="C453" i="7"/>
  <c r="B453" i="7"/>
  <c r="A453" i="7"/>
  <c r="I452" i="7"/>
  <c r="G452" i="7"/>
  <c r="F452" i="7"/>
  <c r="E452" i="7"/>
  <c r="D452" i="7"/>
  <c r="C452" i="7"/>
  <c r="B452" i="7"/>
  <c r="A452" i="7"/>
  <c r="I451" i="7"/>
  <c r="G451" i="7"/>
  <c r="F451" i="7"/>
  <c r="E451" i="7"/>
  <c r="D451" i="7"/>
  <c r="C451" i="7"/>
  <c r="B451" i="7"/>
  <c r="A451" i="7"/>
  <c r="I450" i="7"/>
  <c r="G450" i="7"/>
  <c r="F450" i="7"/>
  <c r="E450" i="7"/>
  <c r="D450" i="7"/>
  <c r="C450" i="7"/>
  <c r="B450" i="7"/>
  <c r="A450" i="7"/>
  <c r="I449" i="7"/>
  <c r="G449" i="7"/>
  <c r="F449" i="7"/>
  <c r="E449" i="7"/>
  <c r="D449" i="7"/>
  <c r="C449" i="7"/>
  <c r="B449" i="7"/>
  <c r="A449" i="7"/>
  <c r="I448" i="7"/>
  <c r="G448" i="7"/>
  <c r="F448" i="7"/>
  <c r="E448" i="7"/>
  <c r="D448" i="7"/>
  <c r="C448" i="7"/>
  <c r="B448" i="7"/>
  <c r="A448" i="7"/>
  <c r="I447" i="7"/>
  <c r="G447" i="7"/>
  <c r="F447" i="7"/>
  <c r="E447" i="7"/>
  <c r="D447" i="7"/>
  <c r="C447" i="7"/>
  <c r="B447" i="7"/>
  <c r="A447" i="7"/>
  <c r="I446" i="7"/>
  <c r="G446" i="7"/>
  <c r="F446" i="7"/>
  <c r="E446" i="7"/>
  <c r="D446" i="7"/>
  <c r="C446" i="7"/>
  <c r="B446" i="7"/>
  <c r="A446" i="7"/>
  <c r="I445" i="7"/>
  <c r="G445" i="7"/>
  <c r="F445" i="7"/>
  <c r="E445" i="7"/>
  <c r="D445" i="7"/>
  <c r="C445" i="7"/>
  <c r="B445" i="7"/>
  <c r="A445" i="7"/>
  <c r="I444" i="7"/>
  <c r="G444" i="7"/>
  <c r="F444" i="7"/>
  <c r="E444" i="7"/>
  <c r="D444" i="7"/>
  <c r="C444" i="7"/>
  <c r="B444" i="7"/>
  <c r="A444" i="7"/>
  <c r="I443" i="7"/>
  <c r="G443" i="7"/>
  <c r="F443" i="7"/>
  <c r="E443" i="7"/>
  <c r="D443" i="7"/>
  <c r="C443" i="7"/>
  <c r="B443" i="7"/>
  <c r="A443" i="7"/>
  <c r="I442" i="7"/>
  <c r="G442" i="7"/>
  <c r="F442" i="7"/>
  <c r="E442" i="7"/>
  <c r="D442" i="7"/>
  <c r="C442" i="7"/>
  <c r="B442" i="7"/>
  <c r="A442" i="7"/>
  <c r="I441" i="7"/>
  <c r="G441" i="7"/>
  <c r="F441" i="7"/>
  <c r="E441" i="7"/>
  <c r="D441" i="7"/>
  <c r="C441" i="7"/>
  <c r="B441" i="7"/>
  <c r="A441" i="7"/>
  <c r="I440" i="7"/>
  <c r="G440" i="7"/>
  <c r="F440" i="7"/>
  <c r="E440" i="7"/>
  <c r="D440" i="7"/>
  <c r="C440" i="7"/>
  <c r="B440" i="7"/>
  <c r="A440" i="7"/>
  <c r="I439" i="7"/>
  <c r="G439" i="7"/>
  <c r="F439" i="7"/>
  <c r="E439" i="7"/>
  <c r="D439" i="7"/>
  <c r="C439" i="7"/>
  <c r="B439" i="7"/>
  <c r="A439" i="7"/>
  <c r="I438" i="7"/>
  <c r="G438" i="7"/>
  <c r="F438" i="7"/>
  <c r="E438" i="7"/>
  <c r="D438" i="7"/>
  <c r="C438" i="7"/>
  <c r="B438" i="7"/>
  <c r="A438" i="7"/>
  <c r="I437" i="7"/>
  <c r="G437" i="7"/>
  <c r="F437" i="7"/>
  <c r="E437" i="7"/>
  <c r="D437" i="7"/>
  <c r="C437" i="7"/>
  <c r="B437" i="7"/>
  <c r="A437" i="7"/>
  <c r="I436" i="7"/>
  <c r="G436" i="7"/>
  <c r="F436" i="7"/>
  <c r="E436" i="7"/>
  <c r="D436" i="7"/>
  <c r="C436" i="7"/>
  <c r="B436" i="7"/>
  <c r="A436" i="7"/>
  <c r="I435" i="7"/>
  <c r="G435" i="7"/>
  <c r="F435" i="7"/>
  <c r="E435" i="7"/>
  <c r="D435" i="7"/>
  <c r="C435" i="7"/>
  <c r="B435" i="7"/>
  <c r="A435" i="7"/>
  <c r="I434" i="7"/>
  <c r="G434" i="7"/>
  <c r="F434" i="7"/>
  <c r="E434" i="7"/>
  <c r="D434" i="7"/>
  <c r="C434" i="7"/>
  <c r="B434" i="7"/>
  <c r="A434" i="7"/>
  <c r="I433" i="7"/>
  <c r="G433" i="7"/>
  <c r="F433" i="7"/>
  <c r="E433" i="7"/>
  <c r="D433" i="7"/>
  <c r="C433" i="7"/>
  <c r="B433" i="7"/>
  <c r="A433" i="7"/>
  <c r="I432" i="7"/>
  <c r="G432" i="7"/>
  <c r="F432" i="7"/>
  <c r="E432" i="7"/>
  <c r="D432" i="7"/>
  <c r="C432" i="7"/>
  <c r="B432" i="7"/>
  <c r="A432" i="7"/>
  <c r="I431" i="7"/>
  <c r="G431" i="7"/>
  <c r="F431" i="7"/>
  <c r="E431" i="7"/>
  <c r="D431" i="7"/>
  <c r="C431" i="7"/>
  <c r="B431" i="7"/>
  <c r="A431" i="7"/>
  <c r="I430" i="7"/>
  <c r="G430" i="7"/>
  <c r="F430" i="7"/>
  <c r="E430" i="7"/>
  <c r="D430" i="7"/>
  <c r="C430" i="7"/>
  <c r="B430" i="7"/>
  <c r="A430" i="7"/>
  <c r="I429" i="7"/>
  <c r="G429" i="7"/>
  <c r="F429" i="7"/>
  <c r="E429" i="7"/>
  <c r="D429" i="7"/>
  <c r="C429" i="7"/>
  <c r="B429" i="7"/>
  <c r="A429" i="7"/>
  <c r="I428" i="7"/>
  <c r="G428" i="7"/>
  <c r="F428" i="7"/>
  <c r="E428" i="7"/>
  <c r="D428" i="7"/>
  <c r="C428" i="7"/>
  <c r="B428" i="7"/>
  <c r="A428" i="7"/>
  <c r="I427" i="7"/>
  <c r="G427" i="7"/>
  <c r="F427" i="7"/>
  <c r="E427" i="7"/>
  <c r="D427" i="7"/>
  <c r="C427" i="7"/>
  <c r="B427" i="7"/>
  <c r="A427" i="7"/>
  <c r="I426" i="7"/>
  <c r="G426" i="7"/>
  <c r="F426" i="7"/>
  <c r="E426" i="7"/>
  <c r="D426" i="7"/>
  <c r="C426" i="7"/>
  <c r="B426" i="7"/>
  <c r="A426" i="7"/>
  <c r="I425" i="7"/>
  <c r="G425" i="7"/>
  <c r="F425" i="7"/>
  <c r="E425" i="7"/>
  <c r="D425" i="7"/>
  <c r="C425" i="7"/>
  <c r="B425" i="7"/>
  <c r="A425" i="7"/>
  <c r="I424" i="7"/>
  <c r="G424" i="7"/>
  <c r="F424" i="7"/>
  <c r="E424" i="7"/>
  <c r="D424" i="7"/>
  <c r="C424" i="7"/>
  <c r="B424" i="7"/>
  <c r="A424" i="7"/>
  <c r="I423" i="7"/>
  <c r="G423" i="7"/>
  <c r="F423" i="7"/>
  <c r="E423" i="7"/>
  <c r="D423" i="7"/>
  <c r="C423" i="7"/>
  <c r="B423" i="7"/>
  <c r="A423" i="7"/>
  <c r="I422" i="7"/>
  <c r="G422" i="7"/>
  <c r="F422" i="7"/>
  <c r="E422" i="7"/>
  <c r="D422" i="7"/>
  <c r="C422" i="7"/>
  <c r="B422" i="7"/>
  <c r="A422" i="7"/>
  <c r="I421" i="7"/>
  <c r="G421" i="7"/>
  <c r="F421" i="7"/>
  <c r="E421" i="7"/>
  <c r="D421" i="7"/>
  <c r="C421" i="7"/>
  <c r="B421" i="7"/>
  <c r="A421" i="7"/>
  <c r="I420" i="7"/>
  <c r="G420" i="7"/>
  <c r="F420" i="7"/>
  <c r="E420" i="7"/>
  <c r="D420" i="7"/>
  <c r="C420" i="7"/>
  <c r="B420" i="7"/>
  <c r="A420" i="7"/>
  <c r="I419" i="7"/>
  <c r="G419" i="7"/>
  <c r="F419" i="7"/>
  <c r="E419" i="7"/>
  <c r="D419" i="7"/>
  <c r="C419" i="7"/>
  <c r="B419" i="7"/>
  <c r="A419" i="7"/>
  <c r="I418" i="7"/>
  <c r="G418" i="7"/>
  <c r="F418" i="7"/>
  <c r="E418" i="7"/>
  <c r="D418" i="7"/>
  <c r="C418" i="7"/>
  <c r="B418" i="7"/>
  <c r="A418" i="7"/>
  <c r="I417" i="7"/>
  <c r="G417" i="7"/>
  <c r="F417" i="7"/>
  <c r="E417" i="7"/>
  <c r="D417" i="7"/>
  <c r="C417" i="7"/>
  <c r="B417" i="7"/>
  <c r="A417" i="7"/>
  <c r="I416" i="7"/>
  <c r="G416" i="7"/>
  <c r="F416" i="7"/>
  <c r="E416" i="7"/>
  <c r="D416" i="7"/>
  <c r="C416" i="7"/>
  <c r="B416" i="7"/>
  <c r="A416" i="7"/>
  <c r="I415" i="7"/>
  <c r="G415" i="7"/>
  <c r="F415" i="7"/>
  <c r="E415" i="7"/>
  <c r="D415" i="7"/>
  <c r="C415" i="7"/>
  <c r="B415" i="7"/>
  <c r="A415" i="7"/>
  <c r="I414" i="7"/>
  <c r="G414" i="7"/>
  <c r="F414" i="7"/>
  <c r="E414" i="7"/>
  <c r="D414" i="7"/>
  <c r="C414" i="7"/>
  <c r="B414" i="7"/>
  <c r="A414" i="7"/>
  <c r="I413" i="7"/>
  <c r="G413" i="7"/>
  <c r="F413" i="7"/>
  <c r="E413" i="7"/>
  <c r="D413" i="7"/>
  <c r="C413" i="7"/>
  <c r="B413" i="7"/>
  <c r="A413" i="7"/>
  <c r="I412" i="7"/>
  <c r="G412" i="7"/>
  <c r="F412" i="7"/>
  <c r="E412" i="7"/>
  <c r="D412" i="7"/>
  <c r="C412" i="7"/>
  <c r="B412" i="7"/>
  <c r="A412" i="7"/>
  <c r="I411" i="7"/>
  <c r="G411" i="7"/>
  <c r="F411" i="7"/>
  <c r="E411" i="7"/>
  <c r="D411" i="7"/>
  <c r="C411" i="7"/>
  <c r="B411" i="7"/>
  <c r="A411" i="7"/>
  <c r="I410" i="7"/>
  <c r="G410" i="7"/>
  <c r="F410" i="7"/>
  <c r="E410" i="7"/>
  <c r="D410" i="7"/>
  <c r="C410" i="7"/>
  <c r="B410" i="7"/>
  <c r="A410" i="7"/>
  <c r="I409" i="7"/>
  <c r="G409" i="7"/>
  <c r="F409" i="7"/>
  <c r="E409" i="7"/>
  <c r="D409" i="7"/>
  <c r="C409" i="7"/>
  <c r="B409" i="7"/>
  <c r="A409" i="7"/>
  <c r="I408" i="7"/>
  <c r="G408" i="7"/>
  <c r="F408" i="7"/>
  <c r="E408" i="7"/>
  <c r="D408" i="7"/>
  <c r="C408" i="7"/>
  <c r="B408" i="7"/>
  <c r="A408" i="7"/>
  <c r="I407" i="7"/>
  <c r="G407" i="7"/>
  <c r="F407" i="7"/>
  <c r="E407" i="7"/>
  <c r="D407" i="7"/>
  <c r="C407" i="7"/>
  <c r="B407" i="7"/>
  <c r="A407" i="7"/>
  <c r="I406" i="7"/>
  <c r="G406" i="7"/>
  <c r="F406" i="7"/>
  <c r="E406" i="7"/>
  <c r="D406" i="7"/>
  <c r="C406" i="7"/>
  <c r="B406" i="7"/>
  <c r="A406" i="7"/>
  <c r="I405" i="7"/>
  <c r="G405" i="7"/>
  <c r="F405" i="7"/>
  <c r="E405" i="7"/>
  <c r="D405" i="7"/>
  <c r="C405" i="7"/>
  <c r="B405" i="7"/>
  <c r="A405" i="7"/>
  <c r="I404" i="7"/>
  <c r="G404" i="7"/>
  <c r="F404" i="7"/>
  <c r="E404" i="7"/>
  <c r="D404" i="7"/>
  <c r="C404" i="7"/>
  <c r="B404" i="7"/>
  <c r="A404" i="7"/>
  <c r="I403" i="7"/>
  <c r="G403" i="7"/>
  <c r="F403" i="7"/>
  <c r="E403" i="7"/>
  <c r="D403" i="7"/>
  <c r="C403" i="7"/>
  <c r="B403" i="7"/>
  <c r="A403" i="7"/>
  <c r="I402" i="7"/>
  <c r="G402" i="7"/>
  <c r="F402" i="7"/>
  <c r="E402" i="7"/>
  <c r="D402" i="7"/>
  <c r="C402" i="7"/>
  <c r="B402" i="7"/>
  <c r="A402" i="7"/>
  <c r="I401" i="7"/>
  <c r="G401" i="7"/>
  <c r="F401" i="7"/>
  <c r="E401" i="7"/>
  <c r="D401" i="7"/>
  <c r="C401" i="7"/>
  <c r="B401" i="7"/>
  <c r="A401" i="7"/>
  <c r="I400" i="7"/>
  <c r="G400" i="7"/>
  <c r="F400" i="7"/>
  <c r="E400" i="7"/>
  <c r="D400" i="7"/>
  <c r="C400" i="7"/>
  <c r="B400" i="7"/>
  <c r="A400" i="7"/>
  <c r="I399" i="7"/>
  <c r="G399" i="7"/>
  <c r="F399" i="7"/>
  <c r="E399" i="7"/>
  <c r="D399" i="7"/>
  <c r="C399" i="7"/>
  <c r="B399" i="7"/>
  <c r="A399" i="7"/>
  <c r="I398" i="7"/>
  <c r="G398" i="7"/>
  <c r="F398" i="7"/>
  <c r="E398" i="7"/>
  <c r="D398" i="7"/>
  <c r="C398" i="7"/>
  <c r="B398" i="7"/>
  <c r="A398" i="7"/>
  <c r="I397" i="7"/>
  <c r="G397" i="7"/>
  <c r="F397" i="7"/>
  <c r="E397" i="7"/>
  <c r="D397" i="7"/>
  <c r="C397" i="7"/>
  <c r="B397" i="7"/>
  <c r="A397" i="7"/>
  <c r="I396" i="7"/>
  <c r="G396" i="7"/>
  <c r="F396" i="7"/>
  <c r="E396" i="7"/>
  <c r="D396" i="7"/>
  <c r="C396" i="7"/>
  <c r="B396" i="7"/>
  <c r="A396" i="7"/>
  <c r="I395" i="7"/>
  <c r="G395" i="7"/>
  <c r="F395" i="7"/>
  <c r="E395" i="7"/>
  <c r="D395" i="7"/>
  <c r="C395" i="7"/>
  <c r="B395" i="7"/>
  <c r="A395" i="7"/>
  <c r="I394" i="7"/>
  <c r="G394" i="7"/>
  <c r="F394" i="7"/>
  <c r="E394" i="7"/>
  <c r="D394" i="7"/>
  <c r="C394" i="7"/>
  <c r="B394" i="7"/>
  <c r="A394" i="7"/>
  <c r="I393" i="7"/>
  <c r="G393" i="7"/>
  <c r="F393" i="7"/>
  <c r="E393" i="7"/>
  <c r="D393" i="7"/>
  <c r="C393" i="7"/>
  <c r="B393" i="7"/>
  <c r="A393" i="7"/>
  <c r="I392" i="7"/>
  <c r="G392" i="7"/>
  <c r="F392" i="7"/>
  <c r="E392" i="7"/>
  <c r="D392" i="7"/>
  <c r="C392" i="7"/>
  <c r="B392" i="7"/>
  <c r="A392" i="7"/>
  <c r="I391" i="7"/>
  <c r="G391" i="7"/>
  <c r="F391" i="7"/>
  <c r="E391" i="7"/>
  <c r="D391" i="7"/>
  <c r="C391" i="7"/>
  <c r="B391" i="7"/>
  <c r="A391" i="7"/>
  <c r="I390" i="7"/>
  <c r="G390" i="7"/>
  <c r="F390" i="7"/>
  <c r="E390" i="7"/>
  <c r="D390" i="7"/>
  <c r="C390" i="7"/>
  <c r="B390" i="7"/>
  <c r="A390" i="7"/>
  <c r="I389" i="7"/>
  <c r="G389" i="7"/>
  <c r="F389" i="7"/>
  <c r="E389" i="7"/>
  <c r="D389" i="7"/>
  <c r="C389" i="7"/>
  <c r="B389" i="7"/>
  <c r="A389" i="7"/>
  <c r="I388" i="7"/>
  <c r="G388" i="7"/>
  <c r="F388" i="7"/>
  <c r="E388" i="7"/>
  <c r="D388" i="7"/>
  <c r="C388" i="7"/>
  <c r="B388" i="7"/>
  <c r="A388" i="7"/>
  <c r="I387" i="7"/>
  <c r="G387" i="7"/>
  <c r="F387" i="7"/>
  <c r="E387" i="7"/>
  <c r="D387" i="7"/>
  <c r="C387" i="7"/>
  <c r="B387" i="7"/>
  <c r="A387" i="7"/>
  <c r="I386" i="7"/>
  <c r="G386" i="7"/>
  <c r="F386" i="7"/>
  <c r="E386" i="7"/>
  <c r="D386" i="7"/>
  <c r="C386" i="7"/>
  <c r="B386" i="7"/>
  <c r="A386" i="7"/>
  <c r="I385" i="7"/>
  <c r="G385" i="7"/>
  <c r="F385" i="7"/>
  <c r="E385" i="7"/>
  <c r="D385" i="7"/>
  <c r="C385" i="7"/>
  <c r="B385" i="7"/>
  <c r="A385" i="7"/>
  <c r="I384" i="7"/>
  <c r="G384" i="7"/>
  <c r="F384" i="7"/>
  <c r="E384" i="7"/>
  <c r="D384" i="7"/>
  <c r="C384" i="7"/>
  <c r="B384" i="7"/>
  <c r="A384" i="7"/>
  <c r="I383" i="7"/>
  <c r="G383" i="7"/>
  <c r="F383" i="7"/>
  <c r="E383" i="7"/>
  <c r="D383" i="7"/>
  <c r="C383" i="7"/>
  <c r="B383" i="7"/>
  <c r="A383" i="7"/>
  <c r="I382" i="7"/>
  <c r="G382" i="7"/>
  <c r="F382" i="7"/>
  <c r="E382" i="7"/>
  <c r="D382" i="7"/>
  <c r="C382" i="7"/>
  <c r="B382" i="7"/>
  <c r="A382" i="7"/>
  <c r="I381" i="7"/>
  <c r="G381" i="7"/>
  <c r="F381" i="7"/>
  <c r="E381" i="7"/>
  <c r="D381" i="7"/>
  <c r="C381" i="7"/>
  <c r="B381" i="7"/>
  <c r="A381" i="7"/>
  <c r="I380" i="7"/>
  <c r="G380" i="7"/>
  <c r="F380" i="7"/>
  <c r="E380" i="7"/>
  <c r="D380" i="7"/>
  <c r="C380" i="7"/>
  <c r="B380" i="7"/>
  <c r="A380" i="7"/>
  <c r="I379" i="7"/>
  <c r="G379" i="7"/>
  <c r="F379" i="7"/>
  <c r="E379" i="7"/>
  <c r="D379" i="7"/>
  <c r="C379" i="7"/>
  <c r="B379" i="7"/>
  <c r="A379" i="7"/>
  <c r="I378" i="7"/>
  <c r="G378" i="7"/>
  <c r="F378" i="7"/>
  <c r="E378" i="7"/>
  <c r="D378" i="7"/>
  <c r="C378" i="7"/>
  <c r="B378" i="7"/>
  <c r="A378" i="7"/>
  <c r="I377" i="7"/>
  <c r="G377" i="7"/>
  <c r="F377" i="7"/>
  <c r="E377" i="7"/>
  <c r="D377" i="7"/>
  <c r="C377" i="7"/>
  <c r="B377" i="7"/>
  <c r="A377" i="7"/>
  <c r="I376" i="7"/>
  <c r="G376" i="7"/>
  <c r="F376" i="7"/>
  <c r="E376" i="7"/>
  <c r="D376" i="7"/>
  <c r="C376" i="7"/>
  <c r="B376" i="7"/>
  <c r="A376" i="7"/>
  <c r="I375" i="7"/>
  <c r="G375" i="7"/>
  <c r="F375" i="7"/>
  <c r="E375" i="7"/>
  <c r="D375" i="7"/>
  <c r="C375" i="7"/>
  <c r="B375" i="7"/>
  <c r="A375" i="7"/>
  <c r="I374" i="7"/>
  <c r="G374" i="7"/>
  <c r="F374" i="7"/>
  <c r="E374" i="7"/>
  <c r="D374" i="7"/>
  <c r="C374" i="7"/>
  <c r="B374" i="7"/>
  <c r="A374" i="7"/>
  <c r="I373" i="7"/>
  <c r="G373" i="7"/>
  <c r="F373" i="7"/>
  <c r="E373" i="7"/>
  <c r="D373" i="7"/>
  <c r="C373" i="7"/>
  <c r="B373" i="7"/>
  <c r="A373" i="7"/>
  <c r="I372" i="7"/>
  <c r="G372" i="7"/>
  <c r="F372" i="7"/>
  <c r="E372" i="7"/>
  <c r="D372" i="7"/>
  <c r="C372" i="7"/>
  <c r="B372" i="7"/>
  <c r="A372" i="7"/>
  <c r="I371" i="7"/>
  <c r="G371" i="7"/>
  <c r="F371" i="7"/>
  <c r="E371" i="7"/>
  <c r="D371" i="7"/>
  <c r="C371" i="7"/>
  <c r="B371" i="7"/>
  <c r="A371" i="7"/>
  <c r="I370" i="7"/>
  <c r="G370" i="7"/>
  <c r="F370" i="7"/>
  <c r="E370" i="7"/>
  <c r="D370" i="7"/>
  <c r="C370" i="7"/>
  <c r="B370" i="7"/>
  <c r="A370" i="7"/>
  <c r="I369" i="7"/>
  <c r="G369" i="7"/>
  <c r="F369" i="7"/>
  <c r="E369" i="7"/>
  <c r="D369" i="7"/>
  <c r="C369" i="7"/>
  <c r="B369" i="7"/>
  <c r="A369" i="7"/>
  <c r="I368" i="7"/>
  <c r="G368" i="7"/>
  <c r="F368" i="7"/>
  <c r="E368" i="7"/>
  <c r="D368" i="7"/>
  <c r="C368" i="7"/>
  <c r="B368" i="7"/>
  <c r="A368" i="7"/>
  <c r="I367" i="7"/>
  <c r="G367" i="7"/>
  <c r="F367" i="7"/>
  <c r="E367" i="7"/>
  <c r="D367" i="7"/>
  <c r="C367" i="7"/>
  <c r="B367" i="7"/>
  <c r="A367" i="7"/>
  <c r="I366" i="7"/>
  <c r="G366" i="7"/>
  <c r="F366" i="7"/>
  <c r="E366" i="7"/>
  <c r="D366" i="7"/>
  <c r="C366" i="7"/>
  <c r="B366" i="7"/>
  <c r="A366" i="7"/>
  <c r="I365" i="7"/>
  <c r="G365" i="7"/>
  <c r="F365" i="7"/>
  <c r="E365" i="7"/>
  <c r="D365" i="7"/>
  <c r="C365" i="7"/>
  <c r="B365" i="7"/>
  <c r="A365" i="7"/>
  <c r="I364" i="7"/>
  <c r="G364" i="7"/>
  <c r="F364" i="7"/>
  <c r="E364" i="7"/>
  <c r="D364" i="7"/>
  <c r="C364" i="7"/>
  <c r="B364" i="7"/>
  <c r="A364" i="7"/>
  <c r="I363" i="7"/>
  <c r="G363" i="7"/>
  <c r="F363" i="7"/>
  <c r="E363" i="7"/>
  <c r="D363" i="7"/>
  <c r="C363" i="7"/>
  <c r="B363" i="7"/>
  <c r="A363" i="7"/>
  <c r="I362" i="7"/>
  <c r="G362" i="7"/>
  <c r="F362" i="7"/>
  <c r="E362" i="7"/>
  <c r="D362" i="7"/>
  <c r="C362" i="7"/>
  <c r="B362" i="7"/>
  <c r="A362" i="7"/>
  <c r="I361" i="7"/>
  <c r="G361" i="7"/>
  <c r="F361" i="7"/>
  <c r="E361" i="7"/>
  <c r="D361" i="7"/>
  <c r="C361" i="7"/>
  <c r="B361" i="7"/>
  <c r="A361" i="7"/>
  <c r="I360" i="7"/>
  <c r="G360" i="7"/>
  <c r="F360" i="7"/>
  <c r="E360" i="7"/>
  <c r="D360" i="7"/>
  <c r="C360" i="7"/>
  <c r="B360" i="7"/>
  <c r="A360" i="7"/>
  <c r="I359" i="7"/>
  <c r="G359" i="7"/>
  <c r="F359" i="7"/>
  <c r="E359" i="7"/>
  <c r="D359" i="7"/>
  <c r="C359" i="7"/>
  <c r="B359" i="7"/>
  <c r="A359" i="7"/>
  <c r="I358" i="7"/>
  <c r="G358" i="7"/>
  <c r="F358" i="7"/>
  <c r="E358" i="7"/>
  <c r="D358" i="7"/>
  <c r="C358" i="7"/>
  <c r="B358" i="7"/>
  <c r="A358" i="7"/>
  <c r="I357" i="7"/>
  <c r="G357" i="7"/>
  <c r="F357" i="7"/>
  <c r="E357" i="7"/>
  <c r="D357" i="7"/>
  <c r="C357" i="7"/>
  <c r="B357" i="7"/>
  <c r="A357" i="7"/>
  <c r="I356" i="7"/>
  <c r="G356" i="7"/>
  <c r="F356" i="7"/>
  <c r="E356" i="7"/>
  <c r="D356" i="7"/>
  <c r="C356" i="7"/>
  <c r="B356" i="7"/>
  <c r="A356" i="7"/>
  <c r="I355" i="7"/>
  <c r="G355" i="7"/>
  <c r="F355" i="7"/>
  <c r="E355" i="7"/>
  <c r="D355" i="7"/>
  <c r="C355" i="7"/>
  <c r="B355" i="7"/>
  <c r="A355" i="7"/>
  <c r="I354" i="7"/>
  <c r="G354" i="7"/>
  <c r="F354" i="7"/>
  <c r="E354" i="7"/>
  <c r="D354" i="7"/>
  <c r="C354" i="7"/>
  <c r="B354" i="7"/>
  <c r="A354" i="7"/>
  <c r="I353" i="7"/>
  <c r="G353" i="7"/>
  <c r="F353" i="7"/>
  <c r="E353" i="7"/>
  <c r="D353" i="7"/>
  <c r="C353" i="7"/>
  <c r="B353" i="7"/>
  <c r="A353" i="7"/>
  <c r="I352" i="7"/>
  <c r="G352" i="7"/>
  <c r="F352" i="7"/>
  <c r="E352" i="7"/>
  <c r="D352" i="7"/>
  <c r="C352" i="7"/>
  <c r="B352" i="7"/>
  <c r="A352" i="7"/>
  <c r="I351" i="7"/>
  <c r="G351" i="7"/>
  <c r="F351" i="7"/>
  <c r="E351" i="7"/>
  <c r="D351" i="7"/>
  <c r="C351" i="7"/>
  <c r="B351" i="7"/>
  <c r="A351" i="7"/>
  <c r="I350" i="7"/>
  <c r="G350" i="7"/>
  <c r="F350" i="7"/>
  <c r="E350" i="7"/>
  <c r="D350" i="7"/>
  <c r="C350" i="7"/>
  <c r="B350" i="7"/>
  <c r="A350" i="7"/>
  <c r="I349" i="7"/>
  <c r="G349" i="7"/>
  <c r="F349" i="7"/>
  <c r="E349" i="7"/>
  <c r="D349" i="7"/>
  <c r="C349" i="7"/>
  <c r="B349" i="7"/>
  <c r="A349" i="7"/>
  <c r="I348" i="7"/>
  <c r="G348" i="7"/>
  <c r="F348" i="7"/>
  <c r="E348" i="7"/>
  <c r="D348" i="7"/>
  <c r="C348" i="7"/>
  <c r="B348" i="7"/>
  <c r="A348" i="7"/>
  <c r="I347" i="7"/>
  <c r="G347" i="7"/>
  <c r="F347" i="7"/>
  <c r="E347" i="7"/>
  <c r="D347" i="7"/>
  <c r="C347" i="7"/>
  <c r="B347" i="7"/>
  <c r="A347" i="7"/>
  <c r="I346" i="7"/>
  <c r="G346" i="7"/>
  <c r="F346" i="7"/>
  <c r="E346" i="7"/>
  <c r="D346" i="7"/>
  <c r="C346" i="7"/>
  <c r="B346" i="7"/>
  <c r="A346" i="7"/>
  <c r="I345" i="7"/>
  <c r="G345" i="7"/>
  <c r="F345" i="7"/>
  <c r="E345" i="7"/>
  <c r="D345" i="7"/>
  <c r="C345" i="7"/>
  <c r="B345" i="7"/>
  <c r="A345" i="7"/>
  <c r="I344" i="7"/>
  <c r="G344" i="7"/>
  <c r="F344" i="7"/>
  <c r="E344" i="7"/>
  <c r="D344" i="7"/>
  <c r="C344" i="7"/>
  <c r="B344" i="7"/>
  <c r="A344" i="7"/>
  <c r="I343" i="7"/>
  <c r="G343" i="7"/>
  <c r="F343" i="7"/>
  <c r="E343" i="7"/>
  <c r="D343" i="7"/>
  <c r="C343" i="7"/>
  <c r="B343" i="7"/>
  <c r="A343" i="7"/>
  <c r="I342" i="7"/>
  <c r="G342" i="7"/>
  <c r="F342" i="7"/>
  <c r="E342" i="7"/>
  <c r="D342" i="7"/>
  <c r="C342" i="7"/>
  <c r="B342" i="7"/>
  <c r="A342" i="7"/>
  <c r="I341" i="7"/>
  <c r="G341" i="7"/>
  <c r="F341" i="7"/>
  <c r="E341" i="7"/>
  <c r="D341" i="7"/>
  <c r="C341" i="7"/>
  <c r="B341" i="7"/>
  <c r="A341" i="7"/>
  <c r="I340" i="7"/>
  <c r="G340" i="7"/>
  <c r="F340" i="7"/>
  <c r="E340" i="7"/>
  <c r="D340" i="7"/>
  <c r="C340" i="7"/>
  <c r="B340" i="7"/>
  <c r="A340" i="7"/>
  <c r="I339" i="7"/>
  <c r="G339" i="7"/>
  <c r="F339" i="7"/>
  <c r="E339" i="7"/>
  <c r="D339" i="7"/>
  <c r="C339" i="7"/>
  <c r="B339" i="7"/>
  <c r="A339" i="7"/>
  <c r="I338" i="7"/>
  <c r="G338" i="7"/>
  <c r="F338" i="7"/>
  <c r="E338" i="7"/>
  <c r="D338" i="7"/>
  <c r="C338" i="7"/>
  <c r="B338" i="7"/>
  <c r="A338" i="7"/>
  <c r="I337" i="7"/>
  <c r="G337" i="7"/>
  <c r="F337" i="7"/>
  <c r="E337" i="7"/>
  <c r="D337" i="7"/>
  <c r="C337" i="7"/>
  <c r="B337" i="7"/>
  <c r="A337" i="7"/>
  <c r="I336" i="7"/>
  <c r="G336" i="7"/>
  <c r="F336" i="7"/>
  <c r="E336" i="7"/>
  <c r="D336" i="7"/>
  <c r="C336" i="7"/>
  <c r="B336" i="7"/>
  <c r="A336" i="7"/>
  <c r="I335" i="7"/>
  <c r="G335" i="7"/>
  <c r="F335" i="7"/>
  <c r="E335" i="7"/>
  <c r="D335" i="7"/>
  <c r="C335" i="7"/>
  <c r="B335" i="7"/>
  <c r="A335" i="7"/>
  <c r="I334" i="7"/>
  <c r="G334" i="7"/>
  <c r="F334" i="7"/>
  <c r="E334" i="7"/>
  <c r="D334" i="7"/>
  <c r="C334" i="7"/>
  <c r="B334" i="7"/>
  <c r="A334" i="7"/>
  <c r="I333" i="7"/>
  <c r="G333" i="7"/>
  <c r="F333" i="7"/>
  <c r="E333" i="7"/>
  <c r="D333" i="7"/>
  <c r="C333" i="7"/>
  <c r="B333" i="7"/>
  <c r="A333" i="7"/>
  <c r="I332" i="7"/>
  <c r="G332" i="7"/>
  <c r="F332" i="7"/>
  <c r="E332" i="7"/>
  <c r="D332" i="7"/>
  <c r="C332" i="7"/>
  <c r="B332" i="7"/>
  <c r="A332" i="7"/>
  <c r="I331" i="7"/>
  <c r="G331" i="7"/>
  <c r="F331" i="7"/>
  <c r="E331" i="7"/>
  <c r="D331" i="7"/>
  <c r="C331" i="7"/>
  <c r="B331" i="7"/>
  <c r="A331" i="7"/>
  <c r="I330" i="7"/>
  <c r="G330" i="7"/>
  <c r="F330" i="7"/>
  <c r="E330" i="7"/>
  <c r="D330" i="7"/>
  <c r="C330" i="7"/>
  <c r="B330" i="7"/>
  <c r="A330" i="7"/>
  <c r="I329" i="7"/>
  <c r="G329" i="7"/>
  <c r="F329" i="7"/>
  <c r="E329" i="7"/>
  <c r="D329" i="7"/>
  <c r="C329" i="7"/>
  <c r="B329" i="7"/>
  <c r="A329" i="7"/>
  <c r="I328" i="7"/>
  <c r="G328" i="7"/>
  <c r="F328" i="7"/>
  <c r="E328" i="7"/>
  <c r="D328" i="7"/>
  <c r="C328" i="7"/>
  <c r="B328" i="7"/>
  <c r="A328" i="7"/>
  <c r="I327" i="7"/>
  <c r="G327" i="7"/>
  <c r="F327" i="7"/>
  <c r="E327" i="7"/>
  <c r="D327" i="7"/>
  <c r="C327" i="7"/>
  <c r="B327" i="7"/>
  <c r="A327" i="7"/>
  <c r="I326" i="7"/>
  <c r="G326" i="7"/>
  <c r="F326" i="7"/>
  <c r="E326" i="7"/>
  <c r="D326" i="7"/>
  <c r="C326" i="7"/>
  <c r="B326" i="7"/>
  <c r="A326" i="7"/>
  <c r="I325" i="7"/>
  <c r="G325" i="7"/>
  <c r="F325" i="7"/>
  <c r="E325" i="7"/>
  <c r="D325" i="7"/>
  <c r="C325" i="7"/>
  <c r="B325" i="7"/>
  <c r="A325" i="7"/>
  <c r="I324" i="7"/>
  <c r="G324" i="7"/>
  <c r="F324" i="7"/>
  <c r="E324" i="7"/>
  <c r="D324" i="7"/>
  <c r="C324" i="7"/>
  <c r="B324" i="7"/>
  <c r="A324" i="7"/>
  <c r="I323" i="7"/>
  <c r="G323" i="7"/>
  <c r="F323" i="7"/>
  <c r="E323" i="7"/>
  <c r="D323" i="7"/>
  <c r="C323" i="7"/>
  <c r="B323" i="7"/>
  <c r="A323" i="7"/>
  <c r="I322" i="7"/>
  <c r="G322" i="7"/>
  <c r="F322" i="7"/>
  <c r="E322" i="7"/>
  <c r="D322" i="7"/>
  <c r="C322" i="7"/>
  <c r="B322" i="7"/>
  <c r="A322" i="7"/>
  <c r="I321" i="7"/>
  <c r="G321" i="7"/>
  <c r="F321" i="7"/>
  <c r="E321" i="7"/>
  <c r="D321" i="7"/>
  <c r="C321" i="7"/>
  <c r="B321" i="7"/>
  <c r="A321" i="7"/>
  <c r="I320" i="7"/>
  <c r="G320" i="7"/>
  <c r="F320" i="7"/>
  <c r="E320" i="7"/>
  <c r="D320" i="7"/>
  <c r="C320" i="7"/>
  <c r="B320" i="7"/>
  <c r="A320" i="7"/>
  <c r="I319" i="7"/>
  <c r="G319" i="7"/>
  <c r="F319" i="7"/>
  <c r="E319" i="7"/>
  <c r="D319" i="7"/>
  <c r="C319" i="7"/>
  <c r="B319" i="7"/>
  <c r="A319" i="7"/>
  <c r="I318" i="7"/>
  <c r="G318" i="7"/>
  <c r="F318" i="7"/>
  <c r="E318" i="7"/>
  <c r="D318" i="7"/>
  <c r="C318" i="7"/>
  <c r="B318" i="7"/>
  <c r="A318" i="7"/>
  <c r="I317" i="7"/>
  <c r="G317" i="7"/>
  <c r="F317" i="7"/>
  <c r="E317" i="7"/>
  <c r="D317" i="7"/>
  <c r="C317" i="7"/>
  <c r="B317" i="7"/>
  <c r="A317" i="7"/>
  <c r="I316" i="7"/>
  <c r="G316" i="7"/>
  <c r="F316" i="7"/>
  <c r="E316" i="7"/>
  <c r="D316" i="7"/>
  <c r="C316" i="7"/>
  <c r="B316" i="7"/>
  <c r="A316" i="7"/>
  <c r="I315" i="7"/>
  <c r="G315" i="7"/>
  <c r="F315" i="7"/>
  <c r="E315" i="7"/>
  <c r="D315" i="7"/>
  <c r="C315" i="7"/>
  <c r="B315" i="7"/>
  <c r="A315" i="7"/>
  <c r="I314" i="7"/>
  <c r="G314" i="7"/>
  <c r="F314" i="7"/>
  <c r="E314" i="7"/>
  <c r="D314" i="7"/>
  <c r="C314" i="7"/>
  <c r="B314" i="7"/>
  <c r="A314" i="7"/>
  <c r="I313" i="7"/>
  <c r="G313" i="7"/>
  <c r="F313" i="7"/>
  <c r="E313" i="7"/>
  <c r="D313" i="7"/>
  <c r="C313" i="7"/>
  <c r="B313" i="7"/>
  <c r="A313" i="7"/>
  <c r="I312" i="7"/>
  <c r="G312" i="7"/>
  <c r="F312" i="7"/>
  <c r="E312" i="7"/>
  <c r="D312" i="7"/>
  <c r="C312" i="7"/>
  <c r="B312" i="7"/>
  <c r="A312" i="7"/>
  <c r="I311" i="7"/>
  <c r="G311" i="7"/>
  <c r="F311" i="7"/>
  <c r="E311" i="7"/>
  <c r="D311" i="7"/>
  <c r="C311" i="7"/>
  <c r="B311" i="7"/>
  <c r="A311" i="7"/>
  <c r="I310" i="7"/>
  <c r="G310" i="7"/>
  <c r="F310" i="7"/>
  <c r="E310" i="7"/>
  <c r="D310" i="7"/>
  <c r="C310" i="7"/>
  <c r="B310" i="7"/>
  <c r="A310" i="7"/>
  <c r="I309" i="7"/>
  <c r="G309" i="7"/>
  <c r="F309" i="7"/>
  <c r="E309" i="7"/>
  <c r="D309" i="7"/>
  <c r="C309" i="7"/>
  <c r="B309" i="7"/>
  <c r="A309" i="7"/>
  <c r="I308" i="7"/>
  <c r="G308" i="7"/>
  <c r="F308" i="7"/>
  <c r="E308" i="7"/>
  <c r="D308" i="7"/>
  <c r="C308" i="7"/>
  <c r="B308" i="7"/>
  <c r="A308" i="7"/>
  <c r="I307" i="7"/>
  <c r="G307" i="7"/>
  <c r="F307" i="7"/>
  <c r="E307" i="7"/>
  <c r="D307" i="7"/>
  <c r="C307" i="7"/>
  <c r="B307" i="7"/>
  <c r="A307" i="7"/>
  <c r="I306" i="7"/>
  <c r="G306" i="7"/>
  <c r="F306" i="7"/>
  <c r="E306" i="7"/>
  <c r="D306" i="7"/>
  <c r="C306" i="7"/>
  <c r="B306" i="7"/>
  <c r="A306" i="7"/>
  <c r="I305" i="7"/>
  <c r="G305" i="7"/>
  <c r="F305" i="7"/>
  <c r="E305" i="7"/>
  <c r="D305" i="7"/>
  <c r="C305" i="7"/>
  <c r="B305" i="7"/>
  <c r="A305" i="7"/>
  <c r="I304" i="7"/>
  <c r="G304" i="7"/>
  <c r="F304" i="7"/>
  <c r="E304" i="7"/>
  <c r="D304" i="7"/>
  <c r="C304" i="7"/>
  <c r="B304" i="7"/>
  <c r="A304" i="7"/>
  <c r="I303" i="7"/>
  <c r="G303" i="7"/>
  <c r="F303" i="7"/>
  <c r="E303" i="7"/>
  <c r="D303" i="7"/>
  <c r="C303" i="7"/>
  <c r="B303" i="7"/>
  <c r="A303" i="7"/>
  <c r="I302" i="7"/>
  <c r="G302" i="7"/>
  <c r="F302" i="7"/>
  <c r="E302" i="7"/>
  <c r="D302" i="7"/>
  <c r="C302" i="7"/>
  <c r="B302" i="7"/>
  <c r="A302" i="7"/>
  <c r="I301" i="7"/>
  <c r="G301" i="7"/>
  <c r="F301" i="7"/>
  <c r="E301" i="7"/>
  <c r="D301" i="7"/>
  <c r="C301" i="7"/>
  <c r="B301" i="7"/>
  <c r="A301" i="7"/>
  <c r="I300" i="7"/>
  <c r="G300" i="7"/>
  <c r="F300" i="7"/>
  <c r="E300" i="7"/>
  <c r="D300" i="7"/>
  <c r="C300" i="7"/>
  <c r="B300" i="7"/>
  <c r="A300" i="7"/>
  <c r="I299" i="7"/>
  <c r="G299" i="7"/>
  <c r="F299" i="7"/>
  <c r="E299" i="7"/>
  <c r="D299" i="7"/>
  <c r="C299" i="7"/>
  <c r="B299" i="7"/>
  <c r="A299" i="7"/>
  <c r="I298" i="7"/>
  <c r="G298" i="7"/>
  <c r="F298" i="7"/>
  <c r="E298" i="7"/>
  <c r="D298" i="7"/>
  <c r="C298" i="7"/>
  <c r="B298" i="7"/>
  <c r="A298" i="7"/>
  <c r="I297" i="7"/>
  <c r="G297" i="7"/>
  <c r="F297" i="7"/>
  <c r="E297" i="7"/>
  <c r="D297" i="7"/>
  <c r="C297" i="7"/>
  <c r="B297" i="7"/>
  <c r="A297" i="7"/>
  <c r="I296" i="7"/>
  <c r="G296" i="7"/>
  <c r="F296" i="7"/>
  <c r="E296" i="7"/>
  <c r="D296" i="7"/>
  <c r="C296" i="7"/>
  <c r="B296" i="7"/>
  <c r="A296" i="7"/>
  <c r="I295" i="7"/>
  <c r="G295" i="7"/>
  <c r="F295" i="7"/>
  <c r="E295" i="7"/>
  <c r="D295" i="7"/>
  <c r="C295" i="7"/>
  <c r="B295" i="7"/>
  <c r="A295" i="7"/>
  <c r="I294" i="7"/>
  <c r="G294" i="7"/>
  <c r="F294" i="7"/>
  <c r="E294" i="7"/>
  <c r="D294" i="7"/>
  <c r="C294" i="7"/>
  <c r="B294" i="7"/>
  <c r="A294" i="7"/>
  <c r="I293" i="7"/>
  <c r="G293" i="7"/>
  <c r="F293" i="7"/>
  <c r="E293" i="7"/>
  <c r="D293" i="7"/>
  <c r="C293" i="7"/>
  <c r="B293" i="7"/>
  <c r="A293" i="7"/>
  <c r="I292" i="7"/>
  <c r="G292" i="7"/>
  <c r="F292" i="7"/>
  <c r="E292" i="7"/>
  <c r="D292" i="7"/>
  <c r="C292" i="7"/>
  <c r="B292" i="7"/>
  <c r="A292" i="7"/>
  <c r="I291" i="7"/>
  <c r="G291" i="7"/>
  <c r="F291" i="7"/>
  <c r="E291" i="7"/>
  <c r="D291" i="7"/>
  <c r="C291" i="7"/>
  <c r="B291" i="7"/>
  <c r="A291" i="7"/>
  <c r="I290" i="7"/>
  <c r="G290" i="7"/>
  <c r="F290" i="7"/>
  <c r="E290" i="7"/>
  <c r="D290" i="7"/>
  <c r="C290" i="7"/>
  <c r="B290" i="7"/>
  <c r="A290" i="7"/>
  <c r="I289" i="7"/>
  <c r="G289" i="7"/>
  <c r="F289" i="7"/>
  <c r="E289" i="7"/>
  <c r="D289" i="7"/>
  <c r="C289" i="7"/>
  <c r="B289" i="7"/>
  <c r="A289" i="7"/>
  <c r="I288" i="7"/>
  <c r="G288" i="7"/>
  <c r="F288" i="7"/>
  <c r="E288" i="7"/>
  <c r="D288" i="7"/>
  <c r="C288" i="7"/>
  <c r="B288" i="7"/>
  <c r="A288" i="7"/>
  <c r="I287" i="7"/>
  <c r="G287" i="7"/>
  <c r="F287" i="7"/>
  <c r="E287" i="7"/>
  <c r="D287" i="7"/>
  <c r="C287" i="7"/>
  <c r="B287" i="7"/>
  <c r="A287" i="7"/>
  <c r="I286" i="7"/>
  <c r="G286" i="7"/>
  <c r="F286" i="7"/>
  <c r="E286" i="7"/>
  <c r="D286" i="7"/>
  <c r="C286" i="7"/>
  <c r="B286" i="7"/>
  <c r="A286" i="7"/>
  <c r="I285" i="7"/>
  <c r="G285" i="7"/>
  <c r="F285" i="7"/>
  <c r="E285" i="7"/>
  <c r="D285" i="7"/>
  <c r="C285" i="7"/>
  <c r="B285" i="7"/>
  <c r="A285" i="7"/>
  <c r="I284" i="7"/>
  <c r="G284" i="7"/>
  <c r="F284" i="7"/>
  <c r="E284" i="7"/>
  <c r="D284" i="7"/>
  <c r="C284" i="7"/>
  <c r="B284" i="7"/>
  <c r="A284" i="7"/>
  <c r="I283" i="7"/>
  <c r="G283" i="7"/>
  <c r="F283" i="7"/>
  <c r="E283" i="7"/>
  <c r="D283" i="7"/>
  <c r="C283" i="7"/>
  <c r="B283" i="7"/>
  <c r="A283" i="7"/>
  <c r="I282" i="7"/>
  <c r="G282" i="7"/>
  <c r="F282" i="7"/>
  <c r="E282" i="7"/>
  <c r="D282" i="7"/>
  <c r="C282" i="7"/>
  <c r="B282" i="7"/>
  <c r="A282" i="7"/>
  <c r="I281" i="7"/>
  <c r="G281" i="7"/>
  <c r="F281" i="7"/>
  <c r="E281" i="7"/>
  <c r="D281" i="7"/>
  <c r="C281" i="7"/>
  <c r="B281" i="7"/>
  <c r="A281" i="7"/>
  <c r="I280" i="7"/>
  <c r="G280" i="7"/>
  <c r="F280" i="7"/>
  <c r="E280" i="7"/>
  <c r="D280" i="7"/>
  <c r="C280" i="7"/>
  <c r="B280" i="7"/>
  <c r="A280" i="7"/>
  <c r="I279" i="7"/>
  <c r="G279" i="7"/>
  <c r="F279" i="7"/>
  <c r="E279" i="7"/>
  <c r="D279" i="7"/>
  <c r="C279" i="7"/>
  <c r="B279" i="7"/>
  <c r="A279" i="7"/>
  <c r="I278" i="7"/>
  <c r="G278" i="7"/>
  <c r="F278" i="7"/>
  <c r="E278" i="7"/>
  <c r="D278" i="7"/>
  <c r="C278" i="7"/>
  <c r="B278" i="7"/>
  <c r="A278" i="7"/>
  <c r="I277" i="7"/>
  <c r="G277" i="7"/>
  <c r="F277" i="7"/>
  <c r="E277" i="7"/>
  <c r="D277" i="7"/>
  <c r="C277" i="7"/>
  <c r="B277" i="7"/>
  <c r="A277" i="7"/>
  <c r="I276" i="7"/>
  <c r="G276" i="7"/>
  <c r="F276" i="7"/>
  <c r="E276" i="7"/>
  <c r="D276" i="7"/>
  <c r="C276" i="7"/>
  <c r="B276" i="7"/>
  <c r="A276" i="7"/>
  <c r="I275" i="7"/>
  <c r="G275" i="7"/>
  <c r="F275" i="7"/>
  <c r="E275" i="7"/>
  <c r="D275" i="7"/>
  <c r="C275" i="7"/>
  <c r="B275" i="7"/>
  <c r="A275" i="7"/>
  <c r="I274" i="7"/>
  <c r="G274" i="7"/>
  <c r="F274" i="7"/>
  <c r="E274" i="7"/>
  <c r="D274" i="7"/>
  <c r="C274" i="7"/>
  <c r="B274" i="7"/>
  <c r="A274" i="7"/>
  <c r="I273" i="7"/>
  <c r="G273" i="7"/>
  <c r="F273" i="7"/>
  <c r="E273" i="7"/>
  <c r="D273" i="7"/>
  <c r="C273" i="7"/>
  <c r="B273" i="7"/>
  <c r="A273" i="7"/>
  <c r="I272" i="7"/>
  <c r="G272" i="7"/>
  <c r="F272" i="7"/>
  <c r="E272" i="7"/>
  <c r="D272" i="7"/>
  <c r="C272" i="7"/>
  <c r="B272" i="7"/>
  <c r="A272" i="7"/>
  <c r="I271" i="7"/>
  <c r="G271" i="7"/>
  <c r="F271" i="7"/>
  <c r="E271" i="7"/>
  <c r="D271" i="7"/>
  <c r="C271" i="7"/>
  <c r="B271" i="7"/>
  <c r="A271" i="7"/>
  <c r="I270" i="7"/>
  <c r="G270" i="7"/>
  <c r="F270" i="7"/>
  <c r="E270" i="7"/>
  <c r="D270" i="7"/>
  <c r="C270" i="7"/>
  <c r="B270" i="7"/>
  <c r="A270" i="7"/>
  <c r="I269" i="7"/>
  <c r="G269" i="7"/>
  <c r="F269" i="7"/>
  <c r="E269" i="7"/>
  <c r="D269" i="7"/>
  <c r="C269" i="7"/>
  <c r="B269" i="7"/>
  <c r="A269" i="7"/>
  <c r="I268" i="7"/>
  <c r="G268" i="7"/>
  <c r="F268" i="7"/>
  <c r="E268" i="7"/>
  <c r="D268" i="7"/>
  <c r="C268" i="7"/>
  <c r="B268" i="7"/>
  <c r="A268" i="7"/>
  <c r="I267" i="7"/>
  <c r="G267" i="7"/>
  <c r="F267" i="7"/>
  <c r="E267" i="7"/>
  <c r="D267" i="7"/>
  <c r="C267" i="7"/>
  <c r="B267" i="7"/>
  <c r="A267" i="7"/>
  <c r="I266" i="7"/>
  <c r="G266" i="7"/>
  <c r="F266" i="7"/>
  <c r="E266" i="7"/>
  <c r="D266" i="7"/>
  <c r="C266" i="7"/>
  <c r="B266" i="7"/>
  <c r="A266" i="7"/>
  <c r="I265" i="7"/>
  <c r="G265" i="7"/>
  <c r="F265" i="7"/>
  <c r="E265" i="7"/>
  <c r="D265" i="7"/>
  <c r="C265" i="7"/>
  <c r="B265" i="7"/>
  <c r="A265" i="7"/>
  <c r="I264" i="7"/>
  <c r="G264" i="7"/>
  <c r="F264" i="7"/>
  <c r="E264" i="7"/>
  <c r="D264" i="7"/>
  <c r="C264" i="7"/>
  <c r="B264" i="7"/>
  <c r="A264" i="7"/>
  <c r="I263" i="7"/>
  <c r="G263" i="7"/>
  <c r="F263" i="7"/>
  <c r="E263" i="7"/>
  <c r="D263" i="7"/>
  <c r="C263" i="7"/>
  <c r="B263" i="7"/>
  <c r="A263" i="7"/>
  <c r="I262" i="7"/>
  <c r="G262" i="7"/>
  <c r="F262" i="7"/>
  <c r="E262" i="7"/>
  <c r="D262" i="7"/>
  <c r="C262" i="7"/>
  <c r="B262" i="7"/>
  <c r="A262" i="7"/>
  <c r="I261" i="7"/>
  <c r="G261" i="7"/>
  <c r="F261" i="7"/>
  <c r="E261" i="7"/>
  <c r="D261" i="7"/>
  <c r="C261" i="7"/>
  <c r="B261" i="7"/>
  <c r="A261" i="7"/>
  <c r="I260" i="7"/>
  <c r="G260" i="7"/>
  <c r="F260" i="7"/>
  <c r="E260" i="7"/>
  <c r="D260" i="7"/>
  <c r="C260" i="7"/>
  <c r="B260" i="7"/>
  <c r="A260" i="7"/>
  <c r="I259" i="7"/>
  <c r="G259" i="7"/>
  <c r="F259" i="7"/>
  <c r="E259" i="7"/>
  <c r="D259" i="7"/>
  <c r="C259" i="7"/>
  <c r="B259" i="7"/>
  <c r="A259" i="7"/>
  <c r="I258" i="7"/>
  <c r="G258" i="7"/>
  <c r="F258" i="7"/>
  <c r="E258" i="7"/>
  <c r="D258" i="7"/>
  <c r="C258" i="7"/>
  <c r="B258" i="7"/>
  <c r="A258" i="7"/>
  <c r="I257" i="7"/>
  <c r="G257" i="7"/>
  <c r="F257" i="7"/>
  <c r="E257" i="7"/>
  <c r="D257" i="7"/>
  <c r="C257" i="7"/>
  <c r="B257" i="7"/>
  <c r="A257" i="7"/>
  <c r="I256" i="7"/>
  <c r="G256" i="7"/>
  <c r="F256" i="7"/>
  <c r="E256" i="7"/>
  <c r="D256" i="7"/>
  <c r="C256" i="7"/>
  <c r="B256" i="7"/>
  <c r="A256" i="7"/>
  <c r="I255" i="7"/>
  <c r="G255" i="7"/>
  <c r="F255" i="7"/>
  <c r="E255" i="7"/>
  <c r="D255" i="7"/>
  <c r="C255" i="7"/>
  <c r="B255" i="7"/>
  <c r="A255" i="7"/>
  <c r="I254" i="7"/>
  <c r="G254" i="7"/>
  <c r="F254" i="7"/>
  <c r="E254" i="7"/>
  <c r="D254" i="7"/>
  <c r="C254" i="7"/>
  <c r="B254" i="7"/>
  <c r="A254" i="7"/>
  <c r="I253" i="7"/>
  <c r="G253" i="7"/>
  <c r="F253" i="7"/>
  <c r="E253" i="7"/>
  <c r="D253" i="7"/>
  <c r="C253" i="7"/>
  <c r="B253" i="7"/>
  <c r="A253" i="7"/>
  <c r="I252" i="7"/>
  <c r="G252" i="7"/>
  <c r="F252" i="7"/>
  <c r="E252" i="7"/>
  <c r="D252" i="7"/>
  <c r="C252" i="7"/>
  <c r="B252" i="7"/>
  <c r="A252" i="7"/>
  <c r="I251" i="7"/>
  <c r="G251" i="7"/>
  <c r="F251" i="7"/>
  <c r="E251" i="7"/>
  <c r="D251" i="7"/>
  <c r="C251" i="7"/>
  <c r="B251" i="7"/>
  <c r="A251" i="7"/>
  <c r="I250" i="7"/>
  <c r="G250" i="7"/>
  <c r="F250" i="7"/>
  <c r="E250" i="7"/>
  <c r="D250" i="7"/>
  <c r="C250" i="7"/>
  <c r="B250" i="7"/>
  <c r="A250" i="7"/>
  <c r="I249" i="7"/>
  <c r="G249" i="7"/>
  <c r="F249" i="7"/>
  <c r="E249" i="7"/>
  <c r="D249" i="7"/>
  <c r="C249" i="7"/>
  <c r="B249" i="7"/>
  <c r="A249" i="7"/>
  <c r="I248" i="7"/>
  <c r="G248" i="7"/>
  <c r="F248" i="7"/>
  <c r="E248" i="7"/>
  <c r="D248" i="7"/>
  <c r="C248" i="7"/>
  <c r="B248" i="7"/>
  <c r="A248" i="7"/>
  <c r="I247" i="7"/>
  <c r="G247" i="7"/>
  <c r="F247" i="7"/>
  <c r="E247" i="7"/>
  <c r="D247" i="7"/>
  <c r="C247" i="7"/>
  <c r="B247" i="7"/>
  <c r="A247" i="7"/>
  <c r="I246" i="7"/>
  <c r="G246" i="7"/>
  <c r="F246" i="7"/>
  <c r="E246" i="7"/>
  <c r="D246" i="7"/>
  <c r="C246" i="7"/>
  <c r="B246" i="7"/>
  <c r="A246" i="7"/>
  <c r="I245" i="7"/>
  <c r="G245" i="7"/>
  <c r="F245" i="7"/>
  <c r="E245" i="7"/>
  <c r="D245" i="7"/>
  <c r="C245" i="7"/>
  <c r="B245" i="7"/>
  <c r="A245" i="7"/>
  <c r="I244" i="7"/>
  <c r="G244" i="7"/>
  <c r="F244" i="7"/>
  <c r="E244" i="7"/>
  <c r="D244" i="7"/>
  <c r="C244" i="7"/>
  <c r="B244" i="7"/>
  <c r="A244" i="7"/>
  <c r="I243" i="7"/>
  <c r="G243" i="7"/>
  <c r="F243" i="7"/>
  <c r="E243" i="7"/>
  <c r="D243" i="7"/>
  <c r="C243" i="7"/>
  <c r="B243" i="7"/>
  <c r="A243" i="7"/>
  <c r="I242" i="7"/>
  <c r="G242" i="7"/>
  <c r="F242" i="7"/>
  <c r="E242" i="7"/>
  <c r="D242" i="7"/>
  <c r="C242" i="7"/>
  <c r="B242" i="7"/>
  <c r="A242" i="7"/>
  <c r="I241" i="7"/>
  <c r="G241" i="7"/>
  <c r="F241" i="7"/>
  <c r="E241" i="7"/>
  <c r="D241" i="7"/>
  <c r="C241" i="7"/>
  <c r="B241" i="7"/>
  <c r="A241" i="7"/>
  <c r="I240" i="7"/>
  <c r="G240" i="7"/>
  <c r="F240" i="7"/>
  <c r="E240" i="7"/>
  <c r="D240" i="7"/>
  <c r="C240" i="7"/>
  <c r="B240" i="7"/>
  <c r="A240" i="7"/>
  <c r="I239" i="7"/>
  <c r="G239" i="7"/>
  <c r="F239" i="7"/>
  <c r="E239" i="7"/>
  <c r="D239" i="7"/>
  <c r="C239" i="7"/>
  <c r="B239" i="7"/>
  <c r="A239" i="7"/>
  <c r="I238" i="7"/>
  <c r="G238" i="7"/>
  <c r="F238" i="7"/>
  <c r="E238" i="7"/>
  <c r="D238" i="7"/>
  <c r="C238" i="7"/>
  <c r="B238" i="7"/>
  <c r="A238" i="7"/>
  <c r="I237" i="7"/>
  <c r="G237" i="7"/>
  <c r="F237" i="7"/>
  <c r="E237" i="7"/>
  <c r="D237" i="7"/>
  <c r="C237" i="7"/>
  <c r="B237" i="7"/>
  <c r="A237" i="7"/>
  <c r="I236" i="7"/>
  <c r="G236" i="7"/>
  <c r="F236" i="7"/>
  <c r="E236" i="7"/>
  <c r="D236" i="7"/>
  <c r="C236" i="7"/>
  <c r="B236" i="7"/>
  <c r="A236" i="7"/>
  <c r="I235" i="7"/>
  <c r="G235" i="7"/>
  <c r="F235" i="7"/>
  <c r="E235" i="7"/>
  <c r="D235" i="7"/>
  <c r="C235" i="7"/>
  <c r="B235" i="7"/>
  <c r="A235" i="7"/>
  <c r="I234" i="7"/>
  <c r="G234" i="7"/>
  <c r="F234" i="7"/>
  <c r="E234" i="7"/>
  <c r="D234" i="7"/>
  <c r="C234" i="7"/>
  <c r="B234" i="7"/>
  <c r="A234" i="7"/>
  <c r="I233" i="7"/>
  <c r="G233" i="7"/>
  <c r="F233" i="7"/>
  <c r="E233" i="7"/>
  <c r="D233" i="7"/>
  <c r="C233" i="7"/>
  <c r="B233" i="7"/>
  <c r="A233" i="7"/>
  <c r="I232" i="7"/>
  <c r="G232" i="7"/>
  <c r="F232" i="7"/>
  <c r="E232" i="7"/>
  <c r="D232" i="7"/>
  <c r="C232" i="7"/>
  <c r="B232" i="7"/>
  <c r="A232" i="7"/>
  <c r="I231" i="7"/>
  <c r="G231" i="7"/>
  <c r="F231" i="7"/>
  <c r="E231" i="7"/>
  <c r="D231" i="7"/>
  <c r="C231" i="7"/>
  <c r="B231" i="7"/>
  <c r="A231" i="7"/>
  <c r="I230" i="7"/>
  <c r="G230" i="7"/>
  <c r="F230" i="7"/>
  <c r="E230" i="7"/>
  <c r="D230" i="7"/>
  <c r="C230" i="7"/>
  <c r="B230" i="7"/>
  <c r="A230" i="7"/>
  <c r="I229" i="7"/>
  <c r="G229" i="7"/>
  <c r="F229" i="7"/>
  <c r="E229" i="7"/>
  <c r="D229" i="7"/>
  <c r="C229" i="7"/>
  <c r="B229" i="7"/>
  <c r="A229" i="7"/>
  <c r="I228" i="7"/>
  <c r="G228" i="7"/>
  <c r="F228" i="7"/>
  <c r="E228" i="7"/>
  <c r="D228" i="7"/>
  <c r="C228" i="7"/>
  <c r="B228" i="7"/>
  <c r="A228" i="7"/>
  <c r="I227" i="7"/>
  <c r="G227" i="7"/>
  <c r="F227" i="7"/>
  <c r="E227" i="7"/>
  <c r="D227" i="7"/>
  <c r="C227" i="7"/>
  <c r="B227" i="7"/>
  <c r="A227" i="7"/>
  <c r="I226" i="7"/>
  <c r="G226" i="7"/>
  <c r="F226" i="7"/>
  <c r="E226" i="7"/>
  <c r="D226" i="7"/>
  <c r="C226" i="7"/>
  <c r="B226" i="7"/>
  <c r="A226" i="7"/>
  <c r="I225" i="7"/>
  <c r="G225" i="7"/>
  <c r="F225" i="7"/>
  <c r="E225" i="7"/>
  <c r="D225" i="7"/>
  <c r="C225" i="7"/>
  <c r="B225" i="7"/>
  <c r="A225" i="7"/>
  <c r="I224" i="7"/>
  <c r="G224" i="7"/>
  <c r="F224" i="7"/>
  <c r="E224" i="7"/>
  <c r="D224" i="7"/>
  <c r="C224" i="7"/>
  <c r="B224" i="7"/>
  <c r="A224" i="7"/>
  <c r="I223" i="7"/>
  <c r="G223" i="7"/>
  <c r="F223" i="7"/>
  <c r="E223" i="7"/>
  <c r="D223" i="7"/>
  <c r="C223" i="7"/>
  <c r="B223" i="7"/>
  <c r="A223" i="7"/>
  <c r="I222" i="7"/>
  <c r="G222" i="7"/>
  <c r="F222" i="7"/>
  <c r="E222" i="7"/>
  <c r="D222" i="7"/>
  <c r="C222" i="7"/>
  <c r="B222" i="7"/>
  <c r="A222" i="7"/>
  <c r="I221" i="7"/>
  <c r="G221" i="7"/>
  <c r="F221" i="7"/>
  <c r="E221" i="7"/>
  <c r="D221" i="7"/>
  <c r="C221" i="7"/>
  <c r="B221" i="7"/>
  <c r="A221" i="7"/>
  <c r="I220" i="7"/>
  <c r="G220" i="7"/>
  <c r="F220" i="7"/>
  <c r="E220" i="7"/>
  <c r="D220" i="7"/>
  <c r="C220" i="7"/>
  <c r="B220" i="7"/>
  <c r="A220" i="7"/>
  <c r="I219" i="7"/>
  <c r="G219" i="7"/>
  <c r="F219" i="7"/>
  <c r="E219" i="7"/>
  <c r="D219" i="7"/>
  <c r="C219" i="7"/>
  <c r="B219" i="7"/>
  <c r="A219" i="7"/>
  <c r="I218" i="7"/>
  <c r="G218" i="7"/>
  <c r="F218" i="7"/>
  <c r="E218" i="7"/>
  <c r="D218" i="7"/>
  <c r="C218" i="7"/>
  <c r="B218" i="7"/>
  <c r="A218" i="7"/>
  <c r="I217" i="7"/>
  <c r="G217" i="7"/>
  <c r="F217" i="7"/>
  <c r="E217" i="7"/>
  <c r="D217" i="7"/>
  <c r="C217" i="7"/>
  <c r="B217" i="7"/>
  <c r="A217" i="7"/>
  <c r="I216" i="7"/>
  <c r="G216" i="7"/>
  <c r="F216" i="7"/>
  <c r="E216" i="7"/>
  <c r="D216" i="7"/>
  <c r="C216" i="7"/>
  <c r="B216" i="7"/>
  <c r="A216" i="7"/>
  <c r="I215" i="7"/>
  <c r="G215" i="7"/>
  <c r="F215" i="7"/>
  <c r="E215" i="7"/>
  <c r="D215" i="7"/>
  <c r="C215" i="7"/>
  <c r="B215" i="7"/>
  <c r="A215" i="7"/>
  <c r="I214" i="7"/>
  <c r="G214" i="7"/>
  <c r="F214" i="7"/>
  <c r="E214" i="7"/>
  <c r="D214" i="7"/>
  <c r="C214" i="7"/>
  <c r="B214" i="7"/>
  <c r="A214" i="7"/>
  <c r="I213" i="7"/>
  <c r="G213" i="7"/>
  <c r="F213" i="7"/>
  <c r="E213" i="7"/>
  <c r="D213" i="7"/>
  <c r="C213" i="7"/>
  <c r="B213" i="7"/>
  <c r="A213" i="7"/>
  <c r="I212" i="7"/>
  <c r="G212" i="7"/>
  <c r="F212" i="7"/>
  <c r="E212" i="7"/>
  <c r="D212" i="7"/>
  <c r="C212" i="7"/>
  <c r="B212" i="7"/>
  <c r="A212" i="7"/>
  <c r="I211" i="7"/>
  <c r="G211" i="7"/>
  <c r="F211" i="7"/>
  <c r="E211" i="7"/>
  <c r="D211" i="7"/>
  <c r="C211" i="7"/>
  <c r="B211" i="7"/>
  <c r="A211" i="7"/>
  <c r="I210" i="7"/>
  <c r="G210" i="7"/>
  <c r="F210" i="7"/>
  <c r="E210" i="7"/>
  <c r="D210" i="7"/>
  <c r="C210" i="7"/>
  <c r="B210" i="7"/>
  <c r="A210" i="7"/>
  <c r="I209" i="7"/>
  <c r="G209" i="7"/>
  <c r="F209" i="7"/>
  <c r="E209" i="7"/>
  <c r="D209" i="7"/>
  <c r="C209" i="7"/>
  <c r="B209" i="7"/>
  <c r="A209" i="7"/>
  <c r="I208" i="7"/>
  <c r="G208" i="7"/>
  <c r="F208" i="7"/>
  <c r="E208" i="7"/>
  <c r="D208" i="7"/>
  <c r="C208" i="7"/>
  <c r="B208" i="7"/>
  <c r="A208" i="7"/>
  <c r="I207" i="7"/>
  <c r="G207" i="7"/>
  <c r="F207" i="7"/>
  <c r="E207" i="7"/>
  <c r="D207" i="7"/>
  <c r="C207" i="7"/>
  <c r="B207" i="7"/>
  <c r="A207" i="7"/>
  <c r="I206" i="7"/>
  <c r="G206" i="7"/>
  <c r="F206" i="7"/>
  <c r="E206" i="7"/>
  <c r="D206" i="7"/>
  <c r="C206" i="7"/>
  <c r="B206" i="7"/>
  <c r="A206" i="7"/>
  <c r="I205" i="7"/>
  <c r="G205" i="7"/>
  <c r="F205" i="7"/>
  <c r="E205" i="7"/>
  <c r="D205" i="7"/>
  <c r="C205" i="7"/>
  <c r="B205" i="7"/>
  <c r="A205" i="7"/>
  <c r="I204" i="7"/>
  <c r="G204" i="7"/>
  <c r="F204" i="7"/>
  <c r="E204" i="7"/>
  <c r="D204" i="7"/>
  <c r="C204" i="7"/>
  <c r="B204" i="7"/>
  <c r="A204" i="7"/>
  <c r="I203" i="7"/>
  <c r="G203" i="7"/>
  <c r="F203" i="7"/>
  <c r="E203" i="7"/>
  <c r="D203" i="7"/>
  <c r="C203" i="7"/>
  <c r="B203" i="7"/>
  <c r="A203" i="7"/>
  <c r="I202" i="7"/>
  <c r="G202" i="7"/>
  <c r="F202" i="7"/>
  <c r="E202" i="7"/>
  <c r="D202" i="7"/>
  <c r="C202" i="7"/>
  <c r="B202" i="7"/>
  <c r="A202" i="7"/>
  <c r="I201" i="7"/>
  <c r="G201" i="7"/>
  <c r="F201" i="7"/>
  <c r="E201" i="7"/>
  <c r="D201" i="7"/>
  <c r="C201" i="7"/>
  <c r="B201" i="7"/>
  <c r="A201" i="7"/>
  <c r="I200" i="7"/>
  <c r="G200" i="7"/>
  <c r="F200" i="7"/>
  <c r="E200" i="7"/>
  <c r="D200" i="7"/>
  <c r="C200" i="7"/>
  <c r="B200" i="7"/>
  <c r="A200" i="7"/>
  <c r="I199" i="7"/>
  <c r="G199" i="7"/>
  <c r="F199" i="7"/>
  <c r="E199" i="7"/>
  <c r="D199" i="7"/>
  <c r="C199" i="7"/>
  <c r="B199" i="7"/>
  <c r="A199" i="7"/>
  <c r="I198" i="7"/>
  <c r="G198" i="7"/>
  <c r="F198" i="7"/>
  <c r="E198" i="7"/>
  <c r="D198" i="7"/>
  <c r="C198" i="7"/>
  <c r="B198" i="7"/>
  <c r="A198" i="7"/>
  <c r="I197" i="7"/>
  <c r="G197" i="7"/>
  <c r="F197" i="7"/>
  <c r="E197" i="7"/>
  <c r="D197" i="7"/>
  <c r="C197" i="7"/>
  <c r="B197" i="7"/>
  <c r="A197" i="7"/>
  <c r="I196" i="7"/>
  <c r="G196" i="7"/>
  <c r="F196" i="7"/>
  <c r="E196" i="7"/>
  <c r="D196" i="7"/>
  <c r="C196" i="7"/>
  <c r="B196" i="7"/>
  <c r="A196" i="7"/>
  <c r="I195" i="7"/>
  <c r="G195" i="7"/>
  <c r="F195" i="7"/>
  <c r="E195" i="7"/>
  <c r="D195" i="7"/>
  <c r="C195" i="7"/>
  <c r="B195" i="7"/>
  <c r="A195" i="7"/>
  <c r="I194" i="7"/>
  <c r="G194" i="7"/>
  <c r="F194" i="7"/>
  <c r="E194" i="7"/>
  <c r="D194" i="7"/>
  <c r="C194" i="7"/>
  <c r="B194" i="7"/>
  <c r="A194" i="7"/>
  <c r="I193" i="7"/>
  <c r="G193" i="7"/>
  <c r="F193" i="7"/>
  <c r="E193" i="7"/>
  <c r="D193" i="7"/>
  <c r="C193" i="7"/>
  <c r="B193" i="7"/>
  <c r="A193" i="7"/>
  <c r="I192" i="7"/>
  <c r="G192" i="7"/>
  <c r="F192" i="7"/>
  <c r="E192" i="7"/>
  <c r="D192" i="7"/>
  <c r="C192" i="7"/>
  <c r="B192" i="7"/>
  <c r="A192" i="7"/>
  <c r="I191" i="7"/>
  <c r="G191" i="7"/>
  <c r="F191" i="7"/>
  <c r="E191" i="7"/>
  <c r="D191" i="7"/>
  <c r="C191" i="7"/>
  <c r="B191" i="7"/>
  <c r="A191" i="7"/>
  <c r="I190" i="7"/>
  <c r="G190" i="7"/>
  <c r="F190" i="7"/>
  <c r="E190" i="7"/>
  <c r="D190" i="7"/>
  <c r="C190" i="7"/>
  <c r="B190" i="7"/>
  <c r="A190" i="7"/>
  <c r="I189" i="7"/>
  <c r="G189" i="7"/>
  <c r="F189" i="7"/>
  <c r="E189" i="7"/>
  <c r="D189" i="7"/>
  <c r="C189" i="7"/>
  <c r="B189" i="7"/>
  <c r="A189" i="7"/>
  <c r="I188" i="7"/>
  <c r="G188" i="7"/>
  <c r="F188" i="7"/>
  <c r="E188" i="7"/>
  <c r="D188" i="7"/>
  <c r="C188" i="7"/>
  <c r="B188" i="7"/>
  <c r="A188" i="7"/>
  <c r="I187" i="7"/>
  <c r="G187" i="7"/>
  <c r="F187" i="7"/>
  <c r="E187" i="7"/>
  <c r="D187" i="7"/>
  <c r="C187" i="7"/>
  <c r="B187" i="7"/>
  <c r="A187" i="7"/>
  <c r="I186" i="7"/>
  <c r="G186" i="7"/>
  <c r="F186" i="7"/>
  <c r="E186" i="7"/>
  <c r="D186" i="7"/>
  <c r="C186" i="7"/>
  <c r="B186" i="7"/>
  <c r="A186" i="7"/>
  <c r="I185" i="7"/>
  <c r="G185" i="7"/>
  <c r="F185" i="7"/>
  <c r="E185" i="7"/>
  <c r="D185" i="7"/>
  <c r="C185" i="7"/>
  <c r="B185" i="7"/>
  <c r="A185" i="7"/>
  <c r="I184" i="7"/>
  <c r="G184" i="7"/>
  <c r="F184" i="7"/>
  <c r="E184" i="7"/>
  <c r="D184" i="7"/>
  <c r="C184" i="7"/>
  <c r="B184" i="7"/>
  <c r="A184" i="7"/>
  <c r="I183" i="7"/>
  <c r="G183" i="7"/>
  <c r="F183" i="7"/>
  <c r="E183" i="7"/>
  <c r="D183" i="7"/>
  <c r="C183" i="7"/>
  <c r="B183" i="7"/>
  <c r="A183" i="7"/>
  <c r="I182" i="7"/>
  <c r="G182" i="7"/>
  <c r="F182" i="7"/>
  <c r="E182" i="7"/>
  <c r="D182" i="7"/>
  <c r="C182" i="7"/>
  <c r="B182" i="7"/>
  <c r="A182" i="7"/>
  <c r="I181" i="7"/>
  <c r="G181" i="7"/>
  <c r="F181" i="7"/>
  <c r="E181" i="7"/>
  <c r="D181" i="7"/>
  <c r="C181" i="7"/>
  <c r="B181" i="7"/>
  <c r="A181" i="7"/>
  <c r="I180" i="7"/>
  <c r="G180" i="7"/>
  <c r="F180" i="7"/>
  <c r="E180" i="7"/>
  <c r="D180" i="7"/>
  <c r="C180" i="7"/>
  <c r="B180" i="7"/>
  <c r="A180" i="7"/>
  <c r="I179" i="7"/>
  <c r="G179" i="7"/>
  <c r="F179" i="7"/>
  <c r="E179" i="7"/>
  <c r="D179" i="7"/>
  <c r="C179" i="7"/>
  <c r="B179" i="7"/>
  <c r="A179" i="7"/>
  <c r="I178" i="7"/>
  <c r="G178" i="7"/>
  <c r="F178" i="7"/>
  <c r="E178" i="7"/>
  <c r="D178" i="7"/>
  <c r="C178" i="7"/>
  <c r="B178" i="7"/>
  <c r="A178" i="7"/>
  <c r="I177" i="7"/>
  <c r="G177" i="7"/>
  <c r="F177" i="7"/>
  <c r="E177" i="7"/>
  <c r="D177" i="7"/>
  <c r="C177" i="7"/>
  <c r="B177" i="7"/>
  <c r="A177" i="7"/>
  <c r="I176" i="7"/>
  <c r="G176" i="7"/>
  <c r="F176" i="7"/>
  <c r="E176" i="7"/>
  <c r="D176" i="7"/>
  <c r="C176" i="7"/>
  <c r="B176" i="7"/>
  <c r="A176" i="7"/>
  <c r="I175" i="7"/>
  <c r="G175" i="7"/>
  <c r="F175" i="7"/>
  <c r="E175" i="7"/>
  <c r="D175" i="7"/>
  <c r="C175" i="7"/>
  <c r="B175" i="7"/>
  <c r="A175" i="7"/>
  <c r="I174" i="7"/>
  <c r="G174" i="7"/>
  <c r="F174" i="7"/>
  <c r="E174" i="7"/>
  <c r="D174" i="7"/>
  <c r="C174" i="7"/>
  <c r="B174" i="7"/>
  <c r="A174" i="7"/>
  <c r="I173" i="7"/>
  <c r="G173" i="7"/>
  <c r="F173" i="7"/>
  <c r="E173" i="7"/>
  <c r="D173" i="7"/>
  <c r="C173" i="7"/>
  <c r="B173" i="7"/>
  <c r="A173" i="7"/>
  <c r="I172" i="7"/>
  <c r="G172" i="7"/>
  <c r="F172" i="7"/>
  <c r="E172" i="7"/>
  <c r="D172" i="7"/>
  <c r="C172" i="7"/>
  <c r="B172" i="7"/>
  <c r="A172" i="7"/>
  <c r="I171" i="7"/>
  <c r="G171" i="7"/>
  <c r="F171" i="7"/>
  <c r="E171" i="7"/>
  <c r="D171" i="7"/>
  <c r="C171" i="7"/>
  <c r="B171" i="7"/>
  <c r="A171" i="7"/>
  <c r="I170" i="7"/>
  <c r="G170" i="7"/>
  <c r="F170" i="7"/>
  <c r="E170" i="7"/>
  <c r="D170" i="7"/>
  <c r="C170" i="7"/>
  <c r="B170" i="7"/>
  <c r="A170" i="7"/>
  <c r="I169" i="7"/>
  <c r="G169" i="7"/>
  <c r="F169" i="7"/>
  <c r="E169" i="7"/>
  <c r="D169" i="7"/>
  <c r="C169" i="7"/>
  <c r="B169" i="7"/>
  <c r="A169" i="7"/>
  <c r="I168" i="7"/>
  <c r="G168" i="7"/>
  <c r="F168" i="7"/>
  <c r="E168" i="7"/>
  <c r="D168" i="7"/>
  <c r="C168" i="7"/>
  <c r="B168" i="7"/>
  <c r="A168" i="7"/>
  <c r="I167" i="7"/>
  <c r="G167" i="7"/>
  <c r="F167" i="7"/>
  <c r="E167" i="7"/>
  <c r="D167" i="7"/>
  <c r="C167" i="7"/>
  <c r="B167" i="7"/>
  <c r="A167" i="7"/>
  <c r="I166" i="7"/>
  <c r="G166" i="7"/>
  <c r="F166" i="7"/>
  <c r="E166" i="7"/>
  <c r="D166" i="7"/>
  <c r="C166" i="7"/>
  <c r="B166" i="7"/>
  <c r="A166" i="7"/>
  <c r="I165" i="7"/>
  <c r="G165" i="7"/>
  <c r="F165" i="7"/>
  <c r="E165" i="7"/>
  <c r="D165" i="7"/>
  <c r="C165" i="7"/>
  <c r="B165" i="7"/>
  <c r="A165" i="7"/>
  <c r="I164" i="7"/>
  <c r="G164" i="7"/>
  <c r="F164" i="7"/>
  <c r="E164" i="7"/>
  <c r="D164" i="7"/>
  <c r="C164" i="7"/>
  <c r="B164" i="7"/>
  <c r="A164" i="7"/>
  <c r="I163" i="7"/>
  <c r="G163" i="7"/>
  <c r="F163" i="7"/>
  <c r="E163" i="7"/>
  <c r="D163" i="7"/>
  <c r="C163" i="7"/>
  <c r="B163" i="7"/>
  <c r="A163" i="7"/>
  <c r="I162" i="7"/>
  <c r="G162" i="7"/>
  <c r="F162" i="7"/>
  <c r="E162" i="7"/>
  <c r="D162" i="7"/>
  <c r="C162" i="7"/>
  <c r="B162" i="7"/>
  <c r="A162" i="7"/>
  <c r="I161" i="7"/>
  <c r="G161" i="7"/>
  <c r="F161" i="7"/>
  <c r="E161" i="7"/>
  <c r="D161" i="7"/>
  <c r="C161" i="7"/>
  <c r="B161" i="7"/>
  <c r="A161" i="7"/>
  <c r="I160" i="7"/>
  <c r="G160" i="7"/>
  <c r="F160" i="7"/>
  <c r="E160" i="7"/>
  <c r="D160" i="7"/>
  <c r="C160" i="7"/>
  <c r="B160" i="7"/>
  <c r="A160" i="7"/>
  <c r="I159" i="7"/>
  <c r="G159" i="7"/>
  <c r="F159" i="7"/>
  <c r="E159" i="7"/>
  <c r="D159" i="7"/>
  <c r="C159" i="7"/>
  <c r="B159" i="7"/>
  <c r="A159" i="7"/>
  <c r="I158" i="7"/>
  <c r="G158" i="7"/>
  <c r="F158" i="7"/>
  <c r="E158" i="7"/>
  <c r="D158" i="7"/>
  <c r="C158" i="7"/>
  <c r="B158" i="7"/>
  <c r="A158" i="7"/>
  <c r="I157" i="7"/>
  <c r="G157" i="7"/>
  <c r="F157" i="7"/>
  <c r="E157" i="7"/>
  <c r="D157" i="7"/>
  <c r="C157" i="7"/>
  <c r="B157" i="7"/>
  <c r="A157" i="7"/>
  <c r="I156" i="7"/>
  <c r="G156" i="7"/>
  <c r="F156" i="7"/>
  <c r="E156" i="7"/>
  <c r="D156" i="7"/>
  <c r="C156" i="7"/>
  <c r="B156" i="7"/>
  <c r="A156" i="7"/>
  <c r="I155" i="7"/>
  <c r="G155" i="7"/>
  <c r="F155" i="7"/>
  <c r="E155" i="7"/>
  <c r="D155" i="7"/>
  <c r="C155" i="7"/>
  <c r="B155" i="7"/>
  <c r="A155" i="7"/>
  <c r="I154" i="7"/>
  <c r="G154" i="7"/>
  <c r="F154" i="7"/>
  <c r="E154" i="7"/>
  <c r="D154" i="7"/>
  <c r="C154" i="7"/>
  <c r="B154" i="7"/>
  <c r="A154" i="7"/>
  <c r="I153" i="7"/>
  <c r="G153" i="7"/>
  <c r="F153" i="7"/>
  <c r="E153" i="7"/>
  <c r="D153" i="7"/>
  <c r="C153" i="7"/>
  <c r="B153" i="7"/>
  <c r="A153" i="7"/>
  <c r="I152" i="7"/>
  <c r="G152" i="7"/>
  <c r="F152" i="7"/>
  <c r="E152" i="7"/>
  <c r="D152" i="7"/>
  <c r="C152" i="7"/>
  <c r="B152" i="7"/>
  <c r="A152" i="7"/>
  <c r="I151" i="7"/>
  <c r="G151" i="7"/>
  <c r="F151" i="7"/>
  <c r="E151" i="7"/>
  <c r="D151" i="7"/>
  <c r="C151" i="7"/>
  <c r="B151" i="7"/>
  <c r="A151" i="7"/>
  <c r="I150" i="7"/>
  <c r="G150" i="7"/>
  <c r="F150" i="7"/>
  <c r="E150" i="7"/>
  <c r="D150" i="7"/>
  <c r="C150" i="7"/>
  <c r="B150" i="7"/>
  <c r="A150" i="7"/>
  <c r="I149" i="7"/>
  <c r="G149" i="7"/>
  <c r="F149" i="7"/>
  <c r="E149" i="7"/>
  <c r="D149" i="7"/>
  <c r="C149" i="7"/>
  <c r="B149" i="7"/>
  <c r="A149" i="7"/>
  <c r="I148" i="7"/>
  <c r="G148" i="7"/>
  <c r="F148" i="7"/>
  <c r="E148" i="7"/>
  <c r="D148" i="7"/>
  <c r="C148" i="7"/>
  <c r="B148" i="7"/>
  <c r="A148" i="7"/>
  <c r="I147" i="7"/>
  <c r="G147" i="7"/>
  <c r="F147" i="7"/>
  <c r="E147" i="7"/>
  <c r="D147" i="7"/>
  <c r="C147" i="7"/>
  <c r="B147" i="7"/>
  <c r="A147" i="7"/>
  <c r="I146" i="7"/>
  <c r="G146" i="7"/>
  <c r="F146" i="7"/>
  <c r="E146" i="7"/>
  <c r="D146" i="7"/>
  <c r="C146" i="7"/>
  <c r="B146" i="7"/>
  <c r="A146" i="7"/>
  <c r="I145" i="7"/>
  <c r="G145" i="7"/>
  <c r="F145" i="7"/>
  <c r="E145" i="7"/>
  <c r="D145" i="7"/>
  <c r="C145" i="7"/>
  <c r="B145" i="7"/>
  <c r="A145" i="7"/>
  <c r="I144" i="7"/>
  <c r="G144" i="7"/>
  <c r="F144" i="7"/>
  <c r="E144" i="7"/>
  <c r="D144" i="7"/>
  <c r="C144" i="7"/>
  <c r="B144" i="7"/>
  <c r="A144" i="7"/>
  <c r="I143" i="7"/>
  <c r="G143" i="7"/>
  <c r="F143" i="7"/>
  <c r="E143" i="7"/>
  <c r="D143" i="7"/>
  <c r="C143" i="7"/>
  <c r="B143" i="7"/>
  <c r="A143" i="7"/>
  <c r="I142" i="7"/>
  <c r="G142" i="7"/>
  <c r="F142" i="7"/>
  <c r="E142" i="7"/>
  <c r="D142" i="7"/>
  <c r="C142" i="7"/>
  <c r="B142" i="7"/>
  <c r="A142" i="7"/>
  <c r="I141" i="7"/>
  <c r="G141" i="7"/>
  <c r="F141" i="7"/>
  <c r="E141" i="7"/>
  <c r="D141" i="7"/>
  <c r="C141" i="7"/>
  <c r="B141" i="7"/>
  <c r="A141" i="7"/>
  <c r="I140" i="7"/>
  <c r="G140" i="7"/>
  <c r="F140" i="7"/>
  <c r="E140" i="7"/>
  <c r="D140" i="7"/>
  <c r="C140" i="7"/>
  <c r="B140" i="7"/>
  <c r="A140" i="7"/>
  <c r="I139" i="7"/>
  <c r="G139" i="7"/>
  <c r="F139" i="7"/>
  <c r="E139" i="7"/>
  <c r="D139" i="7"/>
  <c r="C139" i="7"/>
  <c r="B139" i="7"/>
  <c r="A139" i="7"/>
  <c r="I138" i="7"/>
  <c r="G138" i="7"/>
  <c r="F138" i="7"/>
  <c r="E138" i="7"/>
  <c r="D138" i="7"/>
  <c r="C138" i="7"/>
  <c r="B138" i="7"/>
  <c r="A138" i="7"/>
  <c r="I137" i="7"/>
  <c r="G137" i="7"/>
  <c r="F137" i="7"/>
  <c r="E137" i="7"/>
  <c r="D137" i="7"/>
  <c r="C137" i="7"/>
  <c r="B137" i="7"/>
  <c r="A137" i="7"/>
  <c r="I136" i="7"/>
  <c r="G136" i="7"/>
  <c r="F136" i="7"/>
  <c r="E136" i="7"/>
  <c r="D136" i="7"/>
  <c r="C136" i="7"/>
  <c r="B136" i="7"/>
  <c r="A136" i="7"/>
  <c r="I135" i="7"/>
  <c r="G135" i="7"/>
  <c r="F135" i="7"/>
  <c r="E135" i="7"/>
  <c r="D135" i="7"/>
  <c r="C135" i="7"/>
  <c r="B135" i="7"/>
  <c r="A135" i="7"/>
  <c r="I134" i="7"/>
  <c r="G134" i="7"/>
  <c r="F134" i="7"/>
  <c r="E134" i="7"/>
  <c r="D134" i="7"/>
  <c r="C134" i="7"/>
  <c r="B134" i="7"/>
  <c r="A134" i="7"/>
  <c r="I133" i="7"/>
  <c r="G133" i="7"/>
  <c r="F133" i="7"/>
  <c r="E133" i="7"/>
  <c r="D133" i="7"/>
  <c r="C133" i="7"/>
  <c r="B133" i="7"/>
  <c r="A133" i="7"/>
  <c r="I132" i="7"/>
  <c r="G132" i="7"/>
  <c r="F132" i="7"/>
  <c r="E132" i="7"/>
  <c r="D132" i="7"/>
  <c r="C132" i="7"/>
  <c r="B132" i="7"/>
  <c r="A132" i="7"/>
  <c r="I131" i="7"/>
  <c r="G131" i="7"/>
  <c r="F131" i="7"/>
  <c r="E131" i="7"/>
  <c r="D131" i="7"/>
  <c r="C131" i="7"/>
  <c r="B131" i="7"/>
  <c r="A131" i="7"/>
  <c r="I130" i="7"/>
  <c r="G130" i="7"/>
  <c r="F130" i="7"/>
  <c r="E130" i="7"/>
  <c r="D130" i="7"/>
  <c r="C130" i="7"/>
  <c r="B130" i="7"/>
  <c r="A130" i="7"/>
  <c r="I129" i="7"/>
  <c r="G129" i="7"/>
  <c r="F129" i="7"/>
  <c r="E129" i="7"/>
  <c r="D129" i="7"/>
  <c r="C129" i="7"/>
  <c r="B129" i="7"/>
  <c r="A129" i="7"/>
  <c r="I128" i="7"/>
  <c r="G128" i="7"/>
  <c r="F128" i="7"/>
  <c r="E128" i="7"/>
  <c r="D128" i="7"/>
  <c r="C128" i="7"/>
  <c r="B128" i="7"/>
  <c r="A128" i="7"/>
  <c r="I127" i="7"/>
  <c r="G127" i="7"/>
  <c r="F127" i="7"/>
  <c r="E127" i="7"/>
  <c r="D127" i="7"/>
  <c r="C127" i="7"/>
  <c r="B127" i="7"/>
  <c r="A127" i="7"/>
  <c r="I126" i="7"/>
  <c r="G126" i="7"/>
  <c r="F126" i="7"/>
  <c r="E126" i="7"/>
  <c r="D126" i="7"/>
  <c r="C126" i="7"/>
  <c r="B126" i="7"/>
  <c r="A126" i="7"/>
  <c r="I125" i="7"/>
  <c r="G125" i="7"/>
  <c r="F125" i="7"/>
  <c r="E125" i="7"/>
  <c r="D125" i="7"/>
  <c r="C125" i="7"/>
  <c r="B125" i="7"/>
  <c r="A125" i="7"/>
  <c r="I124" i="7"/>
  <c r="G124" i="7"/>
  <c r="F124" i="7"/>
  <c r="E124" i="7"/>
  <c r="D124" i="7"/>
  <c r="C124" i="7"/>
  <c r="B124" i="7"/>
  <c r="A124" i="7"/>
  <c r="I123" i="7"/>
  <c r="G123" i="7"/>
  <c r="F123" i="7"/>
  <c r="E123" i="7"/>
  <c r="D123" i="7"/>
  <c r="C123" i="7"/>
  <c r="B123" i="7"/>
  <c r="A123" i="7"/>
  <c r="I122" i="7"/>
  <c r="G122" i="7"/>
  <c r="F122" i="7"/>
  <c r="E122" i="7"/>
  <c r="D122" i="7"/>
  <c r="C122" i="7"/>
  <c r="B122" i="7"/>
  <c r="A122" i="7"/>
  <c r="I121" i="7"/>
  <c r="G121" i="7"/>
  <c r="F121" i="7"/>
  <c r="E121" i="7"/>
  <c r="D121" i="7"/>
  <c r="C121" i="7"/>
  <c r="B121" i="7"/>
  <c r="A121" i="7"/>
  <c r="I120" i="7"/>
  <c r="G120" i="7"/>
  <c r="F120" i="7"/>
  <c r="E120" i="7"/>
  <c r="D120" i="7"/>
  <c r="C120" i="7"/>
  <c r="B120" i="7"/>
  <c r="A120" i="7"/>
  <c r="I119" i="7"/>
  <c r="G119" i="7"/>
  <c r="F119" i="7"/>
  <c r="E119" i="7"/>
  <c r="D119" i="7"/>
  <c r="C119" i="7"/>
  <c r="B119" i="7"/>
  <c r="A119" i="7"/>
  <c r="I118" i="7"/>
  <c r="G118" i="7"/>
  <c r="F118" i="7"/>
  <c r="E118" i="7"/>
  <c r="D118" i="7"/>
  <c r="C118" i="7"/>
  <c r="B118" i="7"/>
  <c r="A118" i="7"/>
  <c r="I117" i="7"/>
  <c r="G117" i="7"/>
  <c r="F117" i="7"/>
  <c r="E117" i="7"/>
  <c r="D117" i="7"/>
  <c r="C117" i="7"/>
  <c r="B117" i="7"/>
  <c r="A117" i="7"/>
  <c r="I116" i="7"/>
  <c r="G116" i="7"/>
  <c r="F116" i="7"/>
  <c r="E116" i="7"/>
  <c r="D116" i="7"/>
  <c r="C116" i="7"/>
  <c r="B116" i="7"/>
  <c r="A116" i="7"/>
  <c r="I115" i="7"/>
  <c r="G115" i="7"/>
  <c r="F115" i="7"/>
  <c r="E115" i="7"/>
  <c r="D115" i="7"/>
  <c r="C115" i="7"/>
  <c r="B115" i="7"/>
  <c r="A115" i="7"/>
  <c r="I114" i="7"/>
  <c r="G114" i="7"/>
  <c r="F114" i="7"/>
  <c r="E114" i="7"/>
  <c r="D114" i="7"/>
  <c r="C114" i="7"/>
  <c r="B114" i="7"/>
  <c r="A114" i="7"/>
  <c r="I113" i="7"/>
  <c r="G113" i="7"/>
  <c r="F113" i="7"/>
  <c r="E113" i="7"/>
  <c r="D113" i="7"/>
  <c r="C113" i="7"/>
  <c r="B113" i="7"/>
  <c r="A113" i="7"/>
  <c r="I112" i="7"/>
  <c r="G112" i="7"/>
  <c r="F112" i="7"/>
  <c r="E112" i="7"/>
  <c r="D112" i="7"/>
  <c r="C112" i="7"/>
  <c r="B112" i="7"/>
  <c r="A112" i="7"/>
  <c r="I111" i="7"/>
  <c r="G111" i="7"/>
  <c r="F111" i="7"/>
  <c r="E111" i="7"/>
  <c r="D111" i="7"/>
  <c r="C111" i="7"/>
  <c r="B111" i="7"/>
  <c r="A111" i="7"/>
  <c r="I110" i="7"/>
  <c r="G110" i="7"/>
  <c r="F110" i="7"/>
  <c r="E110" i="7"/>
  <c r="D110" i="7"/>
  <c r="C110" i="7"/>
  <c r="B110" i="7"/>
  <c r="A110" i="7"/>
  <c r="I109" i="7"/>
  <c r="G109" i="7"/>
  <c r="F109" i="7"/>
  <c r="E109" i="7"/>
  <c r="D109" i="7"/>
  <c r="C109" i="7"/>
  <c r="B109" i="7"/>
  <c r="A109" i="7"/>
  <c r="I108" i="7"/>
  <c r="G108" i="7"/>
  <c r="F108" i="7"/>
  <c r="E108" i="7"/>
  <c r="D108" i="7"/>
  <c r="C108" i="7"/>
  <c r="B108" i="7"/>
  <c r="A108" i="7"/>
  <c r="I107" i="7"/>
  <c r="G107" i="7"/>
  <c r="F107" i="7"/>
  <c r="E107" i="7"/>
  <c r="D107" i="7"/>
  <c r="C107" i="7"/>
  <c r="B107" i="7"/>
  <c r="A107" i="7"/>
  <c r="I106" i="7"/>
  <c r="G106" i="7"/>
  <c r="F106" i="7"/>
  <c r="E106" i="7"/>
  <c r="D106" i="7"/>
  <c r="C106" i="7"/>
  <c r="B106" i="7"/>
  <c r="A106" i="7"/>
  <c r="I105" i="7"/>
  <c r="G105" i="7"/>
  <c r="F105" i="7"/>
  <c r="E105" i="7"/>
  <c r="D105" i="7"/>
  <c r="C105" i="7"/>
  <c r="B105" i="7"/>
  <c r="A105" i="7"/>
  <c r="I104" i="7"/>
  <c r="G104" i="7"/>
  <c r="F104" i="7"/>
  <c r="E104" i="7"/>
  <c r="D104" i="7"/>
  <c r="C104" i="7"/>
  <c r="B104" i="7"/>
  <c r="A104" i="7"/>
  <c r="I103" i="7"/>
  <c r="G103" i="7"/>
  <c r="F103" i="7"/>
  <c r="E103" i="7"/>
  <c r="D103" i="7"/>
  <c r="C103" i="7"/>
  <c r="B103" i="7"/>
  <c r="A103" i="7"/>
  <c r="I102" i="7"/>
  <c r="G102" i="7"/>
  <c r="F102" i="7"/>
  <c r="E102" i="7"/>
  <c r="D102" i="7"/>
  <c r="C102" i="7"/>
  <c r="B102" i="7"/>
  <c r="A102" i="7"/>
  <c r="I101" i="7"/>
  <c r="G101" i="7"/>
  <c r="F101" i="7"/>
  <c r="E101" i="7"/>
  <c r="D101" i="7"/>
  <c r="C101" i="7"/>
  <c r="B101" i="7"/>
  <c r="A101" i="7"/>
  <c r="I100" i="7"/>
  <c r="G100" i="7"/>
  <c r="F100" i="7"/>
  <c r="E100" i="7"/>
  <c r="D100" i="7"/>
  <c r="C100" i="7"/>
  <c r="B100" i="7"/>
  <c r="A100" i="7"/>
  <c r="I99" i="7"/>
  <c r="G99" i="7"/>
  <c r="F99" i="7"/>
  <c r="E99" i="7"/>
  <c r="D99" i="7"/>
  <c r="C99" i="7"/>
  <c r="B99" i="7"/>
  <c r="A99" i="7"/>
  <c r="I98" i="7"/>
  <c r="G98" i="7"/>
  <c r="F98" i="7"/>
  <c r="E98" i="7"/>
  <c r="D98" i="7"/>
  <c r="C98" i="7"/>
  <c r="B98" i="7"/>
  <c r="A98" i="7"/>
  <c r="I97" i="7"/>
  <c r="G97" i="7"/>
  <c r="F97" i="7"/>
  <c r="E97" i="7"/>
  <c r="D97" i="7"/>
  <c r="C97" i="7"/>
  <c r="B97" i="7"/>
  <c r="A97" i="7"/>
  <c r="I96" i="7"/>
  <c r="G96" i="7"/>
  <c r="F96" i="7"/>
  <c r="E96" i="7"/>
  <c r="D96" i="7"/>
  <c r="C96" i="7"/>
  <c r="B96" i="7"/>
  <c r="A96" i="7"/>
  <c r="I95" i="7"/>
  <c r="G95" i="7"/>
  <c r="F95" i="7"/>
  <c r="E95" i="7"/>
  <c r="D95" i="7"/>
  <c r="C95" i="7"/>
  <c r="B95" i="7"/>
  <c r="A95" i="7"/>
  <c r="I94" i="7"/>
  <c r="G94" i="7"/>
  <c r="F94" i="7"/>
  <c r="E94" i="7"/>
  <c r="D94" i="7"/>
  <c r="C94" i="7"/>
  <c r="B94" i="7"/>
  <c r="A94" i="7"/>
  <c r="I93" i="7"/>
  <c r="G93" i="7"/>
  <c r="F93" i="7"/>
  <c r="E93" i="7"/>
  <c r="D93" i="7"/>
  <c r="C93" i="7"/>
  <c r="B93" i="7"/>
  <c r="A93" i="7"/>
  <c r="I92" i="7"/>
  <c r="G92" i="7"/>
  <c r="F92" i="7"/>
  <c r="E92" i="7"/>
  <c r="D92" i="7"/>
  <c r="C92" i="7"/>
  <c r="B92" i="7"/>
  <c r="A92" i="7"/>
  <c r="I91" i="7"/>
  <c r="G91" i="7"/>
  <c r="F91" i="7"/>
  <c r="E91" i="7"/>
  <c r="D91" i="7"/>
  <c r="C91" i="7"/>
  <c r="B91" i="7"/>
  <c r="A91" i="7"/>
  <c r="I90" i="7"/>
  <c r="G90" i="7"/>
  <c r="F90" i="7"/>
  <c r="E90" i="7"/>
  <c r="D90" i="7"/>
  <c r="C90" i="7"/>
  <c r="B90" i="7"/>
  <c r="A90" i="7"/>
  <c r="I89" i="7"/>
  <c r="G89" i="7"/>
  <c r="F89" i="7"/>
  <c r="E89" i="7"/>
  <c r="D89" i="7"/>
  <c r="C89" i="7"/>
  <c r="B89" i="7"/>
  <c r="A89" i="7"/>
  <c r="I88" i="7"/>
  <c r="G88" i="7"/>
  <c r="F88" i="7"/>
  <c r="E88" i="7"/>
  <c r="D88" i="7"/>
  <c r="C88" i="7"/>
  <c r="B88" i="7"/>
  <c r="A88" i="7"/>
  <c r="I87" i="7"/>
  <c r="G87" i="7"/>
  <c r="F87" i="7"/>
  <c r="E87" i="7"/>
  <c r="D87" i="7"/>
  <c r="C87" i="7"/>
  <c r="B87" i="7"/>
  <c r="A87" i="7"/>
  <c r="I86" i="7"/>
  <c r="G86" i="7"/>
  <c r="F86" i="7"/>
  <c r="E86" i="7"/>
  <c r="D86" i="7"/>
  <c r="C86" i="7"/>
  <c r="B86" i="7"/>
  <c r="A86" i="7"/>
  <c r="I85" i="7"/>
  <c r="G85" i="7"/>
  <c r="F85" i="7"/>
  <c r="E85" i="7"/>
  <c r="D85" i="7"/>
  <c r="C85" i="7"/>
  <c r="B85" i="7"/>
  <c r="A85" i="7"/>
  <c r="I84" i="7"/>
  <c r="G84" i="7"/>
  <c r="F84" i="7"/>
  <c r="E84" i="7"/>
  <c r="D84" i="7"/>
  <c r="C84" i="7"/>
  <c r="B84" i="7"/>
  <c r="A84" i="7"/>
  <c r="I83" i="7"/>
  <c r="G83" i="7"/>
  <c r="F83" i="7"/>
  <c r="E83" i="7"/>
  <c r="D83" i="7"/>
  <c r="C83" i="7"/>
  <c r="B83" i="7"/>
  <c r="A83" i="7"/>
  <c r="I82" i="7"/>
  <c r="G82" i="7"/>
  <c r="F82" i="7"/>
  <c r="E82" i="7"/>
  <c r="D82" i="7"/>
  <c r="C82" i="7"/>
  <c r="B82" i="7"/>
  <c r="A82" i="7"/>
  <c r="I81" i="7"/>
  <c r="G81" i="7"/>
  <c r="F81" i="7"/>
  <c r="E81" i="7"/>
  <c r="D81" i="7"/>
  <c r="C81" i="7"/>
  <c r="B81" i="7"/>
  <c r="A81" i="7"/>
  <c r="I80" i="7"/>
  <c r="G80" i="7"/>
  <c r="F80" i="7"/>
  <c r="E80" i="7"/>
  <c r="D80" i="7"/>
  <c r="C80" i="7"/>
  <c r="B80" i="7"/>
  <c r="A80" i="7"/>
  <c r="I79" i="7"/>
  <c r="G79" i="7"/>
  <c r="F79" i="7"/>
  <c r="E79" i="7"/>
  <c r="D79" i="7"/>
  <c r="C79" i="7"/>
  <c r="B79" i="7"/>
  <c r="A79" i="7"/>
  <c r="I78" i="7"/>
  <c r="G78" i="7"/>
  <c r="F78" i="7"/>
  <c r="E78" i="7"/>
  <c r="D78" i="7"/>
  <c r="C78" i="7"/>
  <c r="B78" i="7"/>
  <c r="A78" i="7"/>
  <c r="I77" i="7"/>
  <c r="G77" i="7"/>
  <c r="F77" i="7"/>
  <c r="E77" i="7"/>
  <c r="D77" i="7"/>
  <c r="C77" i="7"/>
  <c r="B77" i="7"/>
  <c r="A77" i="7"/>
  <c r="I76" i="7"/>
  <c r="G76" i="7"/>
  <c r="F76" i="7"/>
  <c r="E76" i="7"/>
  <c r="D76" i="7"/>
  <c r="C76" i="7"/>
  <c r="B76" i="7"/>
  <c r="A76" i="7"/>
  <c r="I75" i="7"/>
  <c r="G75" i="7"/>
  <c r="F75" i="7"/>
  <c r="E75" i="7"/>
  <c r="D75" i="7"/>
  <c r="C75" i="7"/>
  <c r="B75" i="7"/>
  <c r="A75" i="7"/>
  <c r="I74" i="7"/>
  <c r="G74" i="7"/>
  <c r="F74" i="7"/>
  <c r="E74" i="7"/>
  <c r="D74" i="7"/>
  <c r="C74" i="7"/>
  <c r="B74" i="7"/>
  <c r="A74" i="7"/>
  <c r="I73" i="7"/>
  <c r="G73" i="7"/>
  <c r="F73" i="7"/>
  <c r="E73" i="7"/>
  <c r="D73" i="7"/>
  <c r="C73" i="7"/>
  <c r="B73" i="7"/>
  <c r="A73" i="7"/>
  <c r="I72" i="7"/>
  <c r="G72" i="7"/>
  <c r="F72" i="7"/>
  <c r="E72" i="7"/>
  <c r="D72" i="7"/>
  <c r="C72" i="7"/>
  <c r="B72" i="7"/>
  <c r="A72" i="7"/>
  <c r="I71" i="7"/>
  <c r="G71" i="7"/>
  <c r="F71" i="7"/>
  <c r="E71" i="7"/>
  <c r="D71" i="7"/>
  <c r="C71" i="7"/>
  <c r="B71" i="7"/>
  <c r="A71" i="7"/>
  <c r="I70" i="7"/>
  <c r="G70" i="7"/>
  <c r="F70" i="7"/>
  <c r="E70" i="7"/>
  <c r="D70" i="7"/>
  <c r="C70" i="7"/>
  <c r="B70" i="7"/>
  <c r="A70" i="7"/>
  <c r="I69" i="7"/>
  <c r="G69" i="7"/>
  <c r="F69" i="7"/>
  <c r="E69" i="7"/>
  <c r="D69" i="7"/>
  <c r="C69" i="7"/>
  <c r="B69" i="7"/>
  <c r="A69" i="7"/>
  <c r="I68" i="7"/>
  <c r="G68" i="7"/>
  <c r="F68" i="7"/>
  <c r="E68" i="7"/>
  <c r="D68" i="7"/>
  <c r="C68" i="7"/>
  <c r="B68" i="7"/>
  <c r="A68" i="7"/>
  <c r="I67" i="7"/>
  <c r="G67" i="7"/>
  <c r="F67" i="7"/>
  <c r="E67" i="7"/>
  <c r="D67" i="7"/>
  <c r="C67" i="7"/>
  <c r="B67" i="7"/>
  <c r="A67" i="7"/>
  <c r="I66" i="7"/>
  <c r="G66" i="7"/>
  <c r="F66" i="7"/>
  <c r="E66" i="7"/>
  <c r="D66" i="7"/>
  <c r="C66" i="7"/>
  <c r="B66" i="7"/>
  <c r="A66" i="7"/>
  <c r="I65" i="7"/>
  <c r="G65" i="7"/>
  <c r="F65" i="7"/>
  <c r="E65" i="7"/>
  <c r="D65" i="7"/>
  <c r="C65" i="7"/>
  <c r="B65" i="7"/>
  <c r="A65" i="7"/>
  <c r="I64" i="7"/>
  <c r="G64" i="7"/>
  <c r="F64" i="7"/>
  <c r="E64" i="7"/>
  <c r="D64" i="7"/>
  <c r="C64" i="7"/>
  <c r="B64" i="7"/>
  <c r="A64" i="7"/>
  <c r="I63" i="7"/>
  <c r="G63" i="7"/>
  <c r="F63" i="7"/>
  <c r="E63" i="7"/>
  <c r="D63" i="7"/>
  <c r="C63" i="7"/>
  <c r="B63" i="7"/>
  <c r="A63" i="7"/>
  <c r="I62" i="7"/>
  <c r="G62" i="7"/>
  <c r="F62" i="7"/>
  <c r="E62" i="7"/>
  <c r="D62" i="7"/>
  <c r="C62" i="7"/>
  <c r="B62" i="7"/>
  <c r="A62" i="7"/>
  <c r="I61" i="7"/>
  <c r="G61" i="7"/>
  <c r="F61" i="7"/>
  <c r="E61" i="7"/>
  <c r="D61" i="7"/>
  <c r="C61" i="7"/>
  <c r="B61" i="7"/>
  <c r="A61" i="7"/>
  <c r="I60" i="7"/>
  <c r="G60" i="7"/>
  <c r="F60" i="7"/>
  <c r="E60" i="7"/>
  <c r="D60" i="7"/>
  <c r="C60" i="7"/>
  <c r="B60" i="7"/>
  <c r="A60" i="7"/>
  <c r="I59" i="7"/>
  <c r="G59" i="7"/>
  <c r="F59" i="7"/>
  <c r="E59" i="7"/>
  <c r="D59" i="7"/>
  <c r="C59" i="7"/>
  <c r="B59" i="7"/>
  <c r="A59" i="7"/>
  <c r="I58" i="7"/>
  <c r="G58" i="7"/>
  <c r="F58" i="7"/>
  <c r="E58" i="7"/>
  <c r="D58" i="7"/>
  <c r="C58" i="7"/>
  <c r="B58" i="7"/>
  <c r="A58" i="7"/>
  <c r="I57" i="7"/>
  <c r="G57" i="7"/>
  <c r="F57" i="7"/>
  <c r="E57" i="7"/>
  <c r="D57" i="7"/>
  <c r="C57" i="7"/>
  <c r="B57" i="7"/>
  <c r="A57" i="7"/>
  <c r="I56" i="7"/>
  <c r="G56" i="7"/>
  <c r="F56" i="7"/>
  <c r="E56" i="7"/>
  <c r="D56" i="7"/>
  <c r="C56" i="7"/>
  <c r="B56" i="7"/>
  <c r="A56" i="7"/>
  <c r="I55" i="7"/>
  <c r="G55" i="7"/>
  <c r="F55" i="7"/>
  <c r="E55" i="7"/>
  <c r="D55" i="7"/>
  <c r="C55" i="7"/>
  <c r="B55" i="7"/>
  <c r="A55" i="7"/>
  <c r="I54" i="7"/>
  <c r="G54" i="7"/>
  <c r="F54" i="7"/>
  <c r="E54" i="7"/>
  <c r="D54" i="7"/>
  <c r="C54" i="7"/>
  <c r="B54" i="7"/>
  <c r="A54" i="7"/>
  <c r="I53" i="7"/>
  <c r="G53" i="7"/>
  <c r="F53" i="7"/>
  <c r="E53" i="7"/>
  <c r="D53" i="7"/>
  <c r="C53" i="7"/>
  <c r="B53" i="7"/>
  <c r="A53" i="7"/>
  <c r="I52" i="7"/>
  <c r="G52" i="7"/>
  <c r="F52" i="7"/>
  <c r="E52" i="7"/>
  <c r="D52" i="7"/>
  <c r="C52" i="7"/>
  <c r="B52" i="7"/>
  <c r="A52" i="7"/>
  <c r="I51" i="7"/>
  <c r="G51" i="7"/>
  <c r="F51" i="7"/>
  <c r="E51" i="7"/>
  <c r="D51" i="7"/>
  <c r="C51" i="7"/>
  <c r="B51" i="7"/>
  <c r="A51" i="7"/>
  <c r="I50" i="7"/>
  <c r="G50" i="7"/>
  <c r="F50" i="7"/>
  <c r="E50" i="7"/>
  <c r="D50" i="7"/>
  <c r="C50" i="7"/>
  <c r="B50" i="7"/>
  <c r="A50" i="7"/>
  <c r="I49" i="7"/>
  <c r="G49" i="7"/>
  <c r="F49" i="7"/>
  <c r="E49" i="7"/>
  <c r="D49" i="7"/>
  <c r="C49" i="7"/>
  <c r="B49" i="7"/>
  <c r="A49" i="7"/>
  <c r="I48" i="7"/>
  <c r="G48" i="7"/>
  <c r="F48" i="7"/>
  <c r="E48" i="7"/>
  <c r="D48" i="7"/>
  <c r="C48" i="7"/>
  <c r="B48" i="7"/>
  <c r="A48" i="7"/>
  <c r="I47" i="7"/>
  <c r="G47" i="7"/>
  <c r="F47" i="7"/>
  <c r="E47" i="7"/>
  <c r="D47" i="7"/>
  <c r="C47" i="7"/>
  <c r="B47" i="7"/>
  <c r="A47" i="7"/>
  <c r="I46" i="7"/>
  <c r="G46" i="7"/>
  <c r="F46" i="7"/>
  <c r="E46" i="7"/>
  <c r="D46" i="7"/>
  <c r="C46" i="7"/>
  <c r="B46" i="7"/>
  <c r="A46" i="7"/>
  <c r="I45" i="7"/>
  <c r="G45" i="7"/>
  <c r="F45" i="7"/>
  <c r="E45" i="7"/>
  <c r="D45" i="7"/>
  <c r="C45" i="7"/>
  <c r="B45" i="7"/>
  <c r="A45" i="7"/>
  <c r="I44" i="7"/>
  <c r="G44" i="7"/>
  <c r="F44" i="7"/>
  <c r="E44" i="7"/>
  <c r="D44" i="7"/>
  <c r="C44" i="7"/>
  <c r="B44" i="7"/>
  <c r="A44" i="7"/>
  <c r="I43" i="7"/>
  <c r="G43" i="7"/>
  <c r="F43" i="7"/>
  <c r="E43" i="7"/>
  <c r="D43" i="7"/>
  <c r="C43" i="7"/>
  <c r="B43" i="7"/>
  <c r="A43" i="7"/>
  <c r="I42" i="7"/>
  <c r="G42" i="7"/>
  <c r="F42" i="7"/>
  <c r="E42" i="7"/>
  <c r="D42" i="7"/>
  <c r="C42" i="7"/>
  <c r="B42" i="7"/>
  <c r="A42" i="7"/>
  <c r="I41" i="7"/>
  <c r="G41" i="7"/>
  <c r="F41" i="7"/>
  <c r="E41" i="7"/>
  <c r="D41" i="7"/>
  <c r="C41" i="7"/>
  <c r="B41" i="7"/>
  <c r="A41" i="7"/>
  <c r="I40" i="7"/>
  <c r="G40" i="7"/>
  <c r="F40" i="7"/>
  <c r="E40" i="7"/>
  <c r="D40" i="7"/>
  <c r="C40" i="7"/>
  <c r="B40" i="7"/>
  <c r="A40" i="7"/>
  <c r="I39" i="7"/>
  <c r="G39" i="7"/>
  <c r="F39" i="7"/>
  <c r="E39" i="7"/>
  <c r="D39" i="7"/>
  <c r="C39" i="7"/>
  <c r="B39" i="7"/>
  <c r="A39" i="7"/>
  <c r="I38" i="7"/>
  <c r="G38" i="7"/>
  <c r="F38" i="7"/>
  <c r="E38" i="7"/>
  <c r="D38" i="7"/>
  <c r="C38" i="7"/>
  <c r="B38" i="7"/>
  <c r="A38" i="7"/>
  <c r="I37" i="7"/>
  <c r="G37" i="7"/>
  <c r="F37" i="7"/>
  <c r="E37" i="7"/>
  <c r="D37" i="7"/>
  <c r="C37" i="7"/>
  <c r="B37" i="7"/>
  <c r="A37" i="7"/>
  <c r="I36" i="7"/>
  <c r="G36" i="7"/>
  <c r="F36" i="7"/>
  <c r="E36" i="7"/>
  <c r="D36" i="7"/>
  <c r="C36" i="7"/>
  <c r="B36" i="7"/>
  <c r="A36" i="7"/>
  <c r="I35" i="7"/>
  <c r="G35" i="7"/>
  <c r="F35" i="7"/>
  <c r="E35" i="7"/>
  <c r="D35" i="7"/>
  <c r="C35" i="7"/>
  <c r="B35" i="7"/>
  <c r="A35" i="7"/>
  <c r="I34" i="7"/>
  <c r="G34" i="7"/>
  <c r="F34" i="7"/>
  <c r="E34" i="7"/>
  <c r="D34" i="7"/>
  <c r="C34" i="7"/>
  <c r="B34" i="7"/>
  <c r="A34" i="7"/>
  <c r="I33" i="7"/>
  <c r="G33" i="7"/>
  <c r="F33" i="7"/>
  <c r="E33" i="7"/>
  <c r="D33" i="7"/>
  <c r="C33" i="7"/>
  <c r="B33" i="7"/>
  <c r="A33" i="7"/>
  <c r="I32" i="7"/>
  <c r="G32" i="7"/>
  <c r="F32" i="7"/>
  <c r="E32" i="7"/>
  <c r="D32" i="7"/>
  <c r="C32" i="7"/>
  <c r="B32" i="7"/>
  <c r="A32" i="7"/>
  <c r="I31" i="7"/>
  <c r="G31" i="7"/>
  <c r="F31" i="7"/>
  <c r="E31" i="7"/>
  <c r="D31" i="7"/>
  <c r="C31" i="7"/>
  <c r="B31" i="7"/>
  <c r="A31" i="7"/>
  <c r="I30" i="7"/>
  <c r="G30" i="7"/>
  <c r="F30" i="7"/>
  <c r="E30" i="7"/>
  <c r="D30" i="7"/>
  <c r="C30" i="7"/>
  <c r="B30" i="7"/>
  <c r="A30" i="7"/>
  <c r="I29" i="7"/>
  <c r="G29" i="7"/>
  <c r="F29" i="7"/>
  <c r="E29" i="7"/>
  <c r="D29" i="7"/>
  <c r="C29" i="7"/>
  <c r="B29" i="7"/>
  <c r="A29" i="7"/>
  <c r="I28" i="7"/>
  <c r="G28" i="7"/>
  <c r="F28" i="7"/>
  <c r="E28" i="7"/>
  <c r="D28" i="7"/>
  <c r="C28" i="7"/>
  <c r="B28" i="7"/>
  <c r="A28" i="7"/>
  <c r="I27" i="7"/>
  <c r="G27" i="7"/>
  <c r="F27" i="7"/>
  <c r="E27" i="7"/>
  <c r="D27" i="7"/>
  <c r="C27" i="7"/>
  <c r="B27" i="7"/>
  <c r="A27" i="7"/>
  <c r="I26" i="7"/>
  <c r="G26" i="7"/>
  <c r="F26" i="7"/>
  <c r="E26" i="7"/>
  <c r="D26" i="7"/>
  <c r="C26" i="7"/>
  <c r="B26" i="7"/>
  <c r="A26" i="7"/>
  <c r="I25" i="7"/>
  <c r="G25" i="7"/>
  <c r="F25" i="7"/>
  <c r="E25" i="7"/>
  <c r="D25" i="7"/>
  <c r="C25" i="7"/>
  <c r="B25" i="7"/>
  <c r="A25" i="7"/>
  <c r="I24" i="7"/>
  <c r="G24" i="7"/>
  <c r="F24" i="7"/>
  <c r="E24" i="7"/>
  <c r="D24" i="7"/>
  <c r="C24" i="7"/>
  <c r="B24" i="7"/>
  <c r="A24" i="7"/>
  <c r="I23" i="7"/>
  <c r="G23" i="7"/>
  <c r="F23" i="7"/>
  <c r="E23" i="7"/>
  <c r="D23" i="7"/>
  <c r="C23" i="7"/>
  <c r="B23" i="7"/>
  <c r="A23" i="7"/>
  <c r="I22" i="7"/>
  <c r="G22" i="7"/>
  <c r="F22" i="7"/>
  <c r="E22" i="7"/>
  <c r="D22" i="7"/>
  <c r="C22" i="7"/>
  <c r="B22" i="7"/>
  <c r="A22" i="7"/>
  <c r="I21" i="7"/>
  <c r="G21" i="7"/>
  <c r="F21" i="7"/>
  <c r="E21" i="7"/>
  <c r="D21" i="7"/>
  <c r="C21" i="7"/>
  <c r="B21" i="7"/>
  <c r="A21" i="7"/>
  <c r="I20" i="7"/>
  <c r="G20" i="7"/>
  <c r="F20" i="7"/>
  <c r="E20" i="7"/>
  <c r="D20" i="7"/>
  <c r="C20" i="7"/>
  <c r="B20" i="7"/>
  <c r="A20" i="7"/>
  <c r="I19" i="7"/>
  <c r="G19" i="7"/>
  <c r="F19" i="7"/>
  <c r="E19" i="7"/>
  <c r="D19" i="7"/>
  <c r="C19" i="7"/>
  <c r="B19" i="7"/>
  <c r="A19" i="7"/>
  <c r="I18" i="7"/>
  <c r="G18" i="7"/>
  <c r="F18" i="7"/>
  <c r="E18" i="7"/>
  <c r="D18" i="7"/>
  <c r="C18" i="7"/>
  <c r="B18" i="7"/>
  <c r="A18" i="7"/>
  <c r="I17" i="7"/>
  <c r="G17" i="7"/>
  <c r="F17" i="7"/>
  <c r="E17" i="7"/>
  <c r="D17" i="7"/>
  <c r="C17" i="7"/>
  <c r="B17" i="7"/>
  <c r="A17" i="7"/>
  <c r="I16" i="7"/>
  <c r="G16" i="7"/>
  <c r="F16" i="7"/>
  <c r="E16" i="7"/>
  <c r="D16" i="7"/>
  <c r="C16" i="7"/>
  <c r="B16" i="7"/>
  <c r="A16" i="7"/>
  <c r="I15" i="7"/>
  <c r="G15" i="7"/>
  <c r="F15" i="7"/>
  <c r="E15" i="7"/>
  <c r="D15" i="7"/>
  <c r="C15" i="7"/>
  <c r="B15" i="7"/>
  <c r="A15" i="7"/>
  <c r="I14" i="7"/>
  <c r="G14" i="7"/>
  <c r="F14" i="7"/>
  <c r="E14" i="7"/>
  <c r="D14" i="7"/>
  <c r="C14" i="7"/>
  <c r="B14" i="7"/>
  <c r="A14" i="7"/>
  <c r="I13" i="7"/>
  <c r="G13" i="7"/>
  <c r="F13" i="7"/>
  <c r="E13" i="7"/>
  <c r="D13" i="7"/>
  <c r="C13" i="7"/>
  <c r="B13" i="7"/>
  <c r="A13" i="7"/>
  <c r="I12" i="7"/>
  <c r="G12" i="7"/>
  <c r="F12" i="7"/>
  <c r="E12" i="7"/>
  <c r="D12" i="7"/>
  <c r="C12" i="7"/>
  <c r="B12" i="7"/>
  <c r="A12" i="7"/>
  <c r="I11" i="7"/>
  <c r="G11" i="7"/>
  <c r="F11" i="7"/>
  <c r="E11" i="7"/>
  <c r="D11" i="7"/>
  <c r="C11" i="7"/>
  <c r="B11" i="7"/>
  <c r="A11" i="7"/>
  <c r="I10" i="7"/>
  <c r="G10" i="7"/>
  <c r="F10" i="7"/>
  <c r="E10" i="7"/>
  <c r="D10" i="7"/>
  <c r="C10" i="7"/>
  <c r="B10" i="7"/>
  <c r="A10" i="7"/>
  <c r="I9" i="7"/>
  <c r="G9" i="7"/>
  <c r="F9" i="7"/>
  <c r="E9" i="7"/>
  <c r="D9" i="7"/>
  <c r="C9" i="7"/>
  <c r="B9" i="7"/>
  <c r="A9" i="7"/>
  <c r="I8" i="7"/>
  <c r="G8" i="7"/>
  <c r="F8" i="7"/>
  <c r="E8" i="7"/>
  <c r="D8" i="7"/>
  <c r="C8" i="7"/>
  <c r="B8" i="7"/>
  <c r="A8" i="7"/>
  <c r="I7" i="7"/>
  <c r="G7" i="7"/>
  <c r="F7" i="7"/>
  <c r="E7" i="7"/>
  <c r="D7" i="7"/>
  <c r="C7" i="7"/>
  <c r="B7" i="7"/>
  <c r="A7" i="7"/>
  <c r="I6" i="7"/>
  <c r="G6" i="7"/>
  <c r="F6" i="7"/>
  <c r="E6" i="7"/>
  <c r="D6" i="7"/>
  <c r="C6" i="7"/>
  <c r="B6" i="7"/>
  <c r="A6" i="7"/>
  <c r="I5" i="7"/>
  <c r="G5" i="7"/>
  <c r="F5" i="7"/>
  <c r="E5" i="7"/>
  <c r="D5" i="7"/>
  <c r="C5" i="7"/>
  <c r="B5" i="7"/>
  <c r="A5" i="7"/>
  <c r="M504" i="6"/>
  <c r="G504" i="6"/>
  <c r="F504" i="6"/>
  <c r="C504" i="6"/>
  <c r="B504" i="6"/>
  <c r="A504" i="6"/>
  <c r="M503" i="6"/>
  <c r="G503" i="6"/>
  <c r="F503" i="6"/>
  <c r="C503" i="6"/>
  <c r="B503" i="6"/>
  <c r="A503" i="6"/>
  <c r="M502" i="6"/>
  <c r="G502" i="6"/>
  <c r="F502" i="6"/>
  <c r="C502" i="6"/>
  <c r="B502" i="6"/>
  <c r="A502" i="6"/>
  <c r="M501" i="6"/>
  <c r="G501" i="6"/>
  <c r="F501" i="6"/>
  <c r="C501" i="6"/>
  <c r="B501" i="6"/>
  <c r="A501" i="6"/>
  <c r="M500" i="6"/>
  <c r="G500" i="6"/>
  <c r="F500" i="6"/>
  <c r="C500" i="6"/>
  <c r="B500" i="6"/>
  <c r="A500" i="6"/>
  <c r="M499" i="6"/>
  <c r="G499" i="6"/>
  <c r="F499" i="6"/>
  <c r="C499" i="6"/>
  <c r="B499" i="6"/>
  <c r="A499" i="6"/>
  <c r="M498" i="6"/>
  <c r="G498" i="6"/>
  <c r="F498" i="6"/>
  <c r="C498" i="6"/>
  <c r="B498" i="6"/>
  <c r="A498" i="6"/>
  <c r="M497" i="6"/>
  <c r="G497" i="6"/>
  <c r="F497" i="6"/>
  <c r="C497" i="6"/>
  <c r="B497" i="6"/>
  <c r="A497" i="6"/>
  <c r="M496" i="6"/>
  <c r="G496" i="6"/>
  <c r="F496" i="6"/>
  <c r="C496" i="6"/>
  <c r="B496" i="6"/>
  <c r="A496" i="6"/>
  <c r="M495" i="6"/>
  <c r="G495" i="6"/>
  <c r="F495" i="6"/>
  <c r="C495" i="6"/>
  <c r="B495" i="6"/>
  <c r="A495" i="6"/>
  <c r="M494" i="6"/>
  <c r="G494" i="6"/>
  <c r="F494" i="6"/>
  <c r="C494" i="6"/>
  <c r="B494" i="6"/>
  <c r="A494" i="6"/>
  <c r="M493" i="6"/>
  <c r="G493" i="6"/>
  <c r="F493" i="6"/>
  <c r="C493" i="6"/>
  <c r="B493" i="6"/>
  <c r="A493" i="6"/>
  <c r="M492" i="6"/>
  <c r="G492" i="6"/>
  <c r="F492" i="6"/>
  <c r="C492" i="6"/>
  <c r="B492" i="6"/>
  <c r="A492" i="6"/>
  <c r="M491" i="6"/>
  <c r="G491" i="6"/>
  <c r="F491" i="6"/>
  <c r="C491" i="6"/>
  <c r="B491" i="6"/>
  <c r="A491" i="6"/>
  <c r="M490" i="6"/>
  <c r="G490" i="6"/>
  <c r="F490" i="6"/>
  <c r="C490" i="6"/>
  <c r="B490" i="6"/>
  <c r="A490" i="6"/>
  <c r="M489" i="6"/>
  <c r="G489" i="6"/>
  <c r="F489" i="6"/>
  <c r="C489" i="6"/>
  <c r="B489" i="6"/>
  <c r="A489" i="6"/>
  <c r="M488" i="6"/>
  <c r="G488" i="6"/>
  <c r="F488" i="6"/>
  <c r="C488" i="6"/>
  <c r="B488" i="6"/>
  <c r="A488" i="6"/>
  <c r="M487" i="6"/>
  <c r="G487" i="6"/>
  <c r="F487" i="6"/>
  <c r="C487" i="6"/>
  <c r="B487" i="6"/>
  <c r="A487" i="6"/>
  <c r="M486" i="6"/>
  <c r="G486" i="6"/>
  <c r="F486" i="6"/>
  <c r="C486" i="6"/>
  <c r="B486" i="6"/>
  <c r="A486" i="6"/>
  <c r="M485" i="6"/>
  <c r="G485" i="6"/>
  <c r="F485" i="6"/>
  <c r="C485" i="6"/>
  <c r="B485" i="6"/>
  <c r="A485" i="6"/>
  <c r="M484" i="6"/>
  <c r="G484" i="6"/>
  <c r="F484" i="6"/>
  <c r="C484" i="6"/>
  <c r="B484" i="6"/>
  <c r="A484" i="6"/>
  <c r="M483" i="6"/>
  <c r="G483" i="6"/>
  <c r="F483" i="6"/>
  <c r="C483" i="6"/>
  <c r="B483" i="6"/>
  <c r="A483" i="6"/>
  <c r="M482" i="6"/>
  <c r="G482" i="6"/>
  <c r="F482" i="6"/>
  <c r="C482" i="6"/>
  <c r="B482" i="6"/>
  <c r="A482" i="6"/>
  <c r="M481" i="6"/>
  <c r="G481" i="6"/>
  <c r="F481" i="6"/>
  <c r="C481" i="6"/>
  <c r="B481" i="6"/>
  <c r="A481" i="6"/>
  <c r="M480" i="6"/>
  <c r="G480" i="6"/>
  <c r="F480" i="6"/>
  <c r="C480" i="6"/>
  <c r="B480" i="6"/>
  <c r="A480" i="6"/>
  <c r="M479" i="6"/>
  <c r="G479" i="6"/>
  <c r="F479" i="6"/>
  <c r="C479" i="6"/>
  <c r="B479" i="6"/>
  <c r="A479" i="6"/>
  <c r="M478" i="6"/>
  <c r="G478" i="6"/>
  <c r="F478" i="6"/>
  <c r="C478" i="6"/>
  <c r="B478" i="6"/>
  <c r="A478" i="6"/>
  <c r="M477" i="6"/>
  <c r="G477" i="6"/>
  <c r="F477" i="6"/>
  <c r="C477" i="6"/>
  <c r="B477" i="6"/>
  <c r="A477" i="6"/>
  <c r="M476" i="6"/>
  <c r="G476" i="6"/>
  <c r="F476" i="6"/>
  <c r="C476" i="6"/>
  <c r="B476" i="6"/>
  <c r="A476" i="6"/>
  <c r="M475" i="6"/>
  <c r="G475" i="6"/>
  <c r="F475" i="6"/>
  <c r="C475" i="6"/>
  <c r="B475" i="6"/>
  <c r="A475" i="6"/>
  <c r="M474" i="6"/>
  <c r="G474" i="6"/>
  <c r="F474" i="6"/>
  <c r="C474" i="6"/>
  <c r="B474" i="6"/>
  <c r="A474" i="6"/>
  <c r="M473" i="6"/>
  <c r="G473" i="6"/>
  <c r="F473" i="6"/>
  <c r="C473" i="6"/>
  <c r="B473" i="6"/>
  <c r="A473" i="6"/>
  <c r="M472" i="6"/>
  <c r="G472" i="6"/>
  <c r="F472" i="6"/>
  <c r="C472" i="6"/>
  <c r="B472" i="6"/>
  <c r="A472" i="6"/>
  <c r="M471" i="6"/>
  <c r="G471" i="6"/>
  <c r="F471" i="6"/>
  <c r="C471" i="6"/>
  <c r="B471" i="6"/>
  <c r="A471" i="6"/>
  <c r="M470" i="6"/>
  <c r="G470" i="6"/>
  <c r="F470" i="6"/>
  <c r="C470" i="6"/>
  <c r="B470" i="6"/>
  <c r="A470" i="6"/>
  <c r="M469" i="6"/>
  <c r="G469" i="6"/>
  <c r="F469" i="6"/>
  <c r="C469" i="6"/>
  <c r="B469" i="6"/>
  <c r="A469" i="6"/>
  <c r="M468" i="6"/>
  <c r="G468" i="6"/>
  <c r="F468" i="6"/>
  <c r="C468" i="6"/>
  <c r="B468" i="6"/>
  <c r="A468" i="6"/>
  <c r="M467" i="6"/>
  <c r="G467" i="6"/>
  <c r="F467" i="6"/>
  <c r="C467" i="6"/>
  <c r="B467" i="6"/>
  <c r="A467" i="6"/>
  <c r="M466" i="6"/>
  <c r="G466" i="6"/>
  <c r="F466" i="6"/>
  <c r="C466" i="6"/>
  <c r="B466" i="6"/>
  <c r="A466" i="6"/>
  <c r="M465" i="6"/>
  <c r="G465" i="6"/>
  <c r="F465" i="6"/>
  <c r="C465" i="6"/>
  <c r="B465" i="6"/>
  <c r="A465" i="6"/>
  <c r="M464" i="6"/>
  <c r="G464" i="6"/>
  <c r="F464" i="6"/>
  <c r="C464" i="6"/>
  <c r="B464" i="6"/>
  <c r="A464" i="6"/>
  <c r="M463" i="6"/>
  <c r="G463" i="6"/>
  <c r="F463" i="6"/>
  <c r="C463" i="6"/>
  <c r="B463" i="6"/>
  <c r="A463" i="6"/>
  <c r="M462" i="6"/>
  <c r="G462" i="6"/>
  <c r="F462" i="6"/>
  <c r="C462" i="6"/>
  <c r="B462" i="6"/>
  <c r="A462" i="6"/>
  <c r="M461" i="6"/>
  <c r="G461" i="6"/>
  <c r="F461" i="6"/>
  <c r="C461" i="6"/>
  <c r="B461" i="6"/>
  <c r="A461" i="6"/>
  <c r="M460" i="6"/>
  <c r="G460" i="6"/>
  <c r="F460" i="6"/>
  <c r="C460" i="6"/>
  <c r="B460" i="6"/>
  <c r="A460" i="6"/>
  <c r="M459" i="6"/>
  <c r="G459" i="6"/>
  <c r="F459" i="6"/>
  <c r="C459" i="6"/>
  <c r="B459" i="6"/>
  <c r="A459" i="6"/>
  <c r="M458" i="6"/>
  <c r="G458" i="6"/>
  <c r="F458" i="6"/>
  <c r="C458" i="6"/>
  <c r="B458" i="6"/>
  <c r="A458" i="6"/>
  <c r="M457" i="6"/>
  <c r="G457" i="6"/>
  <c r="F457" i="6"/>
  <c r="C457" i="6"/>
  <c r="B457" i="6"/>
  <c r="A457" i="6"/>
  <c r="M456" i="6"/>
  <c r="G456" i="6"/>
  <c r="F456" i="6"/>
  <c r="C456" i="6"/>
  <c r="B456" i="6"/>
  <c r="A456" i="6"/>
  <c r="M455" i="6"/>
  <c r="G455" i="6"/>
  <c r="F455" i="6"/>
  <c r="C455" i="6"/>
  <c r="B455" i="6"/>
  <c r="A455" i="6"/>
  <c r="M454" i="6"/>
  <c r="G454" i="6"/>
  <c r="F454" i="6"/>
  <c r="C454" i="6"/>
  <c r="B454" i="6"/>
  <c r="A454" i="6"/>
  <c r="M453" i="6"/>
  <c r="G453" i="6"/>
  <c r="F453" i="6"/>
  <c r="C453" i="6"/>
  <c r="B453" i="6"/>
  <c r="A453" i="6"/>
  <c r="M452" i="6"/>
  <c r="G452" i="6"/>
  <c r="F452" i="6"/>
  <c r="C452" i="6"/>
  <c r="B452" i="6"/>
  <c r="A452" i="6"/>
  <c r="M451" i="6"/>
  <c r="G451" i="6"/>
  <c r="F451" i="6"/>
  <c r="C451" i="6"/>
  <c r="B451" i="6"/>
  <c r="A451" i="6"/>
  <c r="M450" i="6"/>
  <c r="G450" i="6"/>
  <c r="F450" i="6"/>
  <c r="C450" i="6"/>
  <c r="B450" i="6"/>
  <c r="A450" i="6"/>
  <c r="M449" i="6"/>
  <c r="G449" i="6"/>
  <c r="F449" i="6"/>
  <c r="C449" i="6"/>
  <c r="B449" i="6"/>
  <c r="A449" i="6"/>
  <c r="M448" i="6"/>
  <c r="G448" i="6"/>
  <c r="F448" i="6"/>
  <c r="C448" i="6"/>
  <c r="B448" i="6"/>
  <c r="A448" i="6"/>
  <c r="M447" i="6"/>
  <c r="G447" i="6"/>
  <c r="F447" i="6"/>
  <c r="C447" i="6"/>
  <c r="B447" i="6"/>
  <c r="A447" i="6"/>
  <c r="M446" i="6"/>
  <c r="G446" i="6"/>
  <c r="F446" i="6"/>
  <c r="C446" i="6"/>
  <c r="B446" i="6"/>
  <c r="A446" i="6"/>
  <c r="M445" i="6"/>
  <c r="G445" i="6"/>
  <c r="F445" i="6"/>
  <c r="C445" i="6"/>
  <c r="B445" i="6"/>
  <c r="A445" i="6"/>
  <c r="M444" i="6"/>
  <c r="G444" i="6"/>
  <c r="F444" i="6"/>
  <c r="C444" i="6"/>
  <c r="B444" i="6"/>
  <c r="A444" i="6"/>
  <c r="M443" i="6"/>
  <c r="G443" i="6"/>
  <c r="F443" i="6"/>
  <c r="C443" i="6"/>
  <c r="B443" i="6"/>
  <c r="A443" i="6"/>
  <c r="M442" i="6"/>
  <c r="G442" i="6"/>
  <c r="F442" i="6"/>
  <c r="C442" i="6"/>
  <c r="B442" i="6"/>
  <c r="A442" i="6"/>
  <c r="M441" i="6"/>
  <c r="G441" i="6"/>
  <c r="F441" i="6"/>
  <c r="C441" i="6"/>
  <c r="B441" i="6"/>
  <c r="A441" i="6"/>
  <c r="M440" i="6"/>
  <c r="G440" i="6"/>
  <c r="F440" i="6"/>
  <c r="C440" i="6"/>
  <c r="B440" i="6"/>
  <c r="A440" i="6"/>
  <c r="M439" i="6"/>
  <c r="G439" i="6"/>
  <c r="F439" i="6"/>
  <c r="C439" i="6"/>
  <c r="B439" i="6"/>
  <c r="A439" i="6"/>
  <c r="M438" i="6"/>
  <c r="G438" i="6"/>
  <c r="F438" i="6"/>
  <c r="C438" i="6"/>
  <c r="B438" i="6"/>
  <c r="A438" i="6"/>
  <c r="M437" i="6"/>
  <c r="G437" i="6"/>
  <c r="F437" i="6"/>
  <c r="C437" i="6"/>
  <c r="B437" i="6"/>
  <c r="A437" i="6"/>
  <c r="M436" i="6"/>
  <c r="G436" i="6"/>
  <c r="F436" i="6"/>
  <c r="C436" i="6"/>
  <c r="B436" i="6"/>
  <c r="A436" i="6"/>
  <c r="M435" i="6"/>
  <c r="G435" i="6"/>
  <c r="F435" i="6"/>
  <c r="C435" i="6"/>
  <c r="B435" i="6"/>
  <c r="A435" i="6"/>
  <c r="M434" i="6"/>
  <c r="G434" i="6"/>
  <c r="F434" i="6"/>
  <c r="C434" i="6"/>
  <c r="B434" i="6"/>
  <c r="A434" i="6"/>
  <c r="M433" i="6"/>
  <c r="G433" i="6"/>
  <c r="F433" i="6"/>
  <c r="C433" i="6"/>
  <c r="B433" i="6"/>
  <c r="A433" i="6"/>
  <c r="M432" i="6"/>
  <c r="G432" i="6"/>
  <c r="F432" i="6"/>
  <c r="C432" i="6"/>
  <c r="B432" i="6"/>
  <c r="A432" i="6"/>
  <c r="M431" i="6"/>
  <c r="G431" i="6"/>
  <c r="F431" i="6"/>
  <c r="C431" i="6"/>
  <c r="B431" i="6"/>
  <c r="A431" i="6"/>
  <c r="M430" i="6"/>
  <c r="G430" i="6"/>
  <c r="F430" i="6"/>
  <c r="C430" i="6"/>
  <c r="B430" i="6"/>
  <c r="A430" i="6"/>
  <c r="M429" i="6"/>
  <c r="G429" i="6"/>
  <c r="F429" i="6"/>
  <c r="C429" i="6"/>
  <c r="B429" i="6"/>
  <c r="A429" i="6"/>
  <c r="M428" i="6"/>
  <c r="G428" i="6"/>
  <c r="F428" i="6"/>
  <c r="C428" i="6"/>
  <c r="B428" i="6"/>
  <c r="A428" i="6"/>
  <c r="M427" i="6"/>
  <c r="G427" i="6"/>
  <c r="F427" i="6"/>
  <c r="C427" i="6"/>
  <c r="B427" i="6"/>
  <c r="A427" i="6"/>
  <c r="M426" i="6"/>
  <c r="G426" i="6"/>
  <c r="F426" i="6"/>
  <c r="C426" i="6"/>
  <c r="B426" i="6"/>
  <c r="A426" i="6"/>
  <c r="M425" i="6"/>
  <c r="G425" i="6"/>
  <c r="F425" i="6"/>
  <c r="C425" i="6"/>
  <c r="B425" i="6"/>
  <c r="A425" i="6"/>
  <c r="M424" i="6"/>
  <c r="G424" i="6"/>
  <c r="F424" i="6"/>
  <c r="C424" i="6"/>
  <c r="B424" i="6"/>
  <c r="A424" i="6"/>
  <c r="M423" i="6"/>
  <c r="G423" i="6"/>
  <c r="F423" i="6"/>
  <c r="C423" i="6"/>
  <c r="B423" i="6"/>
  <c r="A423" i="6"/>
  <c r="M422" i="6"/>
  <c r="G422" i="6"/>
  <c r="F422" i="6"/>
  <c r="C422" i="6"/>
  <c r="B422" i="6"/>
  <c r="A422" i="6"/>
  <c r="M421" i="6"/>
  <c r="G421" i="6"/>
  <c r="F421" i="6"/>
  <c r="C421" i="6"/>
  <c r="B421" i="6"/>
  <c r="A421" i="6"/>
  <c r="M420" i="6"/>
  <c r="G420" i="6"/>
  <c r="F420" i="6"/>
  <c r="C420" i="6"/>
  <c r="B420" i="6"/>
  <c r="A420" i="6"/>
  <c r="M419" i="6"/>
  <c r="G419" i="6"/>
  <c r="F419" i="6"/>
  <c r="C419" i="6"/>
  <c r="B419" i="6"/>
  <c r="A419" i="6"/>
  <c r="M418" i="6"/>
  <c r="G418" i="6"/>
  <c r="F418" i="6"/>
  <c r="C418" i="6"/>
  <c r="B418" i="6"/>
  <c r="A418" i="6"/>
  <c r="M417" i="6"/>
  <c r="G417" i="6"/>
  <c r="F417" i="6"/>
  <c r="C417" i="6"/>
  <c r="B417" i="6"/>
  <c r="A417" i="6"/>
  <c r="M416" i="6"/>
  <c r="G416" i="6"/>
  <c r="F416" i="6"/>
  <c r="C416" i="6"/>
  <c r="B416" i="6"/>
  <c r="A416" i="6"/>
  <c r="M415" i="6"/>
  <c r="G415" i="6"/>
  <c r="F415" i="6"/>
  <c r="C415" i="6"/>
  <c r="B415" i="6"/>
  <c r="A415" i="6"/>
  <c r="M414" i="6"/>
  <c r="G414" i="6"/>
  <c r="F414" i="6"/>
  <c r="C414" i="6"/>
  <c r="B414" i="6"/>
  <c r="A414" i="6"/>
  <c r="M413" i="6"/>
  <c r="G413" i="6"/>
  <c r="F413" i="6"/>
  <c r="C413" i="6"/>
  <c r="B413" i="6"/>
  <c r="A413" i="6"/>
  <c r="M412" i="6"/>
  <c r="G412" i="6"/>
  <c r="F412" i="6"/>
  <c r="C412" i="6"/>
  <c r="B412" i="6"/>
  <c r="A412" i="6"/>
  <c r="M411" i="6"/>
  <c r="G411" i="6"/>
  <c r="F411" i="6"/>
  <c r="C411" i="6"/>
  <c r="B411" i="6"/>
  <c r="A411" i="6"/>
  <c r="M410" i="6"/>
  <c r="G410" i="6"/>
  <c r="F410" i="6"/>
  <c r="C410" i="6"/>
  <c r="B410" i="6"/>
  <c r="A410" i="6"/>
  <c r="M409" i="6"/>
  <c r="G409" i="6"/>
  <c r="F409" i="6"/>
  <c r="C409" i="6"/>
  <c r="B409" i="6"/>
  <c r="A409" i="6"/>
  <c r="M408" i="6"/>
  <c r="G408" i="6"/>
  <c r="F408" i="6"/>
  <c r="C408" i="6"/>
  <c r="B408" i="6"/>
  <c r="A408" i="6"/>
  <c r="M407" i="6"/>
  <c r="G407" i="6"/>
  <c r="F407" i="6"/>
  <c r="C407" i="6"/>
  <c r="B407" i="6"/>
  <c r="A407" i="6"/>
  <c r="M406" i="6"/>
  <c r="G406" i="6"/>
  <c r="F406" i="6"/>
  <c r="C406" i="6"/>
  <c r="B406" i="6"/>
  <c r="A406" i="6"/>
  <c r="M405" i="6"/>
  <c r="G405" i="6"/>
  <c r="F405" i="6"/>
  <c r="C405" i="6"/>
  <c r="B405" i="6"/>
  <c r="A405" i="6"/>
  <c r="M404" i="6"/>
  <c r="G404" i="6"/>
  <c r="F404" i="6"/>
  <c r="C404" i="6"/>
  <c r="B404" i="6"/>
  <c r="A404" i="6"/>
  <c r="M403" i="6"/>
  <c r="G403" i="6"/>
  <c r="F403" i="6"/>
  <c r="C403" i="6"/>
  <c r="B403" i="6"/>
  <c r="A403" i="6"/>
  <c r="M402" i="6"/>
  <c r="G402" i="6"/>
  <c r="F402" i="6"/>
  <c r="C402" i="6"/>
  <c r="B402" i="6"/>
  <c r="A402" i="6"/>
  <c r="M401" i="6"/>
  <c r="G401" i="6"/>
  <c r="F401" i="6"/>
  <c r="C401" i="6"/>
  <c r="B401" i="6"/>
  <c r="A401" i="6"/>
  <c r="M400" i="6"/>
  <c r="G400" i="6"/>
  <c r="F400" i="6"/>
  <c r="C400" i="6"/>
  <c r="B400" i="6"/>
  <c r="A400" i="6"/>
  <c r="M399" i="6"/>
  <c r="G399" i="6"/>
  <c r="F399" i="6"/>
  <c r="C399" i="6"/>
  <c r="B399" i="6"/>
  <c r="A399" i="6"/>
  <c r="M398" i="6"/>
  <c r="G398" i="6"/>
  <c r="F398" i="6"/>
  <c r="C398" i="6"/>
  <c r="B398" i="6"/>
  <c r="A398" i="6"/>
  <c r="M397" i="6"/>
  <c r="G397" i="6"/>
  <c r="F397" i="6"/>
  <c r="C397" i="6"/>
  <c r="B397" i="6"/>
  <c r="A397" i="6"/>
  <c r="M396" i="6"/>
  <c r="G396" i="6"/>
  <c r="F396" i="6"/>
  <c r="C396" i="6"/>
  <c r="B396" i="6"/>
  <c r="A396" i="6"/>
  <c r="M395" i="6"/>
  <c r="G395" i="6"/>
  <c r="F395" i="6"/>
  <c r="C395" i="6"/>
  <c r="B395" i="6"/>
  <c r="A395" i="6"/>
  <c r="M394" i="6"/>
  <c r="G394" i="6"/>
  <c r="F394" i="6"/>
  <c r="C394" i="6"/>
  <c r="B394" i="6"/>
  <c r="A394" i="6"/>
  <c r="M393" i="6"/>
  <c r="G393" i="6"/>
  <c r="F393" i="6"/>
  <c r="C393" i="6"/>
  <c r="B393" i="6"/>
  <c r="A393" i="6"/>
  <c r="M392" i="6"/>
  <c r="G392" i="6"/>
  <c r="F392" i="6"/>
  <c r="C392" i="6"/>
  <c r="B392" i="6"/>
  <c r="A392" i="6"/>
  <c r="M391" i="6"/>
  <c r="G391" i="6"/>
  <c r="F391" i="6"/>
  <c r="C391" i="6"/>
  <c r="B391" i="6"/>
  <c r="A391" i="6"/>
  <c r="M390" i="6"/>
  <c r="G390" i="6"/>
  <c r="F390" i="6"/>
  <c r="C390" i="6"/>
  <c r="B390" i="6"/>
  <c r="A390" i="6"/>
  <c r="M389" i="6"/>
  <c r="G389" i="6"/>
  <c r="F389" i="6"/>
  <c r="C389" i="6"/>
  <c r="B389" i="6"/>
  <c r="A389" i="6"/>
  <c r="M388" i="6"/>
  <c r="G388" i="6"/>
  <c r="F388" i="6"/>
  <c r="C388" i="6"/>
  <c r="B388" i="6"/>
  <c r="A388" i="6"/>
  <c r="M387" i="6"/>
  <c r="G387" i="6"/>
  <c r="F387" i="6"/>
  <c r="C387" i="6"/>
  <c r="B387" i="6"/>
  <c r="A387" i="6"/>
  <c r="M386" i="6"/>
  <c r="G386" i="6"/>
  <c r="F386" i="6"/>
  <c r="C386" i="6"/>
  <c r="B386" i="6"/>
  <c r="A386" i="6"/>
  <c r="M385" i="6"/>
  <c r="G385" i="6"/>
  <c r="F385" i="6"/>
  <c r="C385" i="6"/>
  <c r="B385" i="6"/>
  <c r="A385" i="6"/>
  <c r="M384" i="6"/>
  <c r="G384" i="6"/>
  <c r="F384" i="6"/>
  <c r="C384" i="6"/>
  <c r="B384" i="6"/>
  <c r="A384" i="6"/>
  <c r="M383" i="6"/>
  <c r="G383" i="6"/>
  <c r="F383" i="6"/>
  <c r="C383" i="6"/>
  <c r="B383" i="6"/>
  <c r="A383" i="6"/>
  <c r="M382" i="6"/>
  <c r="G382" i="6"/>
  <c r="F382" i="6"/>
  <c r="C382" i="6"/>
  <c r="B382" i="6"/>
  <c r="A382" i="6"/>
  <c r="M381" i="6"/>
  <c r="G381" i="6"/>
  <c r="F381" i="6"/>
  <c r="C381" i="6"/>
  <c r="B381" i="6"/>
  <c r="A381" i="6"/>
  <c r="M380" i="6"/>
  <c r="G380" i="6"/>
  <c r="F380" i="6"/>
  <c r="C380" i="6"/>
  <c r="B380" i="6"/>
  <c r="A380" i="6"/>
  <c r="M379" i="6"/>
  <c r="G379" i="6"/>
  <c r="F379" i="6"/>
  <c r="C379" i="6"/>
  <c r="B379" i="6"/>
  <c r="A379" i="6"/>
  <c r="M378" i="6"/>
  <c r="G378" i="6"/>
  <c r="F378" i="6"/>
  <c r="C378" i="6"/>
  <c r="B378" i="6"/>
  <c r="A378" i="6"/>
  <c r="M377" i="6"/>
  <c r="G377" i="6"/>
  <c r="F377" i="6"/>
  <c r="C377" i="6"/>
  <c r="B377" i="6"/>
  <c r="A377" i="6"/>
  <c r="M376" i="6"/>
  <c r="G376" i="6"/>
  <c r="F376" i="6"/>
  <c r="C376" i="6"/>
  <c r="B376" i="6"/>
  <c r="A376" i="6"/>
  <c r="M375" i="6"/>
  <c r="G375" i="6"/>
  <c r="F375" i="6"/>
  <c r="C375" i="6"/>
  <c r="B375" i="6"/>
  <c r="A375" i="6"/>
  <c r="M374" i="6"/>
  <c r="G374" i="6"/>
  <c r="F374" i="6"/>
  <c r="C374" i="6"/>
  <c r="B374" i="6"/>
  <c r="A374" i="6"/>
  <c r="M373" i="6"/>
  <c r="G373" i="6"/>
  <c r="F373" i="6"/>
  <c r="C373" i="6"/>
  <c r="B373" i="6"/>
  <c r="A373" i="6"/>
  <c r="M372" i="6"/>
  <c r="G372" i="6"/>
  <c r="F372" i="6"/>
  <c r="C372" i="6"/>
  <c r="B372" i="6"/>
  <c r="A372" i="6"/>
  <c r="M371" i="6"/>
  <c r="G371" i="6"/>
  <c r="F371" i="6"/>
  <c r="C371" i="6"/>
  <c r="B371" i="6"/>
  <c r="A371" i="6"/>
  <c r="M370" i="6"/>
  <c r="G370" i="6"/>
  <c r="F370" i="6"/>
  <c r="C370" i="6"/>
  <c r="B370" i="6"/>
  <c r="A370" i="6"/>
  <c r="M369" i="6"/>
  <c r="G369" i="6"/>
  <c r="F369" i="6"/>
  <c r="C369" i="6"/>
  <c r="B369" i="6"/>
  <c r="A369" i="6"/>
  <c r="M368" i="6"/>
  <c r="G368" i="6"/>
  <c r="F368" i="6"/>
  <c r="C368" i="6"/>
  <c r="B368" i="6"/>
  <c r="A368" i="6"/>
  <c r="M367" i="6"/>
  <c r="G367" i="6"/>
  <c r="F367" i="6"/>
  <c r="C367" i="6"/>
  <c r="B367" i="6"/>
  <c r="A367" i="6"/>
  <c r="M366" i="6"/>
  <c r="G366" i="6"/>
  <c r="F366" i="6"/>
  <c r="C366" i="6"/>
  <c r="B366" i="6"/>
  <c r="A366" i="6"/>
  <c r="M365" i="6"/>
  <c r="G365" i="6"/>
  <c r="F365" i="6"/>
  <c r="C365" i="6"/>
  <c r="B365" i="6"/>
  <c r="A365" i="6"/>
  <c r="M364" i="6"/>
  <c r="G364" i="6"/>
  <c r="F364" i="6"/>
  <c r="C364" i="6"/>
  <c r="B364" i="6"/>
  <c r="A364" i="6"/>
  <c r="M363" i="6"/>
  <c r="G363" i="6"/>
  <c r="F363" i="6"/>
  <c r="C363" i="6"/>
  <c r="B363" i="6"/>
  <c r="A363" i="6"/>
  <c r="M362" i="6"/>
  <c r="G362" i="6"/>
  <c r="F362" i="6"/>
  <c r="C362" i="6"/>
  <c r="B362" i="6"/>
  <c r="A362" i="6"/>
  <c r="M361" i="6"/>
  <c r="G361" i="6"/>
  <c r="F361" i="6"/>
  <c r="C361" i="6"/>
  <c r="B361" i="6"/>
  <c r="A361" i="6"/>
  <c r="M360" i="6"/>
  <c r="G360" i="6"/>
  <c r="F360" i="6"/>
  <c r="C360" i="6"/>
  <c r="B360" i="6"/>
  <c r="A360" i="6"/>
  <c r="M359" i="6"/>
  <c r="G359" i="6"/>
  <c r="F359" i="6"/>
  <c r="C359" i="6"/>
  <c r="B359" i="6"/>
  <c r="A359" i="6"/>
  <c r="M358" i="6"/>
  <c r="G358" i="6"/>
  <c r="F358" i="6"/>
  <c r="C358" i="6"/>
  <c r="B358" i="6"/>
  <c r="A358" i="6"/>
  <c r="M357" i="6"/>
  <c r="G357" i="6"/>
  <c r="F357" i="6"/>
  <c r="C357" i="6"/>
  <c r="B357" i="6"/>
  <c r="A357" i="6"/>
  <c r="M356" i="6"/>
  <c r="G356" i="6"/>
  <c r="F356" i="6"/>
  <c r="C356" i="6"/>
  <c r="B356" i="6"/>
  <c r="A356" i="6"/>
  <c r="M355" i="6"/>
  <c r="G355" i="6"/>
  <c r="F355" i="6"/>
  <c r="C355" i="6"/>
  <c r="B355" i="6"/>
  <c r="A355" i="6"/>
  <c r="M354" i="6"/>
  <c r="G354" i="6"/>
  <c r="F354" i="6"/>
  <c r="C354" i="6"/>
  <c r="B354" i="6"/>
  <c r="A354" i="6"/>
  <c r="M353" i="6"/>
  <c r="G353" i="6"/>
  <c r="F353" i="6"/>
  <c r="C353" i="6"/>
  <c r="B353" i="6"/>
  <c r="A353" i="6"/>
  <c r="M352" i="6"/>
  <c r="G352" i="6"/>
  <c r="F352" i="6"/>
  <c r="C352" i="6"/>
  <c r="B352" i="6"/>
  <c r="A352" i="6"/>
  <c r="M351" i="6"/>
  <c r="G351" i="6"/>
  <c r="F351" i="6"/>
  <c r="C351" i="6"/>
  <c r="B351" i="6"/>
  <c r="A351" i="6"/>
  <c r="M350" i="6"/>
  <c r="G350" i="6"/>
  <c r="F350" i="6"/>
  <c r="C350" i="6"/>
  <c r="B350" i="6"/>
  <c r="A350" i="6"/>
  <c r="M349" i="6"/>
  <c r="G349" i="6"/>
  <c r="F349" i="6"/>
  <c r="C349" i="6"/>
  <c r="B349" i="6"/>
  <c r="A349" i="6"/>
  <c r="M348" i="6"/>
  <c r="G348" i="6"/>
  <c r="F348" i="6"/>
  <c r="C348" i="6"/>
  <c r="B348" i="6"/>
  <c r="A348" i="6"/>
  <c r="M347" i="6"/>
  <c r="G347" i="6"/>
  <c r="F347" i="6"/>
  <c r="C347" i="6"/>
  <c r="B347" i="6"/>
  <c r="A347" i="6"/>
  <c r="M346" i="6"/>
  <c r="G346" i="6"/>
  <c r="F346" i="6"/>
  <c r="C346" i="6"/>
  <c r="B346" i="6"/>
  <c r="A346" i="6"/>
  <c r="M345" i="6"/>
  <c r="G345" i="6"/>
  <c r="F345" i="6"/>
  <c r="C345" i="6"/>
  <c r="B345" i="6"/>
  <c r="A345" i="6"/>
  <c r="M344" i="6"/>
  <c r="G344" i="6"/>
  <c r="F344" i="6"/>
  <c r="C344" i="6"/>
  <c r="B344" i="6"/>
  <c r="A344" i="6"/>
  <c r="M343" i="6"/>
  <c r="G343" i="6"/>
  <c r="F343" i="6"/>
  <c r="C343" i="6"/>
  <c r="B343" i="6"/>
  <c r="A343" i="6"/>
  <c r="M342" i="6"/>
  <c r="G342" i="6"/>
  <c r="F342" i="6"/>
  <c r="C342" i="6"/>
  <c r="B342" i="6"/>
  <c r="A342" i="6"/>
  <c r="M341" i="6"/>
  <c r="G341" i="6"/>
  <c r="F341" i="6"/>
  <c r="C341" i="6"/>
  <c r="B341" i="6"/>
  <c r="A341" i="6"/>
  <c r="M340" i="6"/>
  <c r="G340" i="6"/>
  <c r="F340" i="6"/>
  <c r="C340" i="6"/>
  <c r="B340" i="6"/>
  <c r="A340" i="6"/>
  <c r="M339" i="6"/>
  <c r="G339" i="6"/>
  <c r="F339" i="6"/>
  <c r="C339" i="6"/>
  <c r="B339" i="6"/>
  <c r="A339" i="6"/>
  <c r="M338" i="6"/>
  <c r="G338" i="6"/>
  <c r="F338" i="6"/>
  <c r="C338" i="6"/>
  <c r="B338" i="6"/>
  <c r="A338" i="6"/>
  <c r="M337" i="6"/>
  <c r="G337" i="6"/>
  <c r="F337" i="6"/>
  <c r="C337" i="6"/>
  <c r="B337" i="6"/>
  <c r="A337" i="6"/>
  <c r="M336" i="6"/>
  <c r="G336" i="6"/>
  <c r="F336" i="6"/>
  <c r="C336" i="6"/>
  <c r="B336" i="6"/>
  <c r="A336" i="6"/>
  <c r="M335" i="6"/>
  <c r="G335" i="6"/>
  <c r="F335" i="6"/>
  <c r="C335" i="6"/>
  <c r="B335" i="6"/>
  <c r="A335" i="6"/>
  <c r="M334" i="6"/>
  <c r="G334" i="6"/>
  <c r="F334" i="6"/>
  <c r="C334" i="6"/>
  <c r="B334" i="6"/>
  <c r="A334" i="6"/>
  <c r="M333" i="6"/>
  <c r="G333" i="6"/>
  <c r="F333" i="6"/>
  <c r="C333" i="6"/>
  <c r="B333" i="6"/>
  <c r="A333" i="6"/>
  <c r="M332" i="6"/>
  <c r="G332" i="6"/>
  <c r="F332" i="6"/>
  <c r="C332" i="6"/>
  <c r="B332" i="6"/>
  <c r="A332" i="6"/>
  <c r="M331" i="6"/>
  <c r="G331" i="6"/>
  <c r="F331" i="6"/>
  <c r="C331" i="6"/>
  <c r="B331" i="6"/>
  <c r="A331" i="6"/>
  <c r="M330" i="6"/>
  <c r="G330" i="6"/>
  <c r="F330" i="6"/>
  <c r="C330" i="6"/>
  <c r="B330" i="6"/>
  <c r="A330" i="6"/>
  <c r="M329" i="6"/>
  <c r="G329" i="6"/>
  <c r="F329" i="6"/>
  <c r="C329" i="6"/>
  <c r="B329" i="6"/>
  <c r="A329" i="6"/>
  <c r="M328" i="6"/>
  <c r="G328" i="6"/>
  <c r="F328" i="6"/>
  <c r="C328" i="6"/>
  <c r="B328" i="6"/>
  <c r="A328" i="6"/>
  <c r="M327" i="6"/>
  <c r="G327" i="6"/>
  <c r="F327" i="6"/>
  <c r="C327" i="6"/>
  <c r="B327" i="6"/>
  <c r="A327" i="6"/>
  <c r="M326" i="6"/>
  <c r="G326" i="6"/>
  <c r="F326" i="6"/>
  <c r="C326" i="6"/>
  <c r="B326" i="6"/>
  <c r="A326" i="6"/>
  <c r="M325" i="6"/>
  <c r="G325" i="6"/>
  <c r="F325" i="6"/>
  <c r="C325" i="6"/>
  <c r="B325" i="6"/>
  <c r="A325" i="6"/>
  <c r="M324" i="6"/>
  <c r="G324" i="6"/>
  <c r="F324" i="6"/>
  <c r="C324" i="6"/>
  <c r="B324" i="6"/>
  <c r="A324" i="6"/>
  <c r="M323" i="6"/>
  <c r="G323" i="6"/>
  <c r="F323" i="6"/>
  <c r="C323" i="6"/>
  <c r="B323" i="6"/>
  <c r="A323" i="6"/>
  <c r="M322" i="6"/>
  <c r="G322" i="6"/>
  <c r="F322" i="6"/>
  <c r="C322" i="6"/>
  <c r="B322" i="6"/>
  <c r="A322" i="6"/>
  <c r="M321" i="6"/>
  <c r="G321" i="6"/>
  <c r="F321" i="6"/>
  <c r="C321" i="6"/>
  <c r="B321" i="6"/>
  <c r="A321" i="6"/>
  <c r="M320" i="6"/>
  <c r="G320" i="6"/>
  <c r="F320" i="6"/>
  <c r="C320" i="6"/>
  <c r="B320" i="6"/>
  <c r="A320" i="6"/>
  <c r="M319" i="6"/>
  <c r="G319" i="6"/>
  <c r="F319" i="6"/>
  <c r="C319" i="6"/>
  <c r="B319" i="6"/>
  <c r="A319" i="6"/>
  <c r="M318" i="6"/>
  <c r="G318" i="6"/>
  <c r="F318" i="6"/>
  <c r="C318" i="6"/>
  <c r="B318" i="6"/>
  <c r="A318" i="6"/>
  <c r="M317" i="6"/>
  <c r="G317" i="6"/>
  <c r="F317" i="6"/>
  <c r="C317" i="6"/>
  <c r="B317" i="6"/>
  <c r="A317" i="6"/>
  <c r="M316" i="6"/>
  <c r="G316" i="6"/>
  <c r="F316" i="6"/>
  <c r="C316" i="6"/>
  <c r="B316" i="6"/>
  <c r="A316" i="6"/>
  <c r="M315" i="6"/>
  <c r="G315" i="6"/>
  <c r="F315" i="6"/>
  <c r="C315" i="6"/>
  <c r="B315" i="6"/>
  <c r="A315" i="6"/>
  <c r="M314" i="6"/>
  <c r="G314" i="6"/>
  <c r="F314" i="6"/>
  <c r="C314" i="6"/>
  <c r="B314" i="6"/>
  <c r="A314" i="6"/>
  <c r="M313" i="6"/>
  <c r="G313" i="6"/>
  <c r="F313" i="6"/>
  <c r="C313" i="6"/>
  <c r="B313" i="6"/>
  <c r="A313" i="6"/>
  <c r="M312" i="6"/>
  <c r="G312" i="6"/>
  <c r="F312" i="6"/>
  <c r="C312" i="6"/>
  <c r="B312" i="6"/>
  <c r="A312" i="6"/>
  <c r="M311" i="6"/>
  <c r="G311" i="6"/>
  <c r="F311" i="6"/>
  <c r="C311" i="6"/>
  <c r="B311" i="6"/>
  <c r="A311" i="6"/>
  <c r="M310" i="6"/>
  <c r="G310" i="6"/>
  <c r="F310" i="6"/>
  <c r="C310" i="6"/>
  <c r="B310" i="6"/>
  <c r="A310" i="6"/>
  <c r="M309" i="6"/>
  <c r="G309" i="6"/>
  <c r="F309" i="6"/>
  <c r="C309" i="6"/>
  <c r="B309" i="6"/>
  <c r="A309" i="6"/>
  <c r="M308" i="6"/>
  <c r="G308" i="6"/>
  <c r="F308" i="6"/>
  <c r="C308" i="6"/>
  <c r="B308" i="6"/>
  <c r="A308" i="6"/>
  <c r="M307" i="6"/>
  <c r="G307" i="6"/>
  <c r="F307" i="6"/>
  <c r="C307" i="6"/>
  <c r="B307" i="6"/>
  <c r="A307" i="6"/>
  <c r="M306" i="6"/>
  <c r="G306" i="6"/>
  <c r="F306" i="6"/>
  <c r="C306" i="6"/>
  <c r="B306" i="6"/>
  <c r="A306" i="6"/>
  <c r="M305" i="6"/>
  <c r="G305" i="6"/>
  <c r="F305" i="6"/>
  <c r="C305" i="6"/>
  <c r="B305" i="6"/>
  <c r="A305" i="6"/>
  <c r="M304" i="6"/>
  <c r="G304" i="6"/>
  <c r="F304" i="6"/>
  <c r="C304" i="6"/>
  <c r="B304" i="6"/>
  <c r="A304" i="6"/>
  <c r="M303" i="6"/>
  <c r="G303" i="6"/>
  <c r="F303" i="6"/>
  <c r="C303" i="6"/>
  <c r="B303" i="6"/>
  <c r="A303" i="6"/>
  <c r="M302" i="6"/>
  <c r="G302" i="6"/>
  <c r="F302" i="6"/>
  <c r="C302" i="6"/>
  <c r="B302" i="6"/>
  <c r="A302" i="6"/>
  <c r="M301" i="6"/>
  <c r="G301" i="6"/>
  <c r="F301" i="6"/>
  <c r="C301" i="6"/>
  <c r="B301" i="6"/>
  <c r="A301" i="6"/>
  <c r="M300" i="6"/>
  <c r="G300" i="6"/>
  <c r="F300" i="6"/>
  <c r="C300" i="6"/>
  <c r="B300" i="6"/>
  <c r="A300" i="6"/>
  <c r="M299" i="6"/>
  <c r="G299" i="6"/>
  <c r="F299" i="6"/>
  <c r="C299" i="6"/>
  <c r="B299" i="6"/>
  <c r="A299" i="6"/>
  <c r="M298" i="6"/>
  <c r="G298" i="6"/>
  <c r="F298" i="6"/>
  <c r="C298" i="6"/>
  <c r="B298" i="6"/>
  <c r="A298" i="6"/>
  <c r="M297" i="6"/>
  <c r="G297" i="6"/>
  <c r="F297" i="6"/>
  <c r="C297" i="6"/>
  <c r="B297" i="6"/>
  <c r="A297" i="6"/>
  <c r="M296" i="6"/>
  <c r="G296" i="6"/>
  <c r="F296" i="6"/>
  <c r="C296" i="6"/>
  <c r="B296" i="6"/>
  <c r="A296" i="6"/>
  <c r="M295" i="6"/>
  <c r="G295" i="6"/>
  <c r="F295" i="6"/>
  <c r="C295" i="6"/>
  <c r="B295" i="6"/>
  <c r="A295" i="6"/>
  <c r="M294" i="6"/>
  <c r="G294" i="6"/>
  <c r="F294" i="6"/>
  <c r="C294" i="6"/>
  <c r="B294" i="6"/>
  <c r="A294" i="6"/>
  <c r="M293" i="6"/>
  <c r="G293" i="6"/>
  <c r="F293" i="6"/>
  <c r="C293" i="6"/>
  <c r="B293" i="6"/>
  <c r="A293" i="6"/>
  <c r="M292" i="6"/>
  <c r="G292" i="6"/>
  <c r="F292" i="6"/>
  <c r="C292" i="6"/>
  <c r="B292" i="6"/>
  <c r="A292" i="6"/>
  <c r="M291" i="6"/>
  <c r="G291" i="6"/>
  <c r="F291" i="6"/>
  <c r="C291" i="6"/>
  <c r="B291" i="6"/>
  <c r="A291" i="6"/>
  <c r="M290" i="6"/>
  <c r="G290" i="6"/>
  <c r="F290" i="6"/>
  <c r="C290" i="6"/>
  <c r="B290" i="6"/>
  <c r="A290" i="6"/>
  <c r="M289" i="6"/>
  <c r="G289" i="6"/>
  <c r="F289" i="6"/>
  <c r="C289" i="6"/>
  <c r="B289" i="6"/>
  <c r="A289" i="6"/>
  <c r="M288" i="6"/>
  <c r="G288" i="6"/>
  <c r="F288" i="6"/>
  <c r="C288" i="6"/>
  <c r="B288" i="6"/>
  <c r="A288" i="6"/>
  <c r="M287" i="6"/>
  <c r="G287" i="6"/>
  <c r="F287" i="6"/>
  <c r="C287" i="6"/>
  <c r="B287" i="6"/>
  <c r="A287" i="6"/>
  <c r="M286" i="6"/>
  <c r="G286" i="6"/>
  <c r="F286" i="6"/>
  <c r="C286" i="6"/>
  <c r="B286" i="6"/>
  <c r="A286" i="6"/>
  <c r="M285" i="6"/>
  <c r="G285" i="6"/>
  <c r="F285" i="6"/>
  <c r="C285" i="6"/>
  <c r="B285" i="6"/>
  <c r="A285" i="6"/>
  <c r="M284" i="6"/>
  <c r="G284" i="6"/>
  <c r="F284" i="6"/>
  <c r="C284" i="6"/>
  <c r="B284" i="6"/>
  <c r="A284" i="6"/>
  <c r="M283" i="6"/>
  <c r="G283" i="6"/>
  <c r="F283" i="6"/>
  <c r="C283" i="6"/>
  <c r="B283" i="6"/>
  <c r="A283" i="6"/>
  <c r="M282" i="6"/>
  <c r="G282" i="6"/>
  <c r="F282" i="6"/>
  <c r="C282" i="6"/>
  <c r="B282" i="6"/>
  <c r="A282" i="6"/>
  <c r="M281" i="6"/>
  <c r="G281" i="6"/>
  <c r="F281" i="6"/>
  <c r="C281" i="6"/>
  <c r="B281" i="6"/>
  <c r="A281" i="6"/>
  <c r="M280" i="6"/>
  <c r="G280" i="6"/>
  <c r="F280" i="6"/>
  <c r="C280" i="6"/>
  <c r="B280" i="6"/>
  <c r="A280" i="6"/>
  <c r="M279" i="6"/>
  <c r="G279" i="6"/>
  <c r="F279" i="6"/>
  <c r="C279" i="6"/>
  <c r="B279" i="6"/>
  <c r="A279" i="6"/>
  <c r="M278" i="6"/>
  <c r="G278" i="6"/>
  <c r="F278" i="6"/>
  <c r="C278" i="6"/>
  <c r="B278" i="6"/>
  <c r="A278" i="6"/>
  <c r="M277" i="6"/>
  <c r="G277" i="6"/>
  <c r="F277" i="6"/>
  <c r="C277" i="6"/>
  <c r="B277" i="6"/>
  <c r="A277" i="6"/>
  <c r="M276" i="6"/>
  <c r="G276" i="6"/>
  <c r="F276" i="6"/>
  <c r="C276" i="6"/>
  <c r="B276" i="6"/>
  <c r="A276" i="6"/>
  <c r="M275" i="6"/>
  <c r="G275" i="6"/>
  <c r="F275" i="6"/>
  <c r="C275" i="6"/>
  <c r="B275" i="6"/>
  <c r="A275" i="6"/>
  <c r="M274" i="6"/>
  <c r="G274" i="6"/>
  <c r="F274" i="6"/>
  <c r="C274" i="6"/>
  <c r="B274" i="6"/>
  <c r="A274" i="6"/>
  <c r="M273" i="6"/>
  <c r="G273" i="6"/>
  <c r="F273" i="6"/>
  <c r="C273" i="6"/>
  <c r="B273" i="6"/>
  <c r="A273" i="6"/>
  <c r="M272" i="6"/>
  <c r="G272" i="6"/>
  <c r="F272" i="6"/>
  <c r="C272" i="6"/>
  <c r="B272" i="6"/>
  <c r="A272" i="6"/>
  <c r="M271" i="6"/>
  <c r="G271" i="6"/>
  <c r="F271" i="6"/>
  <c r="C271" i="6"/>
  <c r="B271" i="6"/>
  <c r="A271" i="6"/>
  <c r="M270" i="6"/>
  <c r="G270" i="6"/>
  <c r="F270" i="6"/>
  <c r="C270" i="6"/>
  <c r="B270" i="6"/>
  <c r="A270" i="6"/>
  <c r="M269" i="6"/>
  <c r="G269" i="6"/>
  <c r="F269" i="6"/>
  <c r="C269" i="6"/>
  <c r="B269" i="6"/>
  <c r="A269" i="6"/>
  <c r="M268" i="6"/>
  <c r="G268" i="6"/>
  <c r="F268" i="6"/>
  <c r="C268" i="6"/>
  <c r="B268" i="6"/>
  <c r="A268" i="6"/>
  <c r="M267" i="6"/>
  <c r="G267" i="6"/>
  <c r="F267" i="6"/>
  <c r="C267" i="6"/>
  <c r="B267" i="6"/>
  <c r="A267" i="6"/>
  <c r="M266" i="6"/>
  <c r="G266" i="6"/>
  <c r="F266" i="6"/>
  <c r="C266" i="6"/>
  <c r="B266" i="6"/>
  <c r="A266" i="6"/>
  <c r="M265" i="6"/>
  <c r="G265" i="6"/>
  <c r="F265" i="6"/>
  <c r="C265" i="6"/>
  <c r="B265" i="6"/>
  <c r="A265" i="6"/>
  <c r="M264" i="6"/>
  <c r="G264" i="6"/>
  <c r="F264" i="6"/>
  <c r="C264" i="6"/>
  <c r="B264" i="6"/>
  <c r="A264" i="6"/>
  <c r="M263" i="6"/>
  <c r="G263" i="6"/>
  <c r="F263" i="6"/>
  <c r="C263" i="6"/>
  <c r="B263" i="6"/>
  <c r="A263" i="6"/>
  <c r="M262" i="6"/>
  <c r="G262" i="6"/>
  <c r="F262" i="6"/>
  <c r="C262" i="6"/>
  <c r="B262" i="6"/>
  <c r="A262" i="6"/>
  <c r="M261" i="6"/>
  <c r="G261" i="6"/>
  <c r="F261" i="6"/>
  <c r="C261" i="6"/>
  <c r="B261" i="6"/>
  <c r="A261" i="6"/>
  <c r="M260" i="6"/>
  <c r="G260" i="6"/>
  <c r="F260" i="6"/>
  <c r="C260" i="6"/>
  <c r="B260" i="6"/>
  <c r="A260" i="6"/>
  <c r="M259" i="6"/>
  <c r="G259" i="6"/>
  <c r="F259" i="6"/>
  <c r="C259" i="6"/>
  <c r="B259" i="6"/>
  <c r="A259" i="6"/>
  <c r="M258" i="6"/>
  <c r="G258" i="6"/>
  <c r="F258" i="6"/>
  <c r="C258" i="6"/>
  <c r="B258" i="6"/>
  <c r="A258" i="6"/>
  <c r="M257" i="6"/>
  <c r="G257" i="6"/>
  <c r="F257" i="6"/>
  <c r="C257" i="6"/>
  <c r="B257" i="6"/>
  <c r="A257" i="6"/>
  <c r="M256" i="6"/>
  <c r="G256" i="6"/>
  <c r="F256" i="6"/>
  <c r="C256" i="6"/>
  <c r="B256" i="6"/>
  <c r="A256" i="6"/>
  <c r="M255" i="6"/>
  <c r="G255" i="6"/>
  <c r="F255" i="6"/>
  <c r="C255" i="6"/>
  <c r="B255" i="6"/>
  <c r="A255" i="6"/>
  <c r="M254" i="6"/>
  <c r="G254" i="6"/>
  <c r="F254" i="6"/>
  <c r="C254" i="6"/>
  <c r="B254" i="6"/>
  <c r="A254" i="6"/>
  <c r="M253" i="6"/>
  <c r="G253" i="6"/>
  <c r="F253" i="6"/>
  <c r="C253" i="6"/>
  <c r="B253" i="6"/>
  <c r="A253" i="6"/>
  <c r="M252" i="6"/>
  <c r="G252" i="6"/>
  <c r="F252" i="6"/>
  <c r="C252" i="6"/>
  <c r="B252" i="6"/>
  <c r="A252" i="6"/>
  <c r="M251" i="6"/>
  <c r="G251" i="6"/>
  <c r="F251" i="6"/>
  <c r="C251" i="6"/>
  <c r="B251" i="6"/>
  <c r="A251" i="6"/>
  <c r="M250" i="6"/>
  <c r="G250" i="6"/>
  <c r="F250" i="6"/>
  <c r="C250" i="6"/>
  <c r="B250" i="6"/>
  <c r="A250" i="6"/>
  <c r="M249" i="6"/>
  <c r="G249" i="6"/>
  <c r="F249" i="6"/>
  <c r="C249" i="6"/>
  <c r="B249" i="6"/>
  <c r="A249" i="6"/>
  <c r="M248" i="6"/>
  <c r="G248" i="6"/>
  <c r="F248" i="6"/>
  <c r="C248" i="6"/>
  <c r="B248" i="6"/>
  <c r="A248" i="6"/>
  <c r="M247" i="6"/>
  <c r="G247" i="6"/>
  <c r="F247" i="6"/>
  <c r="C247" i="6"/>
  <c r="B247" i="6"/>
  <c r="A247" i="6"/>
  <c r="M246" i="6"/>
  <c r="G246" i="6"/>
  <c r="F246" i="6"/>
  <c r="C246" i="6"/>
  <c r="B246" i="6"/>
  <c r="A246" i="6"/>
  <c r="M245" i="6"/>
  <c r="G245" i="6"/>
  <c r="F245" i="6"/>
  <c r="C245" i="6"/>
  <c r="B245" i="6"/>
  <c r="A245" i="6"/>
  <c r="M244" i="6"/>
  <c r="G244" i="6"/>
  <c r="F244" i="6"/>
  <c r="C244" i="6"/>
  <c r="B244" i="6"/>
  <c r="A244" i="6"/>
  <c r="M243" i="6"/>
  <c r="G243" i="6"/>
  <c r="F243" i="6"/>
  <c r="C243" i="6"/>
  <c r="B243" i="6"/>
  <c r="A243" i="6"/>
  <c r="M242" i="6"/>
  <c r="G242" i="6"/>
  <c r="F242" i="6"/>
  <c r="C242" i="6"/>
  <c r="B242" i="6"/>
  <c r="A242" i="6"/>
  <c r="M241" i="6"/>
  <c r="G241" i="6"/>
  <c r="F241" i="6"/>
  <c r="C241" i="6"/>
  <c r="B241" i="6"/>
  <c r="A241" i="6"/>
  <c r="M240" i="6"/>
  <c r="G240" i="6"/>
  <c r="F240" i="6"/>
  <c r="C240" i="6"/>
  <c r="B240" i="6"/>
  <c r="A240" i="6"/>
  <c r="M239" i="6"/>
  <c r="G239" i="6"/>
  <c r="F239" i="6"/>
  <c r="C239" i="6"/>
  <c r="B239" i="6"/>
  <c r="A239" i="6"/>
  <c r="M238" i="6"/>
  <c r="G238" i="6"/>
  <c r="F238" i="6"/>
  <c r="C238" i="6"/>
  <c r="B238" i="6"/>
  <c r="A238" i="6"/>
  <c r="M237" i="6"/>
  <c r="G237" i="6"/>
  <c r="F237" i="6"/>
  <c r="C237" i="6"/>
  <c r="B237" i="6"/>
  <c r="A237" i="6"/>
  <c r="M236" i="6"/>
  <c r="G236" i="6"/>
  <c r="F236" i="6"/>
  <c r="C236" i="6"/>
  <c r="B236" i="6"/>
  <c r="A236" i="6"/>
  <c r="M235" i="6"/>
  <c r="G235" i="6"/>
  <c r="F235" i="6"/>
  <c r="C235" i="6"/>
  <c r="B235" i="6"/>
  <c r="A235" i="6"/>
  <c r="M234" i="6"/>
  <c r="G234" i="6"/>
  <c r="F234" i="6"/>
  <c r="C234" i="6"/>
  <c r="B234" i="6"/>
  <c r="A234" i="6"/>
  <c r="M233" i="6"/>
  <c r="G233" i="6"/>
  <c r="F233" i="6"/>
  <c r="C233" i="6"/>
  <c r="B233" i="6"/>
  <c r="A233" i="6"/>
  <c r="M232" i="6"/>
  <c r="G232" i="6"/>
  <c r="F232" i="6"/>
  <c r="C232" i="6"/>
  <c r="B232" i="6"/>
  <c r="A232" i="6"/>
  <c r="M231" i="6"/>
  <c r="G231" i="6"/>
  <c r="F231" i="6"/>
  <c r="C231" i="6"/>
  <c r="B231" i="6"/>
  <c r="A231" i="6"/>
  <c r="M230" i="6"/>
  <c r="G230" i="6"/>
  <c r="F230" i="6"/>
  <c r="C230" i="6"/>
  <c r="B230" i="6"/>
  <c r="A230" i="6"/>
  <c r="M229" i="6"/>
  <c r="G229" i="6"/>
  <c r="F229" i="6"/>
  <c r="C229" i="6"/>
  <c r="B229" i="6"/>
  <c r="A229" i="6"/>
  <c r="M228" i="6"/>
  <c r="G228" i="6"/>
  <c r="F228" i="6"/>
  <c r="C228" i="6"/>
  <c r="B228" i="6"/>
  <c r="A228" i="6"/>
  <c r="M227" i="6"/>
  <c r="G227" i="6"/>
  <c r="F227" i="6"/>
  <c r="C227" i="6"/>
  <c r="B227" i="6"/>
  <c r="A227" i="6"/>
  <c r="M226" i="6"/>
  <c r="G226" i="6"/>
  <c r="F226" i="6"/>
  <c r="C226" i="6"/>
  <c r="B226" i="6"/>
  <c r="A226" i="6"/>
  <c r="M225" i="6"/>
  <c r="G225" i="6"/>
  <c r="F225" i="6"/>
  <c r="C225" i="6"/>
  <c r="B225" i="6"/>
  <c r="A225" i="6"/>
  <c r="M224" i="6"/>
  <c r="G224" i="6"/>
  <c r="F224" i="6"/>
  <c r="C224" i="6"/>
  <c r="B224" i="6"/>
  <c r="A224" i="6"/>
  <c r="M223" i="6"/>
  <c r="G223" i="6"/>
  <c r="F223" i="6"/>
  <c r="C223" i="6"/>
  <c r="B223" i="6"/>
  <c r="A223" i="6"/>
  <c r="M222" i="6"/>
  <c r="G222" i="6"/>
  <c r="F222" i="6"/>
  <c r="C222" i="6"/>
  <c r="B222" i="6"/>
  <c r="A222" i="6"/>
  <c r="M221" i="6"/>
  <c r="G221" i="6"/>
  <c r="F221" i="6"/>
  <c r="C221" i="6"/>
  <c r="B221" i="6"/>
  <c r="A221" i="6"/>
  <c r="M220" i="6"/>
  <c r="G220" i="6"/>
  <c r="F220" i="6"/>
  <c r="C220" i="6"/>
  <c r="B220" i="6"/>
  <c r="A220" i="6"/>
  <c r="M219" i="6"/>
  <c r="G219" i="6"/>
  <c r="F219" i="6"/>
  <c r="C219" i="6"/>
  <c r="B219" i="6"/>
  <c r="A219" i="6"/>
  <c r="M218" i="6"/>
  <c r="G218" i="6"/>
  <c r="F218" i="6"/>
  <c r="C218" i="6"/>
  <c r="B218" i="6"/>
  <c r="A218" i="6"/>
  <c r="M217" i="6"/>
  <c r="G217" i="6"/>
  <c r="F217" i="6"/>
  <c r="C217" i="6"/>
  <c r="B217" i="6"/>
  <c r="A217" i="6"/>
  <c r="M216" i="6"/>
  <c r="G216" i="6"/>
  <c r="F216" i="6"/>
  <c r="C216" i="6"/>
  <c r="B216" i="6"/>
  <c r="A216" i="6"/>
  <c r="M215" i="6"/>
  <c r="G215" i="6"/>
  <c r="F215" i="6"/>
  <c r="C215" i="6"/>
  <c r="B215" i="6"/>
  <c r="A215" i="6"/>
  <c r="M214" i="6"/>
  <c r="G214" i="6"/>
  <c r="F214" i="6"/>
  <c r="C214" i="6"/>
  <c r="B214" i="6"/>
  <c r="A214" i="6"/>
  <c r="M213" i="6"/>
  <c r="G213" i="6"/>
  <c r="F213" i="6"/>
  <c r="C213" i="6"/>
  <c r="B213" i="6"/>
  <c r="A213" i="6"/>
  <c r="M212" i="6"/>
  <c r="G212" i="6"/>
  <c r="F212" i="6"/>
  <c r="C212" i="6"/>
  <c r="B212" i="6"/>
  <c r="A212" i="6"/>
  <c r="M211" i="6"/>
  <c r="G211" i="6"/>
  <c r="F211" i="6"/>
  <c r="C211" i="6"/>
  <c r="B211" i="6"/>
  <c r="A211" i="6"/>
  <c r="M210" i="6"/>
  <c r="G210" i="6"/>
  <c r="F210" i="6"/>
  <c r="C210" i="6"/>
  <c r="B210" i="6"/>
  <c r="A210" i="6"/>
  <c r="M209" i="6"/>
  <c r="G209" i="6"/>
  <c r="F209" i="6"/>
  <c r="C209" i="6"/>
  <c r="B209" i="6"/>
  <c r="A209" i="6"/>
  <c r="M208" i="6"/>
  <c r="G208" i="6"/>
  <c r="F208" i="6"/>
  <c r="C208" i="6"/>
  <c r="B208" i="6"/>
  <c r="A208" i="6"/>
  <c r="M207" i="6"/>
  <c r="G207" i="6"/>
  <c r="F207" i="6"/>
  <c r="C207" i="6"/>
  <c r="B207" i="6"/>
  <c r="A207" i="6"/>
  <c r="M206" i="6"/>
  <c r="G206" i="6"/>
  <c r="F206" i="6"/>
  <c r="C206" i="6"/>
  <c r="B206" i="6"/>
  <c r="A206" i="6"/>
  <c r="M205" i="6"/>
  <c r="G205" i="6"/>
  <c r="F205" i="6"/>
  <c r="C205" i="6"/>
  <c r="B205" i="6"/>
  <c r="A205" i="6"/>
  <c r="M204" i="6"/>
  <c r="G204" i="6"/>
  <c r="F204" i="6"/>
  <c r="C204" i="6"/>
  <c r="B204" i="6"/>
  <c r="A204" i="6"/>
  <c r="M203" i="6"/>
  <c r="G203" i="6"/>
  <c r="F203" i="6"/>
  <c r="C203" i="6"/>
  <c r="B203" i="6"/>
  <c r="A203" i="6"/>
  <c r="M202" i="6"/>
  <c r="G202" i="6"/>
  <c r="F202" i="6"/>
  <c r="C202" i="6"/>
  <c r="B202" i="6"/>
  <c r="A202" i="6"/>
  <c r="M201" i="6"/>
  <c r="G201" i="6"/>
  <c r="F201" i="6"/>
  <c r="C201" i="6"/>
  <c r="B201" i="6"/>
  <c r="A201" i="6"/>
  <c r="M200" i="6"/>
  <c r="G200" i="6"/>
  <c r="F200" i="6"/>
  <c r="C200" i="6"/>
  <c r="B200" i="6"/>
  <c r="A200" i="6"/>
  <c r="M199" i="6"/>
  <c r="G199" i="6"/>
  <c r="F199" i="6"/>
  <c r="C199" i="6"/>
  <c r="B199" i="6"/>
  <c r="A199" i="6"/>
  <c r="M198" i="6"/>
  <c r="G198" i="6"/>
  <c r="F198" i="6"/>
  <c r="C198" i="6"/>
  <c r="B198" i="6"/>
  <c r="A198" i="6"/>
  <c r="M197" i="6"/>
  <c r="G197" i="6"/>
  <c r="F197" i="6"/>
  <c r="C197" i="6"/>
  <c r="B197" i="6"/>
  <c r="A197" i="6"/>
  <c r="M196" i="6"/>
  <c r="G196" i="6"/>
  <c r="F196" i="6"/>
  <c r="C196" i="6"/>
  <c r="B196" i="6"/>
  <c r="A196" i="6"/>
  <c r="M195" i="6"/>
  <c r="G195" i="6"/>
  <c r="F195" i="6"/>
  <c r="C195" i="6"/>
  <c r="B195" i="6"/>
  <c r="A195" i="6"/>
  <c r="M194" i="6"/>
  <c r="G194" i="6"/>
  <c r="F194" i="6"/>
  <c r="C194" i="6"/>
  <c r="B194" i="6"/>
  <c r="A194" i="6"/>
  <c r="M193" i="6"/>
  <c r="G193" i="6"/>
  <c r="F193" i="6"/>
  <c r="C193" i="6"/>
  <c r="B193" i="6"/>
  <c r="A193" i="6"/>
  <c r="M192" i="6"/>
  <c r="G192" i="6"/>
  <c r="F192" i="6"/>
  <c r="C192" i="6"/>
  <c r="B192" i="6"/>
  <c r="A192" i="6"/>
  <c r="M191" i="6"/>
  <c r="G191" i="6"/>
  <c r="F191" i="6"/>
  <c r="C191" i="6"/>
  <c r="B191" i="6"/>
  <c r="A191" i="6"/>
  <c r="M190" i="6"/>
  <c r="G190" i="6"/>
  <c r="F190" i="6"/>
  <c r="C190" i="6"/>
  <c r="B190" i="6"/>
  <c r="A190" i="6"/>
  <c r="M189" i="6"/>
  <c r="G189" i="6"/>
  <c r="F189" i="6"/>
  <c r="C189" i="6"/>
  <c r="B189" i="6"/>
  <c r="A189" i="6"/>
  <c r="M188" i="6"/>
  <c r="G188" i="6"/>
  <c r="F188" i="6"/>
  <c r="C188" i="6"/>
  <c r="B188" i="6"/>
  <c r="A188" i="6"/>
  <c r="M187" i="6"/>
  <c r="G187" i="6"/>
  <c r="F187" i="6"/>
  <c r="C187" i="6"/>
  <c r="B187" i="6"/>
  <c r="A187" i="6"/>
  <c r="M186" i="6"/>
  <c r="G186" i="6"/>
  <c r="F186" i="6"/>
  <c r="C186" i="6"/>
  <c r="B186" i="6"/>
  <c r="A186" i="6"/>
  <c r="M185" i="6"/>
  <c r="G185" i="6"/>
  <c r="F185" i="6"/>
  <c r="C185" i="6"/>
  <c r="B185" i="6"/>
  <c r="A185" i="6"/>
  <c r="M184" i="6"/>
  <c r="G184" i="6"/>
  <c r="F184" i="6"/>
  <c r="C184" i="6"/>
  <c r="B184" i="6"/>
  <c r="A184" i="6"/>
  <c r="M183" i="6"/>
  <c r="G183" i="6"/>
  <c r="F183" i="6"/>
  <c r="C183" i="6"/>
  <c r="B183" i="6"/>
  <c r="A183" i="6"/>
  <c r="M182" i="6"/>
  <c r="G182" i="6"/>
  <c r="F182" i="6"/>
  <c r="C182" i="6"/>
  <c r="B182" i="6"/>
  <c r="A182" i="6"/>
  <c r="M181" i="6"/>
  <c r="G181" i="6"/>
  <c r="F181" i="6"/>
  <c r="C181" i="6"/>
  <c r="B181" i="6"/>
  <c r="A181" i="6"/>
  <c r="M180" i="6"/>
  <c r="G180" i="6"/>
  <c r="F180" i="6"/>
  <c r="C180" i="6"/>
  <c r="B180" i="6"/>
  <c r="A180" i="6"/>
  <c r="M179" i="6"/>
  <c r="G179" i="6"/>
  <c r="F179" i="6"/>
  <c r="C179" i="6"/>
  <c r="B179" i="6"/>
  <c r="A179" i="6"/>
  <c r="M178" i="6"/>
  <c r="G178" i="6"/>
  <c r="F178" i="6"/>
  <c r="C178" i="6"/>
  <c r="B178" i="6"/>
  <c r="A178" i="6"/>
  <c r="M177" i="6"/>
  <c r="G177" i="6"/>
  <c r="F177" i="6"/>
  <c r="C177" i="6"/>
  <c r="B177" i="6"/>
  <c r="A177" i="6"/>
  <c r="M176" i="6"/>
  <c r="G176" i="6"/>
  <c r="F176" i="6"/>
  <c r="C176" i="6"/>
  <c r="B176" i="6"/>
  <c r="A176" i="6"/>
  <c r="M175" i="6"/>
  <c r="G175" i="6"/>
  <c r="F175" i="6"/>
  <c r="C175" i="6"/>
  <c r="B175" i="6"/>
  <c r="A175" i="6"/>
  <c r="M174" i="6"/>
  <c r="G174" i="6"/>
  <c r="F174" i="6"/>
  <c r="C174" i="6"/>
  <c r="B174" i="6"/>
  <c r="A174" i="6"/>
  <c r="M173" i="6"/>
  <c r="G173" i="6"/>
  <c r="F173" i="6"/>
  <c r="C173" i="6"/>
  <c r="B173" i="6"/>
  <c r="A173" i="6"/>
  <c r="M172" i="6"/>
  <c r="G172" i="6"/>
  <c r="F172" i="6"/>
  <c r="C172" i="6"/>
  <c r="B172" i="6"/>
  <c r="A172" i="6"/>
  <c r="M171" i="6"/>
  <c r="G171" i="6"/>
  <c r="F171" i="6"/>
  <c r="C171" i="6"/>
  <c r="B171" i="6"/>
  <c r="A171" i="6"/>
  <c r="M170" i="6"/>
  <c r="G170" i="6"/>
  <c r="F170" i="6"/>
  <c r="C170" i="6"/>
  <c r="B170" i="6"/>
  <c r="A170" i="6"/>
  <c r="M169" i="6"/>
  <c r="G169" i="6"/>
  <c r="F169" i="6"/>
  <c r="C169" i="6"/>
  <c r="B169" i="6"/>
  <c r="A169" i="6"/>
  <c r="M168" i="6"/>
  <c r="G168" i="6"/>
  <c r="F168" i="6"/>
  <c r="C168" i="6"/>
  <c r="B168" i="6"/>
  <c r="A168" i="6"/>
  <c r="M167" i="6"/>
  <c r="G167" i="6"/>
  <c r="F167" i="6"/>
  <c r="C167" i="6"/>
  <c r="B167" i="6"/>
  <c r="A167" i="6"/>
  <c r="M166" i="6"/>
  <c r="G166" i="6"/>
  <c r="F166" i="6"/>
  <c r="C166" i="6"/>
  <c r="B166" i="6"/>
  <c r="A166" i="6"/>
  <c r="M165" i="6"/>
  <c r="G165" i="6"/>
  <c r="F165" i="6"/>
  <c r="C165" i="6"/>
  <c r="B165" i="6"/>
  <c r="A165" i="6"/>
  <c r="M164" i="6"/>
  <c r="G164" i="6"/>
  <c r="F164" i="6"/>
  <c r="C164" i="6"/>
  <c r="B164" i="6"/>
  <c r="A164" i="6"/>
  <c r="M163" i="6"/>
  <c r="G163" i="6"/>
  <c r="F163" i="6"/>
  <c r="C163" i="6"/>
  <c r="B163" i="6"/>
  <c r="A163" i="6"/>
  <c r="M162" i="6"/>
  <c r="G162" i="6"/>
  <c r="F162" i="6"/>
  <c r="C162" i="6"/>
  <c r="B162" i="6"/>
  <c r="A162" i="6"/>
  <c r="M161" i="6"/>
  <c r="G161" i="6"/>
  <c r="F161" i="6"/>
  <c r="C161" i="6"/>
  <c r="B161" i="6"/>
  <c r="A161" i="6"/>
  <c r="M160" i="6"/>
  <c r="G160" i="6"/>
  <c r="F160" i="6"/>
  <c r="C160" i="6"/>
  <c r="B160" i="6"/>
  <c r="A160" i="6"/>
  <c r="M159" i="6"/>
  <c r="G159" i="6"/>
  <c r="F159" i="6"/>
  <c r="C159" i="6"/>
  <c r="B159" i="6"/>
  <c r="A159" i="6"/>
  <c r="M158" i="6"/>
  <c r="G158" i="6"/>
  <c r="F158" i="6"/>
  <c r="C158" i="6"/>
  <c r="B158" i="6"/>
  <c r="A158" i="6"/>
  <c r="M157" i="6"/>
  <c r="G157" i="6"/>
  <c r="F157" i="6"/>
  <c r="C157" i="6"/>
  <c r="B157" i="6"/>
  <c r="A157" i="6"/>
  <c r="M156" i="6"/>
  <c r="G156" i="6"/>
  <c r="F156" i="6"/>
  <c r="C156" i="6"/>
  <c r="B156" i="6"/>
  <c r="A156" i="6"/>
  <c r="M155" i="6"/>
  <c r="G155" i="6"/>
  <c r="F155" i="6"/>
  <c r="C155" i="6"/>
  <c r="B155" i="6"/>
  <c r="A155" i="6"/>
  <c r="M154" i="6"/>
  <c r="G154" i="6"/>
  <c r="F154" i="6"/>
  <c r="C154" i="6"/>
  <c r="B154" i="6"/>
  <c r="A154" i="6"/>
  <c r="M153" i="6"/>
  <c r="G153" i="6"/>
  <c r="F153" i="6"/>
  <c r="C153" i="6"/>
  <c r="B153" i="6"/>
  <c r="A153" i="6"/>
  <c r="M152" i="6"/>
  <c r="G152" i="6"/>
  <c r="F152" i="6"/>
  <c r="C152" i="6"/>
  <c r="B152" i="6"/>
  <c r="A152" i="6"/>
  <c r="M151" i="6"/>
  <c r="G151" i="6"/>
  <c r="F151" i="6"/>
  <c r="C151" i="6"/>
  <c r="B151" i="6"/>
  <c r="A151" i="6"/>
  <c r="M150" i="6"/>
  <c r="G150" i="6"/>
  <c r="F150" i="6"/>
  <c r="C150" i="6"/>
  <c r="B150" i="6"/>
  <c r="A150" i="6"/>
  <c r="M149" i="6"/>
  <c r="G149" i="6"/>
  <c r="F149" i="6"/>
  <c r="C149" i="6"/>
  <c r="B149" i="6"/>
  <c r="A149" i="6"/>
  <c r="M148" i="6"/>
  <c r="G148" i="6"/>
  <c r="F148" i="6"/>
  <c r="C148" i="6"/>
  <c r="B148" i="6"/>
  <c r="A148" i="6"/>
  <c r="M147" i="6"/>
  <c r="G147" i="6"/>
  <c r="F147" i="6"/>
  <c r="C147" i="6"/>
  <c r="B147" i="6"/>
  <c r="A147" i="6"/>
  <c r="M146" i="6"/>
  <c r="G146" i="6"/>
  <c r="F146" i="6"/>
  <c r="C146" i="6"/>
  <c r="B146" i="6"/>
  <c r="A146" i="6"/>
  <c r="M145" i="6"/>
  <c r="G145" i="6"/>
  <c r="F145" i="6"/>
  <c r="C145" i="6"/>
  <c r="B145" i="6"/>
  <c r="A145" i="6"/>
  <c r="M144" i="6"/>
  <c r="G144" i="6"/>
  <c r="F144" i="6"/>
  <c r="C144" i="6"/>
  <c r="B144" i="6"/>
  <c r="A144" i="6"/>
  <c r="M143" i="6"/>
  <c r="G143" i="6"/>
  <c r="F143" i="6"/>
  <c r="C143" i="6"/>
  <c r="B143" i="6"/>
  <c r="A143" i="6"/>
  <c r="M142" i="6"/>
  <c r="G142" i="6"/>
  <c r="F142" i="6"/>
  <c r="C142" i="6"/>
  <c r="B142" i="6"/>
  <c r="A142" i="6"/>
  <c r="M141" i="6"/>
  <c r="G141" i="6"/>
  <c r="F141" i="6"/>
  <c r="C141" i="6"/>
  <c r="B141" i="6"/>
  <c r="A141" i="6"/>
  <c r="M140" i="6"/>
  <c r="G140" i="6"/>
  <c r="F140" i="6"/>
  <c r="C140" i="6"/>
  <c r="B140" i="6"/>
  <c r="A140" i="6"/>
  <c r="M139" i="6"/>
  <c r="G139" i="6"/>
  <c r="F139" i="6"/>
  <c r="C139" i="6"/>
  <c r="B139" i="6"/>
  <c r="A139" i="6"/>
  <c r="M138" i="6"/>
  <c r="G138" i="6"/>
  <c r="F138" i="6"/>
  <c r="C138" i="6"/>
  <c r="B138" i="6"/>
  <c r="A138" i="6"/>
  <c r="M137" i="6"/>
  <c r="G137" i="6"/>
  <c r="F137" i="6"/>
  <c r="C137" i="6"/>
  <c r="B137" i="6"/>
  <c r="A137" i="6"/>
  <c r="M136" i="6"/>
  <c r="G136" i="6"/>
  <c r="F136" i="6"/>
  <c r="C136" i="6"/>
  <c r="B136" i="6"/>
  <c r="A136" i="6"/>
  <c r="M135" i="6"/>
  <c r="G135" i="6"/>
  <c r="F135" i="6"/>
  <c r="C135" i="6"/>
  <c r="B135" i="6"/>
  <c r="A135" i="6"/>
  <c r="M134" i="6"/>
  <c r="G134" i="6"/>
  <c r="F134" i="6"/>
  <c r="C134" i="6"/>
  <c r="B134" i="6"/>
  <c r="A134" i="6"/>
  <c r="M133" i="6"/>
  <c r="G133" i="6"/>
  <c r="F133" i="6"/>
  <c r="C133" i="6"/>
  <c r="B133" i="6"/>
  <c r="A133" i="6"/>
  <c r="M132" i="6"/>
  <c r="G132" i="6"/>
  <c r="F132" i="6"/>
  <c r="C132" i="6"/>
  <c r="B132" i="6"/>
  <c r="A132" i="6"/>
  <c r="M131" i="6"/>
  <c r="G131" i="6"/>
  <c r="F131" i="6"/>
  <c r="C131" i="6"/>
  <c r="B131" i="6"/>
  <c r="A131" i="6"/>
  <c r="M130" i="6"/>
  <c r="G130" i="6"/>
  <c r="F130" i="6"/>
  <c r="C130" i="6"/>
  <c r="B130" i="6"/>
  <c r="A130" i="6"/>
  <c r="M129" i="6"/>
  <c r="G129" i="6"/>
  <c r="F129" i="6"/>
  <c r="C129" i="6"/>
  <c r="B129" i="6"/>
  <c r="A129" i="6"/>
  <c r="M128" i="6"/>
  <c r="G128" i="6"/>
  <c r="F128" i="6"/>
  <c r="C128" i="6"/>
  <c r="B128" i="6"/>
  <c r="A128" i="6"/>
  <c r="M127" i="6"/>
  <c r="G127" i="6"/>
  <c r="F127" i="6"/>
  <c r="C127" i="6"/>
  <c r="B127" i="6"/>
  <c r="A127" i="6"/>
  <c r="M126" i="6"/>
  <c r="G126" i="6"/>
  <c r="F126" i="6"/>
  <c r="C126" i="6"/>
  <c r="B126" i="6"/>
  <c r="A126" i="6"/>
  <c r="M125" i="6"/>
  <c r="G125" i="6"/>
  <c r="F125" i="6"/>
  <c r="C125" i="6"/>
  <c r="B125" i="6"/>
  <c r="A125" i="6"/>
  <c r="M124" i="6"/>
  <c r="G124" i="6"/>
  <c r="F124" i="6"/>
  <c r="C124" i="6"/>
  <c r="B124" i="6"/>
  <c r="A124" i="6"/>
  <c r="M123" i="6"/>
  <c r="G123" i="6"/>
  <c r="F123" i="6"/>
  <c r="C123" i="6"/>
  <c r="B123" i="6"/>
  <c r="A123" i="6"/>
  <c r="M122" i="6"/>
  <c r="G122" i="6"/>
  <c r="F122" i="6"/>
  <c r="C122" i="6"/>
  <c r="B122" i="6"/>
  <c r="A122" i="6"/>
  <c r="M121" i="6"/>
  <c r="G121" i="6"/>
  <c r="F121" i="6"/>
  <c r="C121" i="6"/>
  <c r="B121" i="6"/>
  <c r="A121" i="6"/>
  <c r="M120" i="6"/>
  <c r="G120" i="6"/>
  <c r="F120" i="6"/>
  <c r="C120" i="6"/>
  <c r="B120" i="6"/>
  <c r="A120" i="6"/>
  <c r="M119" i="6"/>
  <c r="G119" i="6"/>
  <c r="F119" i="6"/>
  <c r="C119" i="6"/>
  <c r="B119" i="6"/>
  <c r="A119" i="6"/>
  <c r="M118" i="6"/>
  <c r="G118" i="6"/>
  <c r="F118" i="6"/>
  <c r="C118" i="6"/>
  <c r="B118" i="6"/>
  <c r="A118" i="6"/>
  <c r="M117" i="6"/>
  <c r="G117" i="6"/>
  <c r="F117" i="6"/>
  <c r="C117" i="6"/>
  <c r="B117" i="6"/>
  <c r="A117" i="6"/>
  <c r="M116" i="6"/>
  <c r="G116" i="6"/>
  <c r="F116" i="6"/>
  <c r="C116" i="6"/>
  <c r="B116" i="6"/>
  <c r="A116" i="6"/>
  <c r="M115" i="6"/>
  <c r="G115" i="6"/>
  <c r="F115" i="6"/>
  <c r="C115" i="6"/>
  <c r="B115" i="6"/>
  <c r="A115" i="6"/>
  <c r="M114" i="6"/>
  <c r="G114" i="6"/>
  <c r="F114" i="6"/>
  <c r="C114" i="6"/>
  <c r="B114" i="6"/>
  <c r="A114" i="6"/>
  <c r="M113" i="6"/>
  <c r="G113" i="6"/>
  <c r="F113" i="6"/>
  <c r="C113" i="6"/>
  <c r="B113" i="6"/>
  <c r="A113" i="6"/>
  <c r="M112" i="6"/>
  <c r="G112" i="6"/>
  <c r="F112" i="6"/>
  <c r="C112" i="6"/>
  <c r="B112" i="6"/>
  <c r="A112" i="6"/>
  <c r="M111" i="6"/>
  <c r="G111" i="6"/>
  <c r="F111" i="6"/>
  <c r="C111" i="6"/>
  <c r="B111" i="6"/>
  <c r="A111" i="6"/>
  <c r="M110" i="6"/>
  <c r="G110" i="6"/>
  <c r="F110" i="6"/>
  <c r="C110" i="6"/>
  <c r="B110" i="6"/>
  <c r="A110" i="6"/>
  <c r="M109" i="6"/>
  <c r="G109" i="6"/>
  <c r="F109" i="6"/>
  <c r="C109" i="6"/>
  <c r="B109" i="6"/>
  <c r="A109" i="6"/>
  <c r="M108" i="6"/>
  <c r="G108" i="6"/>
  <c r="F108" i="6"/>
  <c r="C108" i="6"/>
  <c r="B108" i="6"/>
  <c r="A108" i="6"/>
  <c r="M107" i="6"/>
  <c r="G107" i="6"/>
  <c r="F107" i="6"/>
  <c r="C107" i="6"/>
  <c r="B107" i="6"/>
  <c r="A107" i="6"/>
  <c r="M106" i="6"/>
  <c r="G106" i="6"/>
  <c r="F106" i="6"/>
  <c r="C106" i="6"/>
  <c r="B106" i="6"/>
  <c r="A106" i="6"/>
  <c r="M105" i="6"/>
  <c r="G105" i="6"/>
  <c r="F105" i="6"/>
  <c r="C105" i="6"/>
  <c r="B105" i="6"/>
  <c r="A105" i="6"/>
  <c r="M104" i="6"/>
  <c r="G104" i="6"/>
  <c r="F104" i="6"/>
  <c r="C104" i="6"/>
  <c r="B104" i="6"/>
  <c r="A104" i="6"/>
  <c r="M103" i="6"/>
  <c r="G103" i="6"/>
  <c r="F103" i="6"/>
  <c r="C103" i="6"/>
  <c r="B103" i="6"/>
  <c r="A103" i="6"/>
  <c r="M102" i="6"/>
  <c r="G102" i="6"/>
  <c r="F102" i="6"/>
  <c r="C102" i="6"/>
  <c r="B102" i="6"/>
  <c r="A102" i="6"/>
  <c r="M101" i="6"/>
  <c r="G101" i="6"/>
  <c r="F101" i="6"/>
  <c r="C101" i="6"/>
  <c r="B101" i="6"/>
  <c r="A101" i="6"/>
  <c r="M100" i="6"/>
  <c r="G100" i="6"/>
  <c r="F100" i="6"/>
  <c r="C100" i="6"/>
  <c r="B100" i="6"/>
  <c r="A100" i="6"/>
  <c r="M99" i="6"/>
  <c r="G99" i="6"/>
  <c r="F99" i="6"/>
  <c r="C99" i="6"/>
  <c r="B99" i="6"/>
  <c r="A99" i="6"/>
  <c r="M98" i="6"/>
  <c r="G98" i="6"/>
  <c r="F98" i="6"/>
  <c r="C98" i="6"/>
  <c r="B98" i="6"/>
  <c r="A98" i="6"/>
  <c r="M97" i="6"/>
  <c r="G97" i="6"/>
  <c r="F97" i="6"/>
  <c r="C97" i="6"/>
  <c r="B97" i="6"/>
  <c r="A97" i="6"/>
  <c r="M96" i="6"/>
  <c r="G96" i="6"/>
  <c r="F96" i="6"/>
  <c r="C96" i="6"/>
  <c r="B96" i="6"/>
  <c r="A96" i="6"/>
  <c r="M95" i="6"/>
  <c r="G95" i="6"/>
  <c r="F95" i="6"/>
  <c r="C95" i="6"/>
  <c r="B95" i="6"/>
  <c r="A95" i="6"/>
  <c r="M94" i="6"/>
  <c r="G94" i="6"/>
  <c r="F94" i="6"/>
  <c r="C94" i="6"/>
  <c r="B94" i="6"/>
  <c r="A94" i="6"/>
  <c r="M93" i="6"/>
  <c r="G93" i="6"/>
  <c r="F93" i="6"/>
  <c r="C93" i="6"/>
  <c r="B93" i="6"/>
  <c r="A93" i="6"/>
  <c r="M92" i="6"/>
  <c r="G92" i="6"/>
  <c r="F92" i="6"/>
  <c r="C92" i="6"/>
  <c r="B92" i="6"/>
  <c r="A92" i="6"/>
  <c r="M91" i="6"/>
  <c r="G91" i="6"/>
  <c r="F91" i="6"/>
  <c r="C91" i="6"/>
  <c r="B91" i="6"/>
  <c r="A91" i="6"/>
  <c r="M90" i="6"/>
  <c r="G90" i="6"/>
  <c r="F90" i="6"/>
  <c r="C90" i="6"/>
  <c r="B90" i="6"/>
  <c r="A90" i="6"/>
  <c r="M89" i="6"/>
  <c r="G89" i="6"/>
  <c r="F89" i="6"/>
  <c r="C89" i="6"/>
  <c r="B89" i="6"/>
  <c r="A89" i="6"/>
  <c r="M88" i="6"/>
  <c r="G88" i="6"/>
  <c r="F88" i="6"/>
  <c r="C88" i="6"/>
  <c r="B88" i="6"/>
  <c r="A88" i="6"/>
  <c r="M87" i="6"/>
  <c r="G87" i="6"/>
  <c r="F87" i="6"/>
  <c r="C87" i="6"/>
  <c r="B87" i="6"/>
  <c r="A87" i="6"/>
  <c r="M86" i="6"/>
  <c r="G86" i="6"/>
  <c r="F86" i="6"/>
  <c r="C86" i="6"/>
  <c r="B86" i="6"/>
  <c r="A86" i="6"/>
  <c r="M85" i="6"/>
  <c r="G85" i="6"/>
  <c r="F85" i="6"/>
  <c r="C85" i="6"/>
  <c r="B85" i="6"/>
  <c r="A85" i="6"/>
  <c r="M84" i="6"/>
  <c r="G84" i="6"/>
  <c r="F84" i="6"/>
  <c r="C84" i="6"/>
  <c r="B84" i="6"/>
  <c r="A84" i="6"/>
  <c r="M83" i="6"/>
  <c r="G83" i="6"/>
  <c r="F83" i="6"/>
  <c r="C83" i="6"/>
  <c r="B83" i="6"/>
  <c r="A83" i="6"/>
  <c r="M82" i="6"/>
  <c r="G82" i="6"/>
  <c r="F82" i="6"/>
  <c r="C82" i="6"/>
  <c r="B82" i="6"/>
  <c r="A82" i="6"/>
  <c r="M81" i="6"/>
  <c r="G81" i="6"/>
  <c r="F81" i="6"/>
  <c r="C81" i="6"/>
  <c r="B81" i="6"/>
  <c r="A81" i="6"/>
  <c r="M80" i="6"/>
  <c r="G80" i="6"/>
  <c r="F80" i="6"/>
  <c r="C80" i="6"/>
  <c r="B80" i="6"/>
  <c r="A80" i="6"/>
  <c r="M79" i="6"/>
  <c r="G79" i="6"/>
  <c r="F79" i="6"/>
  <c r="C79" i="6"/>
  <c r="B79" i="6"/>
  <c r="A79" i="6"/>
  <c r="M78" i="6"/>
  <c r="G78" i="6"/>
  <c r="F78" i="6"/>
  <c r="C78" i="6"/>
  <c r="B78" i="6"/>
  <c r="A78" i="6"/>
  <c r="M77" i="6"/>
  <c r="G77" i="6"/>
  <c r="F77" i="6"/>
  <c r="C77" i="6"/>
  <c r="B77" i="6"/>
  <c r="A77" i="6"/>
  <c r="M76" i="6"/>
  <c r="G76" i="6"/>
  <c r="F76" i="6"/>
  <c r="C76" i="6"/>
  <c r="B76" i="6"/>
  <c r="A76" i="6"/>
  <c r="M75" i="6"/>
  <c r="G75" i="6"/>
  <c r="F75" i="6"/>
  <c r="C75" i="6"/>
  <c r="B75" i="6"/>
  <c r="A75" i="6"/>
  <c r="M74" i="6"/>
  <c r="G74" i="6"/>
  <c r="F74" i="6"/>
  <c r="C74" i="6"/>
  <c r="B74" i="6"/>
  <c r="A74" i="6"/>
  <c r="M73" i="6"/>
  <c r="G73" i="6"/>
  <c r="F73" i="6"/>
  <c r="C73" i="6"/>
  <c r="B73" i="6"/>
  <c r="A73" i="6"/>
  <c r="M72" i="6"/>
  <c r="G72" i="6"/>
  <c r="F72" i="6"/>
  <c r="C72" i="6"/>
  <c r="B72" i="6"/>
  <c r="A72" i="6"/>
  <c r="M71" i="6"/>
  <c r="G71" i="6"/>
  <c r="F71" i="6"/>
  <c r="C71" i="6"/>
  <c r="B71" i="6"/>
  <c r="A71" i="6"/>
  <c r="M70" i="6"/>
  <c r="G70" i="6"/>
  <c r="F70" i="6"/>
  <c r="C70" i="6"/>
  <c r="B70" i="6"/>
  <c r="A70" i="6"/>
  <c r="M69" i="6"/>
  <c r="G69" i="6"/>
  <c r="F69" i="6"/>
  <c r="C69" i="6"/>
  <c r="B69" i="6"/>
  <c r="A69" i="6"/>
  <c r="M68" i="6"/>
  <c r="G68" i="6"/>
  <c r="F68" i="6"/>
  <c r="C68" i="6"/>
  <c r="B68" i="6"/>
  <c r="A68" i="6"/>
  <c r="M67" i="6"/>
  <c r="G67" i="6"/>
  <c r="F67" i="6"/>
  <c r="C67" i="6"/>
  <c r="B67" i="6"/>
  <c r="A67" i="6"/>
  <c r="M66" i="6"/>
  <c r="G66" i="6"/>
  <c r="F66" i="6"/>
  <c r="C66" i="6"/>
  <c r="B66" i="6"/>
  <c r="A66" i="6"/>
  <c r="M65" i="6"/>
  <c r="G65" i="6"/>
  <c r="F65" i="6"/>
  <c r="C65" i="6"/>
  <c r="B65" i="6"/>
  <c r="A65" i="6"/>
  <c r="M64" i="6"/>
  <c r="G64" i="6"/>
  <c r="F64" i="6"/>
  <c r="C64" i="6"/>
  <c r="B64" i="6"/>
  <c r="A64" i="6"/>
  <c r="M63" i="6"/>
  <c r="G63" i="6"/>
  <c r="F63" i="6"/>
  <c r="C63" i="6"/>
  <c r="B63" i="6"/>
  <c r="A63" i="6"/>
  <c r="M62" i="6"/>
  <c r="G62" i="6"/>
  <c r="F62" i="6"/>
  <c r="C62" i="6"/>
  <c r="B62" i="6"/>
  <c r="A62" i="6"/>
  <c r="M61" i="6"/>
  <c r="G61" i="6"/>
  <c r="F61" i="6"/>
  <c r="C61" i="6"/>
  <c r="B61" i="6"/>
  <c r="A61" i="6"/>
  <c r="M60" i="6"/>
  <c r="G60" i="6"/>
  <c r="F60" i="6"/>
  <c r="C60" i="6"/>
  <c r="B60" i="6"/>
  <c r="A60" i="6"/>
  <c r="M59" i="6"/>
  <c r="G59" i="6"/>
  <c r="F59" i="6"/>
  <c r="C59" i="6"/>
  <c r="B59" i="6"/>
  <c r="A59" i="6"/>
  <c r="M58" i="6"/>
  <c r="G58" i="6"/>
  <c r="F58" i="6"/>
  <c r="C58" i="6"/>
  <c r="B58" i="6"/>
  <c r="A58" i="6"/>
  <c r="M57" i="6"/>
  <c r="G57" i="6"/>
  <c r="F57" i="6"/>
  <c r="C57" i="6"/>
  <c r="B57" i="6"/>
  <c r="A57" i="6"/>
  <c r="M56" i="6"/>
  <c r="G56" i="6"/>
  <c r="F56" i="6"/>
  <c r="C56" i="6"/>
  <c r="B56" i="6"/>
  <c r="A56" i="6"/>
  <c r="M55" i="6"/>
  <c r="G55" i="6"/>
  <c r="F55" i="6"/>
  <c r="C55" i="6"/>
  <c r="B55" i="6"/>
  <c r="A55" i="6"/>
  <c r="M54" i="6"/>
  <c r="G54" i="6"/>
  <c r="F54" i="6"/>
  <c r="C54" i="6"/>
  <c r="B54" i="6"/>
  <c r="A54" i="6"/>
  <c r="M53" i="6"/>
  <c r="G53" i="6"/>
  <c r="F53" i="6"/>
  <c r="C53" i="6"/>
  <c r="B53" i="6"/>
  <c r="A53" i="6"/>
  <c r="M52" i="6"/>
  <c r="G52" i="6"/>
  <c r="F52" i="6"/>
  <c r="C52" i="6"/>
  <c r="B52" i="6"/>
  <c r="A52" i="6"/>
  <c r="M51" i="6"/>
  <c r="G51" i="6"/>
  <c r="F51" i="6"/>
  <c r="C51" i="6"/>
  <c r="B51" i="6"/>
  <c r="A51" i="6"/>
  <c r="M50" i="6"/>
  <c r="G50" i="6"/>
  <c r="F50" i="6"/>
  <c r="C50" i="6"/>
  <c r="B50" i="6"/>
  <c r="A50" i="6"/>
  <c r="M49" i="6"/>
  <c r="G49" i="6"/>
  <c r="F49" i="6"/>
  <c r="C49" i="6"/>
  <c r="B49" i="6"/>
  <c r="A49" i="6"/>
  <c r="M48" i="6"/>
  <c r="G48" i="6"/>
  <c r="F48" i="6"/>
  <c r="C48" i="6"/>
  <c r="B48" i="6"/>
  <c r="A48" i="6"/>
  <c r="M47" i="6"/>
  <c r="G47" i="6"/>
  <c r="F47" i="6"/>
  <c r="C47" i="6"/>
  <c r="B47" i="6"/>
  <c r="A47" i="6"/>
  <c r="M46" i="6"/>
  <c r="G46" i="6"/>
  <c r="F46" i="6"/>
  <c r="C46" i="6"/>
  <c r="B46" i="6"/>
  <c r="A46" i="6"/>
  <c r="M45" i="6"/>
  <c r="G45" i="6"/>
  <c r="F45" i="6"/>
  <c r="C45" i="6"/>
  <c r="B45" i="6"/>
  <c r="A45" i="6"/>
  <c r="M44" i="6"/>
  <c r="G44" i="6"/>
  <c r="F44" i="6"/>
  <c r="C44" i="6"/>
  <c r="B44" i="6"/>
  <c r="A44" i="6"/>
  <c r="M43" i="6"/>
  <c r="G43" i="6"/>
  <c r="F43" i="6"/>
  <c r="C43" i="6"/>
  <c r="B43" i="6"/>
  <c r="A43" i="6"/>
  <c r="M42" i="6"/>
  <c r="G42" i="6"/>
  <c r="F42" i="6"/>
  <c r="C42" i="6"/>
  <c r="B42" i="6"/>
  <c r="A42" i="6"/>
  <c r="M41" i="6"/>
  <c r="G41" i="6"/>
  <c r="F41" i="6"/>
  <c r="C41" i="6"/>
  <c r="B41" i="6"/>
  <c r="A41" i="6"/>
  <c r="M40" i="6"/>
  <c r="G40" i="6"/>
  <c r="F40" i="6"/>
  <c r="C40" i="6"/>
  <c r="B40" i="6"/>
  <c r="A40" i="6"/>
  <c r="M39" i="6"/>
  <c r="G39" i="6"/>
  <c r="F39" i="6"/>
  <c r="C39" i="6"/>
  <c r="B39" i="6"/>
  <c r="A39" i="6"/>
  <c r="M38" i="6"/>
  <c r="G38" i="6"/>
  <c r="F38" i="6"/>
  <c r="C38" i="6"/>
  <c r="B38" i="6"/>
  <c r="A38" i="6"/>
  <c r="M37" i="6"/>
  <c r="G37" i="6"/>
  <c r="F37" i="6"/>
  <c r="C37" i="6"/>
  <c r="B37" i="6"/>
  <c r="A37" i="6"/>
  <c r="M36" i="6"/>
  <c r="G36" i="6"/>
  <c r="F36" i="6"/>
  <c r="C36" i="6"/>
  <c r="B36" i="6"/>
  <c r="A36" i="6"/>
  <c r="M35" i="6"/>
  <c r="G35" i="6"/>
  <c r="F35" i="6"/>
  <c r="C35" i="6"/>
  <c r="B35" i="6"/>
  <c r="A35" i="6"/>
  <c r="M34" i="6"/>
  <c r="G34" i="6"/>
  <c r="F34" i="6"/>
  <c r="C34" i="6"/>
  <c r="B34" i="6"/>
  <c r="A34" i="6"/>
  <c r="M33" i="6"/>
  <c r="G33" i="6"/>
  <c r="F33" i="6"/>
  <c r="C33" i="6"/>
  <c r="B33" i="6"/>
  <c r="A33" i="6"/>
  <c r="M32" i="6"/>
  <c r="G32" i="6"/>
  <c r="F32" i="6"/>
  <c r="C32" i="6"/>
  <c r="B32" i="6"/>
  <c r="A32" i="6"/>
  <c r="M31" i="6"/>
  <c r="G31" i="6"/>
  <c r="F31" i="6"/>
  <c r="C31" i="6"/>
  <c r="B31" i="6"/>
  <c r="A31" i="6"/>
  <c r="M30" i="6"/>
  <c r="G30" i="6"/>
  <c r="F30" i="6"/>
  <c r="C30" i="6"/>
  <c r="B30" i="6"/>
  <c r="A30" i="6"/>
  <c r="M29" i="6"/>
  <c r="G29" i="6"/>
  <c r="F29" i="6"/>
  <c r="C29" i="6"/>
  <c r="B29" i="6"/>
  <c r="A29" i="6"/>
  <c r="M28" i="6"/>
  <c r="G28" i="6"/>
  <c r="F28" i="6"/>
  <c r="C28" i="6"/>
  <c r="B28" i="6"/>
  <c r="A28" i="6"/>
  <c r="M27" i="6"/>
  <c r="G27" i="6"/>
  <c r="F27" i="6"/>
  <c r="C27" i="6"/>
  <c r="B27" i="6"/>
  <c r="A27" i="6"/>
  <c r="M26" i="6"/>
  <c r="G26" i="6"/>
  <c r="F26" i="6"/>
  <c r="C26" i="6"/>
  <c r="B26" i="6"/>
  <c r="A26" i="6"/>
  <c r="M25" i="6"/>
  <c r="G25" i="6"/>
  <c r="F25" i="6"/>
  <c r="C25" i="6"/>
  <c r="B25" i="6"/>
  <c r="A25" i="6"/>
  <c r="M24" i="6"/>
  <c r="G24" i="6"/>
  <c r="F24" i="6"/>
  <c r="C24" i="6"/>
  <c r="B24" i="6"/>
  <c r="A24" i="6"/>
  <c r="M23" i="6"/>
  <c r="G23" i="6"/>
  <c r="F23" i="6"/>
  <c r="C23" i="6"/>
  <c r="B23" i="6"/>
  <c r="A23" i="6"/>
  <c r="M22" i="6"/>
  <c r="G22" i="6"/>
  <c r="F22" i="6"/>
  <c r="C22" i="6"/>
  <c r="B22" i="6"/>
  <c r="A22" i="6"/>
  <c r="M21" i="6"/>
  <c r="G21" i="6"/>
  <c r="F21" i="6"/>
  <c r="C21" i="6"/>
  <c r="B21" i="6"/>
  <c r="A21" i="6"/>
  <c r="M20" i="6"/>
  <c r="G20" i="6"/>
  <c r="F20" i="6"/>
  <c r="C20" i="6"/>
  <c r="B20" i="6"/>
  <c r="A20" i="6"/>
  <c r="M19" i="6"/>
  <c r="G19" i="6"/>
  <c r="F19" i="6"/>
  <c r="C19" i="6"/>
  <c r="B19" i="6"/>
  <c r="A19" i="6"/>
  <c r="M18" i="6"/>
  <c r="G18" i="6"/>
  <c r="F18" i="6"/>
  <c r="C18" i="6"/>
  <c r="B18" i="6"/>
  <c r="A18" i="6"/>
  <c r="M17" i="6"/>
  <c r="G17" i="6"/>
  <c r="F17" i="6"/>
  <c r="C17" i="6"/>
  <c r="B17" i="6"/>
  <c r="A17" i="6"/>
  <c r="M16" i="6"/>
  <c r="G16" i="6"/>
  <c r="F16" i="6"/>
  <c r="C16" i="6"/>
  <c r="B16" i="6"/>
  <c r="A16" i="6"/>
  <c r="M15" i="6"/>
  <c r="G15" i="6"/>
  <c r="F15" i="6"/>
  <c r="C15" i="6"/>
  <c r="B15" i="6"/>
  <c r="A15" i="6"/>
  <c r="M14" i="6"/>
  <c r="G14" i="6"/>
  <c r="F14" i="6"/>
  <c r="C14" i="6"/>
  <c r="B14" i="6"/>
  <c r="A14" i="6"/>
  <c r="M13" i="6"/>
  <c r="G13" i="6"/>
  <c r="F13" i="6"/>
  <c r="C13" i="6"/>
  <c r="B13" i="6"/>
  <c r="A13" i="6"/>
  <c r="M12" i="6"/>
  <c r="G12" i="6"/>
  <c r="F12" i="6"/>
  <c r="C12" i="6"/>
  <c r="B12" i="6"/>
  <c r="A12" i="6"/>
  <c r="M11" i="6"/>
  <c r="G11" i="6"/>
  <c r="F11" i="6"/>
  <c r="C11" i="6"/>
  <c r="B11" i="6"/>
  <c r="A11" i="6"/>
  <c r="M10" i="6"/>
  <c r="G10" i="6"/>
  <c r="F10" i="6"/>
  <c r="C10" i="6"/>
  <c r="B10" i="6"/>
  <c r="A10" i="6"/>
  <c r="M9" i="6"/>
  <c r="G9" i="6"/>
  <c r="F9" i="6"/>
  <c r="C9" i="6"/>
  <c r="B9" i="6"/>
  <c r="A9" i="6"/>
  <c r="M8" i="6"/>
  <c r="G8" i="6"/>
  <c r="F8" i="6"/>
  <c r="C8" i="6"/>
  <c r="B8" i="6"/>
  <c r="A8" i="6"/>
  <c r="M7" i="6"/>
  <c r="G7" i="6"/>
  <c r="F7" i="6"/>
  <c r="C7" i="6"/>
  <c r="B7" i="6"/>
  <c r="A7" i="6"/>
  <c r="M6" i="6"/>
  <c r="G6" i="6"/>
  <c r="F6" i="6"/>
  <c r="C6" i="6"/>
  <c r="B6" i="6"/>
  <c r="A6" i="6"/>
  <c r="M5" i="6"/>
  <c r="G5" i="6"/>
  <c r="F5" i="6"/>
  <c r="C5" i="6"/>
  <c r="B5" i="6"/>
  <c r="A5" i="6"/>
  <c r="E352" i="5"/>
  <c r="D352" i="5"/>
  <c r="C352" i="5"/>
  <c r="B352" i="5"/>
  <c r="A352" i="5"/>
  <c r="E366" i="5"/>
  <c r="D366" i="5"/>
  <c r="C366" i="5"/>
  <c r="B366" i="5"/>
  <c r="A366" i="5"/>
  <c r="E499" i="5"/>
  <c r="D499" i="5"/>
  <c r="C499" i="5"/>
  <c r="B499" i="5"/>
  <c r="A499" i="5"/>
  <c r="E463" i="5"/>
  <c r="D463" i="5"/>
  <c r="C463" i="5"/>
  <c r="B463" i="5"/>
  <c r="A463" i="5"/>
  <c r="E348" i="5"/>
  <c r="D348" i="5"/>
  <c r="C348" i="5"/>
  <c r="B348" i="5"/>
  <c r="A348" i="5"/>
  <c r="E369" i="5"/>
  <c r="D369" i="5"/>
  <c r="C369" i="5"/>
  <c r="B369" i="5"/>
  <c r="A369" i="5"/>
  <c r="E455" i="5"/>
  <c r="D455" i="5"/>
  <c r="C455" i="5"/>
  <c r="B455" i="5"/>
  <c r="A455" i="5"/>
  <c r="E320" i="5"/>
  <c r="D320" i="5"/>
  <c r="C320" i="5"/>
  <c r="B320" i="5"/>
  <c r="A320" i="5"/>
  <c r="E330" i="5"/>
  <c r="D330" i="5"/>
  <c r="C330" i="5"/>
  <c r="B330" i="5"/>
  <c r="A330" i="5"/>
  <c r="E457" i="5"/>
  <c r="D457" i="5"/>
  <c r="C457" i="5"/>
  <c r="B457" i="5"/>
  <c r="A457" i="5"/>
  <c r="E442" i="5"/>
  <c r="D442" i="5"/>
  <c r="C442" i="5"/>
  <c r="B442" i="5"/>
  <c r="A442" i="5"/>
  <c r="E432" i="5"/>
  <c r="D432" i="5"/>
  <c r="C432" i="5"/>
  <c r="B432" i="5"/>
  <c r="A432" i="5"/>
  <c r="E105" i="5"/>
  <c r="D105" i="5"/>
  <c r="C105" i="5"/>
  <c r="B105" i="5"/>
  <c r="A105" i="5"/>
  <c r="E351" i="5"/>
  <c r="D351" i="5"/>
  <c r="C351" i="5"/>
  <c r="B351" i="5"/>
  <c r="A351" i="5"/>
  <c r="E233" i="5"/>
  <c r="D233" i="5"/>
  <c r="C233" i="5"/>
  <c r="B233" i="5"/>
  <c r="A233" i="5"/>
  <c r="E279" i="5"/>
  <c r="D279" i="5"/>
  <c r="C279" i="5"/>
  <c r="B279" i="5"/>
  <c r="A279" i="5"/>
  <c r="E388" i="5"/>
  <c r="D388" i="5"/>
  <c r="C388" i="5"/>
  <c r="B388" i="5"/>
  <c r="A388" i="5"/>
  <c r="E223" i="5"/>
  <c r="D223" i="5"/>
  <c r="C223" i="5"/>
  <c r="B223" i="5"/>
  <c r="A223" i="5"/>
  <c r="E345" i="5"/>
  <c r="D345" i="5"/>
  <c r="C345" i="5"/>
  <c r="B345" i="5"/>
  <c r="A345" i="5"/>
  <c r="E443" i="5"/>
  <c r="D443" i="5"/>
  <c r="C443" i="5"/>
  <c r="B443" i="5"/>
  <c r="A443" i="5"/>
  <c r="E269" i="5"/>
  <c r="D269" i="5"/>
  <c r="C269" i="5"/>
  <c r="B269" i="5"/>
  <c r="A269" i="5"/>
  <c r="E472" i="5"/>
  <c r="D472" i="5"/>
  <c r="C472" i="5"/>
  <c r="B472" i="5"/>
  <c r="A472" i="5"/>
  <c r="E270" i="5"/>
  <c r="D270" i="5"/>
  <c r="C270" i="5"/>
  <c r="B270" i="5"/>
  <c r="A270" i="5"/>
  <c r="E253" i="5"/>
  <c r="D253" i="5"/>
  <c r="C253" i="5"/>
  <c r="B253" i="5"/>
  <c r="A253" i="5"/>
  <c r="E437" i="5"/>
  <c r="D437" i="5"/>
  <c r="C437" i="5"/>
  <c r="B437" i="5"/>
  <c r="A437" i="5"/>
  <c r="E364" i="5"/>
  <c r="D364" i="5"/>
  <c r="C364" i="5"/>
  <c r="B364" i="5"/>
  <c r="A364" i="5"/>
  <c r="E338" i="5"/>
  <c r="D338" i="5"/>
  <c r="C338" i="5"/>
  <c r="B338" i="5"/>
  <c r="A338" i="5"/>
  <c r="E417" i="5"/>
  <c r="D417" i="5"/>
  <c r="C417" i="5"/>
  <c r="B417" i="5"/>
  <c r="A417" i="5"/>
  <c r="E486" i="5"/>
  <c r="D486" i="5"/>
  <c r="C486" i="5"/>
  <c r="B486" i="5"/>
  <c r="A486" i="5"/>
  <c r="E466" i="5"/>
  <c r="D466" i="5"/>
  <c r="C466" i="5"/>
  <c r="B466" i="5"/>
  <c r="A466" i="5"/>
  <c r="E239" i="5"/>
  <c r="D239" i="5"/>
  <c r="C239" i="5"/>
  <c r="B239" i="5"/>
  <c r="A239" i="5"/>
  <c r="E467" i="5"/>
  <c r="D467" i="5"/>
  <c r="C467" i="5"/>
  <c r="B467" i="5"/>
  <c r="A467" i="5"/>
  <c r="E156" i="5"/>
  <c r="D156" i="5"/>
  <c r="C156" i="5"/>
  <c r="B156" i="5"/>
  <c r="A156" i="5"/>
  <c r="E423" i="5"/>
  <c r="D423" i="5"/>
  <c r="C423" i="5"/>
  <c r="B423" i="5"/>
  <c r="A423" i="5"/>
  <c r="E121" i="5"/>
  <c r="D121" i="5"/>
  <c r="C121" i="5"/>
  <c r="B121" i="5"/>
  <c r="A121" i="5"/>
  <c r="E433" i="5"/>
  <c r="D433" i="5"/>
  <c r="C433" i="5"/>
  <c r="B433" i="5"/>
  <c r="A433" i="5"/>
  <c r="E479" i="5"/>
  <c r="D479" i="5"/>
  <c r="C479" i="5"/>
  <c r="B479" i="5"/>
  <c r="A479" i="5"/>
  <c r="E222" i="5"/>
  <c r="D222" i="5"/>
  <c r="C222" i="5"/>
  <c r="B222" i="5"/>
  <c r="A222" i="5"/>
  <c r="E298" i="5"/>
  <c r="D298" i="5"/>
  <c r="C298" i="5"/>
  <c r="B298" i="5"/>
  <c r="A298" i="5"/>
  <c r="E464" i="5"/>
  <c r="D464" i="5"/>
  <c r="C464" i="5"/>
  <c r="B464" i="5"/>
  <c r="A464" i="5"/>
  <c r="E394" i="5"/>
  <c r="D394" i="5"/>
  <c r="C394" i="5"/>
  <c r="B394" i="5"/>
  <c r="A394" i="5"/>
  <c r="E410" i="5"/>
  <c r="D410" i="5"/>
  <c r="C410" i="5"/>
  <c r="B410" i="5"/>
  <c r="A410" i="5"/>
  <c r="E264" i="5"/>
  <c r="D264" i="5"/>
  <c r="C264" i="5"/>
  <c r="B264" i="5"/>
  <c r="A264" i="5"/>
  <c r="E306" i="5"/>
  <c r="D306" i="5"/>
  <c r="C306" i="5"/>
  <c r="B306" i="5"/>
  <c r="A306" i="5"/>
  <c r="E337" i="5"/>
  <c r="D337" i="5"/>
  <c r="C337" i="5"/>
  <c r="B337" i="5"/>
  <c r="A337" i="5"/>
  <c r="E230" i="5"/>
  <c r="D230" i="5"/>
  <c r="C230" i="5"/>
  <c r="B230" i="5"/>
  <c r="A230" i="5"/>
  <c r="E183" i="5"/>
  <c r="D183" i="5"/>
  <c r="C183" i="5"/>
  <c r="B183" i="5"/>
  <c r="A183" i="5"/>
  <c r="E502" i="5"/>
  <c r="D502" i="5"/>
  <c r="C502" i="5"/>
  <c r="B502" i="5"/>
  <c r="A502" i="5"/>
  <c r="E185" i="5"/>
  <c r="D185" i="5"/>
  <c r="C185" i="5"/>
  <c r="B185" i="5"/>
  <c r="A185" i="5"/>
  <c r="E278" i="5"/>
  <c r="D278" i="5"/>
  <c r="C278" i="5"/>
  <c r="B278" i="5"/>
  <c r="A278" i="5"/>
  <c r="E248" i="5"/>
  <c r="D248" i="5"/>
  <c r="C248" i="5"/>
  <c r="B248" i="5"/>
  <c r="A248" i="5"/>
  <c r="E96" i="5"/>
  <c r="D96" i="5"/>
  <c r="C96" i="5"/>
  <c r="B96" i="5"/>
  <c r="A96" i="5"/>
  <c r="E468" i="5"/>
  <c r="D468" i="5"/>
  <c r="C468" i="5"/>
  <c r="B468" i="5"/>
  <c r="A468" i="5"/>
  <c r="E83" i="5"/>
  <c r="D83" i="5"/>
  <c r="C83" i="5"/>
  <c r="B83" i="5"/>
  <c r="A83" i="5"/>
  <c r="E141" i="5"/>
  <c r="D141" i="5"/>
  <c r="C141" i="5"/>
  <c r="B141" i="5"/>
  <c r="A141" i="5"/>
  <c r="E238" i="5"/>
  <c r="D238" i="5"/>
  <c r="C238" i="5"/>
  <c r="B238" i="5"/>
  <c r="A238" i="5"/>
  <c r="E490" i="5"/>
  <c r="D490" i="5"/>
  <c r="C490" i="5"/>
  <c r="B490" i="5"/>
  <c r="A490" i="5"/>
  <c r="E385" i="5"/>
  <c r="D385" i="5"/>
  <c r="C385" i="5"/>
  <c r="B385" i="5"/>
  <c r="A385" i="5"/>
  <c r="E441" i="5"/>
  <c r="D441" i="5"/>
  <c r="C441" i="5"/>
  <c r="B441" i="5"/>
  <c r="A441" i="5"/>
  <c r="E470" i="5"/>
  <c r="D470" i="5"/>
  <c r="C470" i="5"/>
  <c r="B470" i="5"/>
  <c r="A470" i="5"/>
  <c r="E128" i="5"/>
  <c r="D128" i="5"/>
  <c r="C128" i="5"/>
  <c r="B128" i="5"/>
  <c r="A128" i="5"/>
  <c r="E243" i="5"/>
  <c r="D243" i="5"/>
  <c r="C243" i="5"/>
  <c r="B243" i="5"/>
  <c r="A243" i="5"/>
  <c r="E280" i="5"/>
  <c r="D280" i="5"/>
  <c r="C280" i="5"/>
  <c r="B280" i="5"/>
  <c r="A280" i="5"/>
  <c r="E492" i="5"/>
  <c r="D492" i="5"/>
  <c r="C492" i="5"/>
  <c r="B492" i="5"/>
  <c r="A492" i="5"/>
  <c r="E383" i="5"/>
  <c r="D383" i="5"/>
  <c r="C383" i="5"/>
  <c r="B383" i="5"/>
  <c r="A383" i="5"/>
  <c r="E266" i="5"/>
  <c r="D266" i="5"/>
  <c r="C266" i="5"/>
  <c r="B266" i="5"/>
  <c r="A266" i="5"/>
  <c r="E237" i="5"/>
  <c r="D237" i="5"/>
  <c r="C237" i="5"/>
  <c r="B237" i="5"/>
  <c r="A237" i="5"/>
  <c r="E482" i="5"/>
  <c r="D482" i="5"/>
  <c r="C482" i="5"/>
  <c r="B482" i="5"/>
  <c r="A482" i="5"/>
  <c r="E308" i="5"/>
  <c r="D308" i="5"/>
  <c r="C308" i="5"/>
  <c r="B308" i="5"/>
  <c r="A308" i="5"/>
  <c r="E215" i="5"/>
  <c r="D215" i="5"/>
  <c r="C215" i="5"/>
  <c r="B215" i="5"/>
  <c r="A215" i="5"/>
  <c r="E360" i="5"/>
  <c r="D360" i="5"/>
  <c r="C360" i="5"/>
  <c r="B360" i="5"/>
  <c r="A360" i="5"/>
  <c r="E315" i="5"/>
  <c r="D315" i="5"/>
  <c r="C315" i="5"/>
  <c r="B315" i="5"/>
  <c r="A315" i="5"/>
  <c r="E45" i="5"/>
  <c r="D45" i="5"/>
  <c r="C45" i="5"/>
  <c r="B45" i="5"/>
  <c r="A45" i="5"/>
  <c r="E296" i="5"/>
  <c r="D296" i="5"/>
  <c r="C296" i="5"/>
  <c r="B296" i="5"/>
  <c r="A296" i="5"/>
  <c r="E358" i="5"/>
  <c r="D358" i="5"/>
  <c r="C358" i="5"/>
  <c r="B358" i="5"/>
  <c r="A358" i="5"/>
  <c r="E228" i="5"/>
  <c r="D228" i="5"/>
  <c r="C228" i="5"/>
  <c r="B228" i="5"/>
  <c r="A228" i="5"/>
  <c r="E311" i="5"/>
  <c r="D311" i="5"/>
  <c r="C311" i="5"/>
  <c r="B311" i="5"/>
  <c r="A311" i="5"/>
  <c r="E109" i="5"/>
  <c r="D109" i="5"/>
  <c r="C109" i="5"/>
  <c r="B109" i="5"/>
  <c r="A109" i="5"/>
  <c r="E149" i="5"/>
  <c r="D149" i="5"/>
  <c r="C149" i="5"/>
  <c r="B149" i="5"/>
  <c r="A149" i="5"/>
  <c r="E363" i="5"/>
  <c r="D363" i="5"/>
  <c r="C363" i="5"/>
  <c r="B363" i="5"/>
  <c r="A363" i="5"/>
  <c r="E268" i="5"/>
  <c r="D268" i="5"/>
  <c r="C268" i="5"/>
  <c r="B268" i="5"/>
  <c r="A268" i="5"/>
  <c r="E327" i="5"/>
  <c r="D327" i="5"/>
  <c r="C327" i="5"/>
  <c r="B327" i="5"/>
  <c r="A327" i="5"/>
  <c r="E372" i="5"/>
  <c r="D372" i="5"/>
  <c r="C372" i="5"/>
  <c r="B372" i="5"/>
  <c r="A372" i="5"/>
  <c r="E257" i="5"/>
  <c r="D257" i="5"/>
  <c r="C257" i="5"/>
  <c r="B257" i="5"/>
  <c r="A257" i="5"/>
  <c r="E329" i="5"/>
  <c r="D329" i="5"/>
  <c r="C329" i="5"/>
  <c r="B329" i="5"/>
  <c r="A329" i="5"/>
  <c r="E461" i="5"/>
  <c r="D461" i="5"/>
  <c r="C461" i="5"/>
  <c r="B461" i="5"/>
  <c r="A461" i="5"/>
  <c r="E387" i="5"/>
  <c r="D387" i="5"/>
  <c r="C387" i="5"/>
  <c r="B387" i="5"/>
  <c r="A387" i="5"/>
  <c r="E420" i="5"/>
  <c r="D420" i="5"/>
  <c r="C420" i="5"/>
  <c r="B420" i="5"/>
  <c r="A420" i="5"/>
  <c r="E255" i="5"/>
  <c r="D255" i="5"/>
  <c r="C255" i="5"/>
  <c r="B255" i="5"/>
  <c r="A255" i="5"/>
  <c r="E195" i="5"/>
  <c r="D195" i="5"/>
  <c r="C195" i="5"/>
  <c r="B195" i="5"/>
  <c r="A195" i="5"/>
  <c r="E113" i="5"/>
  <c r="D113" i="5"/>
  <c r="C113" i="5"/>
  <c r="B113" i="5"/>
  <c r="A113" i="5"/>
  <c r="E393" i="5"/>
  <c r="D393" i="5"/>
  <c r="C393" i="5"/>
  <c r="B393" i="5"/>
  <c r="A393" i="5"/>
  <c r="E277" i="5"/>
  <c r="D277" i="5"/>
  <c r="C277" i="5"/>
  <c r="B277" i="5"/>
  <c r="A277" i="5"/>
  <c r="E184" i="5"/>
  <c r="D184" i="5"/>
  <c r="C184" i="5"/>
  <c r="B184" i="5"/>
  <c r="A184" i="5"/>
  <c r="E142" i="5"/>
  <c r="D142" i="5"/>
  <c r="C142" i="5"/>
  <c r="B142" i="5"/>
  <c r="A142" i="5"/>
  <c r="E97" i="5"/>
  <c r="D97" i="5"/>
  <c r="C97" i="5"/>
  <c r="B97" i="5"/>
  <c r="A97" i="5"/>
  <c r="E381" i="5"/>
  <c r="D381" i="5"/>
  <c r="C381" i="5"/>
  <c r="B381" i="5"/>
  <c r="A381" i="5"/>
  <c r="E475" i="5"/>
  <c r="D475" i="5"/>
  <c r="C475" i="5"/>
  <c r="B475" i="5"/>
  <c r="A475" i="5"/>
  <c r="E38" i="5"/>
  <c r="D38" i="5"/>
  <c r="C38" i="5"/>
  <c r="B38" i="5"/>
  <c r="A38" i="5"/>
  <c r="E319" i="5"/>
  <c r="D319" i="5"/>
  <c r="C319" i="5"/>
  <c r="B319" i="5"/>
  <c r="A319" i="5"/>
  <c r="E347" i="5"/>
  <c r="D347" i="5"/>
  <c r="C347" i="5"/>
  <c r="B347" i="5"/>
  <c r="A347" i="5"/>
  <c r="E460" i="5"/>
  <c r="D460" i="5"/>
  <c r="C460" i="5"/>
  <c r="B460" i="5"/>
  <c r="A460" i="5"/>
  <c r="E452" i="5"/>
  <c r="D452" i="5"/>
  <c r="C452" i="5"/>
  <c r="B452" i="5"/>
  <c r="A452" i="5"/>
  <c r="E501" i="5"/>
  <c r="D501" i="5"/>
  <c r="C501" i="5"/>
  <c r="B501" i="5"/>
  <c r="A501" i="5"/>
  <c r="E11" i="5"/>
  <c r="D11" i="5"/>
  <c r="C11" i="5"/>
  <c r="B11" i="5"/>
  <c r="A11" i="5"/>
  <c r="E342" i="5"/>
  <c r="D342" i="5"/>
  <c r="C342" i="5"/>
  <c r="B342" i="5"/>
  <c r="A342" i="5"/>
  <c r="E211" i="5"/>
  <c r="D211" i="5"/>
  <c r="C211" i="5"/>
  <c r="B211" i="5"/>
  <c r="A211" i="5"/>
  <c r="E397" i="5"/>
  <c r="D397" i="5"/>
  <c r="C397" i="5"/>
  <c r="B397" i="5"/>
  <c r="A397" i="5"/>
  <c r="E178" i="5"/>
  <c r="D178" i="5"/>
  <c r="C178" i="5"/>
  <c r="B178" i="5"/>
  <c r="A178" i="5"/>
  <c r="E214" i="5"/>
  <c r="D214" i="5"/>
  <c r="C214" i="5"/>
  <c r="B214" i="5"/>
  <c r="A214" i="5"/>
  <c r="E402" i="5"/>
  <c r="D402" i="5"/>
  <c r="C402" i="5"/>
  <c r="B402" i="5"/>
  <c r="A402" i="5"/>
  <c r="E200" i="5"/>
  <c r="D200" i="5"/>
  <c r="C200" i="5"/>
  <c r="B200" i="5"/>
  <c r="A200" i="5"/>
  <c r="E204" i="5"/>
  <c r="D204" i="5"/>
  <c r="C204" i="5"/>
  <c r="B204" i="5"/>
  <c r="A204" i="5"/>
  <c r="E493" i="5"/>
  <c r="D493" i="5"/>
  <c r="C493" i="5"/>
  <c r="B493" i="5"/>
  <c r="A493" i="5"/>
  <c r="E445" i="5"/>
  <c r="D445" i="5"/>
  <c r="C445" i="5"/>
  <c r="B445" i="5"/>
  <c r="A445" i="5"/>
  <c r="E459" i="5"/>
  <c r="D459" i="5"/>
  <c r="C459" i="5"/>
  <c r="B459" i="5"/>
  <c r="A459" i="5"/>
  <c r="E407" i="5"/>
  <c r="D407" i="5"/>
  <c r="C407" i="5"/>
  <c r="B407" i="5"/>
  <c r="A407" i="5"/>
  <c r="E292" i="5"/>
  <c r="D292" i="5"/>
  <c r="C292" i="5"/>
  <c r="B292" i="5"/>
  <c r="A292" i="5"/>
  <c r="E483" i="5"/>
  <c r="D483" i="5"/>
  <c r="C483" i="5"/>
  <c r="B483" i="5"/>
  <c r="A483" i="5"/>
  <c r="E106" i="5"/>
  <c r="D106" i="5"/>
  <c r="C106" i="5"/>
  <c r="B106" i="5"/>
  <c r="A106" i="5"/>
  <c r="E210" i="5"/>
  <c r="D210" i="5"/>
  <c r="C210" i="5"/>
  <c r="B210" i="5"/>
  <c r="A210" i="5"/>
  <c r="E428" i="5"/>
  <c r="D428" i="5"/>
  <c r="C428" i="5"/>
  <c r="B428" i="5"/>
  <c r="A428" i="5"/>
  <c r="E427" i="5"/>
  <c r="D427" i="5"/>
  <c r="C427" i="5"/>
  <c r="B427" i="5"/>
  <c r="A427" i="5"/>
  <c r="E414" i="5"/>
  <c r="D414" i="5"/>
  <c r="C414" i="5"/>
  <c r="B414" i="5"/>
  <c r="A414" i="5"/>
  <c r="E489" i="5"/>
  <c r="D489" i="5"/>
  <c r="C489" i="5"/>
  <c r="B489" i="5"/>
  <c r="A489" i="5"/>
  <c r="E488" i="5"/>
  <c r="D488" i="5"/>
  <c r="C488" i="5"/>
  <c r="B488" i="5"/>
  <c r="A488" i="5"/>
  <c r="E254" i="5"/>
  <c r="D254" i="5"/>
  <c r="C254" i="5"/>
  <c r="B254" i="5"/>
  <c r="A254" i="5"/>
  <c r="E339" i="5"/>
  <c r="D339" i="5"/>
  <c r="C339" i="5"/>
  <c r="B339" i="5"/>
  <c r="A339" i="5"/>
  <c r="E456" i="5"/>
  <c r="D456" i="5"/>
  <c r="C456" i="5"/>
  <c r="B456" i="5"/>
  <c r="A456" i="5"/>
  <c r="E439" i="5"/>
  <c r="D439" i="5"/>
  <c r="C439" i="5"/>
  <c r="B439" i="5"/>
  <c r="A439" i="5"/>
  <c r="E391" i="5"/>
  <c r="D391" i="5"/>
  <c r="C391" i="5"/>
  <c r="B391" i="5"/>
  <c r="A391" i="5"/>
  <c r="E164" i="5"/>
  <c r="D164" i="5"/>
  <c r="C164" i="5"/>
  <c r="B164" i="5"/>
  <c r="A164" i="5"/>
  <c r="E102" i="5"/>
  <c r="D102" i="5"/>
  <c r="C102" i="5"/>
  <c r="B102" i="5"/>
  <c r="A102" i="5"/>
  <c r="E322" i="5"/>
  <c r="D322" i="5"/>
  <c r="C322" i="5"/>
  <c r="B322" i="5"/>
  <c r="A322" i="5"/>
  <c r="E430" i="5"/>
  <c r="D430" i="5"/>
  <c r="C430" i="5"/>
  <c r="B430" i="5"/>
  <c r="A430" i="5"/>
  <c r="E328" i="5"/>
  <c r="D328" i="5"/>
  <c r="C328" i="5"/>
  <c r="B328" i="5"/>
  <c r="A328" i="5"/>
  <c r="E64" i="5"/>
  <c r="D64" i="5"/>
  <c r="C64" i="5"/>
  <c r="B64" i="5"/>
  <c r="A64" i="5"/>
  <c r="E359" i="5"/>
  <c r="D359" i="5"/>
  <c r="C359" i="5"/>
  <c r="B359" i="5"/>
  <c r="A359" i="5"/>
  <c r="E30" i="5"/>
  <c r="D30" i="5"/>
  <c r="C30" i="5"/>
  <c r="B30" i="5"/>
  <c r="A30" i="5"/>
  <c r="E384" i="5"/>
  <c r="D384" i="5"/>
  <c r="C384" i="5"/>
  <c r="B384" i="5"/>
  <c r="A384" i="5"/>
  <c r="E469" i="5"/>
  <c r="D469" i="5"/>
  <c r="C469" i="5"/>
  <c r="B469" i="5"/>
  <c r="A469" i="5"/>
  <c r="E189" i="5"/>
  <c r="D189" i="5"/>
  <c r="C189" i="5"/>
  <c r="B189" i="5"/>
  <c r="A189" i="5"/>
  <c r="E122" i="5"/>
  <c r="D122" i="5"/>
  <c r="C122" i="5"/>
  <c r="B122" i="5"/>
  <c r="A122" i="5"/>
  <c r="E476" i="5"/>
  <c r="D476" i="5"/>
  <c r="C476" i="5"/>
  <c r="B476" i="5"/>
  <c r="A476" i="5"/>
  <c r="E220" i="5"/>
  <c r="D220" i="5"/>
  <c r="C220" i="5"/>
  <c r="B220" i="5"/>
  <c r="A220" i="5"/>
  <c r="E289" i="5"/>
  <c r="D289" i="5"/>
  <c r="C289" i="5"/>
  <c r="B289" i="5"/>
  <c r="A289" i="5"/>
  <c r="E416" i="5"/>
  <c r="D416" i="5"/>
  <c r="C416" i="5"/>
  <c r="B416" i="5"/>
  <c r="A416" i="5"/>
  <c r="E318" i="5"/>
  <c r="D318" i="5"/>
  <c r="C318" i="5"/>
  <c r="B318" i="5"/>
  <c r="A318" i="5"/>
  <c r="E462" i="5"/>
  <c r="D462" i="5"/>
  <c r="C462" i="5"/>
  <c r="B462" i="5"/>
  <c r="A462" i="5"/>
  <c r="E250" i="5"/>
  <c r="D250" i="5"/>
  <c r="C250" i="5"/>
  <c r="B250" i="5"/>
  <c r="A250" i="5"/>
  <c r="E418" i="5"/>
  <c r="D418" i="5"/>
  <c r="C418" i="5"/>
  <c r="B418" i="5"/>
  <c r="A418" i="5"/>
  <c r="E291" i="5"/>
  <c r="D291" i="5"/>
  <c r="C291" i="5"/>
  <c r="B291" i="5"/>
  <c r="A291" i="5"/>
  <c r="E201" i="5"/>
  <c r="D201" i="5"/>
  <c r="C201" i="5"/>
  <c r="B201" i="5"/>
  <c r="A201" i="5"/>
  <c r="E477" i="5"/>
  <c r="D477" i="5"/>
  <c r="C477" i="5"/>
  <c r="B477" i="5"/>
  <c r="A477" i="5"/>
  <c r="E256" i="5"/>
  <c r="D256" i="5"/>
  <c r="C256" i="5"/>
  <c r="B256" i="5"/>
  <c r="A256" i="5"/>
  <c r="E120" i="5"/>
  <c r="D120" i="5"/>
  <c r="C120" i="5"/>
  <c r="B120" i="5"/>
  <c r="A120" i="5"/>
  <c r="E39" i="5"/>
  <c r="D39" i="5"/>
  <c r="C39" i="5"/>
  <c r="B39" i="5"/>
  <c r="A39" i="5"/>
  <c r="E406" i="5"/>
  <c r="D406" i="5"/>
  <c r="C406" i="5"/>
  <c r="B406" i="5"/>
  <c r="A406" i="5"/>
  <c r="E169" i="5"/>
  <c r="D169" i="5"/>
  <c r="C169" i="5"/>
  <c r="B169" i="5"/>
  <c r="A169" i="5"/>
  <c r="E56" i="5"/>
  <c r="D56" i="5"/>
  <c r="C56" i="5"/>
  <c r="B56" i="5"/>
  <c r="A56" i="5"/>
  <c r="E235" i="5"/>
  <c r="D235" i="5"/>
  <c r="C235" i="5"/>
  <c r="B235" i="5"/>
  <c r="A235" i="5"/>
  <c r="E395" i="5"/>
  <c r="D395" i="5"/>
  <c r="C395" i="5"/>
  <c r="B395" i="5"/>
  <c r="A395" i="5"/>
  <c r="E478" i="5"/>
  <c r="D478" i="5"/>
  <c r="C478" i="5"/>
  <c r="B478" i="5"/>
  <c r="A478" i="5"/>
  <c r="E491" i="5"/>
  <c r="D491" i="5"/>
  <c r="C491" i="5"/>
  <c r="B491" i="5"/>
  <c r="A491" i="5"/>
  <c r="E415" i="5"/>
  <c r="D415" i="5"/>
  <c r="C415" i="5"/>
  <c r="B415" i="5"/>
  <c r="A415" i="5"/>
  <c r="E336" i="5"/>
  <c r="D336" i="5"/>
  <c r="C336" i="5"/>
  <c r="B336" i="5"/>
  <c r="A336" i="5"/>
  <c r="E375" i="5"/>
  <c r="D375" i="5"/>
  <c r="C375" i="5"/>
  <c r="B375" i="5"/>
  <c r="A375" i="5"/>
  <c r="E404" i="5"/>
  <c r="D404" i="5"/>
  <c r="C404" i="5"/>
  <c r="B404" i="5"/>
  <c r="A404" i="5"/>
  <c r="E14" i="5"/>
  <c r="D14" i="5"/>
  <c r="C14" i="5"/>
  <c r="B14" i="5"/>
  <c r="A14" i="5"/>
  <c r="E197" i="5"/>
  <c r="D197" i="5"/>
  <c r="C197" i="5"/>
  <c r="B197" i="5"/>
  <c r="A197" i="5"/>
  <c r="E66" i="5"/>
  <c r="D66" i="5"/>
  <c r="C66" i="5"/>
  <c r="B66" i="5"/>
  <c r="A66" i="5"/>
  <c r="E240" i="5"/>
  <c r="D240" i="5"/>
  <c r="C240" i="5"/>
  <c r="B240" i="5"/>
  <c r="A240" i="5"/>
  <c r="E474" i="5"/>
  <c r="D474" i="5"/>
  <c r="C474" i="5"/>
  <c r="B474" i="5"/>
  <c r="A474" i="5"/>
  <c r="E40" i="5"/>
  <c r="D40" i="5"/>
  <c r="C40" i="5"/>
  <c r="B40" i="5"/>
  <c r="A40" i="5"/>
  <c r="E323" i="5"/>
  <c r="D323" i="5"/>
  <c r="C323" i="5"/>
  <c r="B323" i="5"/>
  <c r="A323" i="5"/>
  <c r="E447" i="5"/>
  <c r="D447" i="5"/>
  <c r="C447" i="5"/>
  <c r="B447" i="5"/>
  <c r="A447" i="5"/>
  <c r="E259" i="5"/>
  <c r="D259" i="5"/>
  <c r="C259" i="5"/>
  <c r="B259" i="5"/>
  <c r="A259" i="5"/>
  <c r="E179" i="5"/>
  <c r="D179" i="5"/>
  <c r="C179" i="5"/>
  <c r="B179" i="5"/>
  <c r="A179" i="5"/>
  <c r="E400" i="5"/>
  <c r="D400" i="5"/>
  <c r="C400" i="5"/>
  <c r="B400" i="5"/>
  <c r="A400" i="5"/>
  <c r="E434" i="5"/>
  <c r="D434" i="5"/>
  <c r="C434" i="5"/>
  <c r="B434" i="5"/>
  <c r="A434" i="5"/>
  <c r="E304" i="5"/>
  <c r="D304" i="5"/>
  <c r="C304" i="5"/>
  <c r="B304" i="5"/>
  <c r="A304" i="5"/>
  <c r="E303" i="5"/>
  <c r="D303" i="5"/>
  <c r="C303" i="5"/>
  <c r="B303" i="5"/>
  <c r="A303" i="5"/>
  <c r="E130" i="5"/>
  <c r="D130" i="5"/>
  <c r="C130" i="5"/>
  <c r="B130" i="5"/>
  <c r="A130" i="5"/>
  <c r="E450" i="5"/>
  <c r="D450" i="5"/>
  <c r="C450" i="5"/>
  <c r="B450" i="5"/>
  <c r="A450" i="5"/>
  <c r="E162" i="5"/>
  <c r="D162" i="5"/>
  <c r="C162" i="5"/>
  <c r="B162" i="5"/>
  <c r="A162" i="5"/>
  <c r="E114" i="5"/>
  <c r="D114" i="5"/>
  <c r="C114" i="5"/>
  <c r="B114" i="5"/>
  <c r="A114" i="5"/>
  <c r="E288" i="5"/>
  <c r="D288" i="5"/>
  <c r="C288" i="5"/>
  <c r="B288" i="5"/>
  <c r="A288" i="5"/>
  <c r="E212" i="5"/>
  <c r="D212" i="5"/>
  <c r="C212" i="5"/>
  <c r="B212" i="5"/>
  <c r="A212" i="5"/>
  <c r="E436" i="5"/>
  <c r="D436" i="5"/>
  <c r="C436" i="5"/>
  <c r="B436" i="5"/>
  <c r="A436" i="5"/>
  <c r="E371" i="5"/>
  <c r="D371" i="5"/>
  <c r="C371" i="5"/>
  <c r="B371" i="5"/>
  <c r="A371" i="5"/>
  <c r="E232" i="5"/>
  <c r="D232" i="5"/>
  <c r="C232" i="5"/>
  <c r="B232" i="5"/>
  <c r="A232" i="5"/>
  <c r="E451" i="5"/>
  <c r="D451" i="5"/>
  <c r="C451" i="5"/>
  <c r="B451" i="5"/>
  <c r="A451" i="5"/>
  <c r="E263" i="5"/>
  <c r="D263" i="5"/>
  <c r="C263" i="5"/>
  <c r="B263" i="5"/>
  <c r="A263" i="5"/>
  <c r="E152" i="5"/>
  <c r="D152" i="5"/>
  <c r="C152" i="5"/>
  <c r="B152" i="5"/>
  <c r="A152" i="5"/>
  <c r="E419" i="5"/>
  <c r="D419" i="5"/>
  <c r="C419" i="5"/>
  <c r="B419" i="5"/>
  <c r="A419" i="5"/>
  <c r="E244" i="5"/>
  <c r="D244" i="5"/>
  <c r="C244" i="5"/>
  <c r="B244" i="5"/>
  <c r="A244" i="5"/>
  <c r="E398" i="5"/>
  <c r="D398" i="5"/>
  <c r="C398" i="5"/>
  <c r="B398" i="5"/>
  <c r="A398" i="5"/>
  <c r="E136" i="5"/>
  <c r="D136" i="5"/>
  <c r="C136" i="5"/>
  <c r="B136" i="5"/>
  <c r="A136" i="5"/>
  <c r="E495" i="5"/>
  <c r="D495" i="5"/>
  <c r="C495" i="5"/>
  <c r="B495" i="5"/>
  <c r="A495" i="5"/>
  <c r="E302" i="5"/>
  <c r="D302" i="5"/>
  <c r="C302" i="5"/>
  <c r="B302" i="5"/>
  <c r="A302" i="5"/>
  <c r="E396" i="5"/>
  <c r="D396" i="5"/>
  <c r="C396" i="5"/>
  <c r="B396" i="5"/>
  <c r="A396" i="5"/>
  <c r="E446" i="5"/>
  <c r="D446" i="5"/>
  <c r="C446" i="5"/>
  <c r="B446" i="5"/>
  <c r="A446" i="5"/>
  <c r="E208" i="5"/>
  <c r="D208" i="5"/>
  <c r="C208" i="5"/>
  <c r="B208" i="5"/>
  <c r="A208" i="5"/>
  <c r="E484" i="5"/>
  <c r="D484" i="5"/>
  <c r="C484" i="5"/>
  <c r="B484" i="5"/>
  <c r="A484" i="5"/>
  <c r="E242" i="5"/>
  <c r="D242" i="5"/>
  <c r="C242" i="5"/>
  <c r="B242" i="5"/>
  <c r="A242" i="5"/>
  <c r="E167" i="5"/>
  <c r="D167" i="5"/>
  <c r="C167" i="5"/>
  <c r="B167" i="5"/>
  <c r="A167" i="5"/>
  <c r="E354" i="5"/>
  <c r="D354" i="5"/>
  <c r="C354" i="5"/>
  <c r="B354" i="5"/>
  <c r="A354" i="5"/>
  <c r="E139" i="5"/>
  <c r="D139" i="5"/>
  <c r="C139" i="5"/>
  <c r="B139" i="5"/>
  <c r="A139" i="5"/>
  <c r="E84" i="5"/>
  <c r="D84" i="5"/>
  <c r="C84" i="5"/>
  <c r="B84" i="5"/>
  <c r="A84" i="5"/>
  <c r="E65" i="5"/>
  <c r="D65" i="5"/>
  <c r="C65" i="5"/>
  <c r="B65" i="5"/>
  <c r="A65" i="5"/>
  <c r="E219" i="5"/>
  <c r="D219" i="5"/>
  <c r="C219" i="5"/>
  <c r="B219" i="5"/>
  <c r="A219" i="5"/>
  <c r="E94" i="5"/>
  <c r="D94" i="5"/>
  <c r="C94" i="5"/>
  <c r="B94" i="5"/>
  <c r="A94" i="5"/>
  <c r="E307" i="5"/>
  <c r="D307" i="5"/>
  <c r="C307" i="5"/>
  <c r="B307" i="5"/>
  <c r="A307" i="5"/>
  <c r="E15" i="5"/>
  <c r="D15" i="5"/>
  <c r="C15" i="5"/>
  <c r="B15" i="5"/>
  <c r="A15" i="5"/>
  <c r="E403" i="5"/>
  <c r="D403" i="5"/>
  <c r="C403" i="5"/>
  <c r="B403" i="5"/>
  <c r="A403" i="5"/>
  <c r="E199" i="5"/>
  <c r="D199" i="5"/>
  <c r="C199" i="5"/>
  <c r="B199" i="5"/>
  <c r="A199" i="5"/>
  <c r="E290" i="5"/>
  <c r="D290" i="5"/>
  <c r="C290" i="5"/>
  <c r="B290" i="5"/>
  <c r="A290" i="5"/>
  <c r="E355" i="5"/>
  <c r="D355" i="5"/>
  <c r="C355" i="5"/>
  <c r="B355" i="5"/>
  <c r="A355" i="5"/>
  <c r="E194" i="5"/>
  <c r="D194" i="5"/>
  <c r="C194" i="5"/>
  <c r="B194" i="5"/>
  <c r="A194" i="5"/>
  <c r="E31" i="5"/>
  <c r="D31" i="5"/>
  <c r="C31" i="5"/>
  <c r="B31" i="5"/>
  <c r="A31" i="5"/>
  <c r="E205" i="5"/>
  <c r="D205" i="5"/>
  <c r="C205" i="5"/>
  <c r="B205" i="5"/>
  <c r="A205" i="5"/>
  <c r="E312" i="5"/>
  <c r="D312" i="5"/>
  <c r="C312" i="5"/>
  <c r="B312" i="5"/>
  <c r="A312" i="5"/>
  <c r="E126" i="5"/>
  <c r="D126" i="5"/>
  <c r="C126" i="5"/>
  <c r="B126" i="5"/>
  <c r="A126" i="5"/>
  <c r="E88" i="5"/>
  <c r="D88" i="5"/>
  <c r="C88" i="5"/>
  <c r="B88" i="5"/>
  <c r="A88" i="5"/>
  <c r="E370" i="5"/>
  <c r="D370" i="5"/>
  <c r="C370" i="5"/>
  <c r="B370" i="5"/>
  <c r="A370" i="5"/>
  <c r="E202" i="5"/>
  <c r="D202" i="5"/>
  <c r="C202" i="5"/>
  <c r="B202" i="5"/>
  <c r="A202" i="5"/>
  <c r="E137" i="5"/>
  <c r="D137" i="5"/>
  <c r="C137" i="5"/>
  <c r="B137" i="5"/>
  <c r="A137" i="5"/>
  <c r="E346" i="5"/>
  <c r="D346" i="5"/>
  <c r="C346" i="5"/>
  <c r="B346" i="5"/>
  <c r="A346" i="5"/>
  <c r="E79" i="5"/>
  <c r="D79" i="5"/>
  <c r="C79" i="5"/>
  <c r="B79" i="5"/>
  <c r="A79" i="5"/>
  <c r="E177" i="5"/>
  <c r="D177" i="5"/>
  <c r="C177" i="5"/>
  <c r="B177" i="5"/>
  <c r="A177" i="5"/>
  <c r="E349" i="5"/>
  <c r="D349" i="5"/>
  <c r="C349" i="5"/>
  <c r="B349" i="5"/>
  <c r="A349" i="5"/>
  <c r="E399" i="5"/>
  <c r="D399" i="5"/>
  <c r="C399" i="5"/>
  <c r="B399" i="5"/>
  <c r="A399" i="5"/>
  <c r="E444" i="5"/>
  <c r="D444" i="5"/>
  <c r="C444" i="5"/>
  <c r="B444" i="5"/>
  <c r="A444" i="5"/>
  <c r="E458" i="5"/>
  <c r="D458" i="5"/>
  <c r="C458" i="5"/>
  <c r="B458" i="5"/>
  <c r="A458" i="5"/>
  <c r="E28" i="5"/>
  <c r="D28" i="5"/>
  <c r="C28" i="5"/>
  <c r="B28" i="5"/>
  <c r="A28" i="5"/>
  <c r="E465" i="5"/>
  <c r="D465" i="5"/>
  <c r="C465" i="5"/>
  <c r="B465" i="5"/>
  <c r="A465" i="5"/>
  <c r="E310" i="5"/>
  <c r="D310" i="5"/>
  <c r="C310" i="5"/>
  <c r="B310" i="5"/>
  <c r="A310" i="5"/>
  <c r="E274" i="5"/>
  <c r="D274" i="5"/>
  <c r="C274" i="5"/>
  <c r="B274" i="5"/>
  <c r="A274" i="5"/>
  <c r="E57" i="5"/>
  <c r="D57" i="5"/>
  <c r="C57" i="5"/>
  <c r="B57" i="5"/>
  <c r="A57" i="5"/>
  <c r="E473" i="5"/>
  <c r="D473" i="5"/>
  <c r="C473" i="5"/>
  <c r="B473" i="5"/>
  <c r="A473" i="5"/>
  <c r="E93" i="5"/>
  <c r="D93" i="5"/>
  <c r="C93" i="5"/>
  <c r="B93" i="5"/>
  <c r="A93" i="5"/>
  <c r="E409" i="5"/>
  <c r="D409" i="5"/>
  <c r="C409" i="5"/>
  <c r="B409" i="5"/>
  <c r="A409" i="5"/>
  <c r="E251" i="5"/>
  <c r="D251" i="5"/>
  <c r="C251" i="5"/>
  <c r="B251" i="5"/>
  <c r="A251" i="5"/>
  <c r="E262" i="5"/>
  <c r="D262" i="5"/>
  <c r="C262" i="5"/>
  <c r="B262" i="5"/>
  <c r="A262" i="5"/>
  <c r="E118" i="5"/>
  <c r="D118" i="5"/>
  <c r="C118" i="5"/>
  <c r="B118" i="5"/>
  <c r="A118" i="5"/>
  <c r="E73" i="5"/>
  <c r="D73" i="5"/>
  <c r="C73" i="5"/>
  <c r="B73" i="5"/>
  <c r="A73" i="5"/>
  <c r="E58" i="5"/>
  <c r="D58" i="5"/>
  <c r="C58" i="5"/>
  <c r="B58" i="5"/>
  <c r="A58" i="5"/>
  <c r="E341" i="5"/>
  <c r="D341" i="5"/>
  <c r="C341" i="5"/>
  <c r="B341" i="5"/>
  <c r="A341" i="5"/>
  <c r="E361" i="5"/>
  <c r="D361" i="5"/>
  <c r="C361" i="5"/>
  <c r="B361" i="5"/>
  <c r="A361" i="5"/>
  <c r="E440" i="5"/>
  <c r="D440" i="5"/>
  <c r="C440" i="5"/>
  <c r="B440" i="5"/>
  <c r="A440" i="5"/>
  <c r="E438" i="5"/>
  <c r="D438" i="5"/>
  <c r="C438" i="5"/>
  <c r="B438" i="5"/>
  <c r="A438" i="5"/>
  <c r="E49" i="5"/>
  <c r="D49" i="5"/>
  <c r="C49" i="5"/>
  <c r="B49" i="5"/>
  <c r="A49" i="5"/>
  <c r="E421" i="5"/>
  <c r="D421" i="5"/>
  <c r="C421" i="5"/>
  <c r="B421" i="5"/>
  <c r="A421" i="5"/>
  <c r="E72" i="5"/>
  <c r="D72" i="5"/>
  <c r="C72" i="5"/>
  <c r="B72" i="5"/>
  <c r="A72" i="5"/>
  <c r="E435" i="5"/>
  <c r="D435" i="5"/>
  <c r="C435" i="5"/>
  <c r="B435" i="5"/>
  <c r="A435" i="5"/>
  <c r="E378" i="5"/>
  <c r="D378" i="5"/>
  <c r="C378" i="5"/>
  <c r="B378" i="5"/>
  <c r="A378" i="5"/>
  <c r="E175" i="5"/>
  <c r="D175" i="5"/>
  <c r="C175" i="5"/>
  <c r="B175" i="5"/>
  <c r="A175" i="5"/>
  <c r="E331" i="5"/>
  <c r="D331" i="5"/>
  <c r="C331" i="5"/>
  <c r="B331" i="5"/>
  <c r="A331" i="5"/>
  <c r="E26" i="5"/>
  <c r="D26" i="5"/>
  <c r="C26" i="5"/>
  <c r="B26" i="5"/>
  <c r="A26" i="5"/>
  <c r="E496" i="5"/>
  <c r="D496" i="5"/>
  <c r="C496" i="5"/>
  <c r="B496" i="5"/>
  <c r="A496" i="5"/>
  <c r="E357" i="5"/>
  <c r="D357" i="5"/>
  <c r="C357" i="5"/>
  <c r="B357" i="5"/>
  <c r="A357" i="5"/>
  <c r="E401" i="5"/>
  <c r="D401" i="5"/>
  <c r="C401" i="5"/>
  <c r="B401" i="5"/>
  <c r="A401" i="5"/>
  <c r="E273" i="5"/>
  <c r="D273" i="5"/>
  <c r="C273" i="5"/>
  <c r="B273" i="5"/>
  <c r="A273" i="5"/>
  <c r="E225" i="5"/>
  <c r="D225" i="5"/>
  <c r="C225" i="5"/>
  <c r="B225" i="5"/>
  <c r="A225" i="5"/>
  <c r="E365" i="5"/>
  <c r="D365" i="5"/>
  <c r="C365" i="5"/>
  <c r="B365" i="5"/>
  <c r="A365" i="5"/>
  <c r="E494" i="5"/>
  <c r="D494" i="5"/>
  <c r="C494" i="5"/>
  <c r="B494" i="5"/>
  <c r="A494" i="5"/>
  <c r="E276" i="5"/>
  <c r="D276" i="5"/>
  <c r="C276" i="5"/>
  <c r="B276" i="5"/>
  <c r="A276" i="5"/>
  <c r="E454" i="5"/>
  <c r="D454" i="5"/>
  <c r="C454" i="5"/>
  <c r="B454" i="5"/>
  <c r="A454" i="5"/>
  <c r="E217" i="5"/>
  <c r="D217" i="5"/>
  <c r="C217" i="5"/>
  <c r="B217" i="5"/>
  <c r="A217" i="5"/>
  <c r="E119" i="5"/>
  <c r="D119" i="5"/>
  <c r="C119" i="5"/>
  <c r="B119" i="5"/>
  <c r="A119" i="5"/>
  <c r="E500" i="5"/>
  <c r="D500" i="5"/>
  <c r="C500" i="5"/>
  <c r="B500" i="5"/>
  <c r="A500" i="5"/>
  <c r="E408" i="5"/>
  <c r="D408" i="5"/>
  <c r="C408" i="5"/>
  <c r="B408" i="5"/>
  <c r="A408" i="5"/>
  <c r="E374" i="5"/>
  <c r="D374" i="5"/>
  <c r="C374" i="5"/>
  <c r="B374" i="5"/>
  <c r="A374" i="5"/>
  <c r="E368" i="5"/>
  <c r="D368" i="5"/>
  <c r="C368" i="5"/>
  <c r="B368" i="5"/>
  <c r="A368" i="5"/>
  <c r="E340" i="5"/>
  <c r="D340" i="5"/>
  <c r="C340" i="5"/>
  <c r="B340" i="5"/>
  <c r="A340" i="5"/>
  <c r="E412" i="5"/>
  <c r="D412" i="5"/>
  <c r="C412" i="5"/>
  <c r="B412" i="5"/>
  <c r="A412" i="5"/>
  <c r="E413" i="5"/>
  <c r="D413" i="5"/>
  <c r="C413" i="5"/>
  <c r="B413" i="5"/>
  <c r="A413" i="5"/>
  <c r="E389" i="5"/>
  <c r="D389" i="5"/>
  <c r="C389" i="5"/>
  <c r="B389" i="5"/>
  <c r="A389" i="5"/>
  <c r="E481" i="5"/>
  <c r="D481" i="5"/>
  <c r="C481" i="5"/>
  <c r="B481" i="5"/>
  <c r="A481" i="5"/>
  <c r="E314" i="5"/>
  <c r="D314" i="5"/>
  <c r="C314" i="5"/>
  <c r="B314" i="5"/>
  <c r="A314" i="5"/>
  <c r="E377" i="5"/>
  <c r="D377" i="5"/>
  <c r="C377" i="5"/>
  <c r="B377" i="5"/>
  <c r="A377" i="5"/>
  <c r="E335" i="5"/>
  <c r="D335" i="5"/>
  <c r="C335" i="5"/>
  <c r="B335" i="5"/>
  <c r="A335" i="5"/>
  <c r="E480" i="5"/>
  <c r="D480" i="5"/>
  <c r="C480" i="5"/>
  <c r="B480" i="5"/>
  <c r="A480" i="5"/>
  <c r="E332" i="5"/>
  <c r="D332" i="5"/>
  <c r="C332" i="5"/>
  <c r="B332" i="5"/>
  <c r="A332" i="5"/>
  <c r="E367" i="5"/>
  <c r="D367" i="5"/>
  <c r="C367" i="5"/>
  <c r="B367" i="5"/>
  <c r="A367" i="5"/>
  <c r="E213" i="5"/>
  <c r="D213" i="5"/>
  <c r="C213" i="5"/>
  <c r="B213" i="5"/>
  <c r="A213" i="5"/>
  <c r="E386" i="5"/>
  <c r="D386" i="5"/>
  <c r="C386" i="5"/>
  <c r="B386" i="5"/>
  <c r="A386" i="5"/>
  <c r="E193" i="5"/>
  <c r="D193" i="5"/>
  <c r="C193" i="5"/>
  <c r="B193" i="5"/>
  <c r="A193" i="5"/>
  <c r="E287" i="5"/>
  <c r="D287" i="5"/>
  <c r="C287" i="5"/>
  <c r="B287" i="5"/>
  <c r="A287" i="5"/>
  <c r="E116" i="5"/>
  <c r="D116" i="5"/>
  <c r="C116" i="5"/>
  <c r="B116" i="5"/>
  <c r="A116" i="5"/>
  <c r="E227" i="5"/>
  <c r="D227" i="5"/>
  <c r="C227" i="5"/>
  <c r="B227" i="5"/>
  <c r="A227" i="5"/>
  <c r="E90" i="5"/>
  <c r="D90" i="5"/>
  <c r="C90" i="5"/>
  <c r="B90" i="5"/>
  <c r="A90" i="5"/>
  <c r="E187" i="5"/>
  <c r="D187" i="5"/>
  <c r="C187" i="5"/>
  <c r="B187" i="5"/>
  <c r="A187" i="5"/>
  <c r="E453" i="5"/>
  <c r="D453" i="5"/>
  <c r="C453" i="5"/>
  <c r="B453" i="5"/>
  <c r="A453" i="5"/>
  <c r="E229" i="5"/>
  <c r="D229" i="5"/>
  <c r="C229" i="5"/>
  <c r="B229" i="5"/>
  <c r="A229" i="5"/>
  <c r="E382" i="5"/>
  <c r="D382" i="5"/>
  <c r="C382" i="5"/>
  <c r="B382" i="5"/>
  <c r="A382" i="5"/>
  <c r="E275" i="5"/>
  <c r="D275" i="5"/>
  <c r="C275" i="5"/>
  <c r="B275" i="5"/>
  <c r="A275" i="5"/>
  <c r="E431" i="5"/>
  <c r="D431" i="5"/>
  <c r="C431" i="5"/>
  <c r="B431" i="5"/>
  <c r="A431" i="5"/>
  <c r="E334" i="5"/>
  <c r="D334" i="5"/>
  <c r="C334" i="5"/>
  <c r="B334" i="5"/>
  <c r="A334" i="5"/>
  <c r="E487" i="5"/>
  <c r="D487" i="5"/>
  <c r="C487" i="5"/>
  <c r="B487" i="5"/>
  <c r="A487" i="5"/>
  <c r="E25" i="5"/>
  <c r="D25" i="5"/>
  <c r="C25" i="5"/>
  <c r="B25" i="5"/>
  <c r="A25" i="5"/>
  <c r="E504" i="5"/>
  <c r="D504" i="5"/>
  <c r="C504" i="5"/>
  <c r="B504" i="5"/>
  <c r="A504" i="5"/>
  <c r="E498" i="5"/>
  <c r="D498" i="5"/>
  <c r="C498" i="5"/>
  <c r="B498" i="5"/>
  <c r="A498" i="5"/>
  <c r="E125" i="5"/>
  <c r="D125" i="5"/>
  <c r="C125" i="5"/>
  <c r="B125" i="5"/>
  <c r="A125" i="5"/>
  <c r="E182" i="5"/>
  <c r="D182" i="5"/>
  <c r="C182" i="5"/>
  <c r="B182" i="5"/>
  <c r="A182" i="5"/>
  <c r="E246" i="5"/>
  <c r="D246" i="5"/>
  <c r="C246" i="5"/>
  <c r="B246" i="5"/>
  <c r="A246" i="5"/>
  <c r="E422" i="5"/>
  <c r="D422" i="5"/>
  <c r="C422" i="5"/>
  <c r="B422" i="5"/>
  <c r="A422" i="5"/>
  <c r="E180" i="5"/>
  <c r="D180" i="5"/>
  <c r="C180" i="5"/>
  <c r="B180" i="5"/>
  <c r="A180" i="5"/>
  <c r="E485" i="5"/>
  <c r="D485" i="5"/>
  <c r="C485" i="5"/>
  <c r="B485" i="5"/>
  <c r="A485" i="5"/>
  <c r="E203" i="5"/>
  <c r="D203" i="5"/>
  <c r="C203" i="5"/>
  <c r="B203" i="5"/>
  <c r="A203" i="5"/>
  <c r="E95" i="5"/>
  <c r="D95" i="5"/>
  <c r="C95" i="5"/>
  <c r="B95" i="5"/>
  <c r="A95" i="5"/>
  <c r="E159" i="5"/>
  <c r="D159" i="5"/>
  <c r="C159" i="5"/>
  <c r="B159" i="5"/>
  <c r="A159" i="5"/>
  <c r="E172" i="5"/>
  <c r="D172" i="5"/>
  <c r="C172" i="5"/>
  <c r="B172" i="5"/>
  <c r="A172" i="5"/>
  <c r="E144" i="5"/>
  <c r="D144" i="5"/>
  <c r="C144" i="5"/>
  <c r="B144" i="5"/>
  <c r="A144" i="5"/>
  <c r="E127" i="5"/>
  <c r="D127" i="5"/>
  <c r="C127" i="5"/>
  <c r="B127" i="5"/>
  <c r="A127" i="5"/>
  <c r="E48" i="5"/>
  <c r="D48" i="5"/>
  <c r="C48" i="5"/>
  <c r="B48" i="5"/>
  <c r="A48" i="5"/>
  <c r="E362" i="5"/>
  <c r="D362" i="5"/>
  <c r="C362" i="5"/>
  <c r="B362" i="5"/>
  <c r="A362" i="5"/>
  <c r="E171" i="5"/>
  <c r="D171" i="5"/>
  <c r="C171" i="5"/>
  <c r="B171" i="5"/>
  <c r="A171" i="5"/>
  <c r="E313" i="5"/>
  <c r="D313" i="5"/>
  <c r="C313" i="5"/>
  <c r="B313" i="5"/>
  <c r="A313" i="5"/>
  <c r="E301" i="5"/>
  <c r="D301" i="5"/>
  <c r="C301" i="5"/>
  <c r="B301" i="5"/>
  <c r="A301" i="5"/>
  <c r="E82" i="5"/>
  <c r="D82" i="5"/>
  <c r="C82" i="5"/>
  <c r="B82" i="5"/>
  <c r="A82" i="5"/>
  <c r="E282" i="5"/>
  <c r="D282" i="5"/>
  <c r="C282" i="5"/>
  <c r="B282" i="5"/>
  <c r="A282" i="5"/>
  <c r="E309" i="5"/>
  <c r="D309" i="5"/>
  <c r="C309" i="5"/>
  <c r="B309" i="5"/>
  <c r="A309" i="5"/>
  <c r="E405" i="5"/>
  <c r="D405" i="5"/>
  <c r="C405" i="5"/>
  <c r="B405" i="5"/>
  <c r="A405" i="5"/>
  <c r="E376" i="5"/>
  <c r="D376" i="5"/>
  <c r="C376" i="5"/>
  <c r="B376" i="5"/>
  <c r="A376" i="5"/>
  <c r="E425" i="5"/>
  <c r="D425" i="5"/>
  <c r="C425" i="5"/>
  <c r="B425" i="5"/>
  <c r="A425" i="5"/>
  <c r="E258" i="5"/>
  <c r="D258" i="5"/>
  <c r="C258" i="5"/>
  <c r="B258" i="5"/>
  <c r="A258" i="5"/>
  <c r="E333" i="5"/>
  <c r="D333" i="5"/>
  <c r="C333" i="5"/>
  <c r="B333" i="5"/>
  <c r="A333" i="5"/>
  <c r="E236" i="5"/>
  <c r="D236" i="5"/>
  <c r="C236" i="5"/>
  <c r="B236" i="5"/>
  <c r="A236" i="5"/>
  <c r="E344" i="5"/>
  <c r="D344" i="5"/>
  <c r="C344" i="5"/>
  <c r="B344" i="5"/>
  <c r="A344" i="5"/>
  <c r="E231" i="5"/>
  <c r="D231" i="5"/>
  <c r="C231" i="5"/>
  <c r="B231" i="5"/>
  <c r="A231" i="5"/>
  <c r="E198" i="5"/>
  <c r="D198" i="5"/>
  <c r="C198" i="5"/>
  <c r="B198" i="5"/>
  <c r="A198" i="5"/>
  <c r="E252" i="5"/>
  <c r="D252" i="5"/>
  <c r="C252" i="5"/>
  <c r="B252" i="5"/>
  <c r="A252" i="5"/>
  <c r="E115" i="5"/>
  <c r="D115" i="5"/>
  <c r="C115" i="5"/>
  <c r="B115" i="5"/>
  <c r="A115" i="5"/>
  <c r="E497" i="5"/>
  <c r="D497" i="5"/>
  <c r="C497" i="5"/>
  <c r="B497" i="5"/>
  <c r="A497" i="5"/>
  <c r="E294" i="5"/>
  <c r="D294" i="5"/>
  <c r="C294" i="5"/>
  <c r="B294" i="5"/>
  <c r="A294" i="5"/>
  <c r="E411" i="5"/>
  <c r="D411" i="5"/>
  <c r="C411" i="5"/>
  <c r="B411" i="5"/>
  <c r="A411" i="5"/>
  <c r="E429" i="5"/>
  <c r="D429" i="5"/>
  <c r="C429" i="5"/>
  <c r="B429" i="5"/>
  <c r="A429" i="5"/>
  <c r="E143" i="5"/>
  <c r="D143" i="5"/>
  <c r="C143" i="5"/>
  <c r="B143" i="5"/>
  <c r="A143" i="5"/>
  <c r="E373" i="5"/>
  <c r="D373" i="5"/>
  <c r="C373" i="5"/>
  <c r="B373" i="5"/>
  <c r="A373" i="5"/>
  <c r="E153" i="5"/>
  <c r="D153" i="5"/>
  <c r="C153" i="5"/>
  <c r="B153" i="5"/>
  <c r="A153" i="5"/>
  <c r="E70" i="5"/>
  <c r="D70" i="5"/>
  <c r="C70" i="5"/>
  <c r="B70" i="5"/>
  <c r="A70" i="5"/>
  <c r="E380" i="5"/>
  <c r="D380" i="5"/>
  <c r="C380" i="5"/>
  <c r="B380" i="5"/>
  <c r="A380" i="5"/>
  <c r="E260" i="5"/>
  <c r="D260" i="5"/>
  <c r="C260" i="5"/>
  <c r="B260" i="5"/>
  <c r="A260" i="5"/>
  <c r="E12" i="5"/>
  <c r="D12" i="5"/>
  <c r="C12" i="5"/>
  <c r="B12" i="5"/>
  <c r="A12" i="5"/>
  <c r="E135" i="5"/>
  <c r="D135" i="5"/>
  <c r="C135" i="5"/>
  <c r="B135" i="5"/>
  <c r="A135" i="5"/>
  <c r="E192" i="5"/>
  <c r="D192" i="5"/>
  <c r="C192" i="5"/>
  <c r="B192" i="5"/>
  <c r="A192" i="5"/>
  <c r="E392" i="5"/>
  <c r="D392" i="5"/>
  <c r="C392" i="5"/>
  <c r="B392" i="5"/>
  <c r="A392" i="5"/>
  <c r="E19" i="5"/>
  <c r="D19" i="5"/>
  <c r="C19" i="5"/>
  <c r="B19" i="5"/>
  <c r="A19" i="5"/>
  <c r="E503" i="5"/>
  <c r="D503" i="5"/>
  <c r="C503" i="5"/>
  <c r="B503" i="5"/>
  <c r="A503" i="5"/>
  <c r="E55" i="5"/>
  <c r="D55" i="5"/>
  <c r="C55" i="5"/>
  <c r="B55" i="5"/>
  <c r="A55" i="5"/>
  <c r="E23" i="5"/>
  <c r="D23" i="5"/>
  <c r="C23" i="5"/>
  <c r="B23" i="5"/>
  <c r="A23" i="5"/>
  <c r="E78" i="5"/>
  <c r="D78" i="5"/>
  <c r="C78" i="5"/>
  <c r="B78" i="5"/>
  <c r="A78" i="5"/>
  <c r="E325" i="5"/>
  <c r="D325" i="5"/>
  <c r="C325" i="5"/>
  <c r="B325" i="5"/>
  <c r="A325" i="5"/>
  <c r="E299" i="5"/>
  <c r="D299" i="5"/>
  <c r="C299" i="5"/>
  <c r="B299" i="5"/>
  <c r="A299" i="5"/>
  <c r="E47" i="5"/>
  <c r="D47" i="5"/>
  <c r="C47" i="5"/>
  <c r="B47" i="5"/>
  <c r="A47" i="5"/>
  <c r="E284" i="5"/>
  <c r="D284" i="5"/>
  <c r="C284" i="5"/>
  <c r="B284" i="5"/>
  <c r="A284" i="5"/>
  <c r="E46" i="5"/>
  <c r="D46" i="5"/>
  <c r="C46" i="5"/>
  <c r="B46" i="5"/>
  <c r="A46" i="5"/>
  <c r="E424" i="5"/>
  <c r="D424" i="5"/>
  <c r="C424" i="5"/>
  <c r="B424" i="5"/>
  <c r="A424" i="5"/>
  <c r="E77" i="5"/>
  <c r="D77" i="5"/>
  <c r="C77" i="5"/>
  <c r="B77" i="5"/>
  <c r="A77" i="5"/>
  <c r="E188" i="5"/>
  <c r="D188" i="5"/>
  <c r="C188" i="5"/>
  <c r="B188" i="5"/>
  <c r="A188" i="5"/>
  <c r="E8" i="5"/>
  <c r="D8" i="5"/>
  <c r="C8" i="5"/>
  <c r="B8" i="5"/>
  <c r="A8" i="5"/>
  <c r="E63" i="5"/>
  <c r="D63" i="5"/>
  <c r="C63" i="5"/>
  <c r="B63" i="5"/>
  <c r="A63" i="5"/>
  <c r="E209" i="5"/>
  <c r="D209" i="5"/>
  <c r="C209" i="5"/>
  <c r="B209" i="5"/>
  <c r="A209" i="5"/>
  <c r="E297" i="5"/>
  <c r="D297" i="5"/>
  <c r="C297" i="5"/>
  <c r="B297" i="5"/>
  <c r="A297" i="5"/>
  <c r="E293" i="5"/>
  <c r="D293" i="5"/>
  <c r="C293" i="5"/>
  <c r="B293" i="5"/>
  <c r="A293" i="5"/>
  <c r="E41" i="5"/>
  <c r="D41" i="5"/>
  <c r="C41" i="5"/>
  <c r="B41" i="5"/>
  <c r="A41" i="5"/>
  <c r="E221" i="5"/>
  <c r="D221" i="5"/>
  <c r="C221" i="5"/>
  <c r="B221" i="5"/>
  <c r="A221" i="5"/>
  <c r="E176" i="5"/>
  <c r="D176" i="5"/>
  <c r="C176" i="5"/>
  <c r="B176" i="5"/>
  <c r="A176" i="5"/>
  <c r="E316" i="5"/>
  <c r="D316" i="5"/>
  <c r="C316" i="5"/>
  <c r="B316" i="5"/>
  <c r="A316" i="5"/>
  <c r="E241" i="5"/>
  <c r="D241" i="5"/>
  <c r="C241" i="5"/>
  <c r="B241" i="5"/>
  <c r="A241" i="5"/>
  <c r="E117" i="5"/>
  <c r="D117" i="5"/>
  <c r="C117" i="5"/>
  <c r="B117" i="5"/>
  <c r="A117" i="5"/>
  <c r="E76" i="5"/>
  <c r="D76" i="5"/>
  <c r="C76" i="5"/>
  <c r="B76" i="5"/>
  <c r="A76" i="5"/>
  <c r="E265" i="5"/>
  <c r="D265" i="5"/>
  <c r="C265" i="5"/>
  <c r="B265" i="5"/>
  <c r="A265" i="5"/>
  <c r="E173" i="5"/>
  <c r="D173" i="5"/>
  <c r="C173" i="5"/>
  <c r="B173" i="5"/>
  <c r="A173" i="5"/>
  <c r="E18" i="5"/>
  <c r="D18" i="5"/>
  <c r="C18" i="5"/>
  <c r="B18" i="5"/>
  <c r="A18" i="5"/>
  <c r="E62" i="5"/>
  <c r="D62" i="5"/>
  <c r="C62" i="5"/>
  <c r="B62" i="5"/>
  <c r="A62" i="5"/>
  <c r="E67" i="5"/>
  <c r="D67" i="5"/>
  <c r="C67" i="5"/>
  <c r="B67" i="5"/>
  <c r="A67" i="5"/>
  <c r="E155" i="5"/>
  <c r="D155" i="5"/>
  <c r="C155" i="5"/>
  <c r="B155" i="5"/>
  <c r="A155" i="5"/>
  <c r="E165" i="5"/>
  <c r="D165" i="5"/>
  <c r="C165" i="5"/>
  <c r="B165" i="5"/>
  <c r="A165" i="5"/>
  <c r="E343" i="5"/>
  <c r="D343" i="5"/>
  <c r="C343" i="5"/>
  <c r="B343" i="5"/>
  <c r="A343" i="5"/>
  <c r="E426" i="5"/>
  <c r="D426" i="5"/>
  <c r="C426" i="5"/>
  <c r="B426" i="5"/>
  <c r="A426" i="5"/>
  <c r="E112" i="5"/>
  <c r="D112" i="5"/>
  <c r="C112" i="5"/>
  <c r="B112" i="5"/>
  <c r="A112" i="5"/>
  <c r="E281" i="5"/>
  <c r="D281" i="5"/>
  <c r="C281" i="5"/>
  <c r="B281" i="5"/>
  <c r="A281" i="5"/>
  <c r="E59" i="5"/>
  <c r="D59" i="5"/>
  <c r="C59" i="5"/>
  <c r="B59" i="5"/>
  <c r="A59" i="5"/>
  <c r="E356" i="5"/>
  <c r="D356" i="5"/>
  <c r="C356" i="5"/>
  <c r="B356" i="5"/>
  <c r="A356" i="5"/>
  <c r="E61" i="5"/>
  <c r="D61" i="5"/>
  <c r="C61" i="5"/>
  <c r="B61" i="5"/>
  <c r="A61" i="5"/>
  <c r="E71" i="5"/>
  <c r="D71" i="5"/>
  <c r="C71" i="5"/>
  <c r="B71" i="5"/>
  <c r="A71" i="5"/>
  <c r="E379" i="5"/>
  <c r="D379" i="5"/>
  <c r="C379" i="5"/>
  <c r="B379" i="5"/>
  <c r="A379" i="5"/>
  <c r="E317" i="5"/>
  <c r="D317" i="5"/>
  <c r="C317" i="5"/>
  <c r="B317" i="5"/>
  <c r="A317" i="5"/>
  <c r="E146" i="5"/>
  <c r="D146" i="5"/>
  <c r="C146" i="5"/>
  <c r="B146" i="5"/>
  <c r="A146" i="5"/>
  <c r="E68" i="5"/>
  <c r="D68" i="5"/>
  <c r="C68" i="5"/>
  <c r="B68" i="5"/>
  <c r="A68" i="5"/>
  <c r="E124" i="5"/>
  <c r="D124" i="5"/>
  <c r="C124" i="5"/>
  <c r="B124" i="5"/>
  <c r="A124" i="5"/>
  <c r="E145" i="5"/>
  <c r="D145" i="5"/>
  <c r="C145" i="5"/>
  <c r="B145" i="5"/>
  <c r="A145" i="5"/>
  <c r="E295" i="5"/>
  <c r="D295" i="5"/>
  <c r="C295" i="5"/>
  <c r="B295" i="5"/>
  <c r="A295" i="5"/>
  <c r="E234" i="5"/>
  <c r="D234" i="5"/>
  <c r="C234" i="5"/>
  <c r="B234" i="5"/>
  <c r="A234" i="5"/>
  <c r="E6" i="5"/>
  <c r="D6" i="5"/>
  <c r="C6" i="5"/>
  <c r="B6" i="5"/>
  <c r="A6" i="5"/>
  <c r="E32" i="5"/>
  <c r="D32" i="5"/>
  <c r="C32" i="5"/>
  <c r="B32" i="5"/>
  <c r="A32" i="5"/>
  <c r="E271" i="5"/>
  <c r="D271" i="5"/>
  <c r="C271" i="5"/>
  <c r="B271" i="5"/>
  <c r="A271" i="5"/>
  <c r="E261" i="5"/>
  <c r="D261" i="5"/>
  <c r="C261" i="5"/>
  <c r="B261" i="5"/>
  <c r="A261" i="5"/>
  <c r="E226" i="5"/>
  <c r="D226" i="5"/>
  <c r="C226" i="5"/>
  <c r="B226" i="5"/>
  <c r="A226" i="5"/>
  <c r="E17" i="5"/>
  <c r="D17" i="5"/>
  <c r="C17" i="5"/>
  <c r="B17" i="5"/>
  <c r="A17" i="5"/>
  <c r="E163" i="5"/>
  <c r="D163" i="5"/>
  <c r="C163" i="5"/>
  <c r="B163" i="5"/>
  <c r="A163" i="5"/>
  <c r="E216" i="5"/>
  <c r="D216" i="5"/>
  <c r="C216" i="5"/>
  <c r="B216" i="5"/>
  <c r="A216" i="5"/>
  <c r="E286" i="5"/>
  <c r="D286" i="5"/>
  <c r="C286" i="5"/>
  <c r="B286" i="5"/>
  <c r="A286" i="5"/>
  <c r="E85" i="5"/>
  <c r="D85" i="5"/>
  <c r="C85" i="5"/>
  <c r="B85" i="5"/>
  <c r="A85" i="5"/>
  <c r="E99" i="5"/>
  <c r="D99" i="5"/>
  <c r="C99" i="5"/>
  <c r="B99" i="5"/>
  <c r="A99" i="5"/>
  <c r="E283" i="5"/>
  <c r="D283" i="5"/>
  <c r="C283" i="5"/>
  <c r="B283" i="5"/>
  <c r="A283" i="5"/>
  <c r="E43" i="5"/>
  <c r="D43" i="5"/>
  <c r="C43" i="5"/>
  <c r="B43" i="5"/>
  <c r="A43" i="5"/>
  <c r="E326" i="5"/>
  <c r="D326" i="5"/>
  <c r="C326" i="5"/>
  <c r="B326" i="5"/>
  <c r="A326" i="5"/>
  <c r="E157" i="5"/>
  <c r="D157" i="5"/>
  <c r="C157" i="5"/>
  <c r="B157" i="5"/>
  <c r="A157" i="5"/>
  <c r="E206" i="5"/>
  <c r="D206" i="5"/>
  <c r="C206" i="5"/>
  <c r="B206" i="5"/>
  <c r="A206" i="5"/>
  <c r="E321" i="5"/>
  <c r="D321" i="5"/>
  <c r="C321" i="5"/>
  <c r="B321" i="5"/>
  <c r="A321" i="5"/>
  <c r="E129" i="5"/>
  <c r="D129" i="5"/>
  <c r="C129" i="5"/>
  <c r="B129" i="5"/>
  <c r="A129" i="5"/>
  <c r="E160" i="5"/>
  <c r="D160" i="5"/>
  <c r="C160" i="5"/>
  <c r="B160" i="5"/>
  <c r="A160" i="5"/>
  <c r="E191" i="5"/>
  <c r="D191" i="5"/>
  <c r="C191" i="5"/>
  <c r="B191" i="5"/>
  <c r="A191" i="5"/>
  <c r="E60" i="5"/>
  <c r="D60" i="5"/>
  <c r="C60" i="5"/>
  <c r="B60" i="5"/>
  <c r="A60" i="5"/>
  <c r="E81" i="5"/>
  <c r="D81" i="5"/>
  <c r="C81" i="5"/>
  <c r="B81" i="5"/>
  <c r="A81" i="5"/>
  <c r="E181" i="5"/>
  <c r="D181" i="5"/>
  <c r="C181" i="5"/>
  <c r="B181" i="5"/>
  <c r="A181" i="5"/>
  <c r="E285" i="5"/>
  <c r="D285" i="5"/>
  <c r="C285" i="5"/>
  <c r="B285" i="5"/>
  <c r="A285" i="5"/>
  <c r="E74" i="5"/>
  <c r="D74" i="5"/>
  <c r="C74" i="5"/>
  <c r="B74" i="5"/>
  <c r="A74" i="5"/>
  <c r="E131" i="5"/>
  <c r="D131" i="5"/>
  <c r="C131" i="5"/>
  <c r="B131" i="5"/>
  <c r="A131" i="5"/>
  <c r="E267" i="5"/>
  <c r="D267" i="5"/>
  <c r="C267" i="5"/>
  <c r="B267" i="5"/>
  <c r="A267" i="5"/>
  <c r="E166" i="5"/>
  <c r="D166" i="5"/>
  <c r="C166" i="5"/>
  <c r="B166" i="5"/>
  <c r="A166" i="5"/>
  <c r="E35" i="5"/>
  <c r="D35" i="5"/>
  <c r="C35" i="5"/>
  <c r="B35" i="5"/>
  <c r="A35" i="5"/>
  <c r="E103" i="5"/>
  <c r="D103" i="5"/>
  <c r="C103" i="5"/>
  <c r="B103" i="5"/>
  <c r="A103" i="5"/>
  <c r="E98" i="5"/>
  <c r="D98" i="5"/>
  <c r="C98" i="5"/>
  <c r="B98" i="5"/>
  <c r="A98" i="5"/>
  <c r="E89" i="5"/>
  <c r="D89" i="5"/>
  <c r="C89" i="5"/>
  <c r="B89" i="5"/>
  <c r="A89" i="5"/>
  <c r="E5" i="5"/>
  <c r="D5" i="5"/>
  <c r="C5" i="5"/>
  <c r="B5" i="5"/>
  <c r="A5" i="5"/>
  <c r="E80" i="5"/>
  <c r="D80" i="5"/>
  <c r="C80" i="5"/>
  <c r="B80" i="5"/>
  <c r="A80" i="5"/>
  <c r="E100" i="5"/>
  <c r="D100" i="5"/>
  <c r="C100" i="5"/>
  <c r="B100" i="5"/>
  <c r="A100" i="5"/>
  <c r="E51" i="5"/>
  <c r="D51" i="5"/>
  <c r="C51" i="5"/>
  <c r="B51" i="5"/>
  <c r="A51" i="5"/>
  <c r="E353" i="5"/>
  <c r="D353" i="5"/>
  <c r="C353" i="5"/>
  <c r="B353" i="5"/>
  <c r="A353" i="5"/>
  <c r="E154" i="5"/>
  <c r="D154" i="5"/>
  <c r="C154" i="5"/>
  <c r="B154" i="5"/>
  <c r="A154" i="5"/>
  <c r="E16" i="5"/>
  <c r="D16" i="5"/>
  <c r="C16" i="5"/>
  <c r="B16" i="5"/>
  <c r="A16" i="5"/>
  <c r="E158" i="5"/>
  <c r="D158" i="5"/>
  <c r="C158" i="5"/>
  <c r="B158" i="5"/>
  <c r="A158" i="5"/>
  <c r="E37" i="5"/>
  <c r="D37" i="5"/>
  <c r="C37" i="5"/>
  <c r="B37" i="5"/>
  <c r="A37" i="5"/>
  <c r="E390" i="5"/>
  <c r="D390" i="5"/>
  <c r="C390" i="5"/>
  <c r="B390" i="5"/>
  <c r="A390" i="5"/>
  <c r="E196" i="5"/>
  <c r="D196" i="5"/>
  <c r="C196" i="5"/>
  <c r="B196" i="5"/>
  <c r="A196" i="5"/>
  <c r="E134" i="5"/>
  <c r="D134" i="5"/>
  <c r="C134" i="5"/>
  <c r="B134" i="5"/>
  <c r="A134" i="5"/>
  <c r="E92" i="5"/>
  <c r="D92" i="5"/>
  <c r="C92" i="5"/>
  <c r="B92" i="5"/>
  <c r="A92" i="5"/>
  <c r="E27" i="5"/>
  <c r="D27" i="5"/>
  <c r="C27" i="5"/>
  <c r="B27" i="5"/>
  <c r="A27" i="5"/>
  <c r="E151" i="5"/>
  <c r="D151" i="5"/>
  <c r="C151" i="5"/>
  <c r="B151" i="5"/>
  <c r="A151" i="5"/>
  <c r="E170" i="5"/>
  <c r="D170" i="5"/>
  <c r="C170" i="5"/>
  <c r="B170" i="5"/>
  <c r="A170" i="5"/>
  <c r="E42" i="5"/>
  <c r="D42" i="5"/>
  <c r="C42" i="5"/>
  <c r="B42" i="5"/>
  <c r="A42" i="5"/>
  <c r="E247" i="5"/>
  <c r="D247" i="5"/>
  <c r="C247" i="5"/>
  <c r="B247" i="5"/>
  <c r="A247" i="5"/>
  <c r="E272" i="5"/>
  <c r="D272" i="5"/>
  <c r="C272" i="5"/>
  <c r="B272" i="5"/>
  <c r="A272" i="5"/>
  <c r="E245" i="5"/>
  <c r="D245" i="5"/>
  <c r="C245" i="5"/>
  <c r="B245" i="5"/>
  <c r="A245" i="5"/>
  <c r="E138" i="5"/>
  <c r="D138" i="5"/>
  <c r="C138" i="5"/>
  <c r="B138" i="5"/>
  <c r="A138" i="5"/>
  <c r="E9" i="5"/>
  <c r="D9" i="5"/>
  <c r="C9" i="5"/>
  <c r="B9" i="5"/>
  <c r="A9" i="5"/>
  <c r="E101" i="5"/>
  <c r="D101" i="5"/>
  <c r="C101" i="5"/>
  <c r="B101" i="5"/>
  <c r="A101" i="5"/>
  <c r="E87" i="5"/>
  <c r="D87" i="5"/>
  <c r="C87" i="5"/>
  <c r="B87" i="5"/>
  <c r="A87" i="5"/>
  <c r="E300" i="5"/>
  <c r="D300" i="5"/>
  <c r="C300" i="5"/>
  <c r="B300" i="5"/>
  <c r="A300" i="5"/>
  <c r="E34" i="5"/>
  <c r="D34" i="5"/>
  <c r="C34" i="5"/>
  <c r="B34" i="5"/>
  <c r="A34" i="5"/>
  <c r="E69" i="5"/>
  <c r="D69" i="5"/>
  <c r="C69" i="5"/>
  <c r="B69" i="5"/>
  <c r="A69" i="5"/>
  <c r="E168" i="5"/>
  <c r="D168" i="5"/>
  <c r="C168" i="5"/>
  <c r="B168" i="5"/>
  <c r="A168" i="5"/>
  <c r="E21" i="5"/>
  <c r="D21" i="5"/>
  <c r="C21" i="5"/>
  <c r="B21" i="5"/>
  <c r="A21" i="5"/>
  <c r="E224" i="5"/>
  <c r="D224" i="5"/>
  <c r="C224" i="5"/>
  <c r="B224" i="5"/>
  <c r="A224" i="5"/>
  <c r="E54" i="5"/>
  <c r="D54" i="5"/>
  <c r="C54" i="5"/>
  <c r="B54" i="5"/>
  <c r="A54" i="5"/>
  <c r="E75" i="5"/>
  <c r="D75" i="5"/>
  <c r="C75" i="5"/>
  <c r="B75" i="5"/>
  <c r="A75" i="5"/>
  <c r="E110" i="5"/>
  <c r="D110" i="5"/>
  <c r="C110" i="5"/>
  <c r="B110" i="5"/>
  <c r="A110" i="5"/>
  <c r="E111" i="5"/>
  <c r="D111" i="5"/>
  <c r="C111" i="5"/>
  <c r="B111" i="5"/>
  <c r="A111" i="5"/>
  <c r="E324" i="5"/>
  <c r="D324" i="5"/>
  <c r="C324" i="5"/>
  <c r="B324" i="5"/>
  <c r="A324" i="5"/>
  <c r="E24" i="5"/>
  <c r="D24" i="5"/>
  <c r="C24" i="5"/>
  <c r="B24" i="5"/>
  <c r="A24" i="5"/>
  <c r="E305" i="5"/>
  <c r="D305" i="5"/>
  <c r="C305" i="5"/>
  <c r="B305" i="5"/>
  <c r="A305" i="5"/>
  <c r="E13" i="5"/>
  <c r="D13" i="5"/>
  <c r="C13" i="5"/>
  <c r="B13" i="5"/>
  <c r="A13" i="5"/>
  <c r="E133" i="5"/>
  <c r="D133" i="5"/>
  <c r="C133" i="5"/>
  <c r="B133" i="5"/>
  <c r="A133" i="5"/>
  <c r="E52" i="5"/>
  <c r="D52" i="5"/>
  <c r="C52" i="5"/>
  <c r="B52" i="5"/>
  <c r="A52" i="5"/>
  <c r="E249" i="5"/>
  <c r="D249" i="5"/>
  <c r="C249" i="5"/>
  <c r="B249" i="5"/>
  <c r="A249" i="5"/>
  <c r="E147" i="5"/>
  <c r="D147" i="5"/>
  <c r="C147" i="5"/>
  <c r="B147" i="5"/>
  <c r="A147" i="5"/>
  <c r="E448" i="5"/>
  <c r="D448" i="5"/>
  <c r="C448" i="5"/>
  <c r="B448" i="5"/>
  <c r="A448" i="5"/>
  <c r="E36" i="5"/>
  <c r="D36" i="5"/>
  <c r="C36" i="5"/>
  <c r="B36" i="5"/>
  <c r="A36" i="5"/>
  <c r="E7" i="5"/>
  <c r="D7" i="5"/>
  <c r="C7" i="5"/>
  <c r="B7" i="5"/>
  <c r="A7" i="5"/>
  <c r="E132" i="5"/>
  <c r="D132" i="5"/>
  <c r="C132" i="5"/>
  <c r="B132" i="5"/>
  <c r="A132" i="5"/>
  <c r="E10" i="5"/>
  <c r="D10" i="5"/>
  <c r="C10" i="5"/>
  <c r="B10" i="5"/>
  <c r="A10" i="5"/>
  <c r="E53" i="5"/>
  <c r="D53" i="5"/>
  <c r="C53" i="5"/>
  <c r="B53" i="5"/>
  <c r="A53" i="5"/>
  <c r="E50" i="5"/>
  <c r="D50" i="5"/>
  <c r="C50" i="5"/>
  <c r="B50" i="5"/>
  <c r="A50" i="5"/>
  <c r="E218" i="5"/>
  <c r="D218" i="5"/>
  <c r="C218" i="5"/>
  <c r="B218" i="5"/>
  <c r="A218" i="5"/>
  <c r="E29" i="5"/>
  <c r="D29" i="5"/>
  <c r="C29" i="5"/>
  <c r="B29" i="5"/>
  <c r="A29" i="5"/>
  <c r="E161" i="5"/>
  <c r="D161" i="5"/>
  <c r="C161" i="5"/>
  <c r="B161" i="5"/>
  <c r="A161" i="5"/>
  <c r="E140" i="5"/>
  <c r="D140" i="5"/>
  <c r="C140" i="5"/>
  <c r="B140" i="5"/>
  <c r="A140" i="5"/>
  <c r="E107" i="5"/>
  <c r="D107" i="5"/>
  <c r="C107" i="5"/>
  <c r="B107" i="5"/>
  <c r="A107" i="5"/>
  <c r="E20" i="5"/>
  <c r="D20" i="5"/>
  <c r="C20" i="5"/>
  <c r="B20" i="5"/>
  <c r="A20" i="5"/>
  <c r="E150" i="5"/>
  <c r="D150" i="5"/>
  <c r="C150" i="5"/>
  <c r="B150" i="5"/>
  <c r="A150" i="5"/>
  <c r="E86" i="5"/>
  <c r="D86" i="5"/>
  <c r="C86" i="5"/>
  <c r="B86" i="5"/>
  <c r="A86" i="5"/>
  <c r="E186" i="5"/>
  <c r="D186" i="5"/>
  <c r="C186" i="5"/>
  <c r="B186" i="5"/>
  <c r="A186" i="5"/>
  <c r="E449" i="5"/>
  <c r="D449" i="5"/>
  <c r="C449" i="5"/>
  <c r="B449" i="5"/>
  <c r="A449" i="5"/>
  <c r="E471" i="5"/>
  <c r="D471" i="5"/>
  <c r="C471" i="5"/>
  <c r="B471" i="5"/>
  <c r="A471" i="5"/>
  <c r="E350" i="5"/>
  <c r="D350" i="5"/>
  <c r="C350" i="5"/>
  <c r="B350" i="5"/>
  <c r="A350" i="5"/>
  <c r="E91" i="5"/>
  <c r="D91" i="5"/>
  <c r="C91" i="5"/>
  <c r="B91" i="5"/>
  <c r="A91" i="5"/>
  <c r="E33" i="5"/>
  <c r="D33" i="5"/>
  <c r="C33" i="5"/>
  <c r="B33" i="5"/>
  <c r="A33" i="5"/>
  <c r="E207" i="5"/>
  <c r="D207" i="5"/>
  <c r="C207" i="5"/>
  <c r="B207" i="5"/>
  <c r="A207" i="5"/>
  <c r="E22" i="5"/>
  <c r="D22" i="5"/>
  <c r="C22" i="5"/>
  <c r="B22" i="5"/>
  <c r="A22" i="5"/>
  <c r="E174" i="5"/>
  <c r="D174" i="5"/>
  <c r="C174" i="5"/>
  <c r="B174" i="5"/>
  <c r="A174" i="5"/>
  <c r="E104" i="5"/>
  <c r="D104" i="5"/>
  <c r="C104" i="5"/>
  <c r="B104" i="5"/>
  <c r="A104" i="5"/>
  <c r="E190" i="5"/>
  <c r="D190" i="5"/>
  <c r="C190" i="5"/>
  <c r="B190" i="5"/>
  <c r="A190" i="5"/>
  <c r="E108" i="5"/>
  <c r="D108" i="5"/>
  <c r="C108" i="5"/>
  <c r="B108" i="5"/>
  <c r="A108" i="5"/>
  <c r="E148" i="5"/>
  <c r="D148" i="5"/>
  <c r="C148" i="5"/>
  <c r="B148" i="5"/>
  <c r="A148" i="5"/>
  <c r="E123" i="5"/>
  <c r="D123" i="5"/>
  <c r="C123" i="5"/>
  <c r="B123" i="5"/>
  <c r="A123" i="5"/>
  <c r="E44" i="5"/>
  <c r="D44" i="5"/>
  <c r="C44" i="5"/>
  <c r="B44" i="5"/>
  <c r="A44" i="5"/>
  <c r="Q504" i="4"/>
  <c r="P504" i="4"/>
  <c r="O504" i="4"/>
  <c r="N504" i="4"/>
  <c r="M504" i="4"/>
  <c r="L504" i="4"/>
  <c r="J504" i="4"/>
  <c r="I504" i="4"/>
  <c r="G504" i="4"/>
  <c r="F504" i="4"/>
  <c r="E504" i="4"/>
  <c r="C504" i="4"/>
  <c r="B504" i="4"/>
  <c r="A504" i="4"/>
  <c r="Q503" i="4"/>
  <c r="P503" i="4"/>
  <c r="O503" i="4"/>
  <c r="N503" i="4"/>
  <c r="M503" i="4"/>
  <c r="L503" i="4"/>
  <c r="J503" i="4"/>
  <c r="I503" i="4"/>
  <c r="G503" i="4"/>
  <c r="F503" i="4"/>
  <c r="E503" i="4"/>
  <c r="C503" i="4"/>
  <c r="B503" i="4"/>
  <c r="A503" i="4"/>
  <c r="Q502" i="4"/>
  <c r="P502" i="4"/>
  <c r="O502" i="4"/>
  <c r="N502" i="4"/>
  <c r="M502" i="4"/>
  <c r="L502" i="4"/>
  <c r="J502" i="4"/>
  <c r="I502" i="4"/>
  <c r="G502" i="4"/>
  <c r="F502" i="4"/>
  <c r="E502" i="4"/>
  <c r="C502" i="4"/>
  <c r="B502" i="4"/>
  <c r="A502" i="4"/>
  <c r="Q501" i="4"/>
  <c r="P501" i="4"/>
  <c r="O501" i="4"/>
  <c r="N501" i="4"/>
  <c r="M501" i="4"/>
  <c r="L501" i="4"/>
  <c r="J501" i="4"/>
  <c r="I501" i="4"/>
  <c r="G501" i="4"/>
  <c r="F501" i="4"/>
  <c r="E501" i="4"/>
  <c r="C501" i="4"/>
  <c r="B501" i="4"/>
  <c r="A501" i="4"/>
  <c r="Q500" i="4"/>
  <c r="P500" i="4"/>
  <c r="O500" i="4"/>
  <c r="N500" i="4"/>
  <c r="M500" i="4"/>
  <c r="L500" i="4"/>
  <c r="J500" i="4"/>
  <c r="I500" i="4"/>
  <c r="G500" i="4"/>
  <c r="F500" i="4"/>
  <c r="E500" i="4"/>
  <c r="C500" i="4"/>
  <c r="B500" i="4"/>
  <c r="A500" i="4"/>
  <c r="Q499" i="4"/>
  <c r="P499" i="4"/>
  <c r="O499" i="4"/>
  <c r="N499" i="4"/>
  <c r="M499" i="4"/>
  <c r="L499" i="4"/>
  <c r="J499" i="4"/>
  <c r="I499" i="4"/>
  <c r="G499" i="4"/>
  <c r="F499" i="4"/>
  <c r="E499" i="4"/>
  <c r="C499" i="4"/>
  <c r="B499" i="4"/>
  <c r="A499" i="4"/>
  <c r="Q498" i="4"/>
  <c r="P498" i="4"/>
  <c r="O498" i="4"/>
  <c r="N498" i="4"/>
  <c r="M498" i="4"/>
  <c r="L498" i="4"/>
  <c r="J498" i="4"/>
  <c r="I498" i="4"/>
  <c r="G498" i="4"/>
  <c r="F498" i="4"/>
  <c r="E498" i="4"/>
  <c r="C498" i="4"/>
  <c r="B498" i="4"/>
  <c r="A498" i="4"/>
  <c r="Q497" i="4"/>
  <c r="P497" i="4"/>
  <c r="O497" i="4"/>
  <c r="N497" i="4"/>
  <c r="M497" i="4"/>
  <c r="L497" i="4"/>
  <c r="J497" i="4"/>
  <c r="I497" i="4"/>
  <c r="G497" i="4"/>
  <c r="F497" i="4"/>
  <c r="E497" i="4"/>
  <c r="C497" i="4"/>
  <c r="B497" i="4"/>
  <c r="A497" i="4"/>
  <c r="Q496" i="4"/>
  <c r="P496" i="4"/>
  <c r="O496" i="4"/>
  <c r="N496" i="4"/>
  <c r="M496" i="4"/>
  <c r="L496" i="4"/>
  <c r="K496" i="4"/>
  <c r="J496" i="4"/>
  <c r="I496" i="4"/>
  <c r="G496" i="4"/>
  <c r="F496" i="4"/>
  <c r="E496" i="4"/>
  <c r="C496" i="4"/>
  <c r="B496" i="4"/>
  <c r="A496" i="4"/>
  <c r="Q495" i="4"/>
  <c r="P495" i="4"/>
  <c r="O495" i="4"/>
  <c r="N495" i="4"/>
  <c r="M495" i="4"/>
  <c r="L495" i="4"/>
  <c r="J495" i="4"/>
  <c r="I495" i="4"/>
  <c r="G495" i="4"/>
  <c r="F495" i="4"/>
  <c r="E495" i="4"/>
  <c r="C495" i="4"/>
  <c r="B495" i="4"/>
  <c r="A495" i="4"/>
  <c r="Q494" i="4"/>
  <c r="P494" i="4"/>
  <c r="O494" i="4"/>
  <c r="N494" i="4"/>
  <c r="M494" i="4"/>
  <c r="L494" i="4"/>
  <c r="K494" i="4"/>
  <c r="J494" i="4"/>
  <c r="I494" i="4"/>
  <c r="G494" i="4"/>
  <c r="F494" i="4"/>
  <c r="E494" i="4"/>
  <c r="C494" i="4"/>
  <c r="B494" i="4"/>
  <c r="A494" i="4"/>
  <c r="Q493" i="4"/>
  <c r="P493" i="4"/>
  <c r="O493" i="4"/>
  <c r="N493" i="4"/>
  <c r="M493" i="4"/>
  <c r="L493" i="4"/>
  <c r="J493" i="4"/>
  <c r="I493" i="4"/>
  <c r="G493" i="4"/>
  <c r="F493" i="4"/>
  <c r="E493" i="4"/>
  <c r="C493" i="4"/>
  <c r="B493" i="4"/>
  <c r="A493" i="4"/>
  <c r="Q492" i="4"/>
  <c r="P492" i="4"/>
  <c r="O492" i="4"/>
  <c r="N492" i="4"/>
  <c r="M492" i="4"/>
  <c r="L492" i="4"/>
  <c r="J492" i="4"/>
  <c r="I492" i="4"/>
  <c r="G492" i="4"/>
  <c r="F492" i="4"/>
  <c r="E492" i="4"/>
  <c r="C492" i="4"/>
  <c r="B492" i="4"/>
  <c r="A492" i="4"/>
  <c r="Q491" i="4"/>
  <c r="P491" i="4"/>
  <c r="O491" i="4"/>
  <c r="N491" i="4"/>
  <c r="M491" i="4"/>
  <c r="L491" i="4"/>
  <c r="J491" i="4"/>
  <c r="I491" i="4"/>
  <c r="G491" i="4"/>
  <c r="F491" i="4"/>
  <c r="E491" i="4"/>
  <c r="C491" i="4"/>
  <c r="B491" i="4"/>
  <c r="A491" i="4"/>
  <c r="Q490" i="4"/>
  <c r="P490" i="4"/>
  <c r="O490" i="4"/>
  <c r="N490" i="4"/>
  <c r="M490" i="4"/>
  <c r="L490" i="4"/>
  <c r="J490" i="4"/>
  <c r="I490" i="4"/>
  <c r="G490" i="4"/>
  <c r="F490" i="4"/>
  <c r="E490" i="4"/>
  <c r="C490" i="4"/>
  <c r="B490" i="4"/>
  <c r="A490" i="4"/>
  <c r="Q489" i="4"/>
  <c r="P489" i="4"/>
  <c r="O489" i="4"/>
  <c r="N489" i="4"/>
  <c r="M489" i="4"/>
  <c r="L489" i="4"/>
  <c r="J489" i="4"/>
  <c r="I489" i="4"/>
  <c r="G489" i="4"/>
  <c r="F489" i="4"/>
  <c r="E489" i="4"/>
  <c r="C489" i="4"/>
  <c r="B489" i="4"/>
  <c r="A489" i="4"/>
  <c r="Q488" i="4"/>
  <c r="P488" i="4"/>
  <c r="O488" i="4"/>
  <c r="N488" i="4"/>
  <c r="M488" i="4"/>
  <c r="L488" i="4"/>
  <c r="J488" i="4"/>
  <c r="I488" i="4"/>
  <c r="G488" i="4"/>
  <c r="F488" i="4"/>
  <c r="E488" i="4"/>
  <c r="C488" i="4"/>
  <c r="B488" i="4"/>
  <c r="A488" i="4"/>
  <c r="Q487" i="4"/>
  <c r="P487" i="4"/>
  <c r="O487" i="4"/>
  <c r="N487" i="4"/>
  <c r="M487" i="4"/>
  <c r="L487" i="4"/>
  <c r="J487" i="4"/>
  <c r="I487" i="4"/>
  <c r="G487" i="4"/>
  <c r="F487" i="4"/>
  <c r="E487" i="4"/>
  <c r="C487" i="4"/>
  <c r="B487" i="4"/>
  <c r="A487" i="4"/>
  <c r="Q486" i="4"/>
  <c r="P486" i="4"/>
  <c r="O486" i="4"/>
  <c r="N486" i="4"/>
  <c r="M486" i="4"/>
  <c r="L486" i="4"/>
  <c r="J486" i="4"/>
  <c r="I486" i="4"/>
  <c r="G486" i="4"/>
  <c r="F486" i="4"/>
  <c r="E486" i="4"/>
  <c r="C486" i="4"/>
  <c r="B486" i="4"/>
  <c r="A486" i="4"/>
  <c r="Q485" i="4"/>
  <c r="P485" i="4"/>
  <c r="O485" i="4"/>
  <c r="N485" i="4"/>
  <c r="M485" i="4"/>
  <c r="L485" i="4"/>
  <c r="J485" i="4"/>
  <c r="I485" i="4"/>
  <c r="G485" i="4"/>
  <c r="F485" i="4"/>
  <c r="E485" i="4"/>
  <c r="C485" i="4"/>
  <c r="B485" i="4"/>
  <c r="A485" i="4"/>
  <c r="Q484" i="4"/>
  <c r="P484" i="4"/>
  <c r="O484" i="4"/>
  <c r="N484" i="4"/>
  <c r="M484" i="4"/>
  <c r="L484" i="4"/>
  <c r="J484" i="4"/>
  <c r="I484" i="4"/>
  <c r="G484" i="4"/>
  <c r="F484" i="4"/>
  <c r="E484" i="4"/>
  <c r="C484" i="4"/>
  <c r="B484" i="4"/>
  <c r="A484" i="4"/>
  <c r="Q483" i="4"/>
  <c r="P483" i="4"/>
  <c r="O483" i="4"/>
  <c r="N483" i="4"/>
  <c r="M483" i="4"/>
  <c r="L483" i="4"/>
  <c r="J483" i="4"/>
  <c r="I483" i="4"/>
  <c r="G483" i="4"/>
  <c r="F483" i="4"/>
  <c r="E483" i="4"/>
  <c r="C483" i="4"/>
  <c r="B483" i="4"/>
  <c r="A483" i="4"/>
  <c r="Q482" i="4"/>
  <c r="P482" i="4"/>
  <c r="O482" i="4"/>
  <c r="N482" i="4"/>
  <c r="M482" i="4"/>
  <c r="L482" i="4"/>
  <c r="J482" i="4"/>
  <c r="I482" i="4"/>
  <c r="G482" i="4"/>
  <c r="F482" i="4"/>
  <c r="E482" i="4"/>
  <c r="C482" i="4"/>
  <c r="B482" i="4"/>
  <c r="A482" i="4"/>
  <c r="Q481" i="4"/>
  <c r="P481" i="4"/>
  <c r="O481" i="4"/>
  <c r="N481" i="4"/>
  <c r="M481" i="4"/>
  <c r="L481" i="4"/>
  <c r="J481" i="4"/>
  <c r="I481" i="4"/>
  <c r="G481" i="4"/>
  <c r="F481" i="4"/>
  <c r="E481" i="4"/>
  <c r="C481" i="4"/>
  <c r="B481" i="4"/>
  <c r="A481" i="4"/>
  <c r="Q480" i="4"/>
  <c r="P480" i="4"/>
  <c r="O480" i="4"/>
  <c r="N480" i="4"/>
  <c r="M480" i="4"/>
  <c r="L480" i="4"/>
  <c r="J480" i="4"/>
  <c r="I480" i="4"/>
  <c r="G480" i="4"/>
  <c r="F480" i="4"/>
  <c r="E480" i="4"/>
  <c r="C480" i="4"/>
  <c r="B480" i="4"/>
  <c r="A480" i="4"/>
  <c r="Q479" i="4"/>
  <c r="P479" i="4"/>
  <c r="O479" i="4"/>
  <c r="N479" i="4"/>
  <c r="M479" i="4"/>
  <c r="L479" i="4"/>
  <c r="J479" i="4"/>
  <c r="I479" i="4"/>
  <c r="G479" i="4"/>
  <c r="F479" i="4"/>
  <c r="E479" i="4"/>
  <c r="C479" i="4"/>
  <c r="B479" i="4"/>
  <c r="A479" i="4"/>
  <c r="Q478" i="4"/>
  <c r="P478" i="4"/>
  <c r="O478" i="4"/>
  <c r="N478" i="4"/>
  <c r="M478" i="4"/>
  <c r="L478" i="4"/>
  <c r="J478" i="4"/>
  <c r="I478" i="4"/>
  <c r="G478" i="4"/>
  <c r="F478" i="4"/>
  <c r="E478" i="4"/>
  <c r="C478" i="4"/>
  <c r="B478" i="4"/>
  <c r="A478" i="4"/>
  <c r="Q477" i="4"/>
  <c r="P477" i="4"/>
  <c r="O477" i="4"/>
  <c r="N477" i="4"/>
  <c r="M477" i="4"/>
  <c r="L477" i="4"/>
  <c r="J477" i="4"/>
  <c r="I477" i="4"/>
  <c r="G477" i="4"/>
  <c r="F477" i="4"/>
  <c r="E477" i="4"/>
  <c r="C477" i="4"/>
  <c r="B477" i="4"/>
  <c r="A477" i="4"/>
  <c r="Q476" i="4"/>
  <c r="P476" i="4"/>
  <c r="O476" i="4"/>
  <c r="N476" i="4"/>
  <c r="M476" i="4"/>
  <c r="L476" i="4"/>
  <c r="J476" i="4"/>
  <c r="I476" i="4"/>
  <c r="G476" i="4"/>
  <c r="F476" i="4"/>
  <c r="E476" i="4"/>
  <c r="C476" i="4"/>
  <c r="B476" i="4"/>
  <c r="A476" i="4"/>
  <c r="Q475" i="4"/>
  <c r="P475" i="4"/>
  <c r="O475" i="4"/>
  <c r="N475" i="4"/>
  <c r="M475" i="4"/>
  <c r="L475" i="4"/>
  <c r="J475" i="4"/>
  <c r="I475" i="4"/>
  <c r="G475" i="4"/>
  <c r="F475" i="4"/>
  <c r="E475" i="4"/>
  <c r="C475" i="4"/>
  <c r="B475" i="4"/>
  <c r="A475" i="4"/>
  <c r="Q474" i="4"/>
  <c r="P474" i="4"/>
  <c r="O474" i="4"/>
  <c r="N474" i="4"/>
  <c r="M474" i="4"/>
  <c r="L474" i="4"/>
  <c r="J474" i="4"/>
  <c r="I474" i="4"/>
  <c r="G474" i="4"/>
  <c r="F474" i="4"/>
  <c r="E474" i="4"/>
  <c r="C474" i="4"/>
  <c r="B474" i="4"/>
  <c r="A474" i="4"/>
  <c r="Q473" i="4"/>
  <c r="P473" i="4"/>
  <c r="O473" i="4"/>
  <c r="N473" i="4"/>
  <c r="M473" i="4"/>
  <c r="L473" i="4"/>
  <c r="J473" i="4"/>
  <c r="I473" i="4"/>
  <c r="G473" i="4"/>
  <c r="F473" i="4"/>
  <c r="E473" i="4"/>
  <c r="C473" i="4"/>
  <c r="B473" i="4"/>
  <c r="A473" i="4"/>
  <c r="Q472" i="4"/>
  <c r="P472" i="4"/>
  <c r="O472" i="4"/>
  <c r="N472" i="4"/>
  <c r="M472" i="4"/>
  <c r="L472" i="4"/>
  <c r="J472" i="4"/>
  <c r="I472" i="4"/>
  <c r="G472" i="4"/>
  <c r="F472" i="4"/>
  <c r="E472" i="4"/>
  <c r="C472" i="4"/>
  <c r="B472" i="4"/>
  <c r="A472" i="4"/>
  <c r="Q471" i="4"/>
  <c r="P471" i="4"/>
  <c r="O471" i="4"/>
  <c r="N471" i="4"/>
  <c r="M471" i="4"/>
  <c r="L471" i="4"/>
  <c r="J471" i="4"/>
  <c r="I471" i="4"/>
  <c r="G471" i="4"/>
  <c r="F471" i="4"/>
  <c r="E471" i="4"/>
  <c r="C471" i="4"/>
  <c r="B471" i="4"/>
  <c r="A471" i="4"/>
  <c r="Q470" i="4"/>
  <c r="P470" i="4"/>
  <c r="O470" i="4"/>
  <c r="N470" i="4"/>
  <c r="M470" i="4"/>
  <c r="L470" i="4"/>
  <c r="J470" i="4"/>
  <c r="I470" i="4"/>
  <c r="G470" i="4"/>
  <c r="F470" i="4"/>
  <c r="E470" i="4"/>
  <c r="C470" i="4"/>
  <c r="B470" i="4"/>
  <c r="A470" i="4"/>
  <c r="Q469" i="4"/>
  <c r="P469" i="4"/>
  <c r="O469" i="4"/>
  <c r="N469" i="4"/>
  <c r="M469" i="4"/>
  <c r="L469" i="4"/>
  <c r="J469" i="4"/>
  <c r="I469" i="4"/>
  <c r="G469" i="4"/>
  <c r="F469" i="4"/>
  <c r="E469" i="4"/>
  <c r="C469" i="4"/>
  <c r="B469" i="4"/>
  <c r="A469" i="4"/>
  <c r="Q468" i="4"/>
  <c r="P468" i="4"/>
  <c r="O468" i="4"/>
  <c r="N468" i="4"/>
  <c r="M468" i="4"/>
  <c r="L468" i="4"/>
  <c r="J468" i="4"/>
  <c r="I468" i="4"/>
  <c r="G468" i="4"/>
  <c r="F468" i="4"/>
  <c r="E468" i="4"/>
  <c r="C468" i="4"/>
  <c r="B468" i="4"/>
  <c r="A468" i="4"/>
  <c r="Q467" i="4"/>
  <c r="P467" i="4"/>
  <c r="O467" i="4"/>
  <c r="N467" i="4"/>
  <c r="M467" i="4"/>
  <c r="L467" i="4"/>
  <c r="J467" i="4"/>
  <c r="I467" i="4"/>
  <c r="G467" i="4"/>
  <c r="F467" i="4"/>
  <c r="E467" i="4"/>
  <c r="C467" i="4"/>
  <c r="B467" i="4"/>
  <c r="A467" i="4"/>
  <c r="Q466" i="4"/>
  <c r="P466" i="4"/>
  <c r="O466" i="4"/>
  <c r="N466" i="4"/>
  <c r="M466" i="4"/>
  <c r="L466" i="4"/>
  <c r="J466" i="4"/>
  <c r="I466" i="4"/>
  <c r="G466" i="4"/>
  <c r="F466" i="4"/>
  <c r="E466" i="4"/>
  <c r="C466" i="4"/>
  <c r="B466" i="4"/>
  <c r="A466" i="4"/>
  <c r="Q465" i="4"/>
  <c r="P465" i="4"/>
  <c r="O465" i="4"/>
  <c r="N465" i="4"/>
  <c r="M465" i="4"/>
  <c r="L465" i="4"/>
  <c r="J465" i="4"/>
  <c r="I465" i="4"/>
  <c r="G465" i="4"/>
  <c r="F465" i="4"/>
  <c r="E465" i="4"/>
  <c r="C465" i="4"/>
  <c r="B465" i="4"/>
  <c r="A465" i="4"/>
  <c r="Q464" i="4"/>
  <c r="P464" i="4"/>
  <c r="O464" i="4"/>
  <c r="N464" i="4"/>
  <c r="M464" i="4"/>
  <c r="L464" i="4"/>
  <c r="J464" i="4"/>
  <c r="I464" i="4"/>
  <c r="G464" i="4"/>
  <c r="F464" i="4"/>
  <c r="E464" i="4"/>
  <c r="C464" i="4"/>
  <c r="B464" i="4"/>
  <c r="A464" i="4"/>
  <c r="Q463" i="4"/>
  <c r="P463" i="4"/>
  <c r="O463" i="4"/>
  <c r="N463" i="4"/>
  <c r="M463" i="4"/>
  <c r="L463" i="4"/>
  <c r="J463" i="4"/>
  <c r="I463" i="4"/>
  <c r="G463" i="4"/>
  <c r="F463" i="4"/>
  <c r="E463" i="4"/>
  <c r="C463" i="4"/>
  <c r="B463" i="4"/>
  <c r="A463" i="4"/>
  <c r="Q462" i="4"/>
  <c r="P462" i="4"/>
  <c r="O462" i="4"/>
  <c r="N462" i="4"/>
  <c r="M462" i="4"/>
  <c r="L462" i="4"/>
  <c r="J462" i="4"/>
  <c r="I462" i="4"/>
  <c r="G462" i="4"/>
  <c r="F462" i="4"/>
  <c r="E462" i="4"/>
  <c r="C462" i="4"/>
  <c r="B462" i="4"/>
  <c r="A462" i="4"/>
  <c r="Q461" i="4"/>
  <c r="P461" i="4"/>
  <c r="O461" i="4"/>
  <c r="N461" i="4"/>
  <c r="M461" i="4"/>
  <c r="L461" i="4"/>
  <c r="J461" i="4"/>
  <c r="I461" i="4"/>
  <c r="G461" i="4"/>
  <c r="F461" i="4"/>
  <c r="E461" i="4"/>
  <c r="C461" i="4"/>
  <c r="B461" i="4"/>
  <c r="A461" i="4"/>
  <c r="Q460" i="4"/>
  <c r="P460" i="4"/>
  <c r="O460" i="4"/>
  <c r="N460" i="4"/>
  <c r="M460" i="4"/>
  <c r="L460" i="4"/>
  <c r="J460" i="4"/>
  <c r="I460" i="4"/>
  <c r="G460" i="4"/>
  <c r="F460" i="4"/>
  <c r="E460" i="4"/>
  <c r="C460" i="4"/>
  <c r="B460" i="4"/>
  <c r="A460" i="4"/>
  <c r="Q459" i="4"/>
  <c r="P459" i="4"/>
  <c r="O459" i="4"/>
  <c r="N459" i="4"/>
  <c r="M459" i="4"/>
  <c r="L459" i="4"/>
  <c r="J459" i="4"/>
  <c r="I459" i="4"/>
  <c r="G459" i="4"/>
  <c r="F459" i="4"/>
  <c r="E459" i="4"/>
  <c r="C459" i="4"/>
  <c r="B459" i="4"/>
  <c r="A459" i="4"/>
  <c r="Q458" i="4"/>
  <c r="P458" i="4"/>
  <c r="O458" i="4"/>
  <c r="N458" i="4"/>
  <c r="M458" i="4"/>
  <c r="L458" i="4"/>
  <c r="J458" i="4"/>
  <c r="I458" i="4"/>
  <c r="G458" i="4"/>
  <c r="F458" i="4"/>
  <c r="E458" i="4"/>
  <c r="C458" i="4"/>
  <c r="B458" i="4"/>
  <c r="A458" i="4"/>
  <c r="Q457" i="4"/>
  <c r="P457" i="4"/>
  <c r="O457" i="4"/>
  <c r="N457" i="4"/>
  <c r="M457" i="4"/>
  <c r="L457" i="4"/>
  <c r="J457" i="4"/>
  <c r="I457" i="4"/>
  <c r="G457" i="4"/>
  <c r="F457" i="4"/>
  <c r="E457" i="4"/>
  <c r="C457" i="4"/>
  <c r="B457" i="4"/>
  <c r="A457" i="4"/>
  <c r="Q456" i="4"/>
  <c r="P456" i="4"/>
  <c r="O456" i="4"/>
  <c r="N456" i="4"/>
  <c r="M456" i="4"/>
  <c r="L456" i="4"/>
  <c r="J456" i="4"/>
  <c r="I456" i="4"/>
  <c r="G456" i="4"/>
  <c r="F456" i="4"/>
  <c r="E456" i="4"/>
  <c r="C456" i="4"/>
  <c r="B456" i="4"/>
  <c r="A456" i="4"/>
  <c r="Q455" i="4"/>
  <c r="P455" i="4"/>
  <c r="O455" i="4"/>
  <c r="N455" i="4"/>
  <c r="M455" i="4"/>
  <c r="L455" i="4"/>
  <c r="J455" i="4"/>
  <c r="I455" i="4"/>
  <c r="G455" i="4"/>
  <c r="F455" i="4"/>
  <c r="E455" i="4"/>
  <c r="C455" i="4"/>
  <c r="B455" i="4"/>
  <c r="A455" i="4"/>
  <c r="Q454" i="4"/>
  <c r="P454" i="4"/>
  <c r="O454" i="4"/>
  <c r="N454" i="4"/>
  <c r="M454" i="4"/>
  <c r="L454" i="4"/>
  <c r="I454" i="4"/>
  <c r="G454" i="4"/>
  <c r="F454" i="4"/>
  <c r="E454" i="4"/>
  <c r="C454" i="4"/>
  <c r="B454" i="4"/>
  <c r="A454" i="4"/>
  <c r="Q453" i="4"/>
  <c r="P453" i="4"/>
  <c r="O453" i="4"/>
  <c r="N453" i="4"/>
  <c r="M453" i="4"/>
  <c r="L453" i="4"/>
  <c r="I453" i="4"/>
  <c r="G453" i="4"/>
  <c r="F453" i="4"/>
  <c r="E453" i="4"/>
  <c r="C453" i="4"/>
  <c r="B453" i="4"/>
  <c r="A453" i="4"/>
  <c r="Q452" i="4"/>
  <c r="P452" i="4"/>
  <c r="O452" i="4"/>
  <c r="N452" i="4"/>
  <c r="M452" i="4"/>
  <c r="L452" i="4"/>
  <c r="I452" i="4"/>
  <c r="G452" i="4"/>
  <c r="F452" i="4"/>
  <c r="E452" i="4"/>
  <c r="C452" i="4"/>
  <c r="B452" i="4"/>
  <c r="A452" i="4"/>
  <c r="Q451" i="4"/>
  <c r="P451" i="4"/>
  <c r="O451" i="4"/>
  <c r="N451" i="4"/>
  <c r="M451" i="4"/>
  <c r="L451" i="4"/>
  <c r="I451" i="4"/>
  <c r="G451" i="4"/>
  <c r="F451" i="4"/>
  <c r="E451" i="4"/>
  <c r="C451" i="4"/>
  <c r="B451" i="4"/>
  <c r="A451" i="4"/>
  <c r="Q450" i="4"/>
  <c r="P450" i="4"/>
  <c r="O450" i="4"/>
  <c r="N450" i="4"/>
  <c r="M450" i="4"/>
  <c r="L450" i="4"/>
  <c r="I450" i="4"/>
  <c r="G450" i="4"/>
  <c r="F450" i="4"/>
  <c r="E450" i="4"/>
  <c r="C450" i="4"/>
  <c r="B450" i="4"/>
  <c r="A450" i="4"/>
  <c r="Q449" i="4"/>
  <c r="P449" i="4"/>
  <c r="O449" i="4"/>
  <c r="N449" i="4"/>
  <c r="M449" i="4"/>
  <c r="L449" i="4"/>
  <c r="I449" i="4"/>
  <c r="G449" i="4"/>
  <c r="F449" i="4"/>
  <c r="E449" i="4"/>
  <c r="C449" i="4"/>
  <c r="B449" i="4"/>
  <c r="A449" i="4"/>
  <c r="Q448" i="4"/>
  <c r="P448" i="4"/>
  <c r="O448" i="4"/>
  <c r="N448" i="4"/>
  <c r="M448" i="4"/>
  <c r="L448" i="4"/>
  <c r="I448" i="4"/>
  <c r="G448" i="4"/>
  <c r="F448" i="4"/>
  <c r="E448" i="4"/>
  <c r="C448" i="4"/>
  <c r="B448" i="4"/>
  <c r="A448" i="4"/>
  <c r="Q447" i="4"/>
  <c r="P447" i="4"/>
  <c r="O447" i="4"/>
  <c r="N447" i="4"/>
  <c r="M447" i="4"/>
  <c r="L447" i="4"/>
  <c r="I447" i="4"/>
  <c r="G447" i="4"/>
  <c r="F447" i="4"/>
  <c r="E447" i="4"/>
  <c r="C447" i="4"/>
  <c r="B447" i="4"/>
  <c r="A447" i="4"/>
  <c r="Q446" i="4"/>
  <c r="P446" i="4"/>
  <c r="O446" i="4"/>
  <c r="N446" i="4"/>
  <c r="M446" i="4"/>
  <c r="L446" i="4"/>
  <c r="I446" i="4"/>
  <c r="G446" i="4"/>
  <c r="F446" i="4"/>
  <c r="E446" i="4"/>
  <c r="C446" i="4"/>
  <c r="B446" i="4"/>
  <c r="A446" i="4"/>
  <c r="Q445" i="4"/>
  <c r="P445" i="4"/>
  <c r="O445" i="4"/>
  <c r="N445" i="4"/>
  <c r="M445" i="4"/>
  <c r="L445" i="4"/>
  <c r="I445" i="4"/>
  <c r="G445" i="4"/>
  <c r="F445" i="4"/>
  <c r="E445" i="4"/>
  <c r="C445" i="4"/>
  <c r="B445" i="4"/>
  <c r="A445" i="4"/>
  <c r="Q444" i="4"/>
  <c r="P444" i="4"/>
  <c r="O444" i="4"/>
  <c r="N444" i="4"/>
  <c r="M444" i="4"/>
  <c r="L444" i="4"/>
  <c r="I444" i="4"/>
  <c r="G444" i="4"/>
  <c r="F444" i="4"/>
  <c r="E444" i="4"/>
  <c r="C444" i="4"/>
  <c r="B444" i="4"/>
  <c r="A444" i="4"/>
  <c r="Q443" i="4"/>
  <c r="P443" i="4"/>
  <c r="O443" i="4"/>
  <c r="N443" i="4"/>
  <c r="M443" i="4"/>
  <c r="L443" i="4"/>
  <c r="I443" i="4"/>
  <c r="G443" i="4"/>
  <c r="F443" i="4"/>
  <c r="E443" i="4"/>
  <c r="C443" i="4"/>
  <c r="B443" i="4"/>
  <c r="A443" i="4"/>
  <c r="Q442" i="4"/>
  <c r="P442" i="4"/>
  <c r="O442" i="4"/>
  <c r="N442" i="4"/>
  <c r="M442" i="4"/>
  <c r="L442" i="4"/>
  <c r="I442" i="4"/>
  <c r="G442" i="4"/>
  <c r="F442" i="4"/>
  <c r="E442" i="4"/>
  <c r="C442" i="4"/>
  <c r="B442" i="4"/>
  <c r="A442" i="4"/>
  <c r="Q441" i="4"/>
  <c r="P441" i="4"/>
  <c r="O441" i="4"/>
  <c r="N441" i="4"/>
  <c r="M441" i="4"/>
  <c r="L441" i="4"/>
  <c r="I441" i="4"/>
  <c r="G441" i="4"/>
  <c r="F441" i="4"/>
  <c r="E441" i="4"/>
  <c r="C441" i="4"/>
  <c r="B441" i="4"/>
  <c r="A441" i="4"/>
  <c r="Q440" i="4"/>
  <c r="P440" i="4"/>
  <c r="O440" i="4"/>
  <c r="N440" i="4"/>
  <c r="M440" i="4"/>
  <c r="L440" i="4"/>
  <c r="I440" i="4"/>
  <c r="G440" i="4"/>
  <c r="F440" i="4"/>
  <c r="E440" i="4"/>
  <c r="C440" i="4"/>
  <c r="B440" i="4"/>
  <c r="A440" i="4"/>
  <c r="Q439" i="4"/>
  <c r="P439" i="4"/>
  <c r="O439" i="4"/>
  <c r="N439" i="4"/>
  <c r="M439" i="4"/>
  <c r="L439" i="4"/>
  <c r="I439" i="4"/>
  <c r="G439" i="4"/>
  <c r="F439" i="4"/>
  <c r="E439" i="4"/>
  <c r="C439" i="4"/>
  <c r="B439" i="4"/>
  <c r="A439" i="4"/>
  <c r="Q438" i="4"/>
  <c r="P438" i="4"/>
  <c r="O438" i="4"/>
  <c r="N438" i="4"/>
  <c r="M438" i="4"/>
  <c r="L438" i="4"/>
  <c r="I438" i="4"/>
  <c r="G438" i="4"/>
  <c r="F438" i="4"/>
  <c r="E438" i="4"/>
  <c r="C438" i="4"/>
  <c r="B438" i="4"/>
  <c r="A438" i="4"/>
  <c r="Q437" i="4"/>
  <c r="P437" i="4"/>
  <c r="O437" i="4"/>
  <c r="N437" i="4"/>
  <c r="M437" i="4"/>
  <c r="L437" i="4"/>
  <c r="I437" i="4"/>
  <c r="G437" i="4"/>
  <c r="F437" i="4"/>
  <c r="E437" i="4"/>
  <c r="C437" i="4"/>
  <c r="B437" i="4"/>
  <c r="A437" i="4"/>
  <c r="Q436" i="4"/>
  <c r="P436" i="4"/>
  <c r="O436" i="4"/>
  <c r="N436" i="4"/>
  <c r="M436" i="4"/>
  <c r="L436" i="4"/>
  <c r="I436" i="4"/>
  <c r="G436" i="4"/>
  <c r="F436" i="4"/>
  <c r="E436" i="4"/>
  <c r="C436" i="4"/>
  <c r="B436" i="4"/>
  <c r="A436" i="4"/>
  <c r="Q435" i="4"/>
  <c r="P435" i="4"/>
  <c r="O435" i="4"/>
  <c r="N435" i="4"/>
  <c r="M435" i="4"/>
  <c r="L435" i="4"/>
  <c r="I435" i="4"/>
  <c r="G435" i="4"/>
  <c r="F435" i="4"/>
  <c r="E435" i="4"/>
  <c r="C435" i="4"/>
  <c r="B435" i="4"/>
  <c r="A435" i="4"/>
  <c r="Q434" i="4"/>
  <c r="P434" i="4"/>
  <c r="O434" i="4"/>
  <c r="N434" i="4"/>
  <c r="M434" i="4"/>
  <c r="L434" i="4"/>
  <c r="I434" i="4"/>
  <c r="G434" i="4"/>
  <c r="F434" i="4"/>
  <c r="E434" i="4"/>
  <c r="C434" i="4"/>
  <c r="B434" i="4"/>
  <c r="A434" i="4"/>
  <c r="Q433" i="4"/>
  <c r="P433" i="4"/>
  <c r="O433" i="4"/>
  <c r="N433" i="4"/>
  <c r="M433" i="4"/>
  <c r="L433" i="4"/>
  <c r="I433" i="4"/>
  <c r="G433" i="4"/>
  <c r="F433" i="4"/>
  <c r="E433" i="4"/>
  <c r="C433" i="4"/>
  <c r="B433" i="4"/>
  <c r="A433" i="4"/>
  <c r="Q432" i="4"/>
  <c r="P432" i="4"/>
  <c r="O432" i="4"/>
  <c r="N432" i="4"/>
  <c r="M432" i="4"/>
  <c r="L432" i="4"/>
  <c r="I432" i="4"/>
  <c r="G432" i="4"/>
  <c r="F432" i="4"/>
  <c r="E432" i="4"/>
  <c r="C432" i="4"/>
  <c r="B432" i="4"/>
  <c r="A432" i="4"/>
  <c r="Q431" i="4"/>
  <c r="P431" i="4"/>
  <c r="O431" i="4"/>
  <c r="N431" i="4"/>
  <c r="M431" i="4"/>
  <c r="L431" i="4"/>
  <c r="I431" i="4"/>
  <c r="G431" i="4"/>
  <c r="F431" i="4"/>
  <c r="E431" i="4"/>
  <c r="C431" i="4"/>
  <c r="B431" i="4"/>
  <c r="A431" i="4"/>
  <c r="Q430" i="4"/>
  <c r="P430" i="4"/>
  <c r="O430" i="4"/>
  <c r="N430" i="4"/>
  <c r="M430" i="4"/>
  <c r="L430" i="4"/>
  <c r="I430" i="4"/>
  <c r="G430" i="4"/>
  <c r="F430" i="4"/>
  <c r="E430" i="4"/>
  <c r="C430" i="4"/>
  <c r="B430" i="4"/>
  <c r="A430" i="4"/>
  <c r="Q429" i="4"/>
  <c r="P429" i="4"/>
  <c r="O429" i="4"/>
  <c r="N429" i="4"/>
  <c r="M429" i="4"/>
  <c r="L429" i="4"/>
  <c r="I429" i="4"/>
  <c r="G429" i="4"/>
  <c r="F429" i="4"/>
  <c r="E429" i="4"/>
  <c r="C429" i="4"/>
  <c r="B429" i="4"/>
  <c r="A429" i="4"/>
  <c r="Q428" i="4"/>
  <c r="P428" i="4"/>
  <c r="O428" i="4"/>
  <c r="N428" i="4"/>
  <c r="M428" i="4"/>
  <c r="L428" i="4"/>
  <c r="I428" i="4"/>
  <c r="G428" i="4"/>
  <c r="F428" i="4"/>
  <c r="E428" i="4"/>
  <c r="C428" i="4"/>
  <c r="B428" i="4"/>
  <c r="A428" i="4"/>
  <c r="Q427" i="4"/>
  <c r="P427" i="4"/>
  <c r="O427" i="4"/>
  <c r="N427" i="4"/>
  <c r="M427" i="4"/>
  <c r="L427" i="4"/>
  <c r="I427" i="4"/>
  <c r="G427" i="4"/>
  <c r="F427" i="4"/>
  <c r="E427" i="4"/>
  <c r="C427" i="4"/>
  <c r="B427" i="4"/>
  <c r="A427" i="4"/>
  <c r="Q426" i="4"/>
  <c r="P426" i="4"/>
  <c r="O426" i="4"/>
  <c r="N426" i="4"/>
  <c r="M426" i="4"/>
  <c r="L426" i="4"/>
  <c r="I426" i="4"/>
  <c r="G426" i="4"/>
  <c r="F426" i="4"/>
  <c r="E426" i="4"/>
  <c r="C426" i="4"/>
  <c r="B426" i="4"/>
  <c r="A426" i="4"/>
  <c r="Q425" i="4"/>
  <c r="P425" i="4"/>
  <c r="O425" i="4"/>
  <c r="N425" i="4"/>
  <c r="M425" i="4"/>
  <c r="L425" i="4"/>
  <c r="I425" i="4"/>
  <c r="G425" i="4"/>
  <c r="F425" i="4"/>
  <c r="E425" i="4"/>
  <c r="C425" i="4"/>
  <c r="B425" i="4"/>
  <c r="A425" i="4"/>
  <c r="Q424" i="4"/>
  <c r="P424" i="4"/>
  <c r="O424" i="4"/>
  <c r="N424" i="4"/>
  <c r="M424" i="4"/>
  <c r="L424" i="4"/>
  <c r="I424" i="4"/>
  <c r="G424" i="4"/>
  <c r="F424" i="4"/>
  <c r="E424" i="4"/>
  <c r="C424" i="4"/>
  <c r="B424" i="4"/>
  <c r="A424" i="4"/>
  <c r="Q423" i="4"/>
  <c r="P423" i="4"/>
  <c r="O423" i="4"/>
  <c r="N423" i="4"/>
  <c r="M423" i="4"/>
  <c r="L423" i="4"/>
  <c r="I423" i="4"/>
  <c r="G423" i="4"/>
  <c r="F423" i="4"/>
  <c r="E423" i="4"/>
  <c r="C423" i="4"/>
  <c r="B423" i="4"/>
  <c r="A423" i="4"/>
  <c r="Q422" i="4"/>
  <c r="P422" i="4"/>
  <c r="O422" i="4"/>
  <c r="N422" i="4"/>
  <c r="M422" i="4"/>
  <c r="L422" i="4"/>
  <c r="I422" i="4"/>
  <c r="G422" i="4"/>
  <c r="F422" i="4"/>
  <c r="E422" i="4"/>
  <c r="C422" i="4"/>
  <c r="B422" i="4"/>
  <c r="A422" i="4"/>
  <c r="Q421" i="4"/>
  <c r="P421" i="4"/>
  <c r="O421" i="4"/>
  <c r="N421" i="4"/>
  <c r="M421" i="4"/>
  <c r="L421" i="4"/>
  <c r="I421" i="4"/>
  <c r="G421" i="4"/>
  <c r="F421" i="4"/>
  <c r="E421" i="4"/>
  <c r="C421" i="4"/>
  <c r="B421" i="4"/>
  <c r="A421" i="4"/>
  <c r="Q420" i="4"/>
  <c r="P420" i="4"/>
  <c r="O420" i="4"/>
  <c r="N420" i="4"/>
  <c r="M420" i="4"/>
  <c r="L420" i="4"/>
  <c r="I420" i="4"/>
  <c r="G420" i="4"/>
  <c r="F420" i="4"/>
  <c r="E420" i="4"/>
  <c r="C420" i="4"/>
  <c r="B420" i="4"/>
  <c r="A420" i="4"/>
  <c r="Q419" i="4"/>
  <c r="P419" i="4"/>
  <c r="O419" i="4"/>
  <c r="N419" i="4"/>
  <c r="M419" i="4"/>
  <c r="L419" i="4"/>
  <c r="I419" i="4"/>
  <c r="G419" i="4"/>
  <c r="F419" i="4"/>
  <c r="E419" i="4"/>
  <c r="C419" i="4"/>
  <c r="B419" i="4"/>
  <c r="A419" i="4"/>
  <c r="Q418" i="4"/>
  <c r="P418" i="4"/>
  <c r="O418" i="4"/>
  <c r="N418" i="4"/>
  <c r="M418" i="4"/>
  <c r="L418" i="4"/>
  <c r="I418" i="4"/>
  <c r="G418" i="4"/>
  <c r="F418" i="4"/>
  <c r="E418" i="4"/>
  <c r="C418" i="4"/>
  <c r="B418" i="4"/>
  <c r="A418" i="4"/>
  <c r="Q417" i="4"/>
  <c r="P417" i="4"/>
  <c r="O417" i="4"/>
  <c r="N417" i="4"/>
  <c r="M417" i="4"/>
  <c r="L417" i="4"/>
  <c r="I417" i="4"/>
  <c r="G417" i="4"/>
  <c r="F417" i="4"/>
  <c r="E417" i="4"/>
  <c r="C417" i="4"/>
  <c r="B417" i="4"/>
  <c r="A417" i="4"/>
  <c r="Q416" i="4"/>
  <c r="P416" i="4"/>
  <c r="O416" i="4"/>
  <c r="N416" i="4"/>
  <c r="M416" i="4"/>
  <c r="L416" i="4"/>
  <c r="I416" i="4"/>
  <c r="G416" i="4"/>
  <c r="F416" i="4"/>
  <c r="E416" i="4"/>
  <c r="C416" i="4"/>
  <c r="B416" i="4"/>
  <c r="A416" i="4"/>
  <c r="Q415" i="4"/>
  <c r="P415" i="4"/>
  <c r="O415" i="4"/>
  <c r="N415" i="4"/>
  <c r="M415" i="4"/>
  <c r="L415" i="4"/>
  <c r="I415" i="4"/>
  <c r="G415" i="4"/>
  <c r="F415" i="4"/>
  <c r="E415" i="4"/>
  <c r="C415" i="4"/>
  <c r="B415" i="4"/>
  <c r="A415" i="4"/>
  <c r="Q414" i="4"/>
  <c r="P414" i="4"/>
  <c r="O414" i="4"/>
  <c r="N414" i="4"/>
  <c r="M414" i="4"/>
  <c r="L414" i="4"/>
  <c r="I414" i="4"/>
  <c r="G414" i="4"/>
  <c r="F414" i="4"/>
  <c r="E414" i="4"/>
  <c r="C414" i="4"/>
  <c r="B414" i="4"/>
  <c r="A414" i="4"/>
  <c r="Q413" i="4"/>
  <c r="P413" i="4"/>
  <c r="O413" i="4"/>
  <c r="N413" i="4"/>
  <c r="M413" i="4"/>
  <c r="L413" i="4"/>
  <c r="I413" i="4"/>
  <c r="G413" i="4"/>
  <c r="F413" i="4"/>
  <c r="E413" i="4"/>
  <c r="C413" i="4"/>
  <c r="B413" i="4"/>
  <c r="A413" i="4"/>
  <c r="Q412" i="4"/>
  <c r="P412" i="4"/>
  <c r="O412" i="4"/>
  <c r="N412" i="4"/>
  <c r="M412" i="4"/>
  <c r="L412" i="4"/>
  <c r="I412" i="4"/>
  <c r="G412" i="4"/>
  <c r="F412" i="4"/>
  <c r="E412" i="4"/>
  <c r="C412" i="4"/>
  <c r="B412" i="4"/>
  <c r="A412" i="4"/>
  <c r="Q411" i="4"/>
  <c r="P411" i="4"/>
  <c r="O411" i="4"/>
  <c r="N411" i="4"/>
  <c r="M411" i="4"/>
  <c r="L411" i="4"/>
  <c r="I411" i="4"/>
  <c r="G411" i="4"/>
  <c r="F411" i="4"/>
  <c r="E411" i="4"/>
  <c r="C411" i="4"/>
  <c r="B411" i="4"/>
  <c r="A411" i="4"/>
  <c r="Q410" i="4"/>
  <c r="P410" i="4"/>
  <c r="O410" i="4"/>
  <c r="N410" i="4"/>
  <c r="M410" i="4"/>
  <c r="L410" i="4"/>
  <c r="I410" i="4"/>
  <c r="G410" i="4"/>
  <c r="F410" i="4"/>
  <c r="E410" i="4"/>
  <c r="C410" i="4"/>
  <c r="B410" i="4"/>
  <c r="A410" i="4"/>
  <c r="Q409" i="4"/>
  <c r="P409" i="4"/>
  <c r="O409" i="4"/>
  <c r="N409" i="4"/>
  <c r="M409" i="4"/>
  <c r="L409" i="4"/>
  <c r="I409" i="4"/>
  <c r="G409" i="4"/>
  <c r="F409" i="4"/>
  <c r="E409" i="4"/>
  <c r="C409" i="4"/>
  <c r="B409" i="4"/>
  <c r="A409" i="4"/>
  <c r="Q408" i="4"/>
  <c r="P408" i="4"/>
  <c r="O408" i="4"/>
  <c r="N408" i="4"/>
  <c r="M408" i="4"/>
  <c r="L408" i="4"/>
  <c r="I408" i="4"/>
  <c r="G408" i="4"/>
  <c r="F408" i="4"/>
  <c r="E408" i="4"/>
  <c r="C408" i="4"/>
  <c r="B408" i="4"/>
  <c r="A408" i="4"/>
  <c r="Q407" i="4"/>
  <c r="P407" i="4"/>
  <c r="O407" i="4"/>
  <c r="N407" i="4"/>
  <c r="M407" i="4"/>
  <c r="L407" i="4"/>
  <c r="I407" i="4"/>
  <c r="G407" i="4"/>
  <c r="F407" i="4"/>
  <c r="E407" i="4"/>
  <c r="C407" i="4"/>
  <c r="B407" i="4"/>
  <c r="A407" i="4"/>
  <c r="Q406" i="4"/>
  <c r="P406" i="4"/>
  <c r="O406" i="4"/>
  <c r="N406" i="4"/>
  <c r="M406" i="4"/>
  <c r="L406" i="4"/>
  <c r="I406" i="4"/>
  <c r="G406" i="4"/>
  <c r="F406" i="4"/>
  <c r="E406" i="4"/>
  <c r="C406" i="4"/>
  <c r="B406" i="4"/>
  <c r="A406" i="4"/>
  <c r="Q405" i="4"/>
  <c r="P405" i="4"/>
  <c r="O405" i="4"/>
  <c r="N405" i="4"/>
  <c r="M405" i="4"/>
  <c r="L405" i="4"/>
  <c r="I405" i="4"/>
  <c r="G405" i="4"/>
  <c r="F405" i="4"/>
  <c r="E405" i="4"/>
  <c r="C405" i="4"/>
  <c r="B405" i="4"/>
  <c r="A405" i="4"/>
  <c r="Q404" i="4"/>
  <c r="P404" i="4"/>
  <c r="O404" i="4"/>
  <c r="N404" i="4"/>
  <c r="M404" i="4"/>
  <c r="L404" i="4"/>
  <c r="I404" i="4"/>
  <c r="G404" i="4"/>
  <c r="F404" i="4"/>
  <c r="E404" i="4"/>
  <c r="C404" i="4"/>
  <c r="B404" i="4"/>
  <c r="A404" i="4"/>
  <c r="Q403" i="4"/>
  <c r="P403" i="4"/>
  <c r="O403" i="4"/>
  <c r="N403" i="4"/>
  <c r="M403" i="4"/>
  <c r="L403" i="4"/>
  <c r="I403" i="4"/>
  <c r="G403" i="4"/>
  <c r="F403" i="4"/>
  <c r="E403" i="4"/>
  <c r="C403" i="4"/>
  <c r="B403" i="4"/>
  <c r="A403" i="4"/>
  <c r="Q402" i="4"/>
  <c r="P402" i="4"/>
  <c r="O402" i="4"/>
  <c r="N402" i="4"/>
  <c r="M402" i="4"/>
  <c r="L402" i="4"/>
  <c r="I402" i="4"/>
  <c r="G402" i="4"/>
  <c r="F402" i="4"/>
  <c r="E402" i="4"/>
  <c r="C402" i="4"/>
  <c r="B402" i="4"/>
  <c r="A402" i="4"/>
  <c r="Q401" i="4"/>
  <c r="P401" i="4"/>
  <c r="O401" i="4"/>
  <c r="N401" i="4"/>
  <c r="M401" i="4"/>
  <c r="L401" i="4"/>
  <c r="I401" i="4"/>
  <c r="G401" i="4"/>
  <c r="F401" i="4"/>
  <c r="E401" i="4"/>
  <c r="C401" i="4"/>
  <c r="B401" i="4"/>
  <c r="A401" i="4"/>
  <c r="Q400" i="4"/>
  <c r="P400" i="4"/>
  <c r="O400" i="4"/>
  <c r="N400" i="4"/>
  <c r="M400" i="4"/>
  <c r="L400" i="4"/>
  <c r="I400" i="4"/>
  <c r="G400" i="4"/>
  <c r="F400" i="4"/>
  <c r="E400" i="4"/>
  <c r="C400" i="4"/>
  <c r="B400" i="4"/>
  <c r="A400" i="4"/>
  <c r="Q399" i="4"/>
  <c r="P399" i="4"/>
  <c r="O399" i="4"/>
  <c r="N399" i="4"/>
  <c r="M399" i="4"/>
  <c r="L399" i="4"/>
  <c r="I399" i="4"/>
  <c r="G399" i="4"/>
  <c r="F399" i="4"/>
  <c r="E399" i="4"/>
  <c r="C399" i="4"/>
  <c r="B399" i="4"/>
  <c r="A399" i="4"/>
  <c r="Q398" i="4"/>
  <c r="P398" i="4"/>
  <c r="O398" i="4"/>
  <c r="N398" i="4"/>
  <c r="M398" i="4"/>
  <c r="L398" i="4"/>
  <c r="I398" i="4"/>
  <c r="G398" i="4"/>
  <c r="F398" i="4"/>
  <c r="E398" i="4"/>
  <c r="C398" i="4"/>
  <c r="B398" i="4"/>
  <c r="A398" i="4"/>
  <c r="Q397" i="4"/>
  <c r="P397" i="4"/>
  <c r="O397" i="4"/>
  <c r="N397" i="4"/>
  <c r="M397" i="4"/>
  <c r="L397" i="4"/>
  <c r="I397" i="4"/>
  <c r="G397" i="4"/>
  <c r="F397" i="4"/>
  <c r="E397" i="4"/>
  <c r="C397" i="4"/>
  <c r="B397" i="4"/>
  <c r="A397" i="4"/>
  <c r="Q396" i="4"/>
  <c r="P396" i="4"/>
  <c r="O396" i="4"/>
  <c r="N396" i="4"/>
  <c r="M396" i="4"/>
  <c r="L396" i="4"/>
  <c r="I396" i="4"/>
  <c r="G396" i="4"/>
  <c r="F396" i="4"/>
  <c r="E396" i="4"/>
  <c r="C396" i="4"/>
  <c r="B396" i="4"/>
  <c r="A396" i="4"/>
  <c r="Q395" i="4"/>
  <c r="P395" i="4"/>
  <c r="O395" i="4"/>
  <c r="N395" i="4"/>
  <c r="M395" i="4"/>
  <c r="L395" i="4"/>
  <c r="I395" i="4"/>
  <c r="G395" i="4"/>
  <c r="F395" i="4"/>
  <c r="E395" i="4"/>
  <c r="C395" i="4"/>
  <c r="B395" i="4"/>
  <c r="A395" i="4"/>
  <c r="Q394" i="4"/>
  <c r="P394" i="4"/>
  <c r="O394" i="4"/>
  <c r="N394" i="4"/>
  <c r="M394" i="4"/>
  <c r="L394" i="4"/>
  <c r="I394" i="4"/>
  <c r="G394" i="4"/>
  <c r="F394" i="4"/>
  <c r="E394" i="4"/>
  <c r="C394" i="4"/>
  <c r="B394" i="4"/>
  <c r="A394" i="4"/>
  <c r="Q393" i="4"/>
  <c r="P393" i="4"/>
  <c r="O393" i="4"/>
  <c r="N393" i="4"/>
  <c r="M393" i="4"/>
  <c r="L393" i="4"/>
  <c r="I393" i="4"/>
  <c r="G393" i="4"/>
  <c r="F393" i="4"/>
  <c r="E393" i="4"/>
  <c r="C393" i="4"/>
  <c r="B393" i="4"/>
  <c r="A393" i="4"/>
  <c r="Q392" i="4"/>
  <c r="P392" i="4"/>
  <c r="O392" i="4"/>
  <c r="N392" i="4"/>
  <c r="M392" i="4"/>
  <c r="L392" i="4"/>
  <c r="I392" i="4"/>
  <c r="G392" i="4"/>
  <c r="F392" i="4"/>
  <c r="E392" i="4"/>
  <c r="C392" i="4"/>
  <c r="B392" i="4"/>
  <c r="A392" i="4"/>
  <c r="Q391" i="4"/>
  <c r="P391" i="4"/>
  <c r="O391" i="4"/>
  <c r="N391" i="4"/>
  <c r="M391" i="4"/>
  <c r="L391" i="4"/>
  <c r="I391" i="4"/>
  <c r="G391" i="4"/>
  <c r="F391" i="4"/>
  <c r="E391" i="4"/>
  <c r="C391" i="4"/>
  <c r="B391" i="4"/>
  <c r="A391" i="4"/>
  <c r="Q390" i="4"/>
  <c r="P390" i="4"/>
  <c r="O390" i="4"/>
  <c r="N390" i="4"/>
  <c r="M390" i="4"/>
  <c r="L390" i="4"/>
  <c r="I390" i="4"/>
  <c r="G390" i="4"/>
  <c r="F390" i="4"/>
  <c r="E390" i="4"/>
  <c r="C390" i="4"/>
  <c r="B390" i="4"/>
  <c r="A390" i="4"/>
  <c r="Q389" i="4"/>
  <c r="P389" i="4"/>
  <c r="O389" i="4"/>
  <c r="N389" i="4"/>
  <c r="M389" i="4"/>
  <c r="L389" i="4"/>
  <c r="I389" i="4"/>
  <c r="G389" i="4"/>
  <c r="F389" i="4"/>
  <c r="E389" i="4"/>
  <c r="C389" i="4"/>
  <c r="B389" i="4"/>
  <c r="A389" i="4"/>
  <c r="Q388" i="4"/>
  <c r="P388" i="4"/>
  <c r="O388" i="4"/>
  <c r="N388" i="4"/>
  <c r="M388" i="4"/>
  <c r="L388" i="4"/>
  <c r="I388" i="4"/>
  <c r="G388" i="4"/>
  <c r="F388" i="4"/>
  <c r="E388" i="4"/>
  <c r="C388" i="4"/>
  <c r="B388" i="4"/>
  <c r="A388" i="4"/>
  <c r="Q387" i="4"/>
  <c r="P387" i="4"/>
  <c r="O387" i="4"/>
  <c r="N387" i="4"/>
  <c r="M387" i="4"/>
  <c r="L387" i="4"/>
  <c r="I387" i="4"/>
  <c r="G387" i="4"/>
  <c r="F387" i="4"/>
  <c r="E387" i="4"/>
  <c r="C387" i="4"/>
  <c r="B387" i="4"/>
  <c r="A387" i="4"/>
  <c r="Q386" i="4"/>
  <c r="P386" i="4"/>
  <c r="O386" i="4"/>
  <c r="N386" i="4"/>
  <c r="M386" i="4"/>
  <c r="L386" i="4"/>
  <c r="I386" i="4"/>
  <c r="G386" i="4"/>
  <c r="F386" i="4"/>
  <c r="E386" i="4"/>
  <c r="C386" i="4"/>
  <c r="B386" i="4"/>
  <c r="A386" i="4"/>
  <c r="Q385" i="4"/>
  <c r="P385" i="4"/>
  <c r="O385" i="4"/>
  <c r="N385" i="4"/>
  <c r="M385" i="4"/>
  <c r="L385" i="4"/>
  <c r="I385" i="4"/>
  <c r="G385" i="4"/>
  <c r="F385" i="4"/>
  <c r="E385" i="4"/>
  <c r="C385" i="4"/>
  <c r="B385" i="4"/>
  <c r="A385" i="4"/>
  <c r="Q384" i="4"/>
  <c r="P384" i="4"/>
  <c r="O384" i="4"/>
  <c r="N384" i="4"/>
  <c r="M384" i="4"/>
  <c r="L384" i="4"/>
  <c r="I384" i="4"/>
  <c r="G384" i="4"/>
  <c r="F384" i="4"/>
  <c r="E384" i="4"/>
  <c r="C384" i="4"/>
  <c r="B384" i="4"/>
  <c r="A384" i="4"/>
  <c r="Q383" i="4"/>
  <c r="P383" i="4"/>
  <c r="O383" i="4"/>
  <c r="N383" i="4"/>
  <c r="M383" i="4"/>
  <c r="L383" i="4"/>
  <c r="I383" i="4"/>
  <c r="G383" i="4"/>
  <c r="F383" i="4"/>
  <c r="E383" i="4"/>
  <c r="C383" i="4"/>
  <c r="B383" i="4"/>
  <c r="A383" i="4"/>
  <c r="Q382" i="4"/>
  <c r="P382" i="4"/>
  <c r="O382" i="4"/>
  <c r="N382" i="4"/>
  <c r="M382" i="4"/>
  <c r="L382" i="4"/>
  <c r="I382" i="4"/>
  <c r="G382" i="4"/>
  <c r="F382" i="4"/>
  <c r="E382" i="4"/>
  <c r="C382" i="4"/>
  <c r="B382" i="4"/>
  <c r="A382" i="4"/>
  <c r="Q381" i="4"/>
  <c r="P381" i="4"/>
  <c r="O381" i="4"/>
  <c r="N381" i="4"/>
  <c r="M381" i="4"/>
  <c r="L381" i="4"/>
  <c r="I381" i="4"/>
  <c r="G381" i="4"/>
  <c r="F381" i="4"/>
  <c r="E381" i="4"/>
  <c r="C381" i="4"/>
  <c r="B381" i="4"/>
  <c r="A381" i="4"/>
  <c r="Q380" i="4"/>
  <c r="P380" i="4"/>
  <c r="O380" i="4"/>
  <c r="N380" i="4"/>
  <c r="M380" i="4"/>
  <c r="L380" i="4"/>
  <c r="I380" i="4"/>
  <c r="G380" i="4"/>
  <c r="F380" i="4"/>
  <c r="E380" i="4"/>
  <c r="C380" i="4"/>
  <c r="B380" i="4"/>
  <c r="A380" i="4"/>
  <c r="Q379" i="4"/>
  <c r="P379" i="4"/>
  <c r="O379" i="4"/>
  <c r="N379" i="4"/>
  <c r="M379" i="4"/>
  <c r="L379" i="4"/>
  <c r="I379" i="4"/>
  <c r="G379" i="4"/>
  <c r="F379" i="4"/>
  <c r="E379" i="4"/>
  <c r="C379" i="4"/>
  <c r="B379" i="4"/>
  <c r="A379" i="4"/>
  <c r="Q378" i="4"/>
  <c r="P378" i="4"/>
  <c r="O378" i="4"/>
  <c r="N378" i="4"/>
  <c r="M378" i="4"/>
  <c r="L378" i="4"/>
  <c r="I378" i="4"/>
  <c r="G378" i="4"/>
  <c r="F378" i="4"/>
  <c r="E378" i="4"/>
  <c r="C378" i="4"/>
  <c r="B378" i="4"/>
  <c r="A378" i="4"/>
  <c r="Q377" i="4"/>
  <c r="P377" i="4"/>
  <c r="O377" i="4"/>
  <c r="N377" i="4"/>
  <c r="M377" i="4"/>
  <c r="L377" i="4"/>
  <c r="I377" i="4"/>
  <c r="G377" i="4"/>
  <c r="F377" i="4"/>
  <c r="E377" i="4"/>
  <c r="C377" i="4"/>
  <c r="B377" i="4"/>
  <c r="A377" i="4"/>
  <c r="Q376" i="4"/>
  <c r="P376" i="4"/>
  <c r="O376" i="4"/>
  <c r="N376" i="4"/>
  <c r="M376" i="4"/>
  <c r="L376" i="4"/>
  <c r="I376" i="4"/>
  <c r="G376" i="4"/>
  <c r="F376" i="4"/>
  <c r="E376" i="4"/>
  <c r="C376" i="4"/>
  <c r="B376" i="4"/>
  <c r="A376" i="4"/>
  <c r="Q375" i="4"/>
  <c r="P375" i="4"/>
  <c r="O375" i="4"/>
  <c r="N375" i="4"/>
  <c r="M375" i="4"/>
  <c r="L375" i="4"/>
  <c r="I375" i="4"/>
  <c r="G375" i="4"/>
  <c r="F375" i="4"/>
  <c r="E375" i="4"/>
  <c r="C375" i="4"/>
  <c r="B375" i="4"/>
  <c r="A375" i="4"/>
  <c r="Q374" i="4"/>
  <c r="P374" i="4"/>
  <c r="O374" i="4"/>
  <c r="N374" i="4"/>
  <c r="M374" i="4"/>
  <c r="L374" i="4"/>
  <c r="I374" i="4"/>
  <c r="G374" i="4"/>
  <c r="F374" i="4"/>
  <c r="E374" i="4"/>
  <c r="C374" i="4"/>
  <c r="B374" i="4"/>
  <c r="A374" i="4"/>
  <c r="Q373" i="4"/>
  <c r="P373" i="4"/>
  <c r="O373" i="4"/>
  <c r="N373" i="4"/>
  <c r="M373" i="4"/>
  <c r="L373" i="4"/>
  <c r="I373" i="4"/>
  <c r="G373" i="4"/>
  <c r="F373" i="4"/>
  <c r="E373" i="4"/>
  <c r="C373" i="4"/>
  <c r="B373" i="4"/>
  <c r="A373" i="4"/>
  <c r="Q372" i="4"/>
  <c r="P372" i="4"/>
  <c r="O372" i="4"/>
  <c r="N372" i="4"/>
  <c r="M372" i="4"/>
  <c r="L372" i="4"/>
  <c r="I372" i="4"/>
  <c r="G372" i="4"/>
  <c r="F372" i="4"/>
  <c r="E372" i="4"/>
  <c r="C372" i="4"/>
  <c r="B372" i="4"/>
  <c r="A372" i="4"/>
  <c r="Q371" i="4"/>
  <c r="P371" i="4"/>
  <c r="O371" i="4"/>
  <c r="N371" i="4"/>
  <c r="M371" i="4"/>
  <c r="L371" i="4"/>
  <c r="I371" i="4"/>
  <c r="G371" i="4"/>
  <c r="F371" i="4"/>
  <c r="E371" i="4"/>
  <c r="C371" i="4"/>
  <c r="B371" i="4"/>
  <c r="A371" i="4"/>
  <c r="Q370" i="4"/>
  <c r="P370" i="4"/>
  <c r="O370" i="4"/>
  <c r="N370" i="4"/>
  <c r="M370" i="4"/>
  <c r="L370" i="4"/>
  <c r="I370" i="4"/>
  <c r="G370" i="4"/>
  <c r="F370" i="4"/>
  <c r="E370" i="4"/>
  <c r="C370" i="4"/>
  <c r="B370" i="4"/>
  <c r="A370" i="4"/>
  <c r="Q369" i="4"/>
  <c r="P369" i="4"/>
  <c r="O369" i="4"/>
  <c r="N369" i="4"/>
  <c r="M369" i="4"/>
  <c r="L369" i="4"/>
  <c r="I369" i="4"/>
  <c r="G369" i="4"/>
  <c r="F369" i="4"/>
  <c r="E369" i="4"/>
  <c r="C369" i="4"/>
  <c r="B369" i="4"/>
  <c r="A369" i="4"/>
  <c r="Q368" i="4"/>
  <c r="P368" i="4"/>
  <c r="O368" i="4"/>
  <c r="N368" i="4"/>
  <c r="M368" i="4"/>
  <c r="L368" i="4"/>
  <c r="I368" i="4"/>
  <c r="G368" i="4"/>
  <c r="F368" i="4"/>
  <c r="E368" i="4"/>
  <c r="C368" i="4"/>
  <c r="B368" i="4"/>
  <c r="A368" i="4"/>
  <c r="Q367" i="4"/>
  <c r="P367" i="4"/>
  <c r="O367" i="4"/>
  <c r="N367" i="4"/>
  <c r="M367" i="4"/>
  <c r="L367" i="4"/>
  <c r="I367" i="4"/>
  <c r="G367" i="4"/>
  <c r="F367" i="4"/>
  <c r="E367" i="4"/>
  <c r="C367" i="4"/>
  <c r="B367" i="4"/>
  <c r="A367" i="4"/>
  <c r="Q366" i="4"/>
  <c r="P366" i="4"/>
  <c r="O366" i="4"/>
  <c r="N366" i="4"/>
  <c r="M366" i="4"/>
  <c r="L366" i="4"/>
  <c r="I366" i="4"/>
  <c r="G366" i="4"/>
  <c r="F366" i="4"/>
  <c r="E366" i="4"/>
  <c r="C366" i="4"/>
  <c r="B366" i="4"/>
  <c r="A366" i="4"/>
  <c r="Q365" i="4"/>
  <c r="P365" i="4"/>
  <c r="O365" i="4"/>
  <c r="N365" i="4"/>
  <c r="M365" i="4"/>
  <c r="L365" i="4"/>
  <c r="I365" i="4"/>
  <c r="G365" i="4"/>
  <c r="F365" i="4"/>
  <c r="E365" i="4"/>
  <c r="C365" i="4"/>
  <c r="B365" i="4"/>
  <c r="A365" i="4"/>
  <c r="Q364" i="4"/>
  <c r="P364" i="4"/>
  <c r="O364" i="4"/>
  <c r="N364" i="4"/>
  <c r="M364" i="4"/>
  <c r="L364" i="4"/>
  <c r="I364" i="4"/>
  <c r="G364" i="4"/>
  <c r="F364" i="4"/>
  <c r="E364" i="4"/>
  <c r="C364" i="4"/>
  <c r="B364" i="4"/>
  <c r="A364" i="4"/>
  <c r="Q363" i="4"/>
  <c r="P363" i="4"/>
  <c r="O363" i="4"/>
  <c r="N363" i="4"/>
  <c r="M363" i="4"/>
  <c r="L363" i="4"/>
  <c r="I363" i="4"/>
  <c r="G363" i="4"/>
  <c r="F363" i="4"/>
  <c r="E363" i="4"/>
  <c r="C363" i="4"/>
  <c r="B363" i="4"/>
  <c r="A363" i="4"/>
  <c r="Q362" i="4"/>
  <c r="P362" i="4"/>
  <c r="O362" i="4"/>
  <c r="N362" i="4"/>
  <c r="M362" i="4"/>
  <c r="L362" i="4"/>
  <c r="I362" i="4"/>
  <c r="G362" i="4"/>
  <c r="F362" i="4"/>
  <c r="E362" i="4"/>
  <c r="C362" i="4"/>
  <c r="B362" i="4"/>
  <c r="A362" i="4"/>
  <c r="Q361" i="4"/>
  <c r="P361" i="4"/>
  <c r="O361" i="4"/>
  <c r="N361" i="4"/>
  <c r="M361" i="4"/>
  <c r="L361" i="4"/>
  <c r="I361" i="4"/>
  <c r="G361" i="4"/>
  <c r="F361" i="4"/>
  <c r="E361" i="4"/>
  <c r="C361" i="4"/>
  <c r="B361" i="4"/>
  <c r="A361" i="4"/>
  <c r="Q360" i="4"/>
  <c r="P360" i="4"/>
  <c r="O360" i="4"/>
  <c r="N360" i="4"/>
  <c r="M360" i="4"/>
  <c r="L360" i="4"/>
  <c r="I360" i="4"/>
  <c r="G360" i="4"/>
  <c r="F360" i="4"/>
  <c r="E360" i="4"/>
  <c r="C360" i="4"/>
  <c r="B360" i="4"/>
  <c r="A360" i="4"/>
  <c r="Q359" i="4"/>
  <c r="P359" i="4"/>
  <c r="O359" i="4"/>
  <c r="N359" i="4"/>
  <c r="M359" i="4"/>
  <c r="L359" i="4"/>
  <c r="I359" i="4"/>
  <c r="G359" i="4"/>
  <c r="F359" i="4"/>
  <c r="E359" i="4"/>
  <c r="C359" i="4"/>
  <c r="B359" i="4"/>
  <c r="A359" i="4"/>
  <c r="Q358" i="4"/>
  <c r="P358" i="4"/>
  <c r="O358" i="4"/>
  <c r="N358" i="4"/>
  <c r="M358" i="4"/>
  <c r="L358" i="4"/>
  <c r="I358" i="4"/>
  <c r="G358" i="4"/>
  <c r="F358" i="4"/>
  <c r="E358" i="4"/>
  <c r="C358" i="4"/>
  <c r="B358" i="4"/>
  <c r="A358" i="4"/>
  <c r="Q357" i="4"/>
  <c r="P357" i="4"/>
  <c r="O357" i="4"/>
  <c r="N357" i="4"/>
  <c r="M357" i="4"/>
  <c r="L357" i="4"/>
  <c r="I357" i="4"/>
  <c r="G357" i="4"/>
  <c r="F357" i="4"/>
  <c r="E357" i="4"/>
  <c r="C357" i="4"/>
  <c r="B357" i="4"/>
  <c r="A357" i="4"/>
  <c r="Q356" i="4"/>
  <c r="P356" i="4"/>
  <c r="O356" i="4"/>
  <c r="N356" i="4"/>
  <c r="M356" i="4"/>
  <c r="L356" i="4"/>
  <c r="I356" i="4"/>
  <c r="G356" i="4"/>
  <c r="F356" i="4"/>
  <c r="E356" i="4"/>
  <c r="C356" i="4"/>
  <c r="B356" i="4"/>
  <c r="A356" i="4"/>
  <c r="Q355" i="4"/>
  <c r="P355" i="4"/>
  <c r="O355" i="4"/>
  <c r="N355" i="4"/>
  <c r="M355" i="4"/>
  <c r="L355" i="4"/>
  <c r="I355" i="4"/>
  <c r="G355" i="4"/>
  <c r="F355" i="4"/>
  <c r="E355" i="4"/>
  <c r="C355" i="4"/>
  <c r="B355" i="4"/>
  <c r="A355" i="4"/>
  <c r="Q354" i="4"/>
  <c r="P354" i="4"/>
  <c r="O354" i="4"/>
  <c r="N354" i="4"/>
  <c r="M354" i="4"/>
  <c r="L354" i="4"/>
  <c r="J354" i="4"/>
  <c r="I354" i="4"/>
  <c r="G354" i="4"/>
  <c r="F354" i="4"/>
  <c r="E354" i="4"/>
  <c r="C354" i="4"/>
  <c r="B354" i="4"/>
  <c r="A354" i="4"/>
  <c r="Q353" i="4"/>
  <c r="P353" i="4"/>
  <c r="O353" i="4"/>
  <c r="N353" i="4"/>
  <c r="M353" i="4"/>
  <c r="L353" i="4"/>
  <c r="J353" i="4"/>
  <c r="I353" i="4"/>
  <c r="G353" i="4"/>
  <c r="F353" i="4"/>
  <c r="E353" i="4"/>
  <c r="C353" i="4"/>
  <c r="B353" i="4"/>
  <c r="A353" i="4"/>
  <c r="Q352" i="4"/>
  <c r="P352" i="4"/>
  <c r="O352" i="4"/>
  <c r="N352" i="4"/>
  <c r="M352" i="4"/>
  <c r="L352" i="4"/>
  <c r="J352" i="4"/>
  <c r="I352" i="4"/>
  <c r="G352" i="4"/>
  <c r="F352" i="4"/>
  <c r="E352" i="4"/>
  <c r="C352" i="4"/>
  <c r="B352" i="4"/>
  <c r="A352" i="4"/>
  <c r="Q351" i="4"/>
  <c r="P351" i="4"/>
  <c r="O351" i="4"/>
  <c r="N351" i="4"/>
  <c r="M351" i="4"/>
  <c r="L351" i="4"/>
  <c r="J351" i="4"/>
  <c r="I351" i="4"/>
  <c r="G351" i="4"/>
  <c r="F351" i="4"/>
  <c r="E351" i="4"/>
  <c r="C351" i="4"/>
  <c r="B351" i="4"/>
  <c r="A351" i="4"/>
  <c r="Q350" i="4"/>
  <c r="P350" i="4"/>
  <c r="O350" i="4"/>
  <c r="N350" i="4"/>
  <c r="M350" i="4"/>
  <c r="L350" i="4"/>
  <c r="J350" i="4"/>
  <c r="I350" i="4"/>
  <c r="G350" i="4"/>
  <c r="F350" i="4"/>
  <c r="E350" i="4"/>
  <c r="C350" i="4"/>
  <c r="B350" i="4"/>
  <c r="A350" i="4"/>
  <c r="Q349" i="4"/>
  <c r="P349" i="4"/>
  <c r="O349" i="4"/>
  <c r="N349" i="4"/>
  <c r="M349" i="4"/>
  <c r="L349" i="4"/>
  <c r="J349" i="4"/>
  <c r="I349" i="4"/>
  <c r="G349" i="4"/>
  <c r="F349" i="4"/>
  <c r="E349" i="4"/>
  <c r="C349" i="4"/>
  <c r="B349" i="4"/>
  <c r="A349" i="4"/>
  <c r="Q348" i="4"/>
  <c r="P348" i="4"/>
  <c r="O348" i="4"/>
  <c r="N348" i="4"/>
  <c r="M348" i="4"/>
  <c r="L348" i="4"/>
  <c r="J348" i="4"/>
  <c r="I348" i="4"/>
  <c r="G348" i="4"/>
  <c r="F348" i="4"/>
  <c r="E348" i="4"/>
  <c r="C348" i="4"/>
  <c r="B348" i="4"/>
  <c r="A348" i="4"/>
  <c r="Q347" i="4"/>
  <c r="P347" i="4"/>
  <c r="O347" i="4"/>
  <c r="N347" i="4"/>
  <c r="M347" i="4"/>
  <c r="L347" i="4"/>
  <c r="J347" i="4"/>
  <c r="I347" i="4"/>
  <c r="G347" i="4"/>
  <c r="F347" i="4"/>
  <c r="E347" i="4"/>
  <c r="C347" i="4"/>
  <c r="B347" i="4"/>
  <c r="A347" i="4"/>
  <c r="Q346" i="4"/>
  <c r="P346" i="4"/>
  <c r="O346" i="4"/>
  <c r="N346" i="4"/>
  <c r="M346" i="4"/>
  <c r="L346" i="4"/>
  <c r="J346" i="4"/>
  <c r="I346" i="4"/>
  <c r="G346" i="4"/>
  <c r="F346" i="4"/>
  <c r="E346" i="4"/>
  <c r="C346" i="4"/>
  <c r="B346" i="4"/>
  <c r="A346" i="4"/>
  <c r="Q345" i="4"/>
  <c r="P345" i="4"/>
  <c r="O345" i="4"/>
  <c r="N345" i="4"/>
  <c r="M345" i="4"/>
  <c r="L345" i="4"/>
  <c r="J345" i="4"/>
  <c r="I345" i="4"/>
  <c r="G345" i="4"/>
  <c r="F345" i="4"/>
  <c r="E345" i="4"/>
  <c r="C345" i="4"/>
  <c r="B345" i="4"/>
  <c r="A345" i="4"/>
  <c r="Q344" i="4"/>
  <c r="P344" i="4"/>
  <c r="O344" i="4"/>
  <c r="N344" i="4"/>
  <c r="M344" i="4"/>
  <c r="L344" i="4"/>
  <c r="J344" i="4"/>
  <c r="I344" i="4"/>
  <c r="G344" i="4"/>
  <c r="F344" i="4"/>
  <c r="E344" i="4"/>
  <c r="C344" i="4"/>
  <c r="B344" i="4"/>
  <c r="A344" i="4"/>
  <c r="Q343" i="4"/>
  <c r="P343" i="4"/>
  <c r="O343" i="4"/>
  <c r="N343" i="4"/>
  <c r="M343" i="4"/>
  <c r="L343" i="4"/>
  <c r="J343" i="4"/>
  <c r="I343" i="4"/>
  <c r="G343" i="4"/>
  <c r="F343" i="4"/>
  <c r="E343" i="4"/>
  <c r="C343" i="4"/>
  <c r="B343" i="4"/>
  <c r="A343" i="4"/>
  <c r="Q342" i="4"/>
  <c r="P342" i="4"/>
  <c r="O342" i="4"/>
  <c r="N342" i="4"/>
  <c r="M342" i="4"/>
  <c r="L342" i="4"/>
  <c r="J342" i="4"/>
  <c r="I342" i="4"/>
  <c r="G342" i="4"/>
  <c r="F342" i="4"/>
  <c r="E342" i="4"/>
  <c r="C342" i="4"/>
  <c r="B342" i="4"/>
  <c r="A342" i="4"/>
  <c r="Q341" i="4"/>
  <c r="P341" i="4"/>
  <c r="O341" i="4"/>
  <c r="N341" i="4"/>
  <c r="M341" i="4"/>
  <c r="L341" i="4"/>
  <c r="J341" i="4"/>
  <c r="I341" i="4"/>
  <c r="G341" i="4"/>
  <c r="F341" i="4"/>
  <c r="E341" i="4"/>
  <c r="C341" i="4"/>
  <c r="B341" i="4"/>
  <c r="A341" i="4"/>
  <c r="Q340" i="4"/>
  <c r="P340" i="4"/>
  <c r="O340" i="4"/>
  <c r="N340" i="4"/>
  <c r="M340" i="4"/>
  <c r="L340" i="4"/>
  <c r="J340" i="4"/>
  <c r="I340" i="4"/>
  <c r="G340" i="4"/>
  <c r="F340" i="4"/>
  <c r="E340" i="4"/>
  <c r="C340" i="4"/>
  <c r="B340" i="4"/>
  <c r="A340" i="4"/>
  <c r="Q339" i="4"/>
  <c r="P339" i="4"/>
  <c r="O339" i="4"/>
  <c r="N339" i="4"/>
  <c r="M339" i="4"/>
  <c r="L339" i="4"/>
  <c r="J339" i="4"/>
  <c r="I339" i="4"/>
  <c r="G339" i="4"/>
  <c r="F339" i="4"/>
  <c r="E339" i="4"/>
  <c r="C339" i="4"/>
  <c r="B339" i="4"/>
  <c r="A339" i="4"/>
  <c r="Q338" i="4"/>
  <c r="P338" i="4"/>
  <c r="O338" i="4"/>
  <c r="N338" i="4"/>
  <c r="M338" i="4"/>
  <c r="L338" i="4"/>
  <c r="J338" i="4"/>
  <c r="I338" i="4"/>
  <c r="G338" i="4"/>
  <c r="F338" i="4"/>
  <c r="E338" i="4"/>
  <c r="C338" i="4"/>
  <c r="B338" i="4"/>
  <c r="A338" i="4"/>
  <c r="Q337" i="4"/>
  <c r="P337" i="4"/>
  <c r="O337" i="4"/>
  <c r="N337" i="4"/>
  <c r="M337" i="4"/>
  <c r="L337" i="4"/>
  <c r="J337" i="4"/>
  <c r="I337" i="4"/>
  <c r="G337" i="4"/>
  <c r="F337" i="4"/>
  <c r="E337" i="4"/>
  <c r="C337" i="4"/>
  <c r="B337" i="4"/>
  <c r="A337" i="4"/>
  <c r="Q336" i="4"/>
  <c r="P336" i="4"/>
  <c r="O336" i="4"/>
  <c r="N336" i="4"/>
  <c r="M336" i="4"/>
  <c r="L336" i="4"/>
  <c r="J336" i="4"/>
  <c r="I336" i="4"/>
  <c r="G336" i="4"/>
  <c r="F336" i="4"/>
  <c r="E336" i="4"/>
  <c r="C336" i="4"/>
  <c r="B336" i="4"/>
  <c r="A336" i="4"/>
  <c r="Q335" i="4"/>
  <c r="P335" i="4"/>
  <c r="O335" i="4"/>
  <c r="N335" i="4"/>
  <c r="M335" i="4"/>
  <c r="L335" i="4"/>
  <c r="J335" i="4"/>
  <c r="I335" i="4"/>
  <c r="G335" i="4"/>
  <c r="F335" i="4"/>
  <c r="E335" i="4"/>
  <c r="C335" i="4"/>
  <c r="B335" i="4"/>
  <c r="A335" i="4"/>
  <c r="Q334" i="4"/>
  <c r="P334" i="4"/>
  <c r="O334" i="4"/>
  <c r="N334" i="4"/>
  <c r="M334" i="4"/>
  <c r="L334" i="4"/>
  <c r="J334" i="4"/>
  <c r="I334" i="4"/>
  <c r="G334" i="4"/>
  <c r="F334" i="4"/>
  <c r="E334" i="4"/>
  <c r="C334" i="4"/>
  <c r="B334" i="4"/>
  <c r="A334" i="4"/>
  <c r="Q333" i="4"/>
  <c r="P333" i="4"/>
  <c r="O333" i="4"/>
  <c r="N333" i="4"/>
  <c r="M333" i="4"/>
  <c r="L333" i="4"/>
  <c r="J333" i="4"/>
  <c r="I333" i="4"/>
  <c r="G333" i="4"/>
  <c r="F333" i="4"/>
  <c r="E333" i="4"/>
  <c r="C333" i="4"/>
  <c r="B333" i="4"/>
  <c r="A333" i="4"/>
  <c r="Q332" i="4"/>
  <c r="P332" i="4"/>
  <c r="O332" i="4"/>
  <c r="N332" i="4"/>
  <c r="M332" i="4"/>
  <c r="L332" i="4"/>
  <c r="J332" i="4"/>
  <c r="I332" i="4"/>
  <c r="G332" i="4"/>
  <c r="F332" i="4"/>
  <c r="E332" i="4"/>
  <c r="C332" i="4"/>
  <c r="B332" i="4"/>
  <c r="A332" i="4"/>
  <c r="Q331" i="4"/>
  <c r="P331" i="4"/>
  <c r="O331" i="4"/>
  <c r="N331" i="4"/>
  <c r="M331" i="4"/>
  <c r="L331" i="4"/>
  <c r="J331" i="4"/>
  <c r="I331" i="4"/>
  <c r="G331" i="4"/>
  <c r="F331" i="4"/>
  <c r="E331" i="4"/>
  <c r="C331" i="4"/>
  <c r="B331" i="4"/>
  <c r="A331" i="4"/>
  <c r="Q330" i="4"/>
  <c r="P330" i="4"/>
  <c r="O330" i="4"/>
  <c r="N330" i="4"/>
  <c r="M330" i="4"/>
  <c r="L330" i="4"/>
  <c r="J330" i="4"/>
  <c r="I330" i="4"/>
  <c r="G330" i="4"/>
  <c r="F330" i="4"/>
  <c r="E330" i="4"/>
  <c r="C330" i="4"/>
  <c r="B330" i="4"/>
  <c r="A330" i="4"/>
  <c r="Q329" i="4"/>
  <c r="P329" i="4"/>
  <c r="O329" i="4"/>
  <c r="N329" i="4"/>
  <c r="M329" i="4"/>
  <c r="L329" i="4"/>
  <c r="J329" i="4"/>
  <c r="I329" i="4"/>
  <c r="G329" i="4"/>
  <c r="F329" i="4"/>
  <c r="E329" i="4"/>
  <c r="C329" i="4"/>
  <c r="B329" i="4"/>
  <c r="A329" i="4"/>
  <c r="Q328" i="4"/>
  <c r="P328" i="4"/>
  <c r="O328" i="4"/>
  <c r="N328" i="4"/>
  <c r="M328" i="4"/>
  <c r="L328" i="4"/>
  <c r="J328" i="4"/>
  <c r="I328" i="4"/>
  <c r="G328" i="4"/>
  <c r="F328" i="4"/>
  <c r="E328" i="4"/>
  <c r="C328" i="4"/>
  <c r="B328" i="4"/>
  <c r="A328" i="4"/>
  <c r="Q327" i="4"/>
  <c r="P327" i="4"/>
  <c r="O327" i="4"/>
  <c r="N327" i="4"/>
  <c r="M327" i="4"/>
  <c r="L327" i="4"/>
  <c r="J327" i="4"/>
  <c r="I327" i="4"/>
  <c r="G327" i="4"/>
  <c r="F327" i="4"/>
  <c r="E327" i="4"/>
  <c r="C327" i="4"/>
  <c r="B327" i="4"/>
  <c r="A327" i="4"/>
  <c r="Q326" i="4"/>
  <c r="P326" i="4"/>
  <c r="O326" i="4"/>
  <c r="N326" i="4"/>
  <c r="M326" i="4"/>
  <c r="L326" i="4"/>
  <c r="J326" i="4"/>
  <c r="I326" i="4"/>
  <c r="G326" i="4"/>
  <c r="F326" i="4"/>
  <c r="E326" i="4"/>
  <c r="C326" i="4"/>
  <c r="B326" i="4"/>
  <c r="A326" i="4"/>
  <c r="Q325" i="4"/>
  <c r="P325" i="4"/>
  <c r="O325" i="4"/>
  <c r="N325" i="4"/>
  <c r="M325" i="4"/>
  <c r="L325" i="4"/>
  <c r="J325" i="4"/>
  <c r="I325" i="4"/>
  <c r="G325" i="4"/>
  <c r="F325" i="4"/>
  <c r="E325" i="4"/>
  <c r="C325" i="4"/>
  <c r="B325" i="4"/>
  <c r="A325" i="4"/>
  <c r="Q324" i="4"/>
  <c r="P324" i="4"/>
  <c r="O324" i="4"/>
  <c r="N324" i="4"/>
  <c r="M324" i="4"/>
  <c r="L324" i="4"/>
  <c r="J324" i="4"/>
  <c r="I324" i="4"/>
  <c r="G324" i="4"/>
  <c r="F324" i="4"/>
  <c r="E324" i="4"/>
  <c r="C324" i="4"/>
  <c r="B324" i="4"/>
  <c r="A324" i="4"/>
  <c r="Q323" i="4"/>
  <c r="P323" i="4"/>
  <c r="O323" i="4"/>
  <c r="N323" i="4"/>
  <c r="M323" i="4"/>
  <c r="L323" i="4"/>
  <c r="J323" i="4"/>
  <c r="I323" i="4"/>
  <c r="G323" i="4"/>
  <c r="F323" i="4"/>
  <c r="E323" i="4"/>
  <c r="C323" i="4"/>
  <c r="B323" i="4"/>
  <c r="A323" i="4"/>
  <c r="Q322" i="4"/>
  <c r="P322" i="4"/>
  <c r="O322" i="4"/>
  <c r="N322" i="4"/>
  <c r="M322" i="4"/>
  <c r="L322" i="4"/>
  <c r="J322" i="4"/>
  <c r="I322" i="4"/>
  <c r="G322" i="4"/>
  <c r="F322" i="4"/>
  <c r="E322" i="4"/>
  <c r="C322" i="4"/>
  <c r="B322" i="4"/>
  <c r="A322" i="4"/>
  <c r="Q321" i="4"/>
  <c r="P321" i="4"/>
  <c r="O321" i="4"/>
  <c r="N321" i="4"/>
  <c r="M321" i="4"/>
  <c r="L321" i="4"/>
  <c r="J321" i="4"/>
  <c r="I321" i="4"/>
  <c r="G321" i="4"/>
  <c r="F321" i="4"/>
  <c r="E321" i="4"/>
  <c r="C321" i="4"/>
  <c r="B321" i="4"/>
  <c r="A321" i="4"/>
  <c r="Q320" i="4"/>
  <c r="P320" i="4"/>
  <c r="O320" i="4"/>
  <c r="N320" i="4"/>
  <c r="M320" i="4"/>
  <c r="L320" i="4"/>
  <c r="J320" i="4"/>
  <c r="I320" i="4"/>
  <c r="G320" i="4"/>
  <c r="F320" i="4"/>
  <c r="E320" i="4"/>
  <c r="C320" i="4"/>
  <c r="B320" i="4"/>
  <c r="A320" i="4"/>
  <c r="Q319" i="4"/>
  <c r="P319" i="4"/>
  <c r="O319" i="4"/>
  <c r="N319" i="4"/>
  <c r="M319" i="4"/>
  <c r="L319" i="4"/>
  <c r="J319" i="4"/>
  <c r="I319" i="4"/>
  <c r="G319" i="4"/>
  <c r="F319" i="4"/>
  <c r="E319" i="4"/>
  <c r="C319" i="4"/>
  <c r="B319" i="4"/>
  <c r="A319" i="4"/>
  <c r="Q318" i="4"/>
  <c r="P318" i="4"/>
  <c r="O318" i="4"/>
  <c r="N318" i="4"/>
  <c r="M318" i="4"/>
  <c r="L318" i="4"/>
  <c r="J318" i="4"/>
  <c r="I318" i="4"/>
  <c r="G318" i="4"/>
  <c r="F318" i="4"/>
  <c r="E318" i="4"/>
  <c r="C318" i="4"/>
  <c r="B318" i="4"/>
  <c r="A318" i="4"/>
  <c r="Q317" i="4"/>
  <c r="P317" i="4"/>
  <c r="O317" i="4"/>
  <c r="N317" i="4"/>
  <c r="M317" i="4"/>
  <c r="L317" i="4"/>
  <c r="J317" i="4"/>
  <c r="I317" i="4"/>
  <c r="G317" i="4"/>
  <c r="F317" i="4"/>
  <c r="E317" i="4"/>
  <c r="C317" i="4"/>
  <c r="B317" i="4"/>
  <c r="A317" i="4"/>
  <c r="Q316" i="4"/>
  <c r="P316" i="4"/>
  <c r="O316" i="4"/>
  <c r="N316" i="4"/>
  <c r="M316" i="4"/>
  <c r="L316" i="4"/>
  <c r="J316" i="4"/>
  <c r="I316" i="4"/>
  <c r="G316" i="4"/>
  <c r="F316" i="4"/>
  <c r="E316" i="4"/>
  <c r="C316" i="4"/>
  <c r="B316" i="4"/>
  <c r="A316" i="4"/>
  <c r="Q315" i="4"/>
  <c r="P315" i="4"/>
  <c r="O315" i="4"/>
  <c r="N315" i="4"/>
  <c r="M315" i="4"/>
  <c r="L315" i="4"/>
  <c r="J315" i="4"/>
  <c r="I315" i="4"/>
  <c r="G315" i="4"/>
  <c r="F315" i="4"/>
  <c r="E315" i="4"/>
  <c r="C315" i="4"/>
  <c r="B315" i="4"/>
  <c r="A315" i="4"/>
  <c r="Q314" i="4"/>
  <c r="P314" i="4"/>
  <c r="O314" i="4"/>
  <c r="N314" i="4"/>
  <c r="M314" i="4"/>
  <c r="L314" i="4"/>
  <c r="J314" i="4"/>
  <c r="I314" i="4"/>
  <c r="G314" i="4"/>
  <c r="F314" i="4"/>
  <c r="E314" i="4"/>
  <c r="C314" i="4"/>
  <c r="B314" i="4"/>
  <c r="A314" i="4"/>
  <c r="Q313" i="4"/>
  <c r="P313" i="4"/>
  <c r="O313" i="4"/>
  <c r="N313" i="4"/>
  <c r="M313" i="4"/>
  <c r="L313" i="4"/>
  <c r="J313" i="4"/>
  <c r="I313" i="4"/>
  <c r="G313" i="4"/>
  <c r="F313" i="4"/>
  <c r="E313" i="4"/>
  <c r="C313" i="4"/>
  <c r="B313" i="4"/>
  <c r="A313" i="4"/>
  <c r="Q312" i="4"/>
  <c r="P312" i="4"/>
  <c r="O312" i="4"/>
  <c r="N312" i="4"/>
  <c r="M312" i="4"/>
  <c r="L312" i="4"/>
  <c r="J312" i="4"/>
  <c r="I312" i="4"/>
  <c r="G312" i="4"/>
  <c r="F312" i="4"/>
  <c r="E312" i="4"/>
  <c r="C312" i="4"/>
  <c r="B312" i="4"/>
  <c r="A312" i="4"/>
  <c r="Q311" i="4"/>
  <c r="P311" i="4"/>
  <c r="O311" i="4"/>
  <c r="N311" i="4"/>
  <c r="M311" i="4"/>
  <c r="L311" i="4"/>
  <c r="J311" i="4"/>
  <c r="I311" i="4"/>
  <c r="G311" i="4"/>
  <c r="F311" i="4"/>
  <c r="E311" i="4"/>
  <c r="C311" i="4"/>
  <c r="B311" i="4"/>
  <c r="A311" i="4"/>
  <c r="Q310" i="4"/>
  <c r="P310" i="4"/>
  <c r="O310" i="4"/>
  <c r="N310" i="4"/>
  <c r="M310" i="4"/>
  <c r="L310" i="4"/>
  <c r="J310" i="4"/>
  <c r="I310" i="4"/>
  <c r="G310" i="4"/>
  <c r="F310" i="4"/>
  <c r="E310" i="4"/>
  <c r="C310" i="4"/>
  <c r="B310" i="4"/>
  <c r="A310" i="4"/>
  <c r="Q309" i="4"/>
  <c r="P309" i="4"/>
  <c r="O309" i="4"/>
  <c r="N309" i="4"/>
  <c r="M309" i="4"/>
  <c r="L309" i="4"/>
  <c r="J309" i="4"/>
  <c r="I309" i="4"/>
  <c r="G309" i="4"/>
  <c r="F309" i="4"/>
  <c r="E309" i="4"/>
  <c r="C309" i="4"/>
  <c r="B309" i="4"/>
  <c r="A309" i="4"/>
  <c r="Q308" i="4"/>
  <c r="P308" i="4"/>
  <c r="O308" i="4"/>
  <c r="N308" i="4"/>
  <c r="M308" i="4"/>
  <c r="L308" i="4"/>
  <c r="J308" i="4"/>
  <c r="I308" i="4"/>
  <c r="G308" i="4"/>
  <c r="F308" i="4"/>
  <c r="E308" i="4"/>
  <c r="C308" i="4"/>
  <c r="B308" i="4"/>
  <c r="A308" i="4"/>
  <c r="Q307" i="4"/>
  <c r="P307" i="4"/>
  <c r="O307" i="4"/>
  <c r="N307" i="4"/>
  <c r="M307" i="4"/>
  <c r="L307" i="4"/>
  <c r="J307" i="4"/>
  <c r="I307" i="4"/>
  <c r="G307" i="4"/>
  <c r="F307" i="4"/>
  <c r="E307" i="4"/>
  <c r="C307" i="4"/>
  <c r="B307" i="4"/>
  <c r="A307" i="4"/>
  <c r="Q306" i="4"/>
  <c r="P306" i="4"/>
  <c r="O306" i="4"/>
  <c r="N306" i="4"/>
  <c r="M306" i="4"/>
  <c r="L306" i="4"/>
  <c r="J306" i="4"/>
  <c r="I306" i="4"/>
  <c r="G306" i="4"/>
  <c r="F306" i="4"/>
  <c r="E306" i="4"/>
  <c r="C306" i="4"/>
  <c r="B306" i="4"/>
  <c r="A306" i="4"/>
  <c r="Q305" i="4"/>
  <c r="P305" i="4"/>
  <c r="O305" i="4"/>
  <c r="N305" i="4"/>
  <c r="M305" i="4"/>
  <c r="L305" i="4"/>
  <c r="J305" i="4"/>
  <c r="I305" i="4"/>
  <c r="G305" i="4"/>
  <c r="F305" i="4"/>
  <c r="E305" i="4"/>
  <c r="C305" i="4"/>
  <c r="B305" i="4"/>
  <c r="A305" i="4"/>
  <c r="Q304" i="4"/>
  <c r="P304" i="4"/>
  <c r="O304" i="4"/>
  <c r="N304" i="4"/>
  <c r="M304" i="4"/>
  <c r="L304" i="4"/>
  <c r="I304" i="4"/>
  <c r="G304" i="4"/>
  <c r="F304" i="4"/>
  <c r="E304" i="4"/>
  <c r="C304" i="4"/>
  <c r="B304" i="4"/>
  <c r="A304" i="4"/>
  <c r="Q303" i="4"/>
  <c r="P303" i="4"/>
  <c r="O303" i="4"/>
  <c r="N303" i="4"/>
  <c r="M303" i="4"/>
  <c r="L303" i="4"/>
  <c r="I303" i="4"/>
  <c r="G303" i="4"/>
  <c r="F303" i="4"/>
  <c r="E303" i="4"/>
  <c r="C303" i="4"/>
  <c r="B303" i="4"/>
  <c r="A303" i="4"/>
  <c r="Q302" i="4"/>
  <c r="P302" i="4"/>
  <c r="O302" i="4"/>
  <c r="N302" i="4"/>
  <c r="M302" i="4"/>
  <c r="L302" i="4"/>
  <c r="I302" i="4"/>
  <c r="G302" i="4"/>
  <c r="F302" i="4"/>
  <c r="E302" i="4"/>
  <c r="C302" i="4"/>
  <c r="B302" i="4"/>
  <c r="A302" i="4"/>
  <c r="Q301" i="4"/>
  <c r="P301" i="4"/>
  <c r="O301" i="4"/>
  <c r="N301" i="4"/>
  <c r="M301" i="4"/>
  <c r="L301" i="4"/>
  <c r="I301" i="4"/>
  <c r="G301" i="4"/>
  <c r="F301" i="4"/>
  <c r="E301" i="4"/>
  <c r="C301" i="4"/>
  <c r="B301" i="4"/>
  <c r="A301" i="4"/>
  <c r="Q300" i="4"/>
  <c r="P300" i="4"/>
  <c r="O300" i="4"/>
  <c r="N300" i="4"/>
  <c r="M300" i="4"/>
  <c r="L300" i="4"/>
  <c r="I300" i="4"/>
  <c r="G300" i="4"/>
  <c r="F300" i="4"/>
  <c r="E300" i="4"/>
  <c r="C300" i="4"/>
  <c r="B300" i="4"/>
  <c r="A300" i="4"/>
  <c r="Q299" i="4"/>
  <c r="P299" i="4"/>
  <c r="O299" i="4"/>
  <c r="N299" i="4"/>
  <c r="M299" i="4"/>
  <c r="L299" i="4"/>
  <c r="I299" i="4"/>
  <c r="G299" i="4"/>
  <c r="F299" i="4"/>
  <c r="E299" i="4"/>
  <c r="C299" i="4"/>
  <c r="B299" i="4"/>
  <c r="A299" i="4"/>
  <c r="Q298" i="4"/>
  <c r="P298" i="4"/>
  <c r="O298" i="4"/>
  <c r="N298" i="4"/>
  <c r="M298" i="4"/>
  <c r="L298" i="4"/>
  <c r="I298" i="4"/>
  <c r="G298" i="4"/>
  <c r="F298" i="4"/>
  <c r="E298" i="4"/>
  <c r="C298" i="4"/>
  <c r="B298" i="4"/>
  <c r="A298" i="4"/>
  <c r="Q297" i="4"/>
  <c r="P297" i="4"/>
  <c r="O297" i="4"/>
  <c r="N297" i="4"/>
  <c r="M297" i="4"/>
  <c r="L297" i="4"/>
  <c r="I297" i="4"/>
  <c r="G297" i="4"/>
  <c r="F297" i="4"/>
  <c r="E297" i="4"/>
  <c r="C297" i="4"/>
  <c r="B297" i="4"/>
  <c r="A297" i="4"/>
  <c r="Q296" i="4"/>
  <c r="P296" i="4"/>
  <c r="O296" i="4"/>
  <c r="N296" i="4"/>
  <c r="M296" i="4"/>
  <c r="L296" i="4"/>
  <c r="I296" i="4"/>
  <c r="G296" i="4"/>
  <c r="F296" i="4"/>
  <c r="E296" i="4"/>
  <c r="C296" i="4"/>
  <c r="B296" i="4"/>
  <c r="A296" i="4"/>
  <c r="Q295" i="4"/>
  <c r="P295" i="4"/>
  <c r="O295" i="4"/>
  <c r="N295" i="4"/>
  <c r="M295" i="4"/>
  <c r="L295" i="4"/>
  <c r="I295" i="4"/>
  <c r="G295" i="4"/>
  <c r="F295" i="4"/>
  <c r="E295" i="4"/>
  <c r="C295" i="4"/>
  <c r="B295" i="4"/>
  <c r="A295" i="4"/>
  <c r="Q294" i="4"/>
  <c r="P294" i="4"/>
  <c r="O294" i="4"/>
  <c r="N294" i="4"/>
  <c r="M294" i="4"/>
  <c r="L294" i="4"/>
  <c r="I294" i="4"/>
  <c r="G294" i="4"/>
  <c r="F294" i="4"/>
  <c r="E294" i="4"/>
  <c r="C294" i="4"/>
  <c r="B294" i="4"/>
  <c r="A294" i="4"/>
  <c r="Q293" i="4"/>
  <c r="P293" i="4"/>
  <c r="O293" i="4"/>
  <c r="N293" i="4"/>
  <c r="M293" i="4"/>
  <c r="L293" i="4"/>
  <c r="I293" i="4"/>
  <c r="G293" i="4"/>
  <c r="F293" i="4"/>
  <c r="E293" i="4"/>
  <c r="C293" i="4"/>
  <c r="B293" i="4"/>
  <c r="A293" i="4"/>
  <c r="Q292" i="4"/>
  <c r="P292" i="4"/>
  <c r="O292" i="4"/>
  <c r="N292" i="4"/>
  <c r="M292" i="4"/>
  <c r="L292" i="4"/>
  <c r="I292" i="4"/>
  <c r="G292" i="4"/>
  <c r="F292" i="4"/>
  <c r="E292" i="4"/>
  <c r="C292" i="4"/>
  <c r="B292" i="4"/>
  <c r="A292" i="4"/>
  <c r="Q291" i="4"/>
  <c r="P291" i="4"/>
  <c r="O291" i="4"/>
  <c r="N291" i="4"/>
  <c r="M291" i="4"/>
  <c r="L291" i="4"/>
  <c r="I291" i="4"/>
  <c r="G291" i="4"/>
  <c r="F291" i="4"/>
  <c r="E291" i="4"/>
  <c r="C291" i="4"/>
  <c r="B291" i="4"/>
  <c r="A291" i="4"/>
  <c r="Q290" i="4"/>
  <c r="P290" i="4"/>
  <c r="O290" i="4"/>
  <c r="N290" i="4"/>
  <c r="M290" i="4"/>
  <c r="L290" i="4"/>
  <c r="I290" i="4"/>
  <c r="G290" i="4"/>
  <c r="F290" i="4"/>
  <c r="E290" i="4"/>
  <c r="C290" i="4"/>
  <c r="B290" i="4"/>
  <c r="A290" i="4"/>
  <c r="Q289" i="4"/>
  <c r="P289" i="4"/>
  <c r="O289" i="4"/>
  <c r="N289" i="4"/>
  <c r="M289" i="4"/>
  <c r="L289" i="4"/>
  <c r="I289" i="4"/>
  <c r="G289" i="4"/>
  <c r="F289" i="4"/>
  <c r="E289" i="4"/>
  <c r="C289" i="4"/>
  <c r="B289" i="4"/>
  <c r="A289" i="4"/>
  <c r="Q288" i="4"/>
  <c r="P288" i="4"/>
  <c r="O288" i="4"/>
  <c r="N288" i="4"/>
  <c r="M288" i="4"/>
  <c r="L288" i="4"/>
  <c r="I288" i="4"/>
  <c r="G288" i="4"/>
  <c r="F288" i="4"/>
  <c r="E288" i="4"/>
  <c r="C288" i="4"/>
  <c r="B288" i="4"/>
  <c r="A288" i="4"/>
  <c r="Q287" i="4"/>
  <c r="P287" i="4"/>
  <c r="O287" i="4"/>
  <c r="N287" i="4"/>
  <c r="M287" i="4"/>
  <c r="L287" i="4"/>
  <c r="I287" i="4"/>
  <c r="G287" i="4"/>
  <c r="F287" i="4"/>
  <c r="E287" i="4"/>
  <c r="C287" i="4"/>
  <c r="B287" i="4"/>
  <c r="A287" i="4"/>
  <c r="Q286" i="4"/>
  <c r="P286" i="4"/>
  <c r="O286" i="4"/>
  <c r="N286" i="4"/>
  <c r="M286" i="4"/>
  <c r="L286" i="4"/>
  <c r="I286" i="4"/>
  <c r="G286" i="4"/>
  <c r="F286" i="4"/>
  <c r="E286" i="4"/>
  <c r="C286" i="4"/>
  <c r="B286" i="4"/>
  <c r="A286" i="4"/>
  <c r="Q285" i="4"/>
  <c r="P285" i="4"/>
  <c r="O285" i="4"/>
  <c r="N285" i="4"/>
  <c r="M285" i="4"/>
  <c r="L285" i="4"/>
  <c r="I285" i="4"/>
  <c r="G285" i="4"/>
  <c r="F285" i="4"/>
  <c r="E285" i="4"/>
  <c r="C285" i="4"/>
  <c r="B285" i="4"/>
  <c r="A285" i="4"/>
  <c r="Q284" i="4"/>
  <c r="P284" i="4"/>
  <c r="O284" i="4"/>
  <c r="N284" i="4"/>
  <c r="M284" i="4"/>
  <c r="L284" i="4"/>
  <c r="I284" i="4"/>
  <c r="G284" i="4"/>
  <c r="F284" i="4"/>
  <c r="E284" i="4"/>
  <c r="C284" i="4"/>
  <c r="B284" i="4"/>
  <c r="A284" i="4"/>
  <c r="Q283" i="4"/>
  <c r="P283" i="4"/>
  <c r="O283" i="4"/>
  <c r="N283" i="4"/>
  <c r="M283" i="4"/>
  <c r="L283" i="4"/>
  <c r="I283" i="4"/>
  <c r="G283" i="4"/>
  <c r="F283" i="4"/>
  <c r="E283" i="4"/>
  <c r="C283" i="4"/>
  <c r="B283" i="4"/>
  <c r="A283" i="4"/>
  <c r="Q282" i="4"/>
  <c r="P282" i="4"/>
  <c r="O282" i="4"/>
  <c r="N282" i="4"/>
  <c r="M282" i="4"/>
  <c r="L282" i="4"/>
  <c r="I282" i="4"/>
  <c r="G282" i="4"/>
  <c r="F282" i="4"/>
  <c r="E282" i="4"/>
  <c r="C282" i="4"/>
  <c r="B282" i="4"/>
  <c r="A282" i="4"/>
  <c r="Q281" i="4"/>
  <c r="P281" i="4"/>
  <c r="O281" i="4"/>
  <c r="N281" i="4"/>
  <c r="M281" i="4"/>
  <c r="L281" i="4"/>
  <c r="I281" i="4"/>
  <c r="G281" i="4"/>
  <c r="F281" i="4"/>
  <c r="E281" i="4"/>
  <c r="C281" i="4"/>
  <c r="B281" i="4"/>
  <c r="A281" i="4"/>
  <c r="Q280" i="4"/>
  <c r="P280" i="4"/>
  <c r="O280" i="4"/>
  <c r="N280" i="4"/>
  <c r="M280" i="4"/>
  <c r="L280" i="4"/>
  <c r="I280" i="4"/>
  <c r="G280" i="4"/>
  <c r="F280" i="4"/>
  <c r="E280" i="4"/>
  <c r="C280" i="4"/>
  <c r="B280" i="4"/>
  <c r="A280" i="4"/>
  <c r="Q279" i="4"/>
  <c r="P279" i="4"/>
  <c r="O279" i="4"/>
  <c r="N279" i="4"/>
  <c r="M279" i="4"/>
  <c r="L279" i="4"/>
  <c r="K279" i="4"/>
  <c r="I279" i="4"/>
  <c r="G279" i="4"/>
  <c r="F279" i="4"/>
  <c r="E279" i="4"/>
  <c r="C279" i="4"/>
  <c r="B279" i="4"/>
  <c r="A279" i="4"/>
  <c r="Q278" i="4"/>
  <c r="P278" i="4"/>
  <c r="O278" i="4"/>
  <c r="N278" i="4"/>
  <c r="M278" i="4"/>
  <c r="L278" i="4"/>
  <c r="I278" i="4"/>
  <c r="G278" i="4"/>
  <c r="F278" i="4"/>
  <c r="E278" i="4"/>
  <c r="C278" i="4"/>
  <c r="B278" i="4"/>
  <c r="A278" i="4"/>
  <c r="Q277" i="4"/>
  <c r="P277" i="4"/>
  <c r="O277" i="4"/>
  <c r="N277" i="4"/>
  <c r="M277" i="4"/>
  <c r="L277" i="4"/>
  <c r="I277" i="4"/>
  <c r="G277" i="4"/>
  <c r="F277" i="4"/>
  <c r="E277" i="4"/>
  <c r="C277" i="4"/>
  <c r="B277" i="4"/>
  <c r="A277" i="4"/>
  <c r="Q276" i="4"/>
  <c r="P276" i="4"/>
  <c r="O276" i="4"/>
  <c r="N276" i="4"/>
  <c r="M276" i="4"/>
  <c r="L276" i="4"/>
  <c r="I276" i="4"/>
  <c r="G276" i="4"/>
  <c r="F276" i="4"/>
  <c r="E276" i="4"/>
  <c r="C276" i="4"/>
  <c r="B276" i="4"/>
  <c r="A276" i="4"/>
  <c r="Q275" i="4"/>
  <c r="P275" i="4"/>
  <c r="O275" i="4"/>
  <c r="N275" i="4"/>
  <c r="M275" i="4"/>
  <c r="L275" i="4"/>
  <c r="I275" i="4"/>
  <c r="G275" i="4"/>
  <c r="F275" i="4"/>
  <c r="E275" i="4"/>
  <c r="C275" i="4"/>
  <c r="B275" i="4"/>
  <c r="A275" i="4"/>
  <c r="Q274" i="4"/>
  <c r="P274" i="4"/>
  <c r="O274" i="4"/>
  <c r="N274" i="4"/>
  <c r="M274" i="4"/>
  <c r="L274" i="4"/>
  <c r="I274" i="4"/>
  <c r="G274" i="4"/>
  <c r="F274" i="4"/>
  <c r="E274" i="4"/>
  <c r="C274" i="4"/>
  <c r="B274" i="4"/>
  <c r="A274" i="4"/>
  <c r="Q273" i="4"/>
  <c r="P273" i="4"/>
  <c r="O273" i="4"/>
  <c r="N273" i="4"/>
  <c r="M273" i="4"/>
  <c r="L273" i="4"/>
  <c r="I273" i="4"/>
  <c r="G273" i="4"/>
  <c r="F273" i="4"/>
  <c r="E273" i="4"/>
  <c r="C273" i="4"/>
  <c r="B273" i="4"/>
  <c r="A273" i="4"/>
  <c r="Q272" i="4"/>
  <c r="P272" i="4"/>
  <c r="O272" i="4"/>
  <c r="N272" i="4"/>
  <c r="M272" i="4"/>
  <c r="L272" i="4"/>
  <c r="I272" i="4"/>
  <c r="G272" i="4"/>
  <c r="F272" i="4"/>
  <c r="E272" i="4"/>
  <c r="C272" i="4"/>
  <c r="B272" i="4"/>
  <c r="A272" i="4"/>
  <c r="Q271" i="4"/>
  <c r="P271" i="4"/>
  <c r="O271" i="4"/>
  <c r="N271" i="4"/>
  <c r="M271" i="4"/>
  <c r="L271" i="4"/>
  <c r="I271" i="4"/>
  <c r="G271" i="4"/>
  <c r="F271" i="4"/>
  <c r="E271" i="4"/>
  <c r="C271" i="4"/>
  <c r="B271" i="4"/>
  <c r="A271" i="4"/>
  <c r="Q270" i="4"/>
  <c r="P270" i="4"/>
  <c r="O270" i="4"/>
  <c r="N270" i="4"/>
  <c r="M270" i="4"/>
  <c r="L270" i="4"/>
  <c r="I270" i="4"/>
  <c r="G270" i="4"/>
  <c r="F270" i="4"/>
  <c r="E270" i="4"/>
  <c r="C270" i="4"/>
  <c r="B270" i="4"/>
  <c r="A270" i="4"/>
  <c r="Q269" i="4"/>
  <c r="P269" i="4"/>
  <c r="O269" i="4"/>
  <c r="N269" i="4"/>
  <c r="M269" i="4"/>
  <c r="L269" i="4"/>
  <c r="I269" i="4"/>
  <c r="G269" i="4"/>
  <c r="F269" i="4"/>
  <c r="E269" i="4"/>
  <c r="C269" i="4"/>
  <c r="B269" i="4"/>
  <c r="A269" i="4"/>
  <c r="Q268" i="4"/>
  <c r="P268" i="4"/>
  <c r="O268" i="4"/>
  <c r="N268" i="4"/>
  <c r="M268" i="4"/>
  <c r="L268" i="4"/>
  <c r="I268" i="4"/>
  <c r="G268" i="4"/>
  <c r="F268" i="4"/>
  <c r="E268" i="4"/>
  <c r="C268" i="4"/>
  <c r="B268" i="4"/>
  <c r="A268" i="4"/>
  <c r="Q267" i="4"/>
  <c r="P267" i="4"/>
  <c r="O267" i="4"/>
  <c r="N267" i="4"/>
  <c r="M267" i="4"/>
  <c r="L267" i="4"/>
  <c r="I267" i="4"/>
  <c r="G267" i="4"/>
  <c r="F267" i="4"/>
  <c r="E267" i="4"/>
  <c r="C267" i="4"/>
  <c r="B267" i="4"/>
  <c r="A267" i="4"/>
  <c r="Q266" i="4"/>
  <c r="P266" i="4"/>
  <c r="O266" i="4"/>
  <c r="N266" i="4"/>
  <c r="M266" i="4"/>
  <c r="L266" i="4"/>
  <c r="I266" i="4"/>
  <c r="G266" i="4"/>
  <c r="F266" i="4"/>
  <c r="E266" i="4"/>
  <c r="C266" i="4"/>
  <c r="B266" i="4"/>
  <c r="A266" i="4"/>
  <c r="Q265" i="4"/>
  <c r="P265" i="4"/>
  <c r="O265" i="4"/>
  <c r="N265" i="4"/>
  <c r="M265" i="4"/>
  <c r="L265" i="4"/>
  <c r="I265" i="4"/>
  <c r="G265" i="4"/>
  <c r="F265" i="4"/>
  <c r="E265" i="4"/>
  <c r="C265" i="4"/>
  <c r="B265" i="4"/>
  <c r="A265" i="4"/>
  <c r="Q264" i="4"/>
  <c r="P264" i="4"/>
  <c r="O264" i="4"/>
  <c r="N264" i="4"/>
  <c r="M264" i="4"/>
  <c r="L264" i="4"/>
  <c r="I264" i="4"/>
  <c r="G264" i="4"/>
  <c r="F264" i="4"/>
  <c r="E264" i="4"/>
  <c r="C264" i="4"/>
  <c r="B264" i="4"/>
  <c r="A264" i="4"/>
  <c r="Q263" i="4"/>
  <c r="P263" i="4"/>
  <c r="O263" i="4"/>
  <c r="N263" i="4"/>
  <c r="M263" i="4"/>
  <c r="L263" i="4"/>
  <c r="I263" i="4"/>
  <c r="G263" i="4"/>
  <c r="F263" i="4"/>
  <c r="E263" i="4"/>
  <c r="C263" i="4"/>
  <c r="B263" i="4"/>
  <c r="A263" i="4"/>
  <c r="Q262" i="4"/>
  <c r="P262" i="4"/>
  <c r="O262" i="4"/>
  <c r="N262" i="4"/>
  <c r="M262" i="4"/>
  <c r="L262" i="4"/>
  <c r="I262" i="4"/>
  <c r="G262" i="4"/>
  <c r="F262" i="4"/>
  <c r="E262" i="4"/>
  <c r="C262" i="4"/>
  <c r="B262" i="4"/>
  <c r="A262" i="4"/>
  <c r="Q261" i="4"/>
  <c r="P261" i="4"/>
  <c r="O261" i="4"/>
  <c r="N261" i="4"/>
  <c r="M261" i="4"/>
  <c r="L261" i="4"/>
  <c r="I261" i="4"/>
  <c r="G261" i="4"/>
  <c r="F261" i="4"/>
  <c r="E261" i="4"/>
  <c r="C261" i="4"/>
  <c r="B261" i="4"/>
  <c r="A261" i="4"/>
  <c r="Q260" i="4"/>
  <c r="P260" i="4"/>
  <c r="O260" i="4"/>
  <c r="N260" i="4"/>
  <c r="M260" i="4"/>
  <c r="L260" i="4"/>
  <c r="I260" i="4"/>
  <c r="G260" i="4"/>
  <c r="F260" i="4"/>
  <c r="E260" i="4"/>
  <c r="C260" i="4"/>
  <c r="B260" i="4"/>
  <c r="A260" i="4"/>
  <c r="Q259" i="4"/>
  <c r="P259" i="4"/>
  <c r="O259" i="4"/>
  <c r="N259" i="4"/>
  <c r="M259" i="4"/>
  <c r="L259" i="4"/>
  <c r="I259" i="4"/>
  <c r="G259" i="4"/>
  <c r="F259" i="4"/>
  <c r="E259" i="4"/>
  <c r="C259" i="4"/>
  <c r="B259" i="4"/>
  <c r="A259" i="4"/>
  <c r="Q258" i="4"/>
  <c r="P258" i="4"/>
  <c r="O258" i="4"/>
  <c r="N258" i="4"/>
  <c r="M258" i="4"/>
  <c r="L258" i="4"/>
  <c r="I258" i="4"/>
  <c r="G258" i="4"/>
  <c r="F258" i="4"/>
  <c r="E258" i="4"/>
  <c r="C258" i="4"/>
  <c r="B258" i="4"/>
  <c r="A258" i="4"/>
  <c r="Q257" i="4"/>
  <c r="P257" i="4"/>
  <c r="O257" i="4"/>
  <c r="N257" i="4"/>
  <c r="M257" i="4"/>
  <c r="L257" i="4"/>
  <c r="I257" i="4"/>
  <c r="G257" i="4"/>
  <c r="F257" i="4"/>
  <c r="E257" i="4"/>
  <c r="C257" i="4"/>
  <c r="B257" i="4"/>
  <c r="A257" i="4"/>
  <c r="Q256" i="4"/>
  <c r="P256" i="4"/>
  <c r="O256" i="4"/>
  <c r="N256" i="4"/>
  <c r="M256" i="4"/>
  <c r="L256" i="4"/>
  <c r="I256" i="4"/>
  <c r="G256" i="4"/>
  <c r="F256" i="4"/>
  <c r="E256" i="4"/>
  <c r="C256" i="4"/>
  <c r="B256" i="4"/>
  <c r="A256" i="4"/>
  <c r="Q255" i="4"/>
  <c r="P255" i="4"/>
  <c r="O255" i="4"/>
  <c r="N255" i="4"/>
  <c r="M255" i="4"/>
  <c r="L255" i="4"/>
  <c r="I255" i="4"/>
  <c r="G255" i="4"/>
  <c r="F255" i="4"/>
  <c r="E255" i="4"/>
  <c r="C255" i="4"/>
  <c r="B255" i="4"/>
  <c r="A255" i="4"/>
  <c r="Q254" i="4"/>
  <c r="P254" i="4"/>
  <c r="O254" i="4"/>
  <c r="N254" i="4"/>
  <c r="M254" i="4"/>
  <c r="L254" i="4"/>
  <c r="I254" i="4"/>
  <c r="G254" i="4"/>
  <c r="F254" i="4"/>
  <c r="E254" i="4"/>
  <c r="C254" i="4"/>
  <c r="B254" i="4"/>
  <c r="A254" i="4"/>
  <c r="Q253" i="4"/>
  <c r="P253" i="4"/>
  <c r="O253" i="4"/>
  <c r="N253" i="4"/>
  <c r="M253" i="4"/>
  <c r="L253" i="4"/>
  <c r="I253" i="4"/>
  <c r="G253" i="4"/>
  <c r="F253" i="4"/>
  <c r="E253" i="4"/>
  <c r="C253" i="4"/>
  <c r="B253" i="4"/>
  <c r="A253" i="4"/>
  <c r="Q252" i="4"/>
  <c r="P252" i="4"/>
  <c r="O252" i="4"/>
  <c r="N252" i="4"/>
  <c r="M252" i="4"/>
  <c r="L252" i="4"/>
  <c r="I252" i="4"/>
  <c r="G252" i="4"/>
  <c r="F252" i="4"/>
  <c r="E252" i="4"/>
  <c r="C252" i="4"/>
  <c r="B252" i="4"/>
  <c r="A252" i="4"/>
  <c r="Q251" i="4"/>
  <c r="P251" i="4"/>
  <c r="O251" i="4"/>
  <c r="N251" i="4"/>
  <c r="M251" i="4"/>
  <c r="L251" i="4"/>
  <c r="I251" i="4"/>
  <c r="G251" i="4"/>
  <c r="F251" i="4"/>
  <c r="E251" i="4"/>
  <c r="C251" i="4"/>
  <c r="B251" i="4"/>
  <c r="A251" i="4"/>
  <c r="Q250" i="4"/>
  <c r="P250" i="4"/>
  <c r="O250" i="4"/>
  <c r="N250" i="4"/>
  <c r="M250" i="4"/>
  <c r="L250" i="4"/>
  <c r="I250" i="4"/>
  <c r="G250" i="4"/>
  <c r="F250" i="4"/>
  <c r="E250" i="4"/>
  <c r="C250" i="4"/>
  <c r="B250" i="4"/>
  <c r="A250" i="4"/>
  <c r="Q249" i="4"/>
  <c r="P249" i="4"/>
  <c r="O249" i="4"/>
  <c r="N249" i="4"/>
  <c r="M249" i="4"/>
  <c r="L249" i="4"/>
  <c r="I249" i="4"/>
  <c r="G249" i="4"/>
  <c r="F249" i="4"/>
  <c r="E249" i="4"/>
  <c r="C249" i="4"/>
  <c r="B249" i="4"/>
  <c r="A249" i="4"/>
  <c r="Q248" i="4"/>
  <c r="P248" i="4"/>
  <c r="O248" i="4"/>
  <c r="N248" i="4"/>
  <c r="M248" i="4"/>
  <c r="L248" i="4"/>
  <c r="I248" i="4"/>
  <c r="G248" i="4"/>
  <c r="F248" i="4"/>
  <c r="E248" i="4"/>
  <c r="C248" i="4"/>
  <c r="B248" i="4"/>
  <c r="A248" i="4"/>
  <c r="Q247" i="4"/>
  <c r="P247" i="4"/>
  <c r="O247" i="4"/>
  <c r="N247" i="4"/>
  <c r="M247" i="4"/>
  <c r="L247" i="4"/>
  <c r="I247" i="4"/>
  <c r="G247" i="4"/>
  <c r="F247" i="4"/>
  <c r="E247" i="4"/>
  <c r="C247" i="4"/>
  <c r="B247" i="4"/>
  <c r="A247" i="4"/>
  <c r="Q246" i="4"/>
  <c r="P246" i="4"/>
  <c r="O246" i="4"/>
  <c r="N246" i="4"/>
  <c r="M246" i="4"/>
  <c r="L246" i="4"/>
  <c r="I246" i="4"/>
  <c r="G246" i="4"/>
  <c r="F246" i="4"/>
  <c r="E246" i="4"/>
  <c r="C246" i="4"/>
  <c r="B246" i="4"/>
  <c r="A246" i="4"/>
  <c r="Q245" i="4"/>
  <c r="P245" i="4"/>
  <c r="O245" i="4"/>
  <c r="N245" i="4"/>
  <c r="M245" i="4"/>
  <c r="L245" i="4"/>
  <c r="I245" i="4"/>
  <c r="G245" i="4"/>
  <c r="F245" i="4"/>
  <c r="E245" i="4"/>
  <c r="C245" i="4"/>
  <c r="B245" i="4"/>
  <c r="A245" i="4"/>
  <c r="Q244" i="4"/>
  <c r="P244" i="4"/>
  <c r="O244" i="4"/>
  <c r="N244" i="4"/>
  <c r="M244" i="4"/>
  <c r="L244" i="4"/>
  <c r="I244" i="4"/>
  <c r="G244" i="4"/>
  <c r="F244" i="4"/>
  <c r="E244" i="4"/>
  <c r="C244" i="4"/>
  <c r="B244" i="4"/>
  <c r="A244" i="4"/>
  <c r="Q243" i="4"/>
  <c r="P243" i="4"/>
  <c r="O243" i="4"/>
  <c r="N243" i="4"/>
  <c r="M243" i="4"/>
  <c r="L243" i="4"/>
  <c r="I243" i="4"/>
  <c r="G243" i="4"/>
  <c r="F243" i="4"/>
  <c r="E243" i="4"/>
  <c r="C243" i="4"/>
  <c r="B243" i="4"/>
  <c r="A243" i="4"/>
  <c r="Q242" i="4"/>
  <c r="P242" i="4"/>
  <c r="O242" i="4"/>
  <c r="N242" i="4"/>
  <c r="M242" i="4"/>
  <c r="L242" i="4"/>
  <c r="I242" i="4"/>
  <c r="G242" i="4"/>
  <c r="F242" i="4"/>
  <c r="E242" i="4"/>
  <c r="C242" i="4"/>
  <c r="B242" i="4"/>
  <c r="A242" i="4"/>
  <c r="Q241" i="4"/>
  <c r="P241" i="4"/>
  <c r="O241" i="4"/>
  <c r="N241" i="4"/>
  <c r="M241" i="4"/>
  <c r="L241" i="4"/>
  <c r="I241" i="4"/>
  <c r="G241" i="4"/>
  <c r="F241" i="4"/>
  <c r="E241" i="4"/>
  <c r="C241" i="4"/>
  <c r="B241" i="4"/>
  <c r="A241" i="4"/>
  <c r="Q240" i="4"/>
  <c r="P240" i="4"/>
  <c r="O240" i="4"/>
  <c r="N240" i="4"/>
  <c r="M240" i="4"/>
  <c r="L240" i="4"/>
  <c r="I240" i="4"/>
  <c r="G240" i="4"/>
  <c r="F240" i="4"/>
  <c r="E240" i="4"/>
  <c r="C240" i="4"/>
  <c r="B240" i="4"/>
  <c r="A240" i="4"/>
  <c r="Q239" i="4"/>
  <c r="P239" i="4"/>
  <c r="O239" i="4"/>
  <c r="N239" i="4"/>
  <c r="M239" i="4"/>
  <c r="L239" i="4"/>
  <c r="I239" i="4"/>
  <c r="G239" i="4"/>
  <c r="F239" i="4"/>
  <c r="E239" i="4"/>
  <c r="C239" i="4"/>
  <c r="B239" i="4"/>
  <c r="A239" i="4"/>
  <c r="Q238" i="4"/>
  <c r="P238" i="4"/>
  <c r="O238" i="4"/>
  <c r="N238" i="4"/>
  <c r="M238" i="4"/>
  <c r="L238" i="4"/>
  <c r="I238" i="4"/>
  <c r="G238" i="4"/>
  <c r="F238" i="4"/>
  <c r="E238" i="4"/>
  <c r="C238" i="4"/>
  <c r="B238" i="4"/>
  <c r="A238" i="4"/>
  <c r="Q237" i="4"/>
  <c r="P237" i="4"/>
  <c r="O237" i="4"/>
  <c r="N237" i="4"/>
  <c r="M237" i="4"/>
  <c r="L237" i="4"/>
  <c r="I237" i="4"/>
  <c r="G237" i="4"/>
  <c r="F237" i="4"/>
  <c r="E237" i="4"/>
  <c r="C237" i="4"/>
  <c r="B237" i="4"/>
  <c r="A237" i="4"/>
  <c r="Q236" i="4"/>
  <c r="P236" i="4"/>
  <c r="O236" i="4"/>
  <c r="N236" i="4"/>
  <c r="M236" i="4"/>
  <c r="L236" i="4"/>
  <c r="I236" i="4"/>
  <c r="G236" i="4"/>
  <c r="F236" i="4"/>
  <c r="E236" i="4"/>
  <c r="C236" i="4"/>
  <c r="B236" i="4"/>
  <c r="A236" i="4"/>
  <c r="Q235" i="4"/>
  <c r="P235" i="4"/>
  <c r="O235" i="4"/>
  <c r="N235" i="4"/>
  <c r="M235" i="4"/>
  <c r="L235" i="4"/>
  <c r="I235" i="4"/>
  <c r="G235" i="4"/>
  <c r="F235" i="4"/>
  <c r="E235" i="4"/>
  <c r="C235" i="4"/>
  <c r="B235" i="4"/>
  <c r="A235" i="4"/>
  <c r="Q234" i="4"/>
  <c r="P234" i="4"/>
  <c r="O234" i="4"/>
  <c r="N234" i="4"/>
  <c r="M234" i="4"/>
  <c r="L234" i="4"/>
  <c r="I234" i="4"/>
  <c r="G234" i="4"/>
  <c r="F234" i="4"/>
  <c r="E234" i="4"/>
  <c r="C234" i="4"/>
  <c r="B234" i="4"/>
  <c r="A234" i="4"/>
  <c r="Q233" i="4"/>
  <c r="P233" i="4"/>
  <c r="O233" i="4"/>
  <c r="N233" i="4"/>
  <c r="M233" i="4"/>
  <c r="L233" i="4"/>
  <c r="I233" i="4"/>
  <c r="G233" i="4"/>
  <c r="F233" i="4"/>
  <c r="E233" i="4"/>
  <c r="C233" i="4"/>
  <c r="B233" i="4"/>
  <c r="A233" i="4"/>
  <c r="Q232" i="4"/>
  <c r="P232" i="4"/>
  <c r="O232" i="4"/>
  <c r="N232" i="4"/>
  <c r="M232" i="4"/>
  <c r="L232" i="4"/>
  <c r="I232" i="4"/>
  <c r="G232" i="4"/>
  <c r="F232" i="4"/>
  <c r="E232" i="4"/>
  <c r="C232" i="4"/>
  <c r="B232" i="4"/>
  <c r="A232" i="4"/>
  <c r="Q231" i="4"/>
  <c r="P231" i="4"/>
  <c r="O231" i="4"/>
  <c r="N231" i="4"/>
  <c r="M231" i="4"/>
  <c r="L231" i="4"/>
  <c r="I231" i="4"/>
  <c r="G231" i="4"/>
  <c r="F231" i="4"/>
  <c r="E231" i="4"/>
  <c r="C231" i="4"/>
  <c r="B231" i="4"/>
  <c r="A231" i="4"/>
  <c r="Q230" i="4"/>
  <c r="P230" i="4"/>
  <c r="O230" i="4"/>
  <c r="N230" i="4"/>
  <c r="M230" i="4"/>
  <c r="L230" i="4"/>
  <c r="I230" i="4"/>
  <c r="G230" i="4"/>
  <c r="F230" i="4"/>
  <c r="E230" i="4"/>
  <c r="C230" i="4"/>
  <c r="B230" i="4"/>
  <c r="A230" i="4"/>
  <c r="Q229" i="4"/>
  <c r="P229" i="4"/>
  <c r="O229" i="4"/>
  <c r="N229" i="4"/>
  <c r="M229" i="4"/>
  <c r="L229" i="4"/>
  <c r="I229" i="4"/>
  <c r="G229" i="4"/>
  <c r="F229" i="4"/>
  <c r="E229" i="4"/>
  <c r="C229" i="4"/>
  <c r="B229" i="4"/>
  <c r="A229" i="4"/>
  <c r="Q228" i="4"/>
  <c r="P228" i="4"/>
  <c r="O228" i="4"/>
  <c r="N228" i="4"/>
  <c r="M228" i="4"/>
  <c r="L228" i="4"/>
  <c r="I228" i="4"/>
  <c r="G228" i="4"/>
  <c r="F228" i="4"/>
  <c r="E228" i="4"/>
  <c r="C228" i="4"/>
  <c r="B228" i="4"/>
  <c r="A228" i="4"/>
  <c r="Q227" i="4"/>
  <c r="P227" i="4"/>
  <c r="O227" i="4"/>
  <c r="N227" i="4"/>
  <c r="M227" i="4"/>
  <c r="L227" i="4"/>
  <c r="I227" i="4"/>
  <c r="G227" i="4"/>
  <c r="F227" i="4"/>
  <c r="E227" i="4"/>
  <c r="C227" i="4"/>
  <c r="B227" i="4"/>
  <c r="A227" i="4"/>
  <c r="Q226" i="4"/>
  <c r="P226" i="4"/>
  <c r="O226" i="4"/>
  <c r="N226" i="4"/>
  <c r="M226" i="4"/>
  <c r="L226" i="4"/>
  <c r="I226" i="4"/>
  <c r="G226" i="4"/>
  <c r="F226" i="4"/>
  <c r="E226" i="4"/>
  <c r="C226" i="4"/>
  <c r="B226" i="4"/>
  <c r="A226" i="4"/>
  <c r="Q225" i="4"/>
  <c r="P225" i="4"/>
  <c r="O225" i="4"/>
  <c r="N225" i="4"/>
  <c r="M225" i="4"/>
  <c r="L225" i="4"/>
  <c r="I225" i="4"/>
  <c r="G225" i="4"/>
  <c r="F225" i="4"/>
  <c r="E225" i="4"/>
  <c r="C225" i="4"/>
  <c r="B225" i="4"/>
  <c r="A225" i="4"/>
  <c r="Q224" i="4"/>
  <c r="P224" i="4"/>
  <c r="O224" i="4"/>
  <c r="N224" i="4"/>
  <c r="M224" i="4"/>
  <c r="L224" i="4"/>
  <c r="I224" i="4"/>
  <c r="G224" i="4"/>
  <c r="F224" i="4"/>
  <c r="E224" i="4"/>
  <c r="C224" i="4"/>
  <c r="B224" i="4"/>
  <c r="A224" i="4"/>
  <c r="Q223" i="4"/>
  <c r="P223" i="4"/>
  <c r="O223" i="4"/>
  <c r="N223" i="4"/>
  <c r="M223" i="4"/>
  <c r="L223" i="4"/>
  <c r="I223" i="4"/>
  <c r="G223" i="4"/>
  <c r="F223" i="4"/>
  <c r="E223" i="4"/>
  <c r="C223" i="4"/>
  <c r="B223" i="4"/>
  <c r="A223" i="4"/>
  <c r="Q222" i="4"/>
  <c r="P222" i="4"/>
  <c r="O222" i="4"/>
  <c r="N222" i="4"/>
  <c r="M222" i="4"/>
  <c r="L222" i="4"/>
  <c r="I222" i="4"/>
  <c r="G222" i="4"/>
  <c r="F222" i="4"/>
  <c r="E222" i="4"/>
  <c r="C222" i="4"/>
  <c r="B222" i="4"/>
  <c r="A222" i="4"/>
  <c r="Q221" i="4"/>
  <c r="P221" i="4"/>
  <c r="O221" i="4"/>
  <c r="N221" i="4"/>
  <c r="M221" i="4"/>
  <c r="L221" i="4"/>
  <c r="I221" i="4"/>
  <c r="G221" i="4"/>
  <c r="F221" i="4"/>
  <c r="E221" i="4"/>
  <c r="C221" i="4"/>
  <c r="B221" i="4"/>
  <c r="A221" i="4"/>
  <c r="Q220" i="4"/>
  <c r="P220" i="4"/>
  <c r="O220" i="4"/>
  <c r="N220" i="4"/>
  <c r="M220" i="4"/>
  <c r="L220" i="4"/>
  <c r="I220" i="4"/>
  <c r="G220" i="4"/>
  <c r="F220" i="4"/>
  <c r="E220" i="4"/>
  <c r="C220" i="4"/>
  <c r="B220" i="4"/>
  <c r="A220" i="4"/>
  <c r="Q219" i="4"/>
  <c r="P219" i="4"/>
  <c r="O219" i="4"/>
  <c r="N219" i="4"/>
  <c r="M219" i="4"/>
  <c r="L219" i="4"/>
  <c r="I219" i="4"/>
  <c r="G219" i="4"/>
  <c r="F219" i="4"/>
  <c r="E219" i="4"/>
  <c r="C219" i="4"/>
  <c r="B219" i="4"/>
  <c r="A219" i="4"/>
  <c r="Q218" i="4"/>
  <c r="P218" i="4"/>
  <c r="O218" i="4"/>
  <c r="N218" i="4"/>
  <c r="M218" i="4"/>
  <c r="L218" i="4"/>
  <c r="I218" i="4"/>
  <c r="G218" i="4"/>
  <c r="F218" i="4"/>
  <c r="E218" i="4"/>
  <c r="C218" i="4"/>
  <c r="B218" i="4"/>
  <c r="A218" i="4"/>
  <c r="Q217" i="4"/>
  <c r="P217" i="4"/>
  <c r="O217" i="4"/>
  <c r="N217" i="4"/>
  <c r="M217" i="4"/>
  <c r="L217" i="4"/>
  <c r="I217" i="4"/>
  <c r="G217" i="4"/>
  <c r="F217" i="4"/>
  <c r="E217" i="4"/>
  <c r="C217" i="4"/>
  <c r="B217" i="4"/>
  <c r="A217" i="4"/>
  <c r="Q216" i="4"/>
  <c r="P216" i="4"/>
  <c r="O216" i="4"/>
  <c r="N216" i="4"/>
  <c r="M216" i="4"/>
  <c r="L216" i="4"/>
  <c r="I216" i="4"/>
  <c r="G216" i="4"/>
  <c r="F216" i="4"/>
  <c r="E216" i="4"/>
  <c r="C216" i="4"/>
  <c r="B216" i="4"/>
  <c r="A216" i="4"/>
  <c r="Q215" i="4"/>
  <c r="P215" i="4"/>
  <c r="O215" i="4"/>
  <c r="N215" i="4"/>
  <c r="M215" i="4"/>
  <c r="L215" i="4"/>
  <c r="I215" i="4"/>
  <c r="G215" i="4"/>
  <c r="F215" i="4"/>
  <c r="E215" i="4"/>
  <c r="C215" i="4"/>
  <c r="B215" i="4"/>
  <c r="A215" i="4"/>
  <c r="Q214" i="4"/>
  <c r="P214" i="4"/>
  <c r="O214" i="4"/>
  <c r="N214" i="4"/>
  <c r="M214" i="4"/>
  <c r="L214" i="4"/>
  <c r="I214" i="4"/>
  <c r="G214" i="4"/>
  <c r="F214" i="4"/>
  <c r="E214" i="4"/>
  <c r="C214" i="4"/>
  <c r="B214" i="4"/>
  <c r="A214" i="4"/>
  <c r="Q213" i="4"/>
  <c r="P213" i="4"/>
  <c r="O213" i="4"/>
  <c r="N213" i="4"/>
  <c r="M213" i="4"/>
  <c r="L213" i="4"/>
  <c r="I213" i="4"/>
  <c r="G213" i="4"/>
  <c r="F213" i="4"/>
  <c r="E213" i="4"/>
  <c r="C213" i="4"/>
  <c r="B213" i="4"/>
  <c r="A213" i="4"/>
  <c r="Q212" i="4"/>
  <c r="P212" i="4"/>
  <c r="O212" i="4"/>
  <c r="N212" i="4"/>
  <c r="M212" i="4"/>
  <c r="L212" i="4"/>
  <c r="I212" i="4"/>
  <c r="G212" i="4"/>
  <c r="F212" i="4"/>
  <c r="E212" i="4"/>
  <c r="C212" i="4"/>
  <c r="B212" i="4"/>
  <c r="A212" i="4"/>
  <c r="Q211" i="4"/>
  <c r="P211" i="4"/>
  <c r="O211" i="4"/>
  <c r="N211" i="4"/>
  <c r="M211" i="4"/>
  <c r="L211" i="4"/>
  <c r="I211" i="4"/>
  <c r="G211" i="4"/>
  <c r="F211" i="4"/>
  <c r="E211" i="4"/>
  <c r="C211" i="4"/>
  <c r="B211" i="4"/>
  <c r="A211" i="4"/>
  <c r="Q210" i="4"/>
  <c r="P210" i="4"/>
  <c r="O210" i="4"/>
  <c r="N210" i="4"/>
  <c r="M210" i="4"/>
  <c r="L210" i="4"/>
  <c r="I210" i="4"/>
  <c r="G210" i="4"/>
  <c r="F210" i="4"/>
  <c r="E210" i="4"/>
  <c r="C210" i="4"/>
  <c r="B210" i="4"/>
  <c r="A210" i="4"/>
  <c r="Q209" i="4"/>
  <c r="P209" i="4"/>
  <c r="O209" i="4"/>
  <c r="N209" i="4"/>
  <c r="M209" i="4"/>
  <c r="L209" i="4"/>
  <c r="I209" i="4"/>
  <c r="G209" i="4"/>
  <c r="F209" i="4"/>
  <c r="E209" i="4"/>
  <c r="C209" i="4"/>
  <c r="B209" i="4"/>
  <c r="A209" i="4"/>
  <c r="Q208" i="4"/>
  <c r="P208" i="4"/>
  <c r="O208" i="4"/>
  <c r="N208" i="4"/>
  <c r="M208" i="4"/>
  <c r="L208" i="4"/>
  <c r="I208" i="4"/>
  <c r="G208" i="4"/>
  <c r="F208" i="4"/>
  <c r="E208" i="4"/>
  <c r="C208" i="4"/>
  <c r="B208" i="4"/>
  <c r="A208" i="4"/>
  <c r="Q207" i="4"/>
  <c r="P207" i="4"/>
  <c r="O207" i="4"/>
  <c r="N207" i="4"/>
  <c r="M207" i="4"/>
  <c r="L207" i="4"/>
  <c r="I207" i="4"/>
  <c r="G207" i="4"/>
  <c r="F207" i="4"/>
  <c r="E207" i="4"/>
  <c r="C207" i="4"/>
  <c r="B207" i="4"/>
  <c r="A207" i="4"/>
  <c r="Q206" i="4"/>
  <c r="P206" i="4"/>
  <c r="O206" i="4"/>
  <c r="N206" i="4"/>
  <c r="M206" i="4"/>
  <c r="L206" i="4"/>
  <c r="I206" i="4"/>
  <c r="G206" i="4"/>
  <c r="F206" i="4"/>
  <c r="E206" i="4"/>
  <c r="C206" i="4"/>
  <c r="B206" i="4"/>
  <c r="A206" i="4"/>
  <c r="Q205" i="4"/>
  <c r="P205" i="4"/>
  <c r="O205" i="4"/>
  <c r="N205" i="4"/>
  <c r="M205" i="4"/>
  <c r="L205" i="4"/>
  <c r="I205" i="4"/>
  <c r="G205" i="4"/>
  <c r="F205" i="4"/>
  <c r="E205" i="4"/>
  <c r="C205" i="4"/>
  <c r="B205" i="4"/>
  <c r="A205" i="4"/>
  <c r="Q204" i="4"/>
  <c r="P204" i="4"/>
  <c r="O204" i="4"/>
  <c r="N204" i="4"/>
  <c r="M204" i="4"/>
  <c r="L204" i="4"/>
  <c r="I204" i="4"/>
  <c r="G204" i="4"/>
  <c r="F204" i="4"/>
  <c r="E204" i="4"/>
  <c r="C204" i="4"/>
  <c r="B204" i="4"/>
  <c r="A204" i="4"/>
  <c r="Q203" i="4"/>
  <c r="P203" i="4"/>
  <c r="O203" i="4"/>
  <c r="N203" i="4"/>
  <c r="M203" i="4"/>
  <c r="L203" i="4"/>
  <c r="I203" i="4"/>
  <c r="G203" i="4"/>
  <c r="F203" i="4"/>
  <c r="E203" i="4"/>
  <c r="C203" i="4"/>
  <c r="B203" i="4"/>
  <c r="A203" i="4"/>
  <c r="Q202" i="4"/>
  <c r="P202" i="4"/>
  <c r="O202" i="4"/>
  <c r="N202" i="4"/>
  <c r="M202" i="4"/>
  <c r="L202" i="4"/>
  <c r="I202" i="4"/>
  <c r="G202" i="4"/>
  <c r="F202" i="4"/>
  <c r="E202" i="4"/>
  <c r="C202" i="4"/>
  <c r="B202" i="4"/>
  <c r="A202" i="4"/>
  <c r="Q201" i="4"/>
  <c r="P201" i="4"/>
  <c r="O201" i="4"/>
  <c r="N201" i="4"/>
  <c r="M201" i="4"/>
  <c r="L201" i="4"/>
  <c r="I201" i="4"/>
  <c r="G201" i="4"/>
  <c r="F201" i="4"/>
  <c r="E201" i="4"/>
  <c r="C201" i="4"/>
  <c r="B201" i="4"/>
  <c r="A201" i="4"/>
  <c r="Q200" i="4"/>
  <c r="P200" i="4"/>
  <c r="O200" i="4"/>
  <c r="N200" i="4"/>
  <c r="M200" i="4"/>
  <c r="L200" i="4"/>
  <c r="I200" i="4"/>
  <c r="G200" i="4"/>
  <c r="F200" i="4"/>
  <c r="E200" i="4"/>
  <c r="C200" i="4"/>
  <c r="B200" i="4"/>
  <c r="A200" i="4"/>
  <c r="Q199" i="4"/>
  <c r="P199" i="4"/>
  <c r="O199" i="4"/>
  <c r="N199" i="4"/>
  <c r="M199" i="4"/>
  <c r="L199" i="4"/>
  <c r="I199" i="4"/>
  <c r="G199" i="4"/>
  <c r="F199" i="4"/>
  <c r="E199" i="4"/>
  <c r="C199" i="4"/>
  <c r="B199" i="4"/>
  <c r="A199" i="4"/>
  <c r="Q198" i="4"/>
  <c r="P198" i="4"/>
  <c r="O198" i="4"/>
  <c r="N198" i="4"/>
  <c r="M198" i="4"/>
  <c r="L198" i="4"/>
  <c r="I198" i="4"/>
  <c r="G198" i="4"/>
  <c r="F198" i="4"/>
  <c r="E198" i="4"/>
  <c r="C198" i="4"/>
  <c r="B198" i="4"/>
  <c r="A198" i="4"/>
  <c r="Q197" i="4"/>
  <c r="P197" i="4"/>
  <c r="O197" i="4"/>
  <c r="N197" i="4"/>
  <c r="M197" i="4"/>
  <c r="L197" i="4"/>
  <c r="I197" i="4"/>
  <c r="G197" i="4"/>
  <c r="F197" i="4"/>
  <c r="E197" i="4"/>
  <c r="C197" i="4"/>
  <c r="B197" i="4"/>
  <c r="A197" i="4"/>
  <c r="Q196" i="4"/>
  <c r="P196" i="4"/>
  <c r="O196" i="4"/>
  <c r="N196" i="4"/>
  <c r="M196" i="4"/>
  <c r="L196" i="4"/>
  <c r="I196" i="4"/>
  <c r="G196" i="4"/>
  <c r="F196" i="4"/>
  <c r="E196" i="4"/>
  <c r="C196" i="4"/>
  <c r="B196" i="4"/>
  <c r="A196" i="4"/>
  <c r="Q195" i="4"/>
  <c r="P195" i="4"/>
  <c r="O195" i="4"/>
  <c r="N195" i="4"/>
  <c r="M195" i="4"/>
  <c r="L195" i="4"/>
  <c r="I195" i="4"/>
  <c r="G195" i="4"/>
  <c r="F195" i="4"/>
  <c r="E195" i="4"/>
  <c r="C195" i="4"/>
  <c r="B195" i="4"/>
  <c r="A195" i="4"/>
  <c r="Q194" i="4"/>
  <c r="P194" i="4"/>
  <c r="O194" i="4"/>
  <c r="N194" i="4"/>
  <c r="M194" i="4"/>
  <c r="L194" i="4"/>
  <c r="I194" i="4"/>
  <c r="G194" i="4"/>
  <c r="F194" i="4"/>
  <c r="E194" i="4"/>
  <c r="C194" i="4"/>
  <c r="B194" i="4"/>
  <c r="A194" i="4"/>
  <c r="Q193" i="4"/>
  <c r="P193" i="4"/>
  <c r="O193" i="4"/>
  <c r="N193" i="4"/>
  <c r="M193" i="4"/>
  <c r="L193" i="4"/>
  <c r="I193" i="4"/>
  <c r="G193" i="4"/>
  <c r="F193" i="4"/>
  <c r="E193" i="4"/>
  <c r="C193" i="4"/>
  <c r="B193" i="4"/>
  <c r="A193" i="4"/>
  <c r="Q192" i="4"/>
  <c r="P192" i="4"/>
  <c r="O192" i="4"/>
  <c r="N192" i="4"/>
  <c r="M192" i="4"/>
  <c r="L192" i="4"/>
  <c r="I192" i="4"/>
  <c r="G192" i="4"/>
  <c r="F192" i="4"/>
  <c r="E192" i="4"/>
  <c r="C192" i="4"/>
  <c r="B192" i="4"/>
  <c r="A192" i="4"/>
  <c r="Q191" i="4"/>
  <c r="P191" i="4"/>
  <c r="O191" i="4"/>
  <c r="N191" i="4"/>
  <c r="M191" i="4"/>
  <c r="L191" i="4"/>
  <c r="I191" i="4"/>
  <c r="G191" i="4"/>
  <c r="F191" i="4"/>
  <c r="E191" i="4"/>
  <c r="C191" i="4"/>
  <c r="B191" i="4"/>
  <c r="A191" i="4"/>
  <c r="Q190" i="4"/>
  <c r="P190" i="4"/>
  <c r="O190" i="4"/>
  <c r="N190" i="4"/>
  <c r="M190" i="4"/>
  <c r="L190" i="4"/>
  <c r="I190" i="4"/>
  <c r="G190" i="4"/>
  <c r="F190" i="4"/>
  <c r="E190" i="4"/>
  <c r="C190" i="4"/>
  <c r="B190" i="4"/>
  <c r="A190" i="4"/>
  <c r="Q189" i="4"/>
  <c r="P189" i="4"/>
  <c r="O189" i="4"/>
  <c r="N189" i="4"/>
  <c r="M189" i="4"/>
  <c r="L189" i="4"/>
  <c r="I189" i="4"/>
  <c r="G189" i="4"/>
  <c r="F189" i="4"/>
  <c r="E189" i="4"/>
  <c r="C189" i="4"/>
  <c r="B189" i="4"/>
  <c r="A189" i="4"/>
  <c r="Q188" i="4"/>
  <c r="P188" i="4"/>
  <c r="O188" i="4"/>
  <c r="N188" i="4"/>
  <c r="M188" i="4"/>
  <c r="L188" i="4"/>
  <c r="I188" i="4"/>
  <c r="G188" i="4"/>
  <c r="F188" i="4"/>
  <c r="E188" i="4"/>
  <c r="C188" i="4"/>
  <c r="B188" i="4"/>
  <c r="A188" i="4"/>
  <c r="Q187" i="4"/>
  <c r="P187" i="4"/>
  <c r="O187" i="4"/>
  <c r="N187" i="4"/>
  <c r="M187" i="4"/>
  <c r="L187" i="4"/>
  <c r="I187" i="4"/>
  <c r="G187" i="4"/>
  <c r="F187" i="4"/>
  <c r="E187" i="4"/>
  <c r="C187" i="4"/>
  <c r="B187" i="4"/>
  <c r="A187" i="4"/>
  <c r="Q186" i="4"/>
  <c r="P186" i="4"/>
  <c r="O186" i="4"/>
  <c r="N186" i="4"/>
  <c r="M186" i="4"/>
  <c r="L186" i="4"/>
  <c r="I186" i="4"/>
  <c r="G186" i="4"/>
  <c r="F186" i="4"/>
  <c r="E186" i="4"/>
  <c r="C186" i="4"/>
  <c r="B186" i="4"/>
  <c r="A186" i="4"/>
  <c r="Q185" i="4"/>
  <c r="P185" i="4"/>
  <c r="O185" i="4"/>
  <c r="N185" i="4"/>
  <c r="M185" i="4"/>
  <c r="L185" i="4"/>
  <c r="I185" i="4"/>
  <c r="G185" i="4"/>
  <c r="F185" i="4"/>
  <c r="E185" i="4"/>
  <c r="C185" i="4"/>
  <c r="B185" i="4"/>
  <c r="A185" i="4"/>
  <c r="Q184" i="4"/>
  <c r="P184" i="4"/>
  <c r="O184" i="4"/>
  <c r="N184" i="4"/>
  <c r="M184" i="4"/>
  <c r="L184" i="4"/>
  <c r="I184" i="4"/>
  <c r="G184" i="4"/>
  <c r="F184" i="4"/>
  <c r="E184" i="4"/>
  <c r="C184" i="4"/>
  <c r="B184" i="4"/>
  <c r="A184" i="4"/>
  <c r="Q183" i="4"/>
  <c r="P183" i="4"/>
  <c r="O183" i="4"/>
  <c r="N183" i="4"/>
  <c r="M183" i="4"/>
  <c r="L183" i="4"/>
  <c r="I183" i="4"/>
  <c r="G183" i="4"/>
  <c r="F183" i="4"/>
  <c r="E183" i="4"/>
  <c r="C183" i="4"/>
  <c r="B183" i="4"/>
  <c r="A183" i="4"/>
  <c r="Q182" i="4"/>
  <c r="P182" i="4"/>
  <c r="O182" i="4"/>
  <c r="N182" i="4"/>
  <c r="M182" i="4"/>
  <c r="L182" i="4"/>
  <c r="I182" i="4"/>
  <c r="G182" i="4"/>
  <c r="F182" i="4"/>
  <c r="E182" i="4"/>
  <c r="C182" i="4"/>
  <c r="B182" i="4"/>
  <c r="A182" i="4"/>
  <c r="Q181" i="4"/>
  <c r="P181" i="4"/>
  <c r="O181" i="4"/>
  <c r="N181" i="4"/>
  <c r="M181" i="4"/>
  <c r="L181" i="4"/>
  <c r="I181" i="4"/>
  <c r="G181" i="4"/>
  <c r="F181" i="4"/>
  <c r="E181" i="4"/>
  <c r="C181" i="4"/>
  <c r="B181" i="4"/>
  <c r="A181" i="4"/>
  <c r="Q180" i="4"/>
  <c r="P180" i="4"/>
  <c r="O180" i="4"/>
  <c r="N180" i="4"/>
  <c r="M180" i="4"/>
  <c r="L180" i="4"/>
  <c r="I180" i="4"/>
  <c r="G180" i="4"/>
  <c r="F180" i="4"/>
  <c r="E180" i="4"/>
  <c r="C180" i="4"/>
  <c r="B180" i="4"/>
  <c r="A180" i="4"/>
  <c r="Q179" i="4"/>
  <c r="P179" i="4"/>
  <c r="O179" i="4"/>
  <c r="N179" i="4"/>
  <c r="M179" i="4"/>
  <c r="L179" i="4"/>
  <c r="I179" i="4"/>
  <c r="G179" i="4"/>
  <c r="F179" i="4"/>
  <c r="E179" i="4"/>
  <c r="C179" i="4"/>
  <c r="B179" i="4"/>
  <c r="A179" i="4"/>
  <c r="Q178" i="4"/>
  <c r="P178" i="4"/>
  <c r="O178" i="4"/>
  <c r="N178" i="4"/>
  <c r="M178" i="4"/>
  <c r="L178" i="4"/>
  <c r="I178" i="4"/>
  <c r="G178" i="4"/>
  <c r="F178" i="4"/>
  <c r="E178" i="4"/>
  <c r="C178" i="4"/>
  <c r="B178" i="4"/>
  <c r="A178" i="4"/>
  <c r="Q177" i="4"/>
  <c r="P177" i="4"/>
  <c r="O177" i="4"/>
  <c r="N177" i="4"/>
  <c r="M177" i="4"/>
  <c r="L177" i="4"/>
  <c r="I177" i="4"/>
  <c r="G177" i="4"/>
  <c r="F177" i="4"/>
  <c r="E177" i="4"/>
  <c r="C177" i="4"/>
  <c r="B177" i="4"/>
  <c r="A177" i="4"/>
  <c r="Q176" i="4"/>
  <c r="P176" i="4"/>
  <c r="O176" i="4"/>
  <c r="N176" i="4"/>
  <c r="M176" i="4"/>
  <c r="L176" i="4"/>
  <c r="I176" i="4"/>
  <c r="G176" i="4"/>
  <c r="F176" i="4"/>
  <c r="E176" i="4"/>
  <c r="C176" i="4"/>
  <c r="B176" i="4"/>
  <c r="A176" i="4"/>
  <c r="Q175" i="4"/>
  <c r="P175" i="4"/>
  <c r="O175" i="4"/>
  <c r="N175" i="4"/>
  <c r="M175" i="4"/>
  <c r="L175" i="4"/>
  <c r="I175" i="4"/>
  <c r="G175" i="4"/>
  <c r="F175" i="4"/>
  <c r="E175" i="4"/>
  <c r="C175" i="4"/>
  <c r="B175" i="4"/>
  <c r="A175" i="4"/>
  <c r="Q174" i="4"/>
  <c r="P174" i="4"/>
  <c r="O174" i="4"/>
  <c r="N174" i="4"/>
  <c r="M174" i="4"/>
  <c r="L174" i="4"/>
  <c r="I174" i="4"/>
  <c r="G174" i="4"/>
  <c r="F174" i="4"/>
  <c r="E174" i="4"/>
  <c r="C174" i="4"/>
  <c r="B174" i="4"/>
  <c r="A174" i="4"/>
  <c r="Q173" i="4"/>
  <c r="P173" i="4"/>
  <c r="O173" i="4"/>
  <c r="N173" i="4"/>
  <c r="M173" i="4"/>
  <c r="L173" i="4"/>
  <c r="I173" i="4"/>
  <c r="G173" i="4"/>
  <c r="F173" i="4"/>
  <c r="E173" i="4"/>
  <c r="C173" i="4"/>
  <c r="B173" i="4"/>
  <c r="A173" i="4"/>
  <c r="Q172" i="4"/>
  <c r="P172" i="4"/>
  <c r="O172" i="4"/>
  <c r="N172" i="4"/>
  <c r="M172" i="4"/>
  <c r="L172" i="4"/>
  <c r="I172" i="4"/>
  <c r="G172" i="4"/>
  <c r="F172" i="4"/>
  <c r="E172" i="4"/>
  <c r="C172" i="4"/>
  <c r="B172" i="4"/>
  <c r="A172" i="4"/>
  <c r="Q171" i="4"/>
  <c r="P171" i="4"/>
  <c r="O171" i="4"/>
  <c r="N171" i="4"/>
  <c r="M171" i="4"/>
  <c r="L171" i="4"/>
  <c r="K171" i="4"/>
  <c r="I171" i="4"/>
  <c r="G171" i="4"/>
  <c r="F171" i="4"/>
  <c r="E171" i="4"/>
  <c r="C171" i="4"/>
  <c r="B171" i="4"/>
  <c r="A171" i="4"/>
  <c r="Q170" i="4"/>
  <c r="P170" i="4"/>
  <c r="O170" i="4"/>
  <c r="N170" i="4"/>
  <c r="M170" i="4"/>
  <c r="L170" i="4"/>
  <c r="I170" i="4"/>
  <c r="G170" i="4"/>
  <c r="F170" i="4"/>
  <c r="E170" i="4"/>
  <c r="C170" i="4"/>
  <c r="B170" i="4"/>
  <c r="A170" i="4"/>
  <c r="Q169" i="4"/>
  <c r="P169" i="4"/>
  <c r="O169" i="4"/>
  <c r="N169" i="4"/>
  <c r="M169" i="4"/>
  <c r="L169" i="4"/>
  <c r="I169" i="4"/>
  <c r="G169" i="4"/>
  <c r="F169" i="4"/>
  <c r="E169" i="4"/>
  <c r="C169" i="4"/>
  <c r="B169" i="4"/>
  <c r="A169" i="4"/>
  <c r="Q168" i="4"/>
  <c r="P168" i="4"/>
  <c r="O168" i="4"/>
  <c r="N168" i="4"/>
  <c r="M168" i="4"/>
  <c r="L168" i="4"/>
  <c r="K168" i="4"/>
  <c r="I168" i="4"/>
  <c r="G168" i="4"/>
  <c r="F168" i="4"/>
  <c r="E168" i="4"/>
  <c r="C168" i="4"/>
  <c r="B168" i="4"/>
  <c r="A168" i="4"/>
  <c r="Q167" i="4"/>
  <c r="P167" i="4"/>
  <c r="O167" i="4"/>
  <c r="N167" i="4"/>
  <c r="M167" i="4"/>
  <c r="L167" i="4"/>
  <c r="K167" i="4"/>
  <c r="I167" i="4"/>
  <c r="G167" i="4"/>
  <c r="F167" i="4"/>
  <c r="E167" i="4"/>
  <c r="C167" i="4"/>
  <c r="B167" i="4"/>
  <c r="A167" i="4"/>
  <c r="Q166" i="4"/>
  <c r="P166" i="4"/>
  <c r="O166" i="4"/>
  <c r="N166" i="4"/>
  <c r="M166" i="4"/>
  <c r="L166" i="4"/>
  <c r="K166" i="4"/>
  <c r="I166" i="4"/>
  <c r="G166" i="4"/>
  <c r="F166" i="4"/>
  <c r="E166" i="4"/>
  <c r="C166" i="4"/>
  <c r="B166" i="4"/>
  <c r="A166" i="4"/>
  <c r="Q165" i="4"/>
  <c r="P165" i="4"/>
  <c r="O165" i="4"/>
  <c r="N165" i="4"/>
  <c r="M165" i="4"/>
  <c r="L165" i="4"/>
  <c r="K165" i="4"/>
  <c r="I165" i="4"/>
  <c r="G165" i="4"/>
  <c r="F165" i="4"/>
  <c r="E165" i="4"/>
  <c r="C165" i="4"/>
  <c r="B165" i="4"/>
  <c r="A165" i="4"/>
  <c r="Q164" i="4"/>
  <c r="P164" i="4"/>
  <c r="O164" i="4"/>
  <c r="N164" i="4"/>
  <c r="M164" i="4"/>
  <c r="L164" i="4"/>
  <c r="K164" i="4"/>
  <c r="I164" i="4"/>
  <c r="G164" i="4"/>
  <c r="F164" i="4"/>
  <c r="E164" i="4"/>
  <c r="C164" i="4"/>
  <c r="B164" i="4"/>
  <c r="A164" i="4"/>
  <c r="Q163" i="4"/>
  <c r="P163" i="4"/>
  <c r="O163" i="4"/>
  <c r="N163" i="4"/>
  <c r="M163" i="4"/>
  <c r="L163" i="4"/>
  <c r="K163" i="4"/>
  <c r="I163" i="4"/>
  <c r="G163" i="4"/>
  <c r="F163" i="4"/>
  <c r="E163" i="4"/>
  <c r="C163" i="4"/>
  <c r="B163" i="4"/>
  <c r="A163" i="4"/>
  <c r="Q162" i="4"/>
  <c r="P162" i="4"/>
  <c r="O162" i="4"/>
  <c r="N162" i="4"/>
  <c r="M162" i="4"/>
  <c r="L162" i="4"/>
  <c r="K162" i="4"/>
  <c r="I162" i="4"/>
  <c r="G162" i="4"/>
  <c r="F162" i="4"/>
  <c r="E162" i="4"/>
  <c r="C162" i="4"/>
  <c r="B162" i="4"/>
  <c r="A162" i="4"/>
  <c r="Q161" i="4"/>
  <c r="P161" i="4"/>
  <c r="O161" i="4"/>
  <c r="N161" i="4"/>
  <c r="M161" i="4"/>
  <c r="L161" i="4"/>
  <c r="K161" i="4"/>
  <c r="I161" i="4"/>
  <c r="G161" i="4"/>
  <c r="F161" i="4"/>
  <c r="E161" i="4"/>
  <c r="C161" i="4"/>
  <c r="B161" i="4"/>
  <c r="A161" i="4"/>
  <c r="Q160" i="4"/>
  <c r="P160" i="4"/>
  <c r="O160" i="4"/>
  <c r="N160" i="4"/>
  <c r="M160" i="4"/>
  <c r="L160" i="4"/>
  <c r="K160" i="4"/>
  <c r="I160" i="4"/>
  <c r="G160" i="4"/>
  <c r="F160" i="4"/>
  <c r="E160" i="4"/>
  <c r="C160" i="4"/>
  <c r="B160" i="4"/>
  <c r="A160" i="4"/>
  <c r="Q159" i="4"/>
  <c r="P159" i="4"/>
  <c r="O159" i="4"/>
  <c r="N159" i="4"/>
  <c r="M159" i="4"/>
  <c r="L159" i="4"/>
  <c r="K159" i="4"/>
  <c r="I159" i="4"/>
  <c r="G159" i="4"/>
  <c r="F159" i="4"/>
  <c r="E159" i="4"/>
  <c r="C159" i="4"/>
  <c r="B159" i="4"/>
  <c r="A159" i="4"/>
  <c r="Q158" i="4"/>
  <c r="P158" i="4"/>
  <c r="O158" i="4"/>
  <c r="N158" i="4"/>
  <c r="M158" i="4"/>
  <c r="L158" i="4"/>
  <c r="K158" i="4"/>
  <c r="I158" i="4"/>
  <c r="G158" i="4"/>
  <c r="F158" i="4"/>
  <c r="E158" i="4"/>
  <c r="C158" i="4"/>
  <c r="B158" i="4"/>
  <c r="A158" i="4"/>
  <c r="Q157" i="4"/>
  <c r="P157" i="4"/>
  <c r="O157" i="4"/>
  <c r="N157" i="4"/>
  <c r="M157" i="4"/>
  <c r="L157" i="4"/>
  <c r="K157" i="4"/>
  <c r="I157" i="4"/>
  <c r="G157" i="4"/>
  <c r="F157" i="4"/>
  <c r="E157" i="4"/>
  <c r="C157" i="4"/>
  <c r="B157" i="4"/>
  <c r="A157" i="4"/>
  <c r="Q156" i="4"/>
  <c r="P156" i="4"/>
  <c r="O156" i="4"/>
  <c r="N156" i="4"/>
  <c r="M156" i="4"/>
  <c r="L156" i="4"/>
  <c r="K156" i="4"/>
  <c r="I156" i="4"/>
  <c r="G156" i="4"/>
  <c r="F156" i="4"/>
  <c r="E156" i="4"/>
  <c r="C156" i="4"/>
  <c r="B156" i="4"/>
  <c r="A156" i="4"/>
  <c r="Q155" i="4"/>
  <c r="P155" i="4"/>
  <c r="O155" i="4"/>
  <c r="N155" i="4"/>
  <c r="M155" i="4"/>
  <c r="L155" i="4"/>
  <c r="K155" i="4"/>
  <c r="I155" i="4"/>
  <c r="G155" i="4"/>
  <c r="F155" i="4"/>
  <c r="E155" i="4"/>
  <c r="C155" i="4"/>
  <c r="B155" i="4"/>
  <c r="A155" i="4"/>
  <c r="Q154" i="4"/>
  <c r="P154" i="4"/>
  <c r="O154" i="4"/>
  <c r="N154" i="4"/>
  <c r="M154" i="4"/>
  <c r="L154" i="4"/>
  <c r="K154" i="4"/>
  <c r="I154" i="4"/>
  <c r="G154" i="4"/>
  <c r="F154" i="4"/>
  <c r="E154" i="4"/>
  <c r="C154" i="4"/>
  <c r="B154" i="4"/>
  <c r="A154" i="4"/>
  <c r="Q153" i="4"/>
  <c r="P153" i="4"/>
  <c r="O153" i="4"/>
  <c r="N153" i="4"/>
  <c r="M153" i="4"/>
  <c r="L153" i="4"/>
  <c r="K153" i="4"/>
  <c r="I153" i="4"/>
  <c r="G153" i="4"/>
  <c r="F153" i="4"/>
  <c r="E153" i="4"/>
  <c r="C153" i="4"/>
  <c r="B153" i="4"/>
  <c r="A153" i="4"/>
  <c r="Q152" i="4"/>
  <c r="P152" i="4"/>
  <c r="O152" i="4"/>
  <c r="N152" i="4"/>
  <c r="M152" i="4"/>
  <c r="L152" i="4"/>
  <c r="K152" i="4"/>
  <c r="I152" i="4"/>
  <c r="G152" i="4"/>
  <c r="F152" i="4"/>
  <c r="E152" i="4"/>
  <c r="C152" i="4"/>
  <c r="B152" i="4"/>
  <c r="A152" i="4"/>
  <c r="Q151" i="4"/>
  <c r="P151" i="4"/>
  <c r="O151" i="4"/>
  <c r="N151" i="4"/>
  <c r="M151" i="4"/>
  <c r="L151" i="4"/>
  <c r="K151" i="4"/>
  <c r="I151" i="4"/>
  <c r="G151" i="4"/>
  <c r="F151" i="4"/>
  <c r="E151" i="4"/>
  <c r="C151" i="4"/>
  <c r="B151" i="4"/>
  <c r="A151" i="4"/>
  <c r="Q150" i="4"/>
  <c r="P150" i="4"/>
  <c r="O150" i="4"/>
  <c r="N150" i="4"/>
  <c r="M150" i="4"/>
  <c r="L150" i="4"/>
  <c r="K150" i="4"/>
  <c r="I150" i="4"/>
  <c r="G150" i="4"/>
  <c r="F150" i="4"/>
  <c r="E150" i="4"/>
  <c r="C150" i="4"/>
  <c r="B150" i="4"/>
  <c r="A150" i="4"/>
  <c r="Q149" i="4"/>
  <c r="P149" i="4"/>
  <c r="O149" i="4"/>
  <c r="N149" i="4"/>
  <c r="M149" i="4"/>
  <c r="L149" i="4"/>
  <c r="K149" i="4"/>
  <c r="I149" i="4"/>
  <c r="G149" i="4"/>
  <c r="F149" i="4"/>
  <c r="E149" i="4"/>
  <c r="C149" i="4"/>
  <c r="B149" i="4"/>
  <c r="A149" i="4"/>
  <c r="Q148" i="4"/>
  <c r="P148" i="4"/>
  <c r="O148" i="4"/>
  <c r="N148" i="4"/>
  <c r="M148" i="4"/>
  <c r="L148" i="4"/>
  <c r="K148" i="4"/>
  <c r="I148" i="4"/>
  <c r="G148" i="4"/>
  <c r="F148" i="4"/>
  <c r="E148" i="4"/>
  <c r="C148" i="4"/>
  <c r="B148" i="4"/>
  <c r="A148" i="4"/>
  <c r="Q147" i="4"/>
  <c r="P147" i="4"/>
  <c r="O147" i="4"/>
  <c r="N147" i="4"/>
  <c r="M147" i="4"/>
  <c r="L147" i="4"/>
  <c r="K147" i="4"/>
  <c r="I147" i="4"/>
  <c r="G147" i="4"/>
  <c r="F147" i="4"/>
  <c r="E147" i="4"/>
  <c r="C147" i="4"/>
  <c r="B147" i="4"/>
  <c r="A147" i="4"/>
  <c r="Q146" i="4"/>
  <c r="P146" i="4"/>
  <c r="O146" i="4"/>
  <c r="N146" i="4"/>
  <c r="M146" i="4"/>
  <c r="L146" i="4"/>
  <c r="K146" i="4"/>
  <c r="I146" i="4"/>
  <c r="G146" i="4"/>
  <c r="F146" i="4"/>
  <c r="E146" i="4"/>
  <c r="C146" i="4"/>
  <c r="B146" i="4"/>
  <c r="A146" i="4"/>
  <c r="Q145" i="4"/>
  <c r="P145" i="4"/>
  <c r="O145" i="4"/>
  <c r="N145" i="4"/>
  <c r="M145" i="4"/>
  <c r="L145" i="4"/>
  <c r="K145" i="4"/>
  <c r="I145" i="4"/>
  <c r="G145" i="4"/>
  <c r="F145" i="4"/>
  <c r="E145" i="4"/>
  <c r="C145" i="4"/>
  <c r="B145" i="4"/>
  <c r="A145" i="4"/>
  <c r="Q144" i="4"/>
  <c r="P144" i="4"/>
  <c r="O144" i="4"/>
  <c r="N144" i="4"/>
  <c r="M144" i="4"/>
  <c r="L144" i="4"/>
  <c r="K144" i="4"/>
  <c r="I144" i="4"/>
  <c r="G144" i="4"/>
  <c r="F144" i="4"/>
  <c r="E144" i="4"/>
  <c r="C144" i="4"/>
  <c r="B144" i="4"/>
  <c r="A144" i="4"/>
  <c r="Q143" i="4"/>
  <c r="P143" i="4"/>
  <c r="O143" i="4"/>
  <c r="N143" i="4"/>
  <c r="M143" i="4"/>
  <c r="L143" i="4"/>
  <c r="I143" i="4"/>
  <c r="G143" i="4"/>
  <c r="F143" i="4"/>
  <c r="E143" i="4"/>
  <c r="C143" i="4"/>
  <c r="B143" i="4"/>
  <c r="A143" i="4"/>
  <c r="Q142" i="4"/>
  <c r="P142" i="4"/>
  <c r="O142" i="4"/>
  <c r="N142" i="4"/>
  <c r="M142" i="4"/>
  <c r="L142" i="4"/>
  <c r="I142" i="4"/>
  <c r="G142" i="4"/>
  <c r="F142" i="4"/>
  <c r="E142" i="4"/>
  <c r="C142" i="4"/>
  <c r="B142" i="4"/>
  <c r="A142" i="4"/>
  <c r="Q141" i="4"/>
  <c r="P141" i="4"/>
  <c r="O141" i="4"/>
  <c r="N141" i="4"/>
  <c r="M141" i="4"/>
  <c r="L141" i="4"/>
  <c r="K141" i="4"/>
  <c r="I141" i="4"/>
  <c r="G141" i="4"/>
  <c r="F141" i="4"/>
  <c r="E141" i="4"/>
  <c r="C141" i="4"/>
  <c r="B141" i="4"/>
  <c r="A141" i="4"/>
  <c r="Q140" i="4"/>
  <c r="P140" i="4"/>
  <c r="O140" i="4"/>
  <c r="N140" i="4"/>
  <c r="M140" i="4"/>
  <c r="L140" i="4"/>
  <c r="I140" i="4"/>
  <c r="G140" i="4"/>
  <c r="F140" i="4"/>
  <c r="E140" i="4"/>
  <c r="C140" i="4"/>
  <c r="B140" i="4"/>
  <c r="A140" i="4"/>
  <c r="Q139" i="4"/>
  <c r="P139" i="4"/>
  <c r="O139" i="4"/>
  <c r="N139" i="4"/>
  <c r="M139" i="4"/>
  <c r="L139" i="4"/>
  <c r="K139" i="4"/>
  <c r="I139" i="4"/>
  <c r="G139" i="4"/>
  <c r="F139" i="4"/>
  <c r="E139" i="4"/>
  <c r="C139" i="4"/>
  <c r="B139" i="4"/>
  <c r="A139" i="4"/>
  <c r="Q138" i="4"/>
  <c r="P138" i="4"/>
  <c r="O138" i="4"/>
  <c r="N138" i="4"/>
  <c r="M138" i="4"/>
  <c r="L138" i="4"/>
  <c r="I138" i="4"/>
  <c r="G138" i="4"/>
  <c r="F138" i="4"/>
  <c r="E138" i="4"/>
  <c r="C138" i="4"/>
  <c r="B138" i="4"/>
  <c r="A138" i="4"/>
  <c r="Q137" i="4"/>
  <c r="P137" i="4"/>
  <c r="O137" i="4"/>
  <c r="N137" i="4"/>
  <c r="M137" i="4"/>
  <c r="L137" i="4"/>
  <c r="K137" i="4"/>
  <c r="I137" i="4"/>
  <c r="G137" i="4"/>
  <c r="F137" i="4"/>
  <c r="E137" i="4"/>
  <c r="C137" i="4"/>
  <c r="B137" i="4"/>
  <c r="A137" i="4"/>
  <c r="Q136" i="4"/>
  <c r="P136" i="4"/>
  <c r="O136" i="4"/>
  <c r="N136" i="4"/>
  <c r="M136" i="4"/>
  <c r="L136" i="4"/>
  <c r="I136" i="4"/>
  <c r="G136" i="4"/>
  <c r="F136" i="4"/>
  <c r="E136" i="4"/>
  <c r="C136" i="4"/>
  <c r="B136" i="4"/>
  <c r="A136" i="4"/>
  <c r="Q135" i="4"/>
  <c r="P135" i="4"/>
  <c r="O135" i="4"/>
  <c r="N135" i="4"/>
  <c r="M135" i="4"/>
  <c r="L135" i="4"/>
  <c r="K135" i="4"/>
  <c r="I135" i="4"/>
  <c r="G135" i="4"/>
  <c r="F135" i="4"/>
  <c r="E135" i="4"/>
  <c r="C135" i="4"/>
  <c r="B135" i="4"/>
  <c r="A135" i="4"/>
  <c r="Q134" i="4"/>
  <c r="P134" i="4"/>
  <c r="O134" i="4"/>
  <c r="N134" i="4"/>
  <c r="M134" i="4"/>
  <c r="L134" i="4"/>
  <c r="I134" i="4"/>
  <c r="G134" i="4"/>
  <c r="F134" i="4"/>
  <c r="E134" i="4"/>
  <c r="C134" i="4"/>
  <c r="B134" i="4"/>
  <c r="A134" i="4"/>
  <c r="Q133" i="4"/>
  <c r="P133" i="4"/>
  <c r="O133" i="4"/>
  <c r="N133" i="4"/>
  <c r="M133" i="4"/>
  <c r="L133" i="4"/>
  <c r="I133" i="4"/>
  <c r="G133" i="4"/>
  <c r="F133" i="4"/>
  <c r="E133" i="4"/>
  <c r="C133" i="4"/>
  <c r="B133" i="4"/>
  <c r="A133" i="4"/>
  <c r="Q132" i="4"/>
  <c r="P132" i="4"/>
  <c r="O132" i="4"/>
  <c r="N132" i="4"/>
  <c r="M132" i="4"/>
  <c r="L132" i="4"/>
  <c r="K132" i="4"/>
  <c r="I132" i="4"/>
  <c r="G132" i="4"/>
  <c r="F132" i="4"/>
  <c r="E132" i="4"/>
  <c r="C132" i="4"/>
  <c r="B132" i="4"/>
  <c r="A132" i="4"/>
  <c r="Q131" i="4"/>
  <c r="P131" i="4"/>
  <c r="O131" i="4"/>
  <c r="N131" i="4"/>
  <c r="M131" i="4"/>
  <c r="L131" i="4"/>
  <c r="I131" i="4"/>
  <c r="G131" i="4"/>
  <c r="F131" i="4"/>
  <c r="E131" i="4"/>
  <c r="C131" i="4"/>
  <c r="B131" i="4"/>
  <c r="A131" i="4"/>
  <c r="Q130" i="4"/>
  <c r="P130" i="4"/>
  <c r="O130" i="4"/>
  <c r="N130" i="4"/>
  <c r="M130" i="4"/>
  <c r="L130" i="4"/>
  <c r="I130" i="4"/>
  <c r="G130" i="4"/>
  <c r="F130" i="4"/>
  <c r="E130" i="4"/>
  <c r="C130" i="4"/>
  <c r="B130" i="4"/>
  <c r="A130" i="4"/>
  <c r="Q129" i="4"/>
  <c r="P129" i="4"/>
  <c r="O129" i="4"/>
  <c r="N129" i="4"/>
  <c r="M129" i="4"/>
  <c r="L129" i="4"/>
  <c r="K129" i="4"/>
  <c r="I129" i="4"/>
  <c r="G129" i="4"/>
  <c r="F129" i="4"/>
  <c r="E129" i="4"/>
  <c r="C129" i="4"/>
  <c r="B129" i="4"/>
  <c r="A129" i="4"/>
  <c r="Q128" i="4"/>
  <c r="P128" i="4"/>
  <c r="O128" i="4"/>
  <c r="N128" i="4"/>
  <c r="M128" i="4"/>
  <c r="L128" i="4"/>
  <c r="K128" i="4"/>
  <c r="I128" i="4"/>
  <c r="G128" i="4"/>
  <c r="F128" i="4"/>
  <c r="E128" i="4"/>
  <c r="C128" i="4"/>
  <c r="B128" i="4"/>
  <c r="A128" i="4"/>
  <c r="Q127" i="4"/>
  <c r="P127" i="4"/>
  <c r="O127" i="4"/>
  <c r="N127" i="4"/>
  <c r="M127" i="4"/>
  <c r="L127" i="4"/>
  <c r="I127" i="4"/>
  <c r="G127" i="4"/>
  <c r="F127" i="4"/>
  <c r="E127" i="4"/>
  <c r="C127" i="4"/>
  <c r="B127" i="4"/>
  <c r="A127" i="4"/>
  <c r="Q126" i="4"/>
  <c r="P126" i="4"/>
  <c r="O126" i="4"/>
  <c r="N126" i="4"/>
  <c r="M126" i="4"/>
  <c r="L126" i="4"/>
  <c r="I126" i="4"/>
  <c r="G126" i="4"/>
  <c r="F126" i="4"/>
  <c r="E126" i="4"/>
  <c r="C126" i="4"/>
  <c r="B126" i="4"/>
  <c r="A126" i="4"/>
  <c r="Q125" i="4"/>
  <c r="P125" i="4"/>
  <c r="O125" i="4"/>
  <c r="N125" i="4"/>
  <c r="M125" i="4"/>
  <c r="L125" i="4"/>
  <c r="I125" i="4"/>
  <c r="G125" i="4"/>
  <c r="F125" i="4"/>
  <c r="E125" i="4"/>
  <c r="C125" i="4"/>
  <c r="B125" i="4"/>
  <c r="A125" i="4"/>
  <c r="Q124" i="4"/>
  <c r="P124" i="4"/>
  <c r="O124" i="4"/>
  <c r="N124" i="4"/>
  <c r="M124" i="4"/>
  <c r="L124" i="4"/>
  <c r="I124" i="4"/>
  <c r="G124" i="4"/>
  <c r="F124" i="4"/>
  <c r="E124" i="4"/>
  <c r="C124" i="4"/>
  <c r="B124" i="4"/>
  <c r="A124" i="4"/>
  <c r="Q123" i="4"/>
  <c r="P123" i="4"/>
  <c r="O123" i="4"/>
  <c r="N123" i="4"/>
  <c r="M123" i="4"/>
  <c r="L123" i="4"/>
  <c r="I123" i="4"/>
  <c r="G123" i="4"/>
  <c r="F123" i="4"/>
  <c r="E123" i="4"/>
  <c r="C123" i="4"/>
  <c r="B123" i="4"/>
  <c r="A123" i="4"/>
  <c r="Q122" i="4"/>
  <c r="P122" i="4"/>
  <c r="O122" i="4"/>
  <c r="N122" i="4"/>
  <c r="M122" i="4"/>
  <c r="L122" i="4"/>
  <c r="I122" i="4"/>
  <c r="G122" i="4"/>
  <c r="F122" i="4"/>
  <c r="E122" i="4"/>
  <c r="C122" i="4"/>
  <c r="B122" i="4"/>
  <c r="A122" i="4"/>
  <c r="Q121" i="4"/>
  <c r="P121" i="4"/>
  <c r="O121" i="4"/>
  <c r="N121" i="4"/>
  <c r="M121" i="4"/>
  <c r="L121" i="4"/>
  <c r="I121" i="4"/>
  <c r="G121" i="4"/>
  <c r="F121" i="4"/>
  <c r="E121" i="4"/>
  <c r="C121" i="4"/>
  <c r="B121" i="4"/>
  <c r="A121" i="4"/>
  <c r="Q120" i="4"/>
  <c r="P120" i="4"/>
  <c r="O120" i="4"/>
  <c r="N120" i="4"/>
  <c r="M120" i="4"/>
  <c r="L120" i="4"/>
  <c r="I120" i="4"/>
  <c r="G120" i="4"/>
  <c r="F120" i="4"/>
  <c r="E120" i="4"/>
  <c r="C120" i="4"/>
  <c r="B120" i="4"/>
  <c r="A120" i="4"/>
  <c r="Q119" i="4"/>
  <c r="P119" i="4"/>
  <c r="O119" i="4"/>
  <c r="N119" i="4"/>
  <c r="M119" i="4"/>
  <c r="L119" i="4"/>
  <c r="I119" i="4"/>
  <c r="G119" i="4"/>
  <c r="F119" i="4"/>
  <c r="E119" i="4"/>
  <c r="C119" i="4"/>
  <c r="B119" i="4"/>
  <c r="A119" i="4"/>
  <c r="Q118" i="4"/>
  <c r="P118" i="4"/>
  <c r="O118" i="4"/>
  <c r="N118" i="4"/>
  <c r="M118" i="4"/>
  <c r="L118" i="4"/>
  <c r="I118" i="4"/>
  <c r="G118" i="4"/>
  <c r="F118" i="4"/>
  <c r="E118" i="4"/>
  <c r="C118" i="4"/>
  <c r="B118" i="4"/>
  <c r="A118" i="4"/>
  <c r="Q117" i="4"/>
  <c r="P117" i="4"/>
  <c r="O117" i="4"/>
  <c r="N117" i="4"/>
  <c r="M117" i="4"/>
  <c r="L117" i="4"/>
  <c r="I117" i="4"/>
  <c r="G117" i="4"/>
  <c r="F117" i="4"/>
  <c r="E117" i="4"/>
  <c r="C117" i="4"/>
  <c r="B117" i="4"/>
  <c r="A117" i="4"/>
  <c r="Q116" i="4"/>
  <c r="P116" i="4"/>
  <c r="O116" i="4"/>
  <c r="N116" i="4"/>
  <c r="M116" i="4"/>
  <c r="L116" i="4"/>
  <c r="I116" i="4"/>
  <c r="G116" i="4"/>
  <c r="F116" i="4"/>
  <c r="E116" i="4"/>
  <c r="C116" i="4"/>
  <c r="B116" i="4"/>
  <c r="A116" i="4"/>
  <c r="Q115" i="4"/>
  <c r="P115" i="4"/>
  <c r="O115" i="4"/>
  <c r="N115" i="4"/>
  <c r="M115" i="4"/>
  <c r="L115" i="4"/>
  <c r="I115" i="4"/>
  <c r="G115" i="4"/>
  <c r="F115" i="4"/>
  <c r="E115" i="4"/>
  <c r="C115" i="4"/>
  <c r="B115" i="4"/>
  <c r="A115" i="4"/>
  <c r="Q114" i="4"/>
  <c r="P114" i="4"/>
  <c r="O114" i="4"/>
  <c r="N114" i="4"/>
  <c r="M114" i="4"/>
  <c r="L114" i="4"/>
  <c r="I114" i="4"/>
  <c r="G114" i="4"/>
  <c r="F114" i="4"/>
  <c r="E114" i="4"/>
  <c r="C114" i="4"/>
  <c r="B114" i="4"/>
  <c r="A114" i="4"/>
  <c r="Q113" i="4"/>
  <c r="P113" i="4"/>
  <c r="O113" i="4"/>
  <c r="N113" i="4"/>
  <c r="M113" i="4"/>
  <c r="L113" i="4"/>
  <c r="I113" i="4"/>
  <c r="G113" i="4"/>
  <c r="F113" i="4"/>
  <c r="E113" i="4"/>
  <c r="C113" i="4"/>
  <c r="B113" i="4"/>
  <c r="A113" i="4"/>
  <c r="Q112" i="4"/>
  <c r="P112" i="4"/>
  <c r="O112" i="4"/>
  <c r="N112" i="4"/>
  <c r="M112" i="4"/>
  <c r="L112" i="4"/>
  <c r="I112" i="4"/>
  <c r="G112" i="4"/>
  <c r="F112" i="4"/>
  <c r="E112" i="4"/>
  <c r="C112" i="4"/>
  <c r="B112" i="4"/>
  <c r="A112" i="4"/>
  <c r="Q111" i="4"/>
  <c r="P111" i="4"/>
  <c r="O111" i="4"/>
  <c r="N111" i="4"/>
  <c r="M111" i="4"/>
  <c r="L111" i="4"/>
  <c r="I111" i="4"/>
  <c r="G111" i="4"/>
  <c r="F111" i="4"/>
  <c r="E111" i="4"/>
  <c r="C111" i="4"/>
  <c r="B111" i="4"/>
  <c r="A111" i="4"/>
  <c r="Q110" i="4"/>
  <c r="P110" i="4"/>
  <c r="O110" i="4"/>
  <c r="N110" i="4"/>
  <c r="M110" i="4"/>
  <c r="L110" i="4"/>
  <c r="I110" i="4"/>
  <c r="G110" i="4"/>
  <c r="F110" i="4"/>
  <c r="E110" i="4"/>
  <c r="C110" i="4"/>
  <c r="B110" i="4"/>
  <c r="A110" i="4"/>
  <c r="Q109" i="4"/>
  <c r="P109" i="4"/>
  <c r="O109" i="4"/>
  <c r="N109" i="4"/>
  <c r="M109" i="4"/>
  <c r="L109" i="4"/>
  <c r="I109" i="4"/>
  <c r="G109" i="4"/>
  <c r="F109" i="4"/>
  <c r="E109" i="4"/>
  <c r="C109" i="4"/>
  <c r="B109" i="4"/>
  <c r="A109" i="4"/>
  <c r="Q108" i="4"/>
  <c r="P108" i="4"/>
  <c r="O108" i="4"/>
  <c r="N108" i="4"/>
  <c r="M108" i="4"/>
  <c r="L108" i="4"/>
  <c r="I108" i="4"/>
  <c r="G108" i="4"/>
  <c r="F108" i="4"/>
  <c r="E108" i="4"/>
  <c r="C108" i="4"/>
  <c r="B108" i="4"/>
  <c r="A108" i="4"/>
  <c r="Q107" i="4"/>
  <c r="P107" i="4"/>
  <c r="O107" i="4"/>
  <c r="N107" i="4"/>
  <c r="M107" i="4"/>
  <c r="L107" i="4"/>
  <c r="I107" i="4"/>
  <c r="G107" i="4"/>
  <c r="F107" i="4"/>
  <c r="E107" i="4"/>
  <c r="C107" i="4"/>
  <c r="B107" i="4"/>
  <c r="A107" i="4"/>
  <c r="Q106" i="4"/>
  <c r="P106" i="4"/>
  <c r="O106" i="4"/>
  <c r="N106" i="4"/>
  <c r="M106" i="4"/>
  <c r="L106" i="4"/>
  <c r="I106" i="4"/>
  <c r="G106" i="4"/>
  <c r="F106" i="4"/>
  <c r="E106" i="4"/>
  <c r="C106" i="4"/>
  <c r="B106" i="4"/>
  <c r="A106" i="4"/>
  <c r="Q105" i="4"/>
  <c r="P105" i="4"/>
  <c r="O105" i="4"/>
  <c r="N105" i="4"/>
  <c r="M105" i="4"/>
  <c r="L105" i="4"/>
  <c r="I105" i="4"/>
  <c r="G105" i="4"/>
  <c r="F105" i="4"/>
  <c r="E105" i="4"/>
  <c r="C105" i="4"/>
  <c r="B105" i="4"/>
  <c r="A105" i="4"/>
  <c r="Q104" i="4"/>
  <c r="P104" i="4"/>
  <c r="O104" i="4"/>
  <c r="N104" i="4"/>
  <c r="M104" i="4"/>
  <c r="L104" i="4"/>
  <c r="I104" i="4"/>
  <c r="G104" i="4"/>
  <c r="F104" i="4"/>
  <c r="E104" i="4"/>
  <c r="C104" i="4"/>
  <c r="B104" i="4"/>
  <c r="A104" i="4"/>
  <c r="Q103" i="4"/>
  <c r="P103" i="4"/>
  <c r="O103" i="4"/>
  <c r="N103" i="4"/>
  <c r="M103" i="4"/>
  <c r="L103" i="4"/>
  <c r="I103" i="4"/>
  <c r="G103" i="4"/>
  <c r="F103" i="4"/>
  <c r="E103" i="4"/>
  <c r="C103" i="4"/>
  <c r="B103" i="4"/>
  <c r="A103" i="4"/>
  <c r="Q102" i="4"/>
  <c r="P102" i="4"/>
  <c r="O102" i="4"/>
  <c r="N102" i="4"/>
  <c r="M102" i="4"/>
  <c r="L102" i="4"/>
  <c r="I102" i="4"/>
  <c r="G102" i="4"/>
  <c r="F102" i="4"/>
  <c r="E102" i="4"/>
  <c r="C102" i="4"/>
  <c r="B102" i="4"/>
  <c r="A102" i="4"/>
  <c r="Q101" i="4"/>
  <c r="P101" i="4"/>
  <c r="O101" i="4"/>
  <c r="N101" i="4"/>
  <c r="M101" i="4"/>
  <c r="L101" i="4"/>
  <c r="I101" i="4"/>
  <c r="G101" i="4"/>
  <c r="F101" i="4"/>
  <c r="E101" i="4"/>
  <c r="C101" i="4"/>
  <c r="B101" i="4"/>
  <c r="A101" i="4"/>
  <c r="Q100" i="4"/>
  <c r="P100" i="4"/>
  <c r="O100" i="4"/>
  <c r="N100" i="4"/>
  <c r="M100" i="4"/>
  <c r="L100" i="4"/>
  <c r="I100" i="4"/>
  <c r="G100" i="4"/>
  <c r="F100" i="4"/>
  <c r="E100" i="4"/>
  <c r="C100" i="4"/>
  <c r="B100" i="4"/>
  <c r="A100" i="4"/>
  <c r="Q99" i="4"/>
  <c r="P99" i="4"/>
  <c r="O99" i="4"/>
  <c r="N99" i="4"/>
  <c r="M99" i="4"/>
  <c r="L99" i="4"/>
  <c r="I99" i="4"/>
  <c r="G99" i="4"/>
  <c r="F99" i="4"/>
  <c r="E99" i="4"/>
  <c r="C99" i="4"/>
  <c r="B99" i="4"/>
  <c r="A99" i="4"/>
  <c r="Q98" i="4"/>
  <c r="P98" i="4"/>
  <c r="O98" i="4"/>
  <c r="N98" i="4"/>
  <c r="M98" i="4"/>
  <c r="L98" i="4"/>
  <c r="I98" i="4"/>
  <c r="G98" i="4"/>
  <c r="F98" i="4"/>
  <c r="E98" i="4"/>
  <c r="C98" i="4"/>
  <c r="B98" i="4"/>
  <c r="A98" i="4"/>
  <c r="Q97" i="4"/>
  <c r="P97" i="4"/>
  <c r="O97" i="4"/>
  <c r="N97" i="4"/>
  <c r="M97" i="4"/>
  <c r="L97" i="4"/>
  <c r="I97" i="4"/>
  <c r="G97" i="4"/>
  <c r="F97" i="4"/>
  <c r="E97" i="4"/>
  <c r="C97" i="4"/>
  <c r="B97" i="4"/>
  <c r="A97" i="4"/>
  <c r="Q96" i="4"/>
  <c r="P96" i="4"/>
  <c r="O96" i="4"/>
  <c r="N96" i="4"/>
  <c r="M96" i="4"/>
  <c r="L96" i="4"/>
  <c r="I96" i="4"/>
  <c r="G96" i="4"/>
  <c r="F96" i="4"/>
  <c r="E96" i="4"/>
  <c r="C96" i="4"/>
  <c r="B96" i="4"/>
  <c r="A96" i="4"/>
  <c r="Q95" i="4"/>
  <c r="P95" i="4"/>
  <c r="O95" i="4"/>
  <c r="N95" i="4"/>
  <c r="M95" i="4"/>
  <c r="L95" i="4"/>
  <c r="I95" i="4"/>
  <c r="G95" i="4"/>
  <c r="F95" i="4"/>
  <c r="E95" i="4"/>
  <c r="C95" i="4"/>
  <c r="B95" i="4"/>
  <c r="A95" i="4"/>
  <c r="Q94" i="4"/>
  <c r="P94" i="4"/>
  <c r="O94" i="4"/>
  <c r="N94" i="4"/>
  <c r="M94" i="4"/>
  <c r="L94" i="4"/>
  <c r="I94" i="4"/>
  <c r="G94" i="4"/>
  <c r="F94" i="4"/>
  <c r="E94" i="4"/>
  <c r="C94" i="4"/>
  <c r="B94" i="4"/>
  <c r="A94" i="4"/>
  <c r="Q93" i="4"/>
  <c r="P93" i="4"/>
  <c r="O93" i="4"/>
  <c r="N93" i="4"/>
  <c r="M93" i="4"/>
  <c r="L93" i="4"/>
  <c r="I93" i="4"/>
  <c r="G93" i="4"/>
  <c r="F93" i="4"/>
  <c r="E93" i="4"/>
  <c r="C93" i="4"/>
  <c r="B93" i="4"/>
  <c r="A93" i="4"/>
  <c r="Q92" i="4"/>
  <c r="P92" i="4"/>
  <c r="O92" i="4"/>
  <c r="N92" i="4"/>
  <c r="M92" i="4"/>
  <c r="L92" i="4"/>
  <c r="K92" i="4"/>
  <c r="I92" i="4"/>
  <c r="G92" i="4"/>
  <c r="F92" i="4"/>
  <c r="E92" i="4"/>
  <c r="C92" i="4"/>
  <c r="B92" i="4"/>
  <c r="A92" i="4"/>
  <c r="Q91" i="4"/>
  <c r="P91" i="4"/>
  <c r="O91" i="4"/>
  <c r="N91" i="4"/>
  <c r="M91" i="4"/>
  <c r="L91" i="4"/>
  <c r="I91" i="4"/>
  <c r="G91" i="4"/>
  <c r="F91" i="4"/>
  <c r="E91" i="4"/>
  <c r="C91" i="4"/>
  <c r="B91" i="4"/>
  <c r="A91" i="4"/>
  <c r="Q90" i="4"/>
  <c r="P90" i="4"/>
  <c r="O90" i="4"/>
  <c r="N90" i="4"/>
  <c r="M90" i="4"/>
  <c r="L90" i="4"/>
  <c r="I90" i="4"/>
  <c r="G90" i="4"/>
  <c r="F90" i="4"/>
  <c r="E90" i="4"/>
  <c r="C90" i="4"/>
  <c r="B90" i="4"/>
  <c r="A90" i="4"/>
  <c r="Q89" i="4"/>
  <c r="P89" i="4"/>
  <c r="O89" i="4"/>
  <c r="N89" i="4"/>
  <c r="M89" i="4"/>
  <c r="L89" i="4"/>
  <c r="I89" i="4"/>
  <c r="G89" i="4"/>
  <c r="F89" i="4"/>
  <c r="E89" i="4"/>
  <c r="C89" i="4"/>
  <c r="B89" i="4"/>
  <c r="A89" i="4"/>
  <c r="Q88" i="4"/>
  <c r="P88" i="4"/>
  <c r="O88" i="4"/>
  <c r="N88" i="4"/>
  <c r="M88" i="4"/>
  <c r="L88" i="4"/>
  <c r="I88" i="4"/>
  <c r="G88" i="4"/>
  <c r="F88" i="4"/>
  <c r="E88" i="4"/>
  <c r="C88" i="4"/>
  <c r="B88" i="4"/>
  <c r="A88" i="4"/>
  <c r="Q87" i="4"/>
  <c r="P87" i="4"/>
  <c r="O87" i="4"/>
  <c r="N87" i="4"/>
  <c r="M87" i="4"/>
  <c r="L87" i="4"/>
  <c r="I87" i="4"/>
  <c r="G87" i="4"/>
  <c r="F87" i="4"/>
  <c r="E87" i="4"/>
  <c r="C87" i="4"/>
  <c r="B87" i="4"/>
  <c r="A87" i="4"/>
  <c r="Q86" i="4"/>
  <c r="P86" i="4"/>
  <c r="O86" i="4"/>
  <c r="N86" i="4"/>
  <c r="M86" i="4"/>
  <c r="L86" i="4"/>
  <c r="K86" i="4"/>
  <c r="I86" i="4"/>
  <c r="G86" i="4"/>
  <c r="F86" i="4"/>
  <c r="E86" i="4"/>
  <c r="C86" i="4"/>
  <c r="B86" i="4"/>
  <c r="A86" i="4"/>
  <c r="Q85" i="4"/>
  <c r="P85" i="4"/>
  <c r="O85" i="4"/>
  <c r="N85" i="4"/>
  <c r="M85" i="4"/>
  <c r="L85" i="4"/>
  <c r="K85" i="4"/>
  <c r="I85" i="4"/>
  <c r="G85" i="4"/>
  <c r="F85" i="4"/>
  <c r="E85" i="4"/>
  <c r="C85" i="4"/>
  <c r="B85" i="4"/>
  <c r="A85" i="4"/>
  <c r="Q84" i="4"/>
  <c r="P84" i="4"/>
  <c r="O84" i="4"/>
  <c r="N84" i="4"/>
  <c r="M84" i="4"/>
  <c r="L84" i="4"/>
  <c r="K84" i="4"/>
  <c r="I84" i="4"/>
  <c r="G84" i="4"/>
  <c r="F84" i="4"/>
  <c r="E84" i="4"/>
  <c r="C84" i="4"/>
  <c r="B84" i="4"/>
  <c r="A84" i="4"/>
  <c r="Q83" i="4"/>
  <c r="P83" i="4"/>
  <c r="O83" i="4"/>
  <c r="N83" i="4"/>
  <c r="M83" i="4"/>
  <c r="L83" i="4"/>
  <c r="K83" i="4"/>
  <c r="I83" i="4"/>
  <c r="G83" i="4"/>
  <c r="F83" i="4"/>
  <c r="E83" i="4"/>
  <c r="C83" i="4"/>
  <c r="B83" i="4"/>
  <c r="A83" i="4"/>
  <c r="Q82" i="4"/>
  <c r="P82" i="4"/>
  <c r="O82" i="4"/>
  <c r="N82" i="4"/>
  <c r="M82" i="4"/>
  <c r="L82" i="4"/>
  <c r="K82" i="4"/>
  <c r="I82" i="4"/>
  <c r="G82" i="4"/>
  <c r="F82" i="4"/>
  <c r="E82" i="4"/>
  <c r="C82" i="4"/>
  <c r="B82" i="4"/>
  <c r="A82" i="4"/>
  <c r="Q81" i="4"/>
  <c r="P81" i="4"/>
  <c r="O81" i="4"/>
  <c r="N81" i="4"/>
  <c r="M81" i="4"/>
  <c r="L81" i="4"/>
  <c r="K81" i="4"/>
  <c r="I81" i="4"/>
  <c r="G81" i="4"/>
  <c r="F81" i="4"/>
  <c r="E81" i="4"/>
  <c r="C81" i="4"/>
  <c r="B81" i="4"/>
  <c r="A81" i="4"/>
  <c r="Q80" i="4"/>
  <c r="P80" i="4"/>
  <c r="O80" i="4"/>
  <c r="N80" i="4"/>
  <c r="M80" i="4"/>
  <c r="L80" i="4"/>
  <c r="K80" i="4"/>
  <c r="I80" i="4"/>
  <c r="G80" i="4"/>
  <c r="F80" i="4"/>
  <c r="E80" i="4"/>
  <c r="C80" i="4"/>
  <c r="B80" i="4"/>
  <c r="A80" i="4"/>
  <c r="Q79" i="4"/>
  <c r="P79" i="4"/>
  <c r="O79" i="4"/>
  <c r="N79" i="4"/>
  <c r="M79" i="4"/>
  <c r="L79" i="4"/>
  <c r="K79" i="4"/>
  <c r="I79" i="4"/>
  <c r="G79" i="4"/>
  <c r="F79" i="4"/>
  <c r="E79" i="4"/>
  <c r="C79" i="4"/>
  <c r="B79" i="4"/>
  <c r="A79" i="4"/>
  <c r="Q78" i="4"/>
  <c r="P78" i="4"/>
  <c r="O78" i="4"/>
  <c r="N78" i="4"/>
  <c r="M78" i="4"/>
  <c r="L78" i="4"/>
  <c r="K78" i="4"/>
  <c r="I78" i="4"/>
  <c r="G78" i="4"/>
  <c r="F78" i="4"/>
  <c r="E78" i="4"/>
  <c r="C78" i="4"/>
  <c r="B78" i="4"/>
  <c r="A78" i="4"/>
  <c r="Q77" i="4"/>
  <c r="P77" i="4"/>
  <c r="O77" i="4"/>
  <c r="N77" i="4"/>
  <c r="M77" i="4"/>
  <c r="L77" i="4"/>
  <c r="K77" i="4"/>
  <c r="I77" i="4"/>
  <c r="G77" i="4"/>
  <c r="F77" i="4"/>
  <c r="E77" i="4"/>
  <c r="C77" i="4"/>
  <c r="B77" i="4"/>
  <c r="A77" i="4"/>
  <c r="Q76" i="4"/>
  <c r="P76" i="4"/>
  <c r="O76" i="4"/>
  <c r="N76" i="4"/>
  <c r="M76" i="4"/>
  <c r="L76" i="4"/>
  <c r="K76" i="4"/>
  <c r="I76" i="4"/>
  <c r="G76" i="4"/>
  <c r="F76" i="4"/>
  <c r="E76" i="4"/>
  <c r="C76" i="4"/>
  <c r="B76" i="4"/>
  <c r="A76" i="4"/>
  <c r="Q75" i="4"/>
  <c r="P75" i="4"/>
  <c r="O75" i="4"/>
  <c r="N75" i="4"/>
  <c r="M75" i="4"/>
  <c r="L75" i="4"/>
  <c r="K75" i="4"/>
  <c r="I75" i="4"/>
  <c r="G75" i="4"/>
  <c r="F75" i="4"/>
  <c r="E75" i="4"/>
  <c r="C75" i="4"/>
  <c r="B75" i="4"/>
  <c r="A75" i="4"/>
  <c r="Q74" i="4"/>
  <c r="P74" i="4"/>
  <c r="O74" i="4"/>
  <c r="N74" i="4"/>
  <c r="M74" i="4"/>
  <c r="L74" i="4"/>
  <c r="K74" i="4"/>
  <c r="I74" i="4"/>
  <c r="G74" i="4"/>
  <c r="F74" i="4"/>
  <c r="E74" i="4"/>
  <c r="C74" i="4"/>
  <c r="B74" i="4"/>
  <c r="A74" i="4"/>
  <c r="Q73" i="4"/>
  <c r="P73" i="4"/>
  <c r="O73" i="4"/>
  <c r="N73" i="4"/>
  <c r="M73" i="4"/>
  <c r="L73" i="4"/>
  <c r="K73" i="4"/>
  <c r="I73" i="4"/>
  <c r="G73" i="4"/>
  <c r="F73" i="4"/>
  <c r="E73" i="4"/>
  <c r="C73" i="4"/>
  <c r="B73" i="4"/>
  <c r="A73" i="4"/>
  <c r="Q72" i="4"/>
  <c r="P72" i="4"/>
  <c r="O72" i="4"/>
  <c r="N72" i="4"/>
  <c r="M72" i="4"/>
  <c r="L72" i="4"/>
  <c r="K72" i="4"/>
  <c r="I72" i="4"/>
  <c r="G72" i="4"/>
  <c r="F72" i="4"/>
  <c r="E72" i="4"/>
  <c r="C72" i="4"/>
  <c r="B72" i="4"/>
  <c r="A72" i="4"/>
  <c r="Q71" i="4"/>
  <c r="P71" i="4"/>
  <c r="O71" i="4"/>
  <c r="N71" i="4"/>
  <c r="M71" i="4"/>
  <c r="L71" i="4"/>
  <c r="K71" i="4"/>
  <c r="I71" i="4"/>
  <c r="G71" i="4"/>
  <c r="F71" i="4"/>
  <c r="E71" i="4"/>
  <c r="C71" i="4"/>
  <c r="B71" i="4"/>
  <c r="A71" i="4"/>
  <c r="Q70" i="4"/>
  <c r="P70" i="4"/>
  <c r="O70" i="4"/>
  <c r="N70" i="4"/>
  <c r="M70" i="4"/>
  <c r="L70" i="4"/>
  <c r="K70" i="4"/>
  <c r="I70" i="4"/>
  <c r="G70" i="4"/>
  <c r="F70" i="4"/>
  <c r="E70" i="4"/>
  <c r="C70" i="4"/>
  <c r="B70" i="4"/>
  <c r="A70" i="4"/>
  <c r="Q69" i="4"/>
  <c r="P69" i="4"/>
  <c r="O69" i="4"/>
  <c r="N69" i="4"/>
  <c r="M69" i="4"/>
  <c r="L69" i="4"/>
  <c r="K69" i="4"/>
  <c r="I69" i="4"/>
  <c r="G69" i="4"/>
  <c r="F69" i="4"/>
  <c r="E69" i="4"/>
  <c r="C69" i="4"/>
  <c r="B69" i="4"/>
  <c r="A69" i="4"/>
  <c r="Q68" i="4"/>
  <c r="P68" i="4"/>
  <c r="O68" i="4"/>
  <c r="N68" i="4"/>
  <c r="M68" i="4"/>
  <c r="L68" i="4"/>
  <c r="K68" i="4"/>
  <c r="I68" i="4"/>
  <c r="G68" i="4"/>
  <c r="F68" i="4"/>
  <c r="E68" i="4"/>
  <c r="C68" i="4"/>
  <c r="B68" i="4"/>
  <c r="A68" i="4"/>
  <c r="Q67" i="4"/>
  <c r="P67" i="4"/>
  <c r="O67" i="4"/>
  <c r="N67" i="4"/>
  <c r="M67" i="4"/>
  <c r="L67" i="4"/>
  <c r="K67" i="4"/>
  <c r="I67" i="4"/>
  <c r="G67" i="4"/>
  <c r="F67" i="4"/>
  <c r="E67" i="4"/>
  <c r="C67" i="4"/>
  <c r="B67" i="4"/>
  <c r="A67" i="4"/>
  <c r="Q66" i="4"/>
  <c r="P66" i="4"/>
  <c r="O66" i="4"/>
  <c r="N66" i="4"/>
  <c r="M66" i="4"/>
  <c r="L66" i="4"/>
  <c r="K66" i="4"/>
  <c r="I66" i="4"/>
  <c r="G66" i="4"/>
  <c r="F66" i="4"/>
  <c r="E66" i="4"/>
  <c r="C66" i="4"/>
  <c r="B66" i="4"/>
  <c r="A66" i="4"/>
  <c r="Q65" i="4"/>
  <c r="P65" i="4"/>
  <c r="O65" i="4"/>
  <c r="N65" i="4"/>
  <c r="M65" i="4"/>
  <c r="L65" i="4"/>
  <c r="K65" i="4"/>
  <c r="I65" i="4"/>
  <c r="G65" i="4"/>
  <c r="F65" i="4"/>
  <c r="E65" i="4"/>
  <c r="C65" i="4"/>
  <c r="B65" i="4"/>
  <c r="A65" i="4"/>
  <c r="Q64" i="4"/>
  <c r="P64" i="4"/>
  <c r="O64" i="4"/>
  <c r="N64" i="4"/>
  <c r="M64" i="4"/>
  <c r="L64" i="4"/>
  <c r="K64" i="4"/>
  <c r="I64" i="4"/>
  <c r="G64" i="4"/>
  <c r="F64" i="4"/>
  <c r="E64" i="4"/>
  <c r="C64" i="4"/>
  <c r="B64" i="4"/>
  <c r="A64" i="4"/>
  <c r="Q63" i="4"/>
  <c r="P63" i="4"/>
  <c r="O63" i="4"/>
  <c r="N63" i="4"/>
  <c r="M63" i="4"/>
  <c r="L63" i="4"/>
  <c r="K63" i="4"/>
  <c r="I63" i="4"/>
  <c r="G63" i="4"/>
  <c r="F63" i="4"/>
  <c r="E63" i="4"/>
  <c r="C63" i="4"/>
  <c r="B63" i="4"/>
  <c r="A63" i="4"/>
  <c r="Q62" i="4"/>
  <c r="P62" i="4"/>
  <c r="O62" i="4"/>
  <c r="N62" i="4"/>
  <c r="M62" i="4"/>
  <c r="L62" i="4"/>
  <c r="K62" i="4"/>
  <c r="I62" i="4"/>
  <c r="G62" i="4"/>
  <c r="F62" i="4"/>
  <c r="E62" i="4"/>
  <c r="C62" i="4"/>
  <c r="B62" i="4"/>
  <c r="A62" i="4"/>
  <c r="Q61" i="4"/>
  <c r="P61" i="4"/>
  <c r="O61" i="4"/>
  <c r="N61" i="4"/>
  <c r="M61" i="4"/>
  <c r="L61" i="4"/>
  <c r="K61" i="4"/>
  <c r="I61" i="4"/>
  <c r="G61" i="4"/>
  <c r="F61" i="4"/>
  <c r="E61" i="4"/>
  <c r="C61" i="4"/>
  <c r="B61" i="4"/>
  <c r="A61" i="4"/>
  <c r="Q60" i="4"/>
  <c r="P60" i="4"/>
  <c r="O60" i="4"/>
  <c r="N60" i="4"/>
  <c r="M60" i="4"/>
  <c r="L60" i="4"/>
  <c r="K60" i="4"/>
  <c r="I60" i="4"/>
  <c r="G60" i="4"/>
  <c r="F60" i="4"/>
  <c r="E60" i="4"/>
  <c r="C60" i="4"/>
  <c r="B60" i="4"/>
  <c r="A60" i="4"/>
  <c r="Q59" i="4"/>
  <c r="P59" i="4"/>
  <c r="O59" i="4"/>
  <c r="N59" i="4"/>
  <c r="M59" i="4"/>
  <c r="L59" i="4"/>
  <c r="K59" i="4"/>
  <c r="I59" i="4"/>
  <c r="G59" i="4"/>
  <c r="F59" i="4"/>
  <c r="E59" i="4"/>
  <c r="C59" i="4"/>
  <c r="B59" i="4"/>
  <c r="A59" i="4"/>
  <c r="Q58" i="4"/>
  <c r="P58" i="4"/>
  <c r="O58" i="4"/>
  <c r="N58" i="4"/>
  <c r="M58" i="4"/>
  <c r="L58" i="4"/>
  <c r="K58" i="4"/>
  <c r="I58" i="4"/>
  <c r="G58" i="4"/>
  <c r="F58" i="4"/>
  <c r="E58" i="4"/>
  <c r="C58" i="4"/>
  <c r="B58" i="4"/>
  <c r="A58" i="4"/>
  <c r="Q57" i="4"/>
  <c r="P57" i="4"/>
  <c r="O57" i="4"/>
  <c r="N57" i="4"/>
  <c r="M57" i="4"/>
  <c r="L57" i="4"/>
  <c r="K57" i="4"/>
  <c r="I57" i="4"/>
  <c r="G57" i="4"/>
  <c r="F57" i="4"/>
  <c r="E57" i="4"/>
  <c r="C57" i="4"/>
  <c r="B57" i="4"/>
  <c r="A57" i="4"/>
  <c r="Q56" i="4"/>
  <c r="P56" i="4"/>
  <c r="O56" i="4"/>
  <c r="N56" i="4"/>
  <c r="M56" i="4"/>
  <c r="L56" i="4"/>
  <c r="K56" i="4"/>
  <c r="I56" i="4"/>
  <c r="G56" i="4"/>
  <c r="F56" i="4"/>
  <c r="E56" i="4"/>
  <c r="C56" i="4"/>
  <c r="B56" i="4"/>
  <c r="A56" i="4"/>
  <c r="Q55" i="4"/>
  <c r="P55" i="4"/>
  <c r="O55" i="4"/>
  <c r="N55" i="4"/>
  <c r="M55" i="4"/>
  <c r="L55" i="4"/>
  <c r="K55" i="4"/>
  <c r="I55" i="4"/>
  <c r="G55" i="4"/>
  <c r="F55" i="4"/>
  <c r="E55" i="4"/>
  <c r="C55" i="4"/>
  <c r="B55" i="4"/>
  <c r="A55" i="4"/>
  <c r="Q54" i="4"/>
  <c r="P54" i="4"/>
  <c r="O54" i="4"/>
  <c r="N54" i="4"/>
  <c r="M54" i="4"/>
  <c r="L54" i="4"/>
  <c r="K54" i="4"/>
  <c r="I54" i="4"/>
  <c r="G54" i="4"/>
  <c r="F54" i="4"/>
  <c r="E54" i="4"/>
  <c r="C54" i="4"/>
  <c r="B54" i="4"/>
  <c r="A54" i="4"/>
  <c r="Q53" i="4"/>
  <c r="P53" i="4"/>
  <c r="O53" i="4"/>
  <c r="N53" i="4"/>
  <c r="M53" i="4"/>
  <c r="L53" i="4"/>
  <c r="K53" i="4"/>
  <c r="I53" i="4"/>
  <c r="G53" i="4"/>
  <c r="F53" i="4"/>
  <c r="E53" i="4"/>
  <c r="C53" i="4"/>
  <c r="B53" i="4"/>
  <c r="A53" i="4"/>
  <c r="Q52" i="4"/>
  <c r="P52" i="4"/>
  <c r="O52" i="4"/>
  <c r="N52" i="4"/>
  <c r="M52" i="4"/>
  <c r="L52" i="4"/>
  <c r="K52" i="4"/>
  <c r="I52" i="4"/>
  <c r="G52" i="4"/>
  <c r="F52" i="4"/>
  <c r="E52" i="4"/>
  <c r="C52" i="4"/>
  <c r="B52" i="4"/>
  <c r="A52" i="4"/>
  <c r="Q51" i="4"/>
  <c r="P51" i="4"/>
  <c r="O51" i="4"/>
  <c r="N51" i="4"/>
  <c r="M51" i="4"/>
  <c r="L51" i="4"/>
  <c r="K51" i="4"/>
  <c r="I51" i="4"/>
  <c r="G51" i="4"/>
  <c r="F51" i="4"/>
  <c r="E51" i="4"/>
  <c r="C51" i="4"/>
  <c r="B51" i="4"/>
  <c r="A51" i="4"/>
  <c r="Q50" i="4"/>
  <c r="P50" i="4"/>
  <c r="O50" i="4"/>
  <c r="N50" i="4"/>
  <c r="M50" i="4"/>
  <c r="L50" i="4"/>
  <c r="K50" i="4"/>
  <c r="I50" i="4"/>
  <c r="G50" i="4"/>
  <c r="F50" i="4"/>
  <c r="E50" i="4"/>
  <c r="C50" i="4"/>
  <c r="B50" i="4"/>
  <c r="A50" i="4"/>
  <c r="Q49" i="4"/>
  <c r="P49" i="4"/>
  <c r="O49" i="4"/>
  <c r="N49" i="4"/>
  <c r="M49" i="4"/>
  <c r="L49" i="4"/>
  <c r="K49" i="4"/>
  <c r="I49" i="4"/>
  <c r="G49" i="4"/>
  <c r="F49" i="4"/>
  <c r="E49" i="4"/>
  <c r="C49" i="4"/>
  <c r="B49" i="4"/>
  <c r="A49" i="4"/>
  <c r="Q48" i="4"/>
  <c r="P48" i="4"/>
  <c r="O48" i="4"/>
  <c r="N48" i="4"/>
  <c r="M48" i="4"/>
  <c r="L48" i="4"/>
  <c r="K48" i="4"/>
  <c r="I48" i="4"/>
  <c r="G48" i="4"/>
  <c r="F48" i="4"/>
  <c r="E48" i="4"/>
  <c r="C48" i="4"/>
  <c r="B48" i="4"/>
  <c r="A48" i="4"/>
  <c r="Q47" i="4"/>
  <c r="P47" i="4"/>
  <c r="O47" i="4"/>
  <c r="N47" i="4"/>
  <c r="M47" i="4"/>
  <c r="L47" i="4"/>
  <c r="K47" i="4"/>
  <c r="I47" i="4"/>
  <c r="G47" i="4"/>
  <c r="F47" i="4"/>
  <c r="E47" i="4"/>
  <c r="C47" i="4"/>
  <c r="B47" i="4"/>
  <c r="A47" i="4"/>
  <c r="Q46" i="4"/>
  <c r="P46" i="4"/>
  <c r="O46" i="4"/>
  <c r="N46" i="4"/>
  <c r="M46" i="4"/>
  <c r="L46" i="4"/>
  <c r="K46" i="4"/>
  <c r="I46" i="4"/>
  <c r="G46" i="4"/>
  <c r="F46" i="4"/>
  <c r="E46" i="4"/>
  <c r="C46" i="4"/>
  <c r="B46" i="4"/>
  <c r="A46" i="4"/>
  <c r="Q45" i="4"/>
  <c r="P45" i="4"/>
  <c r="O45" i="4"/>
  <c r="N45" i="4"/>
  <c r="M45" i="4"/>
  <c r="L45" i="4"/>
  <c r="K45" i="4"/>
  <c r="I45" i="4"/>
  <c r="G45" i="4"/>
  <c r="F45" i="4"/>
  <c r="E45" i="4"/>
  <c r="C45" i="4"/>
  <c r="B45" i="4"/>
  <c r="A45" i="4"/>
  <c r="Q44" i="4"/>
  <c r="P44" i="4"/>
  <c r="O44" i="4"/>
  <c r="N44" i="4"/>
  <c r="M44" i="4"/>
  <c r="L44" i="4"/>
  <c r="K44" i="4"/>
  <c r="I44" i="4"/>
  <c r="G44" i="4"/>
  <c r="F44" i="4"/>
  <c r="E44" i="4"/>
  <c r="C44" i="4"/>
  <c r="B44" i="4"/>
  <c r="A44" i="4"/>
  <c r="Q43" i="4"/>
  <c r="P43" i="4"/>
  <c r="O43" i="4"/>
  <c r="N43" i="4"/>
  <c r="M43" i="4"/>
  <c r="L43" i="4"/>
  <c r="K43" i="4"/>
  <c r="I43" i="4"/>
  <c r="G43" i="4"/>
  <c r="F43" i="4"/>
  <c r="E43" i="4"/>
  <c r="C43" i="4"/>
  <c r="B43" i="4"/>
  <c r="A43" i="4"/>
  <c r="Q42" i="4"/>
  <c r="P42" i="4"/>
  <c r="O42" i="4"/>
  <c r="N42" i="4"/>
  <c r="M42" i="4"/>
  <c r="L42" i="4"/>
  <c r="K42" i="4"/>
  <c r="I42" i="4"/>
  <c r="G42" i="4"/>
  <c r="F42" i="4"/>
  <c r="E42" i="4"/>
  <c r="C42" i="4"/>
  <c r="B42" i="4"/>
  <c r="A42" i="4"/>
  <c r="Q41" i="4"/>
  <c r="P41" i="4"/>
  <c r="O41" i="4"/>
  <c r="N41" i="4"/>
  <c r="M41" i="4"/>
  <c r="L41" i="4"/>
  <c r="K41" i="4"/>
  <c r="I41" i="4"/>
  <c r="G41" i="4"/>
  <c r="F41" i="4"/>
  <c r="E41" i="4"/>
  <c r="C41" i="4"/>
  <c r="B41" i="4"/>
  <c r="A41" i="4"/>
  <c r="Q40" i="4"/>
  <c r="P40" i="4"/>
  <c r="O40" i="4"/>
  <c r="N40" i="4"/>
  <c r="M40" i="4"/>
  <c r="L40" i="4"/>
  <c r="K40" i="4"/>
  <c r="I40" i="4"/>
  <c r="G40" i="4"/>
  <c r="F40" i="4"/>
  <c r="E40" i="4"/>
  <c r="C40" i="4"/>
  <c r="B40" i="4"/>
  <c r="A40" i="4"/>
  <c r="Q39" i="4"/>
  <c r="P39" i="4"/>
  <c r="O39" i="4"/>
  <c r="N39" i="4"/>
  <c r="M39" i="4"/>
  <c r="L39" i="4"/>
  <c r="K39" i="4"/>
  <c r="I39" i="4"/>
  <c r="G39" i="4"/>
  <c r="F39" i="4"/>
  <c r="E39" i="4"/>
  <c r="C39" i="4"/>
  <c r="B39" i="4"/>
  <c r="A39" i="4"/>
  <c r="Q38" i="4"/>
  <c r="P38" i="4"/>
  <c r="O38" i="4"/>
  <c r="N38" i="4"/>
  <c r="M38" i="4"/>
  <c r="L38" i="4"/>
  <c r="K38" i="4"/>
  <c r="I38" i="4"/>
  <c r="G38" i="4"/>
  <c r="F38" i="4"/>
  <c r="E38" i="4"/>
  <c r="C38" i="4"/>
  <c r="B38" i="4"/>
  <c r="A38" i="4"/>
  <c r="Q37" i="4"/>
  <c r="P37" i="4"/>
  <c r="O37" i="4"/>
  <c r="N37" i="4"/>
  <c r="M37" i="4"/>
  <c r="L37" i="4"/>
  <c r="K37" i="4"/>
  <c r="I37" i="4"/>
  <c r="G37" i="4"/>
  <c r="F37" i="4"/>
  <c r="E37" i="4"/>
  <c r="C37" i="4"/>
  <c r="B37" i="4"/>
  <c r="A37" i="4"/>
  <c r="Q36" i="4"/>
  <c r="P36" i="4"/>
  <c r="O36" i="4"/>
  <c r="N36" i="4"/>
  <c r="M36" i="4"/>
  <c r="L36" i="4"/>
  <c r="K36" i="4"/>
  <c r="I36" i="4"/>
  <c r="G36" i="4"/>
  <c r="F36" i="4"/>
  <c r="E36" i="4"/>
  <c r="C36" i="4"/>
  <c r="B36" i="4"/>
  <c r="A36" i="4"/>
  <c r="Q35" i="4"/>
  <c r="P35" i="4"/>
  <c r="O35" i="4"/>
  <c r="N35" i="4"/>
  <c r="M35" i="4"/>
  <c r="L35" i="4"/>
  <c r="K35" i="4"/>
  <c r="I35" i="4"/>
  <c r="G35" i="4"/>
  <c r="F35" i="4"/>
  <c r="E35" i="4"/>
  <c r="C35" i="4"/>
  <c r="B35" i="4"/>
  <c r="A35" i="4"/>
  <c r="Q34" i="4"/>
  <c r="P34" i="4"/>
  <c r="O34" i="4"/>
  <c r="N34" i="4"/>
  <c r="M34" i="4"/>
  <c r="L34" i="4"/>
  <c r="K34" i="4"/>
  <c r="I34" i="4"/>
  <c r="G34" i="4"/>
  <c r="F34" i="4"/>
  <c r="E34" i="4"/>
  <c r="C34" i="4"/>
  <c r="B34" i="4"/>
  <c r="A34" i="4"/>
  <c r="Q33" i="4"/>
  <c r="P33" i="4"/>
  <c r="O33" i="4"/>
  <c r="N33" i="4"/>
  <c r="M33" i="4"/>
  <c r="L33" i="4"/>
  <c r="K33" i="4"/>
  <c r="I33" i="4"/>
  <c r="G33" i="4"/>
  <c r="F33" i="4"/>
  <c r="E33" i="4"/>
  <c r="C33" i="4"/>
  <c r="B33" i="4"/>
  <c r="A33" i="4"/>
  <c r="Q32" i="4"/>
  <c r="P32" i="4"/>
  <c r="O32" i="4"/>
  <c r="N32" i="4"/>
  <c r="M32" i="4"/>
  <c r="L32" i="4"/>
  <c r="K32" i="4"/>
  <c r="I32" i="4"/>
  <c r="G32" i="4"/>
  <c r="F32" i="4"/>
  <c r="E32" i="4"/>
  <c r="C32" i="4"/>
  <c r="B32" i="4"/>
  <c r="A32" i="4"/>
  <c r="Q31" i="4"/>
  <c r="P31" i="4"/>
  <c r="O31" i="4"/>
  <c r="N31" i="4"/>
  <c r="M31" i="4"/>
  <c r="L31" i="4"/>
  <c r="K31" i="4"/>
  <c r="I31" i="4"/>
  <c r="G31" i="4"/>
  <c r="F31" i="4"/>
  <c r="E31" i="4"/>
  <c r="C31" i="4"/>
  <c r="B31" i="4"/>
  <c r="A31" i="4"/>
  <c r="Q30" i="4"/>
  <c r="P30" i="4"/>
  <c r="O30" i="4"/>
  <c r="N30" i="4"/>
  <c r="M30" i="4"/>
  <c r="L30" i="4"/>
  <c r="K30" i="4"/>
  <c r="I30" i="4"/>
  <c r="G30" i="4"/>
  <c r="F30" i="4"/>
  <c r="E30" i="4"/>
  <c r="C30" i="4"/>
  <c r="B30" i="4"/>
  <c r="A30" i="4"/>
  <c r="Q29" i="4"/>
  <c r="P29" i="4"/>
  <c r="O29" i="4"/>
  <c r="N29" i="4"/>
  <c r="M29" i="4"/>
  <c r="L29" i="4"/>
  <c r="I29" i="4"/>
  <c r="G29" i="4"/>
  <c r="F29" i="4"/>
  <c r="E29" i="4"/>
  <c r="C29" i="4"/>
  <c r="B29" i="4"/>
  <c r="A29" i="4"/>
  <c r="Q28" i="4"/>
  <c r="P28" i="4"/>
  <c r="O28" i="4"/>
  <c r="N28" i="4"/>
  <c r="M28" i="4"/>
  <c r="L28" i="4"/>
  <c r="I28" i="4"/>
  <c r="G28" i="4"/>
  <c r="F28" i="4"/>
  <c r="E28" i="4"/>
  <c r="C28" i="4"/>
  <c r="B28" i="4"/>
  <c r="A28" i="4"/>
  <c r="Q27" i="4"/>
  <c r="P27" i="4"/>
  <c r="O27" i="4"/>
  <c r="N27" i="4"/>
  <c r="M27" i="4"/>
  <c r="L27" i="4"/>
  <c r="I27" i="4"/>
  <c r="G27" i="4"/>
  <c r="F27" i="4"/>
  <c r="E27" i="4"/>
  <c r="C27" i="4"/>
  <c r="B27" i="4"/>
  <c r="A27" i="4"/>
  <c r="Q26" i="4"/>
  <c r="P26" i="4"/>
  <c r="O26" i="4"/>
  <c r="N26" i="4"/>
  <c r="M26" i="4"/>
  <c r="L26" i="4"/>
  <c r="I26" i="4"/>
  <c r="G26" i="4"/>
  <c r="F26" i="4"/>
  <c r="E26" i="4"/>
  <c r="C26" i="4"/>
  <c r="B26" i="4"/>
  <c r="A26" i="4"/>
  <c r="Q25" i="4"/>
  <c r="P25" i="4"/>
  <c r="O25" i="4"/>
  <c r="N25" i="4"/>
  <c r="M25" i="4"/>
  <c r="L25" i="4"/>
  <c r="I25" i="4"/>
  <c r="G25" i="4"/>
  <c r="F25" i="4"/>
  <c r="E25" i="4"/>
  <c r="C25" i="4"/>
  <c r="B25" i="4"/>
  <c r="A25" i="4"/>
  <c r="Q24" i="4"/>
  <c r="P24" i="4"/>
  <c r="O24" i="4"/>
  <c r="N24" i="4"/>
  <c r="M24" i="4"/>
  <c r="L24" i="4"/>
  <c r="K24" i="4"/>
  <c r="I24" i="4"/>
  <c r="G24" i="4"/>
  <c r="F24" i="4"/>
  <c r="E24" i="4"/>
  <c r="C24" i="4"/>
  <c r="B24" i="4"/>
  <c r="A24" i="4"/>
  <c r="Q23" i="4"/>
  <c r="P23" i="4"/>
  <c r="O23" i="4"/>
  <c r="N23" i="4"/>
  <c r="M23" i="4"/>
  <c r="L23" i="4"/>
  <c r="I23" i="4"/>
  <c r="G23" i="4"/>
  <c r="F23" i="4"/>
  <c r="E23" i="4"/>
  <c r="C23" i="4"/>
  <c r="B23" i="4"/>
  <c r="A23" i="4"/>
  <c r="Q22" i="4"/>
  <c r="P22" i="4"/>
  <c r="O22" i="4"/>
  <c r="N22" i="4"/>
  <c r="M22" i="4"/>
  <c r="L22" i="4"/>
  <c r="I22" i="4"/>
  <c r="G22" i="4"/>
  <c r="F22" i="4"/>
  <c r="E22" i="4"/>
  <c r="C22" i="4"/>
  <c r="B22" i="4"/>
  <c r="A22" i="4"/>
  <c r="Q21" i="4"/>
  <c r="P21" i="4"/>
  <c r="O21" i="4"/>
  <c r="N21" i="4"/>
  <c r="M21" i="4"/>
  <c r="L21" i="4"/>
  <c r="I21" i="4"/>
  <c r="G21" i="4"/>
  <c r="F21" i="4"/>
  <c r="E21" i="4"/>
  <c r="C21" i="4"/>
  <c r="B21" i="4"/>
  <c r="A21" i="4"/>
  <c r="Q20" i="4"/>
  <c r="P20" i="4"/>
  <c r="O20" i="4"/>
  <c r="N20" i="4"/>
  <c r="M20" i="4"/>
  <c r="L20" i="4"/>
  <c r="K20" i="4"/>
  <c r="I20" i="4"/>
  <c r="G20" i="4"/>
  <c r="F20" i="4"/>
  <c r="E20" i="4"/>
  <c r="C20" i="4"/>
  <c r="B20" i="4"/>
  <c r="A20" i="4"/>
  <c r="Q19" i="4"/>
  <c r="P19" i="4"/>
  <c r="O19" i="4"/>
  <c r="N19" i="4"/>
  <c r="M19" i="4"/>
  <c r="L19" i="4"/>
  <c r="I19" i="4"/>
  <c r="G19" i="4"/>
  <c r="F19" i="4"/>
  <c r="E19" i="4"/>
  <c r="C19" i="4"/>
  <c r="B19" i="4"/>
  <c r="A19" i="4"/>
  <c r="Q18" i="4"/>
  <c r="P18" i="4"/>
  <c r="O18" i="4"/>
  <c r="N18" i="4"/>
  <c r="M18" i="4"/>
  <c r="L18" i="4"/>
  <c r="I18" i="4"/>
  <c r="G18" i="4"/>
  <c r="F18" i="4"/>
  <c r="E18" i="4"/>
  <c r="C18" i="4"/>
  <c r="B18" i="4"/>
  <c r="A18" i="4"/>
  <c r="Q17" i="4"/>
  <c r="P17" i="4"/>
  <c r="O17" i="4"/>
  <c r="N17" i="4"/>
  <c r="M17" i="4"/>
  <c r="L17" i="4"/>
  <c r="I17" i="4"/>
  <c r="G17" i="4"/>
  <c r="F17" i="4"/>
  <c r="E17" i="4"/>
  <c r="C17" i="4"/>
  <c r="B17" i="4"/>
  <c r="A17" i="4"/>
  <c r="Q16" i="4"/>
  <c r="P16" i="4"/>
  <c r="O16" i="4"/>
  <c r="N16" i="4"/>
  <c r="M16" i="4"/>
  <c r="L16" i="4"/>
  <c r="I16" i="4"/>
  <c r="G16" i="4"/>
  <c r="F16" i="4"/>
  <c r="E16" i="4"/>
  <c r="C16" i="4"/>
  <c r="B16" i="4"/>
  <c r="A16" i="4"/>
  <c r="Q15" i="4"/>
  <c r="P15" i="4"/>
  <c r="O15" i="4"/>
  <c r="N15" i="4"/>
  <c r="M15" i="4"/>
  <c r="L15" i="4"/>
  <c r="I15" i="4"/>
  <c r="G15" i="4"/>
  <c r="F15" i="4"/>
  <c r="E15" i="4"/>
  <c r="C15" i="4"/>
  <c r="B15" i="4"/>
  <c r="A15" i="4"/>
  <c r="Q14" i="4"/>
  <c r="P14" i="4"/>
  <c r="O14" i="4"/>
  <c r="N14" i="4"/>
  <c r="M14" i="4"/>
  <c r="L14" i="4"/>
  <c r="I14" i="4"/>
  <c r="G14" i="4"/>
  <c r="F14" i="4"/>
  <c r="E14" i="4"/>
  <c r="C14" i="4"/>
  <c r="B14" i="4"/>
  <c r="A14" i="4"/>
  <c r="Q13" i="4"/>
  <c r="P13" i="4"/>
  <c r="O13" i="4"/>
  <c r="N13" i="4"/>
  <c r="M13" i="4"/>
  <c r="L13" i="4"/>
  <c r="I13" i="4"/>
  <c r="G13" i="4"/>
  <c r="F13" i="4"/>
  <c r="E13" i="4"/>
  <c r="C13" i="4"/>
  <c r="B13" i="4"/>
  <c r="A13" i="4"/>
  <c r="Q12" i="4"/>
  <c r="P12" i="4"/>
  <c r="O12" i="4"/>
  <c r="N12" i="4"/>
  <c r="M12" i="4"/>
  <c r="L12" i="4"/>
  <c r="I12" i="4"/>
  <c r="G12" i="4"/>
  <c r="F12" i="4"/>
  <c r="E12" i="4"/>
  <c r="C12" i="4"/>
  <c r="B12" i="4"/>
  <c r="A12" i="4"/>
  <c r="Q11" i="4"/>
  <c r="P11" i="4"/>
  <c r="O11" i="4"/>
  <c r="N11" i="4"/>
  <c r="M11" i="4"/>
  <c r="L11" i="4"/>
  <c r="I11" i="4"/>
  <c r="G11" i="4"/>
  <c r="F11" i="4"/>
  <c r="E11" i="4"/>
  <c r="C11" i="4"/>
  <c r="B11" i="4"/>
  <c r="A11" i="4"/>
  <c r="Q10" i="4"/>
  <c r="P10" i="4"/>
  <c r="O10" i="4"/>
  <c r="N10" i="4"/>
  <c r="M10" i="4"/>
  <c r="L10" i="4"/>
  <c r="I10" i="4"/>
  <c r="G10" i="4"/>
  <c r="F10" i="4"/>
  <c r="E10" i="4"/>
  <c r="C10" i="4"/>
  <c r="B10" i="4"/>
  <c r="A10" i="4"/>
  <c r="Q9" i="4"/>
  <c r="P9" i="4"/>
  <c r="O9" i="4"/>
  <c r="N9" i="4"/>
  <c r="M9" i="4"/>
  <c r="L9" i="4"/>
  <c r="K9" i="4"/>
  <c r="I9" i="4"/>
  <c r="G9" i="4"/>
  <c r="F9" i="4"/>
  <c r="E9" i="4"/>
  <c r="C9" i="4"/>
  <c r="B9" i="4"/>
  <c r="A9" i="4"/>
  <c r="Q8" i="4"/>
  <c r="P8" i="4"/>
  <c r="O8" i="4"/>
  <c r="N8" i="4"/>
  <c r="M8" i="4"/>
  <c r="L8" i="4"/>
  <c r="K8" i="4"/>
  <c r="I8" i="4"/>
  <c r="G8" i="4"/>
  <c r="F8" i="4"/>
  <c r="E8" i="4"/>
  <c r="C8" i="4"/>
  <c r="B8" i="4"/>
  <c r="A8" i="4"/>
  <c r="Q7" i="4"/>
  <c r="P7" i="4"/>
  <c r="O7" i="4"/>
  <c r="N7" i="4"/>
  <c r="M7" i="4"/>
  <c r="L7" i="4"/>
  <c r="K7" i="4"/>
  <c r="I7" i="4"/>
  <c r="G7" i="4"/>
  <c r="F7" i="4"/>
  <c r="E7" i="4"/>
  <c r="C7" i="4"/>
  <c r="B7" i="4"/>
  <c r="A7" i="4"/>
  <c r="Q6" i="4"/>
  <c r="P6" i="4"/>
  <c r="O6" i="4"/>
  <c r="N6" i="4"/>
  <c r="M6" i="4"/>
  <c r="L6" i="4"/>
  <c r="I6" i="4"/>
  <c r="G6" i="4"/>
  <c r="F6" i="4"/>
  <c r="E6" i="4"/>
  <c r="C6" i="4"/>
  <c r="B6" i="4"/>
  <c r="A6" i="4"/>
  <c r="Q5" i="4"/>
  <c r="P5" i="4"/>
  <c r="O5" i="4"/>
  <c r="N5" i="4"/>
  <c r="M5" i="4"/>
  <c r="L5" i="4"/>
  <c r="I5" i="4"/>
  <c r="G5" i="4"/>
  <c r="F5" i="4"/>
  <c r="E5" i="4"/>
  <c r="C5" i="4"/>
  <c r="B5" i="4"/>
  <c r="A5" i="4"/>
  <c r="Z505" i="3"/>
  <c r="Y505" i="3"/>
  <c r="X505" i="3"/>
  <c r="W505" i="3"/>
  <c r="V505" i="3"/>
  <c r="U505" i="3"/>
  <c r="T505" i="3"/>
  <c r="S505" i="3"/>
  <c r="R505" i="3"/>
  <c r="Q505" i="3"/>
  <c r="P505" i="3"/>
  <c r="O505" i="3"/>
  <c r="N505" i="3"/>
  <c r="M505" i="3"/>
  <c r="L505" i="3"/>
  <c r="K505" i="3"/>
  <c r="J505" i="3"/>
  <c r="I505" i="3"/>
  <c r="H505" i="3"/>
  <c r="G505" i="3"/>
  <c r="F505" i="3"/>
  <c r="E505" i="3"/>
  <c r="D505" i="3"/>
  <c r="C505" i="3"/>
  <c r="AA504" i="3"/>
  <c r="AA503" i="3"/>
  <c r="AA502" i="3"/>
  <c r="AA501" i="3"/>
  <c r="AA500" i="3"/>
  <c r="AA499" i="3"/>
  <c r="AA498" i="3"/>
  <c r="AA497" i="3"/>
  <c r="AA496" i="3"/>
  <c r="AA495" i="3"/>
  <c r="AA494" i="3"/>
  <c r="AA493" i="3"/>
  <c r="AA492" i="3"/>
  <c r="AA491" i="3"/>
  <c r="AA490" i="3"/>
  <c r="AA489" i="3"/>
  <c r="AA488" i="3"/>
  <c r="AA487" i="3"/>
  <c r="AA486" i="3"/>
  <c r="AA485" i="3"/>
  <c r="AA484" i="3"/>
  <c r="AA483" i="3"/>
  <c r="AA482" i="3"/>
  <c r="AA481" i="3"/>
  <c r="AA480" i="3"/>
  <c r="AA479" i="3"/>
  <c r="AA478" i="3"/>
  <c r="AA477" i="3"/>
  <c r="AA476" i="3"/>
  <c r="AA475" i="3"/>
  <c r="AA474" i="3"/>
  <c r="AA473" i="3"/>
  <c r="AA472" i="3"/>
  <c r="AA471" i="3"/>
  <c r="AA470" i="3"/>
  <c r="AA469" i="3"/>
  <c r="AA468" i="3"/>
  <c r="AA467" i="3"/>
  <c r="AA466" i="3"/>
  <c r="AA465" i="3"/>
  <c r="AA464" i="3"/>
  <c r="AA463" i="3"/>
  <c r="AA462" i="3"/>
  <c r="AA461" i="3"/>
  <c r="AA460" i="3"/>
  <c r="AA459" i="3"/>
  <c r="AA458" i="3"/>
  <c r="AA457" i="3"/>
  <c r="AA456" i="3"/>
  <c r="AA455" i="3"/>
  <c r="AA454" i="3"/>
  <c r="AA453" i="3"/>
  <c r="AA452" i="3"/>
  <c r="AA451" i="3"/>
  <c r="AA450" i="3"/>
  <c r="AA449" i="3"/>
  <c r="AA448" i="3"/>
  <c r="AA447" i="3"/>
  <c r="AA446" i="3"/>
  <c r="AA445" i="3"/>
  <c r="AA444" i="3"/>
  <c r="AA443" i="3"/>
  <c r="AA442" i="3"/>
  <c r="AA441" i="3"/>
  <c r="AA440" i="3"/>
  <c r="AA439" i="3"/>
  <c r="AA438" i="3"/>
  <c r="AA437" i="3"/>
  <c r="AA436" i="3"/>
  <c r="AA435" i="3"/>
  <c r="AA434" i="3"/>
  <c r="AA433" i="3"/>
  <c r="AA432" i="3"/>
  <c r="AA431" i="3"/>
  <c r="AA430" i="3"/>
  <c r="AA429" i="3"/>
  <c r="AA428" i="3"/>
  <c r="AA427" i="3"/>
  <c r="AA426" i="3"/>
  <c r="AA425" i="3"/>
  <c r="AA424" i="3"/>
  <c r="AA423" i="3"/>
  <c r="AA422" i="3"/>
  <c r="AA421" i="3"/>
  <c r="AA420" i="3"/>
  <c r="AA419" i="3"/>
  <c r="AA418" i="3"/>
  <c r="AA417" i="3"/>
  <c r="AA416" i="3"/>
  <c r="AA415" i="3"/>
  <c r="AA414" i="3"/>
  <c r="AA413" i="3"/>
  <c r="AA412" i="3"/>
  <c r="AA411" i="3"/>
  <c r="AA410" i="3"/>
  <c r="AA409" i="3"/>
  <c r="AA408" i="3"/>
  <c r="AA407" i="3"/>
  <c r="AA406" i="3"/>
  <c r="AA405" i="3"/>
  <c r="AA404" i="3"/>
  <c r="AA403" i="3"/>
  <c r="AA402" i="3"/>
  <c r="AA401" i="3"/>
  <c r="AA400" i="3"/>
  <c r="AA399" i="3"/>
  <c r="AA398" i="3"/>
  <c r="AA397" i="3"/>
  <c r="AA396" i="3"/>
  <c r="AA395" i="3"/>
  <c r="AA394" i="3"/>
  <c r="AA393" i="3"/>
  <c r="AA392" i="3"/>
  <c r="AA391" i="3"/>
  <c r="AA390" i="3"/>
  <c r="AA389" i="3"/>
  <c r="AA388" i="3"/>
  <c r="AA387" i="3"/>
  <c r="AA386" i="3"/>
  <c r="AA385" i="3"/>
  <c r="AA384" i="3"/>
  <c r="AA383" i="3"/>
  <c r="AA382" i="3"/>
  <c r="AA381" i="3"/>
  <c r="AA380" i="3"/>
  <c r="AA379" i="3"/>
  <c r="AA378" i="3"/>
  <c r="AA377" i="3"/>
  <c r="AA376" i="3"/>
  <c r="AA375" i="3"/>
  <c r="AA374" i="3"/>
  <c r="AA373" i="3"/>
  <c r="AA372" i="3"/>
  <c r="AA371" i="3"/>
  <c r="AA370" i="3"/>
  <c r="AA369" i="3"/>
  <c r="AA368" i="3"/>
  <c r="AA367" i="3"/>
  <c r="AA366" i="3"/>
  <c r="AA365" i="3"/>
  <c r="AA364" i="3"/>
  <c r="AA363" i="3"/>
  <c r="AA362" i="3"/>
  <c r="AA361" i="3"/>
  <c r="AA360" i="3"/>
  <c r="AA359" i="3"/>
  <c r="AA358" i="3"/>
  <c r="AA357" i="3"/>
  <c r="AA356" i="3"/>
  <c r="AA355" i="3"/>
  <c r="AA354" i="3"/>
  <c r="AA353" i="3"/>
  <c r="AA352" i="3"/>
  <c r="AA351" i="3"/>
  <c r="AA350" i="3"/>
  <c r="AA349" i="3"/>
  <c r="AA348" i="3"/>
  <c r="AA347" i="3"/>
  <c r="AA346" i="3"/>
  <c r="AA345" i="3"/>
  <c r="AA344" i="3"/>
  <c r="AA343" i="3"/>
  <c r="AA342" i="3"/>
  <c r="AA341" i="3"/>
  <c r="AA340" i="3"/>
  <c r="AA339" i="3"/>
  <c r="AA338" i="3"/>
  <c r="AA337" i="3"/>
  <c r="AA336" i="3"/>
  <c r="AA335" i="3"/>
  <c r="AA334" i="3"/>
  <c r="AA333" i="3"/>
  <c r="AA332" i="3"/>
  <c r="AA331" i="3"/>
  <c r="AA330" i="3"/>
  <c r="AA329" i="3"/>
  <c r="AA328" i="3"/>
  <c r="AA327" i="3"/>
  <c r="AA326" i="3"/>
  <c r="AA325" i="3"/>
  <c r="AA324" i="3"/>
  <c r="AA323" i="3"/>
  <c r="AA322" i="3"/>
  <c r="AA321" i="3"/>
  <c r="AA320" i="3"/>
  <c r="AA319" i="3"/>
  <c r="AA318" i="3"/>
  <c r="AA317" i="3"/>
  <c r="AA316" i="3"/>
  <c r="AA315" i="3"/>
  <c r="AA314" i="3"/>
  <c r="AA313" i="3"/>
  <c r="AA312" i="3"/>
  <c r="AA311" i="3"/>
  <c r="AA310" i="3"/>
  <c r="AA309" i="3"/>
  <c r="AA308" i="3"/>
  <c r="AA307" i="3"/>
  <c r="AA306" i="3"/>
  <c r="AA305" i="3"/>
  <c r="AA304" i="3"/>
  <c r="AA303" i="3"/>
  <c r="AA302" i="3"/>
  <c r="AA301" i="3"/>
  <c r="AA300" i="3"/>
  <c r="AA299" i="3"/>
  <c r="AA298" i="3"/>
  <c r="AA297" i="3"/>
  <c r="AA296" i="3"/>
  <c r="AA295" i="3"/>
  <c r="AA294" i="3"/>
  <c r="AA293" i="3"/>
  <c r="AA292" i="3"/>
  <c r="AA291" i="3"/>
  <c r="AA290" i="3"/>
  <c r="AA289" i="3"/>
  <c r="AA288" i="3"/>
  <c r="AA287" i="3"/>
  <c r="AA286" i="3"/>
  <c r="AA285" i="3"/>
  <c r="AA284" i="3"/>
  <c r="AA283" i="3"/>
  <c r="AA282" i="3"/>
  <c r="AA281" i="3"/>
  <c r="AA280" i="3"/>
  <c r="AA279" i="3"/>
  <c r="AA278" i="3"/>
  <c r="AA277" i="3"/>
  <c r="AA276" i="3"/>
  <c r="AA275" i="3"/>
  <c r="AA274" i="3"/>
  <c r="AA273" i="3"/>
  <c r="AA272" i="3"/>
  <c r="AA271" i="3"/>
  <c r="AA270" i="3"/>
  <c r="AA269" i="3"/>
  <c r="AA268" i="3"/>
  <c r="AA267" i="3"/>
  <c r="AA266" i="3"/>
  <c r="AA265" i="3"/>
  <c r="AA264" i="3"/>
  <c r="AA263" i="3"/>
  <c r="AA262" i="3"/>
  <c r="AA261" i="3"/>
  <c r="AA260" i="3"/>
  <c r="AA259" i="3"/>
  <c r="AA258" i="3"/>
  <c r="AA257" i="3"/>
  <c r="AA256" i="3"/>
  <c r="AA255" i="3"/>
  <c r="AA254" i="3"/>
  <c r="AA253" i="3"/>
  <c r="AA252" i="3"/>
  <c r="AA251" i="3"/>
  <c r="AA250" i="3"/>
  <c r="AA249" i="3"/>
  <c r="AA248" i="3"/>
  <c r="AA247" i="3"/>
  <c r="AA246" i="3"/>
  <c r="AA245" i="3"/>
  <c r="AA244" i="3"/>
  <c r="AA243" i="3"/>
  <c r="AA242" i="3"/>
  <c r="AA241" i="3"/>
  <c r="AA240" i="3"/>
  <c r="AA239" i="3"/>
  <c r="AA238" i="3"/>
  <c r="AA237" i="3"/>
  <c r="AA236" i="3"/>
  <c r="AA235" i="3"/>
  <c r="AA234" i="3"/>
  <c r="AA233" i="3"/>
  <c r="AA232" i="3"/>
  <c r="AA231" i="3"/>
  <c r="AA230" i="3"/>
  <c r="AA229" i="3"/>
  <c r="AA228" i="3"/>
  <c r="AA227" i="3"/>
  <c r="AA226" i="3"/>
  <c r="AA225" i="3"/>
  <c r="AA224" i="3"/>
  <c r="AA223" i="3"/>
  <c r="AA222" i="3"/>
  <c r="AA221" i="3"/>
  <c r="AA220" i="3"/>
  <c r="AA219" i="3"/>
  <c r="AA218" i="3"/>
  <c r="AA217" i="3"/>
  <c r="AA216" i="3"/>
  <c r="AA215" i="3"/>
  <c r="AA214" i="3"/>
  <c r="AA213" i="3"/>
  <c r="AA212" i="3"/>
  <c r="AA211" i="3"/>
  <c r="AA210" i="3"/>
  <c r="AA209" i="3"/>
  <c r="AA208" i="3"/>
  <c r="AA207" i="3"/>
  <c r="AA206" i="3"/>
  <c r="AA205" i="3"/>
  <c r="AA204" i="3"/>
  <c r="AA203" i="3"/>
  <c r="AA202" i="3"/>
  <c r="AA201" i="3"/>
  <c r="AA200" i="3"/>
  <c r="AA199" i="3"/>
  <c r="AA198" i="3"/>
  <c r="AA197" i="3"/>
  <c r="AA196" i="3"/>
  <c r="AA195" i="3"/>
  <c r="AA194" i="3"/>
  <c r="AA193" i="3"/>
  <c r="AA192" i="3"/>
  <c r="AA191" i="3"/>
  <c r="AA190" i="3"/>
  <c r="AA189" i="3"/>
  <c r="AA188" i="3"/>
  <c r="AA187" i="3"/>
  <c r="AA186" i="3"/>
  <c r="AA185" i="3"/>
  <c r="AA184" i="3"/>
  <c r="AA183" i="3"/>
  <c r="AA182" i="3"/>
  <c r="AA181" i="3"/>
  <c r="AA180" i="3"/>
  <c r="AA179" i="3"/>
  <c r="AA178" i="3"/>
  <c r="AA177" i="3"/>
  <c r="AA176" i="3"/>
  <c r="AA175" i="3"/>
  <c r="AA174" i="3"/>
  <c r="AA173" i="3"/>
  <c r="AA172" i="3"/>
  <c r="AA171" i="3"/>
  <c r="AA170" i="3"/>
  <c r="AA169" i="3"/>
  <c r="AA168" i="3"/>
  <c r="AA167" i="3"/>
  <c r="AA166" i="3"/>
  <c r="AA165" i="3"/>
  <c r="AA164" i="3"/>
  <c r="AA163" i="3"/>
  <c r="AA162" i="3"/>
  <c r="AA161" i="3"/>
  <c r="AA160" i="3"/>
  <c r="AA159" i="3"/>
  <c r="AA158" i="3"/>
  <c r="AA157" i="3"/>
  <c r="AA156" i="3"/>
  <c r="AA155" i="3"/>
  <c r="AA154" i="3"/>
  <c r="AA153" i="3"/>
  <c r="AA152" i="3"/>
  <c r="AA151" i="3"/>
  <c r="AA150" i="3"/>
  <c r="AA149" i="3"/>
  <c r="AA148" i="3"/>
  <c r="AA147" i="3"/>
  <c r="AA146" i="3"/>
  <c r="AA145" i="3"/>
  <c r="AA144" i="3"/>
  <c r="AA143" i="3"/>
  <c r="AA142" i="3"/>
  <c r="AA141" i="3"/>
  <c r="AA140" i="3"/>
  <c r="AA139" i="3"/>
  <c r="AA138" i="3"/>
  <c r="AA137" i="3"/>
  <c r="AA136" i="3"/>
  <c r="AA135" i="3"/>
  <c r="AA134" i="3"/>
  <c r="AA133" i="3"/>
  <c r="AA132" i="3"/>
  <c r="AA131" i="3"/>
  <c r="AA130" i="3"/>
  <c r="AA129" i="3"/>
  <c r="AA128" i="3"/>
  <c r="AA127" i="3"/>
  <c r="AA126" i="3"/>
  <c r="AA125" i="3"/>
  <c r="AA124" i="3"/>
  <c r="AA123" i="3"/>
  <c r="AA122" i="3"/>
  <c r="AA121" i="3"/>
  <c r="AA120" i="3"/>
  <c r="AA119" i="3"/>
  <c r="AA118" i="3"/>
  <c r="AA117" i="3"/>
  <c r="AA116" i="3"/>
  <c r="AA115" i="3"/>
  <c r="AA114" i="3"/>
  <c r="AA113" i="3"/>
  <c r="AA112" i="3"/>
  <c r="AA111" i="3"/>
  <c r="AA110" i="3"/>
  <c r="AA109" i="3"/>
  <c r="AA108" i="3"/>
  <c r="AA107" i="3"/>
  <c r="AA106" i="3"/>
  <c r="AA105" i="3"/>
  <c r="AA104" i="3"/>
  <c r="AA103" i="3"/>
  <c r="AA102" i="3"/>
  <c r="AA101" i="3"/>
  <c r="AA100" i="3"/>
  <c r="AA99" i="3"/>
  <c r="AA98" i="3"/>
  <c r="AA97" i="3"/>
  <c r="AA96" i="3"/>
  <c r="AA95" i="3"/>
  <c r="AA94" i="3"/>
  <c r="AA93" i="3"/>
  <c r="AA92" i="3"/>
  <c r="AA91" i="3"/>
  <c r="AA90" i="3"/>
  <c r="AA89" i="3"/>
  <c r="AA88" i="3"/>
  <c r="AA87" i="3"/>
  <c r="AA86" i="3"/>
  <c r="AA85" i="3"/>
  <c r="AA84" i="3"/>
  <c r="AA83" i="3"/>
  <c r="AA82" i="3"/>
  <c r="AA81" i="3"/>
  <c r="AA80" i="3"/>
  <c r="AA79" i="3"/>
  <c r="AA78" i="3"/>
  <c r="AA77" i="3"/>
  <c r="AA76" i="3"/>
  <c r="AA75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K22" i="4" l="1"/>
  <c r="K19" i="4"/>
  <c r="K16" i="4"/>
  <c r="K11" i="4"/>
  <c r="K478" i="4"/>
  <c r="K23" i="4"/>
  <c r="K14" i="4"/>
  <c r="K13" i="4"/>
  <c r="K503" i="4"/>
  <c r="K480" i="4"/>
  <c r="K111" i="4"/>
  <c r="K29" i="4"/>
  <c r="K26" i="4"/>
  <c r="K25" i="4"/>
  <c r="K17" i="4"/>
  <c r="K6" i="4"/>
  <c r="K93" i="4"/>
  <c r="K87" i="4"/>
  <c r="K15" i="4"/>
  <c r="K418" i="4"/>
  <c r="K21" i="4"/>
  <c r="K227" i="4"/>
  <c r="K28" i="4"/>
  <c r="K27" i="4"/>
  <c r="K18" i="4"/>
  <c r="K89" i="4"/>
  <c r="K12" i="4"/>
  <c r="K109" i="4"/>
  <c r="K10" i="4"/>
  <c r="K5" i="4"/>
  <c r="K493" i="4"/>
  <c r="K492" i="4"/>
  <c r="K490" i="4"/>
  <c r="K487" i="4"/>
  <c r="K486" i="4"/>
  <c r="K485" i="4"/>
  <c r="K483" i="4"/>
  <c r="K481" i="4"/>
  <c r="K477" i="4"/>
  <c r="K142" i="4"/>
  <c r="K134" i="4"/>
  <c r="K125" i="4"/>
  <c r="K122" i="4"/>
  <c r="K120" i="4"/>
  <c r="K117" i="4"/>
  <c r="K113" i="4"/>
  <c r="K108" i="4"/>
  <c r="K101" i="4"/>
  <c r="K504" i="4"/>
  <c r="K502" i="4"/>
  <c r="K500" i="4"/>
  <c r="K497" i="4"/>
  <c r="K484" i="4"/>
  <c r="K479" i="4"/>
  <c r="K476" i="4"/>
  <c r="K429" i="4"/>
  <c r="K423" i="4"/>
  <c r="K383" i="4"/>
  <c r="K126" i="4"/>
  <c r="K115" i="4"/>
  <c r="K103" i="4"/>
  <c r="K102" i="4"/>
  <c r="K99" i="4"/>
  <c r="K88" i="4"/>
  <c r="K501" i="4"/>
  <c r="K499" i="4"/>
  <c r="K498" i="4"/>
  <c r="K495" i="4"/>
  <c r="K491" i="4"/>
  <c r="K489" i="4"/>
  <c r="K488" i="4"/>
  <c r="K482" i="4"/>
  <c r="K447" i="4"/>
  <c r="K264" i="4"/>
  <c r="K136" i="4"/>
  <c r="K131" i="4"/>
  <c r="K127" i="4"/>
  <c r="K118" i="4"/>
  <c r="K116" i="4"/>
  <c r="K94" i="4"/>
  <c r="K232" i="4"/>
  <c r="K124" i="4"/>
  <c r="K104" i="4"/>
  <c r="K90" i="4"/>
  <c r="K475" i="4"/>
  <c r="K451" i="4"/>
  <c r="K396" i="4"/>
  <c r="K370" i="4"/>
  <c r="K114" i="4"/>
  <c r="K110" i="4"/>
  <c r="K91" i="4"/>
  <c r="K397" i="4"/>
  <c r="K392" i="4"/>
  <c r="K238" i="4"/>
  <c r="K112" i="4"/>
  <c r="K97" i="4"/>
  <c r="K130" i="4"/>
  <c r="K140" i="4"/>
  <c r="K119" i="4"/>
  <c r="K100" i="4"/>
  <c r="K95" i="4"/>
  <c r="K143" i="4"/>
  <c r="K138" i="4"/>
  <c r="K133" i="4"/>
  <c r="K123" i="4"/>
  <c r="K121" i="4"/>
  <c r="K107" i="4"/>
  <c r="K106" i="4"/>
  <c r="K105" i="4"/>
  <c r="K98" i="4"/>
  <c r="K96" i="4"/>
  <c r="G14" i="8"/>
  <c r="H14" i="8" s="1"/>
  <c r="F14" i="8"/>
  <c r="G13" i="8"/>
  <c r="H13" i="8" s="1"/>
  <c r="F13" i="8"/>
  <c r="G12" i="8"/>
  <c r="H12" i="8" s="1"/>
  <c r="F12" i="8"/>
  <c r="G11" i="8"/>
  <c r="H11" i="8" s="1"/>
  <c r="F11" i="8"/>
  <c r="G10" i="8"/>
  <c r="H10" i="8" s="1"/>
  <c r="F10" i="8"/>
  <c r="G9" i="8"/>
  <c r="H9" i="8" s="1"/>
  <c r="F9" i="8"/>
  <c r="G8" i="8"/>
  <c r="H8" i="8" s="1"/>
  <c r="F8" i="8"/>
  <c r="G7" i="8"/>
  <c r="H7" i="8" s="1"/>
  <c r="F7" i="8"/>
  <c r="G6" i="8"/>
  <c r="H6" i="8" s="1"/>
  <c r="F6" i="8"/>
  <c r="G5" i="8"/>
  <c r="F5" i="8"/>
  <c r="K504" i="7"/>
  <c r="J504" i="7"/>
  <c r="H504" i="7"/>
  <c r="K503" i="7"/>
  <c r="J503" i="7"/>
  <c r="H503" i="7"/>
  <c r="K502" i="7"/>
  <c r="J502" i="7"/>
  <c r="H502" i="7"/>
  <c r="K501" i="7"/>
  <c r="J501" i="7"/>
  <c r="H501" i="7"/>
  <c r="K500" i="7"/>
  <c r="J500" i="7"/>
  <c r="H500" i="7"/>
  <c r="K499" i="7"/>
  <c r="J499" i="7"/>
  <c r="H499" i="7"/>
  <c r="K498" i="7"/>
  <c r="J498" i="7"/>
  <c r="H498" i="7"/>
  <c r="K497" i="7"/>
  <c r="J497" i="7"/>
  <c r="H497" i="7"/>
  <c r="K496" i="7"/>
  <c r="J496" i="7"/>
  <c r="H496" i="7"/>
  <c r="O495" i="7"/>
  <c r="K495" i="7"/>
  <c r="J495" i="7"/>
  <c r="H495" i="7"/>
  <c r="K494" i="7"/>
  <c r="J494" i="7"/>
  <c r="H494" i="7"/>
  <c r="K493" i="7"/>
  <c r="J493" i="7"/>
  <c r="H493" i="7"/>
  <c r="K492" i="7"/>
  <c r="J492" i="7"/>
  <c r="H492" i="7"/>
  <c r="K491" i="7"/>
  <c r="J491" i="7"/>
  <c r="H491" i="7"/>
  <c r="K490" i="7"/>
  <c r="J490" i="7"/>
  <c r="H490" i="7"/>
  <c r="K489" i="7"/>
  <c r="J489" i="7"/>
  <c r="H489" i="7"/>
  <c r="K488" i="7"/>
  <c r="J488" i="7"/>
  <c r="H488" i="7"/>
  <c r="K487" i="7"/>
  <c r="J487" i="7"/>
  <c r="H487" i="7"/>
  <c r="K486" i="7"/>
  <c r="J486" i="7"/>
  <c r="H486" i="7"/>
  <c r="K485" i="7"/>
  <c r="J485" i="7"/>
  <c r="H485" i="7"/>
  <c r="K484" i="7"/>
  <c r="J484" i="7"/>
  <c r="H484" i="7"/>
  <c r="K483" i="7"/>
  <c r="J483" i="7"/>
  <c r="H483" i="7"/>
  <c r="K482" i="7"/>
  <c r="J482" i="7"/>
  <c r="H482" i="7"/>
  <c r="O481" i="7"/>
  <c r="K481" i="7"/>
  <c r="J481" i="7"/>
  <c r="H481" i="7"/>
  <c r="K480" i="7"/>
  <c r="J480" i="7"/>
  <c r="H480" i="7"/>
  <c r="K479" i="7"/>
  <c r="J479" i="7"/>
  <c r="H479" i="7"/>
  <c r="K478" i="7"/>
  <c r="J478" i="7"/>
  <c r="H478" i="7"/>
  <c r="K477" i="7"/>
  <c r="J477" i="7"/>
  <c r="H477" i="7"/>
  <c r="K476" i="7"/>
  <c r="J476" i="7"/>
  <c r="H476" i="7"/>
  <c r="K475" i="7"/>
  <c r="J475" i="7"/>
  <c r="H475" i="7"/>
  <c r="K474" i="7"/>
  <c r="J474" i="7"/>
  <c r="H474" i="7"/>
  <c r="K473" i="7"/>
  <c r="J473" i="7"/>
  <c r="H473" i="7"/>
  <c r="K472" i="7"/>
  <c r="J472" i="7"/>
  <c r="H472" i="7"/>
  <c r="K471" i="7"/>
  <c r="J471" i="7"/>
  <c r="H471" i="7"/>
  <c r="K470" i="7"/>
  <c r="J470" i="7"/>
  <c r="H470" i="7"/>
  <c r="K469" i="7"/>
  <c r="J469" i="7"/>
  <c r="H469" i="7"/>
  <c r="K468" i="7"/>
  <c r="J468" i="7"/>
  <c r="H468" i="7"/>
  <c r="L467" i="7"/>
  <c r="K467" i="7"/>
  <c r="J467" i="7"/>
  <c r="H467" i="7"/>
  <c r="L466" i="7"/>
  <c r="K466" i="7"/>
  <c r="J466" i="7"/>
  <c r="H466" i="7"/>
  <c r="K465" i="7"/>
  <c r="J465" i="7"/>
  <c r="H465" i="7"/>
  <c r="K464" i="7"/>
  <c r="J464" i="7"/>
  <c r="H464" i="7"/>
  <c r="K463" i="7"/>
  <c r="J463" i="7"/>
  <c r="H463" i="7"/>
  <c r="K462" i="7"/>
  <c r="J462" i="7"/>
  <c r="H462" i="7"/>
  <c r="K461" i="7"/>
  <c r="J461" i="7"/>
  <c r="H461" i="7"/>
  <c r="K460" i="7"/>
  <c r="J460" i="7"/>
  <c r="H460" i="7"/>
  <c r="K459" i="7"/>
  <c r="J459" i="7"/>
  <c r="H459" i="7"/>
  <c r="K458" i="7"/>
  <c r="J458" i="7"/>
  <c r="H458" i="7"/>
  <c r="K457" i="7"/>
  <c r="J457" i="7"/>
  <c r="H457" i="7"/>
  <c r="K456" i="7"/>
  <c r="J456" i="7"/>
  <c r="H456" i="7"/>
  <c r="K455" i="7"/>
  <c r="J455" i="7"/>
  <c r="H455" i="7"/>
  <c r="K454" i="7"/>
  <c r="J454" i="7"/>
  <c r="H454" i="7"/>
  <c r="K453" i="7"/>
  <c r="J453" i="7"/>
  <c r="H453" i="7"/>
  <c r="K452" i="7"/>
  <c r="J452" i="7"/>
  <c r="H452" i="7"/>
  <c r="K451" i="7"/>
  <c r="J451" i="7"/>
  <c r="H451" i="7"/>
  <c r="K450" i="7"/>
  <c r="J450" i="7"/>
  <c r="H450" i="7"/>
  <c r="K449" i="7"/>
  <c r="J449" i="7"/>
  <c r="H449" i="7"/>
  <c r="O448" i="7"/>
  <c r="K448" i="7"/>
  <c r="J448" i="7"/>
  <c r="H448" i="7"/>
  <c r="K447" i="7"/>
  <c r="J447" i="7"/>
  <c r="H447" i="7"/>
  <c r="K446" i="7"/>
  <c r="J446" i="7"/>
  <c r="H446" i="7"/>
  <c r="K445" i="7"/>
  <c r="J445" i="7"/>
  <c r="H445" i="7"/>
  <c r="K444" i="7"/>
  <c r="J444" i="7"/>
  <c r="H444" i="7"/>
  <c r="K443" i="7"/>
  <c r="J443" i="7"/>
  <c r="H443" i="7"/>
  <c r="O442" i="7"/>
  <c r="K442" i="7"/>
  <c r="J442" i="7"/>
  <c r="H442" i="7"/>
  <c r="O441" i="7"/>
  <c r="K441" i="7"/>
  <c r="J441" i="7"/>
  <c r="H441" i="7"/>
  <c r="K440" i="7"/>
  <c r="J440" i="7"/>
  <c r="H440" i="7"/>
  <c r="K439" i="7"/>
  <c r="J439" i="7"/>
  <c r="H439" i="7"/>
  <c r="K438" i="7"/>
  <c r="J438" i="7"/>
  <c r="H438" i="7"/>
  <c r="O437" i="7"/>
  <c r="K437" i="7"/>
  <c r="J437" i="7"/>
  <c r="H437" i="7"/>
  <c r="K436" i="7"/>
  <c r="J436" i="7"/>
  <c r="H436" i="7"/>
  <c r="K435" i="7"/>
  <c r="J435" i="7"/>
  <c r="H435" i="7"/>
  <c r="K434" i="7"/>
  <c r="J434" i="7"/>
  <c r="H434" i="7"/>
  <c r="L433" i="7"/>
  <c r="K433" i="7"/>
  <c r="J433" i="7"/>
  <c r="H433" i="7"/>
  <c r="K432" i="7"/>
  <c r="J432" i="7"/>
  <c r="H432" i="7"/>
  <c r="K431" i="7"/>
  <c r="J431" i="7"/>
  <c r="H431" i="7"/>
  <c r="K430" i="7"/>
  <c r="J430" i="7"/>
  <c r="H430" i="7"/>
  <c r="L429" i="7"/>
  <c r="K429" i="7"/>
  <c r="J429" i="7"/>
  <c r="H429" i="7"/>
  <c r="K428" i="7"/>
  <c r="J428" i="7"/>
  <c r="H428" i="7"/>
  <c r="K427" i="7"/>
  <c r="J427" i="7"/>
  <c r="H427" i="7"/>
  <c r="K426" i="7"/>
  <c r="J426" i="7"/>
  <c r="H426" i="7"/>
  <c r="K425" i="7"/>
  <c r="J425" i="7"/>
  <c r="H425" i="7"/>
  <c r="K424" i="7"/>
  <c r="J424" i="7"/>
  <c r="H424" i="7"/>
  <c r="K423" i="7"/>
  <c r="J423" i="7"/>
  <c r="H423" i="7"/>
  <c r="K422" i="7"/>
  <c r="J422" i="7"/>
  <c r="H422" i="7"/>
  <c r="K421" i="7"/>
  <c r="J421" i="7"/>
  <c r="H421" i="7"/>
  <c r="L420" i="7"/>
  <c r="K420" i="7"/>
  <c r="J420" i="7"/>
  <c r="H420" i="7"/>
  <c r="O419" i="7"/>
  <c r="K419" i="7"/>
  <c r="J419" i="7"/>
  <c r="H419" i="7"/>
  <c r="K418" i="7"/>
  <c r="J418" i="7"/>
  <c r="H418" i="7"/>
  <c r="K417" i="7"/>
  <c r="J417" i="7"/>
  <c r="H417" i="7"/>
  <c r="K416" i="7"/>
  <c r="J416" i="7"/>
  <c r="H416" i="7"/>
  <c r="K415" i="7"/>
  <c r="J415" i="7"/>
  <c r="H415" i="7"/>
  <c r="K414" i="7"/>
  <c r="J414" i="7"/>
  <c r="H414" i="7"/>
  <c r="K413" i="7"/>
  <c r="J413" i="7"/>
  <c r="H413" i="7"/>
  <c r="K412" i="7"/>
  <c r="J412" i="7"/>
  <c r="H412" i="7"/>
  <c r="L411" i="7"/>
  <c r="K411" i="7"/>
  <c r="J411" i="7"/>
  <c r="H411" i="7"/>
  <c r="K410" i="7"/>
  <c r="J410" i="7"/>
  <c r="H410" i="7"/>
  <c r="K409" i="7"/>
  <c r="J409" i="7"/>
  <c r="H409" i="7"/>
  <c r="K408" i="7"/>
  <c r="J408" i="7"/>
  <c r="H408" i="7"/>
  <c r="L407" i="7"/>
  <c r="K407" i="7"/>
  <c r="J407" i="7"/>
  <c r="H407" i="7"/>
  <c r="K406" i="7"/>
  <c r="J406" i="7"/>
  <c r="H406" i="7"/>
  <c r="K405" i="7"/>
  <c r="J405" i="7"/>
  <c r="H405" i="7"/>
  <c r="K404" i="7"/>
  <c r="J404" i="7"/>
  <c r="H404" i="7"/>
  <c r="K403" i="7"/>
  <c r="J403" i="7"/>
  <c r="H403" i="7"/>
  <c r="K402" i="7"/>
  <c r="J402" i="7"/>
  <c r="H402" i="7"/>
  <c r="K401" i="7"/>
  <c r="J401" i="7"/>
  <c r="H401" i="7"/>
  <c r="K400" i="7"/>
  <c r="J400" i="7"/>
  <c r="H400" i="7"/>
  <c r="K399" i="7"/>
  <c r="J399" i="7"/>
  <c r="H399" i="7"/>
  <c r="K398" i="7"/>
  <c r="J398" i="7"/>
  <c r="H398" i="7"/>
  <c r="K397" i="7"/>
  <c r="J397" i="7"/>
  <c r="H397" i="7"/>
  <c r="K396" i="7"/>
  <c r="J396" i="7"/>
  <c r="H396" i="7"/>
  <c r="K395" i="7"/>
  <c r="J395" i="7"/>
  <c r="H395" i="7"/>
  <c r="K394" i="7"/>
  <c r="J394" i="7"/>
  <c r="H394" i="7"/>
  <c r="K393" i="7"/>
  <c r="J393" i="7"/>
  <c r="H393" i="7"/>
  <c r="K392" i="7"/>
  <c r="J392" i="7"/>
  <c r="H392" i="7"/>
  <c r="O391" i="7"/>
  <c r="K391" i="7"/>
  <c r="J391" i="7"/>
  <c r="H391" i="7"/>
  <c r="K390" i="7"/>
  <c r="J390" i="7"/>
  <c r="H390" i="7"/>
  <c r="L389" i="7"/>
  <c r="K389" i="7"/>
  <c r="J389" i="7"/>
  <c r="H389" i="7"/>
  <c r="K388" i="7"/>
  <c r="J388" i="7"/>
  <c r="H388" i="7"/>
  <c r="K387" i="7"/>
  <c r="J387" i="7"/>
  <c r="H387" i="7"/>
  <c r="L386" i="7"/>
  <c r="K386" i="7"/>
  <c r="J386" i="7"/>
  <c r="H386" i="7"/>
  <c r="K385" i="7"/>
  <c r="J385" i="7"/>
  <c r="H385" i="7"/>
  <c r="K384" i="7"/>
  <c r="J384" i="7"/>
  <c r="H384" i="7"/>
  <c r="L383" i="7"/>
  <c r="K383" i="7"/>
  <c r="J383" i="7"/>
  <c r="H383" i="7"/>
  <c r="K382" i="7"/>
  <c r="J382" i="7"/>
  <c r="H382" i="7"/>
  <c r="L381" i="7"/>
  <c r="K381" i="7"/>
  <c r="J381" i="7"/>
  <c r="H381" i="7"/>
  <c r="O380" i="7"/>
  <c r="L380" i="7"/>
  <c r="K380" i="7"/>
  <c r="J380" i="7"/>
  <c r="H380" i="7"/>
  <c r="K379" i="7"/>
  <c r="J379" i="7"/>
  <c r="H379" i="7"/>
  <c r="K378" i="7"/>
  <c r="J378" i="7"/>
  <c r="H378" i="7"/>
  <c r="L377" i="7"/>
  <c r="K377" i="7"/>
  <c r="J377" i="7"/>
  <c r="H377" i="7"/>
  <c r="K376" i="7"/>
  <c r="J376" i="7"/>
  <c r="H376" i="7"/>
  <c r="K375" i="7"/>
  <c r="J375" i="7"/>
  <c r="H375" i="7"/>
  <c r="K374" i="7"/>
  <c r="J374" i="7"/>
  <c r="H374" i="7"/>
  <c r="K373" i="7"/>
  <c r="J373" i="7"/>
  <c r="H373" i="7"/>
  <c r="K372" i="7"/>
  <c r="J372" i="7"/>
  <c r="H372" i="7"/>
  <c r="L371" i="7"/>
  <c r="K371" i="7"/>
  <c r="J371" i="7"/>
  <c r="H371" i="7"/>
  <c r="K370" i="7"/>
  <c r="J370" i="7"/>
  <c r="H370" i="7"/>
  <c r="K369" i="7"/>
  <c r="J369" i="7"/>
  <c r="H369" i="7"/>
  <c r="K368" i="7"/>
  <c r="J368" i="7"/>
  <c r="H368" i="7"/>
  <c r="K367" i="7"/>
  <c r="J367" i="7"/>
  <c r="H367" i="7"/>
  <c r="K366" i="7"/>
  <c r="J366" i="7"/>
  <c r="H366" i="7"/>
  <c r="K365" i="7"/>
  <c r="J365" i="7"/>
  <c r="H365" i="7"/>
  <c r="O364" i="7"/>
  <c r="K364" i="7"/>
  <c r="J364" i="7"/>
  <c r="H364" i="7"/>
  <c r="K363" i="7"/>
  <c r="J363" i="7"/>
  <c r="H363" i="7"/>
  <c r="K362" i="7"/>
  <c r="J362" i="7"/>
  <c r="H362" i="7"/>
  <c r="O361" i="7"/>
  <c r="K361" i="7"/>
  <c r="J361" i="7"/>
  <c r="H361" i="7"/>
  <c r="K360" i="7"/>
  <c r="J360" i="7"/>
  <c r="H360" i="7"/>
  <c r="K359" i="7"/>
  <c r="J359" i="7"/>
  <c r="H359" i="7"/>
  <c r="K358" i="7"/>
  <c r="J358" i="7"/>
  <c r="H358" i="7"/>
  <c r="K357" i="7"/>
  <c r="J357" i="7"/>
  <c r="H357" i="7"/>
  <c r="O356" i="7"/>
  <c r="K356" i="7"/>
  <c r="J356" i="7"/>
  <c r="H356" i="7"/>
  <c r="K355" i="7"/>
  <c r="J355" i="7"/>
  <c r="H355" i="7"/>
  <c r="K354" i="7"/>
  <c r="J354" i="7"/>
  <c r="H354" i="7"/>
  <c r="K353" i="7"/>
  <c r="J353" i="7"/>
  <c r="H353" i="7"/>
  <c r="K352" i="7"/>
  <c r="J352" i="7"/>
  <c r="H352" i="7"/>
  <c r="K351" i="7"/>
  <c r="J351" i="7"/>
  <c r="H351" i="7"/>
  <c r="K350" i="7"/>
  <c r="J350" i="7"/>
  <c r="H350" i="7"/>
  <c r="K349" i="7"/>
  <c r="J349" i="7"/>
  <c r="H349" i="7"/>
  <c r="K348" i="7"/>
  <c r="J348" i="7"/>
  <c r="H348" i="7"/>
  <c r="K347" i="7"/>
  <c r="J347" i="7"/>
  <c r="H347" i="7"/>
  <c r="K346" i="7"/>
  <c r="J346" i="7"/>
  <c r="H346" i="7"/>
  <c r="K345" i="7"/>
  <c r="J345" i="7"/>
  <c r="H345" i="7"/>
  <c r="K344" i="7"/>
  <c r="J344" i="7"/>
  <c r="H344" i="7"/>
  <c r="K343" i="7"/>
  <c r="J343" i="7"/>
  <c r="H343" i="7"/>
  <c r="K342" i="7"/>
  <c r="J342" i="7"/>
  <c r="H342" i="7"/>
  <c r="K341" i="7"/>
  <c r="J341" i="7"/>
  <c r="H341" i="7"/>
  <c r="K340" i="7"/>
  <c r="J340" i="7"/>
  <c r="H340" i="7"/>
  <c r="K339" i="7"/>
  <c r="J339" i="7"/>
  <c r="H339" i="7"/>
  <c r="K338" i="7"/>
  <c r="J338" i="7"/>
  <c r="H338" i="7"/>
  <c r="K337" i="7"/>
  <c r="J337" i="7"/>
  <c r="H337" i="7"/>
  <c r="K336" i="7"/>
  <c r="J336" i="7"/>
  <c r="H336" i="7"/>
  <c r="K335" i="7"/>
  <c r="J335" i="7"/>
  <c r="H335" i="7"/>
  <c r="K334" i="7"/>
  <c r="J334" i="7"/>
  <c r="H334" i="7"/>
  <c r="K333" i="7"/>
  <c r="J333" i="7"/>
  <c r="H333" i="7"/>
  <c r="K332" i="7"/>
  <c r="J332" i="7"/>
  <c r="H332" i="7"/>
  <c r="K331" i="7"/>
  <c r="J331" i="7"/>
  <c r="H331" i="7"/>
  <c r="K330" i="7"/>
  <c r="J330" i="7"/>
  <c r="H330" i="7"/>
  <c r="K329" i="7"/>
  <c r="J329" i="7"/>
  <c r="H329" i="7"/>
  <c r="K328" i="7"/>
  <c r="J328" i="7"/>
  <c r="H328" i="7"/>
  <c r="K327" i="7"/>
  <c r="J327" i="7"/>
  <c r="H327" i="7"/>
  <c r="K326" i="7"/>
  <c r="J326" i="7"/>
  <c r="H326" i="7"/>
  <c r="K325" i="7"/>
  <c r="J325" i="7"/>
  <c r="H325" i="7"/>
  <c r="K324" i="7"/>
  <c r="J324" i="7"/>
  <c r="H324" i="7"/>
  <c r="K323" i="7"/>
  <c r="J323" i="7"/>
  <c r="H323" i="7"/>
  <c r="K322" i="7"/>
  <c r="J322" i="7"/>
  <c r="H322" i="7"/>
  <c r="K321" i="7"/>
  <c r="J321" i="7"/>
  <c r="H321" i="7"/>
  <c r="K320" i="7"/>
  <c r="J320" i="7"/>
  <c r="H320" i="7"/>
  <c r="K319" i="7"/>
  <c r="J319" i="7"/>
  <c r="H319" i="7"/>
  <c r="K318" i="7"/>
  <c r="J318" i="7"/>
  <c r="H318" i="7"/>
  <c r="K317" i="7"/>
  <c r="J317" i="7"/>
  <c r="H317" i="7"/>
  <c r="K316" i="7"/>
  <c r="J316" i="7"/>
  <c r="H316" i="7"/>
  <c r="K315" i="7"/>
  <c r="J315" i="7"/>
  <c r="H315" i="7"/>
  <c r="K314" i="7"/>
  <c r="J314" i="7"/>
  <c r="H314" i="7"/>
  <c r="K313" i="7"/>
  <c r="J313" i="7"/>
  <c r="H313" i="7"/>
  <c r="K312" i="7"/>
  <c r="J312" i="7"/>
  <c r="H312" i="7"/>
  <c r="K311" i="7"/>
  <c r="J311" i="7"/>
  <c r="H311" i="7"/>
  <c r="K310" i="7"/>
  <c r="J310" i="7"/>
  <c r="H310" i="7"/>
  <c r="K309" i="7"/>
  <c r="J309" i="7"/>
  <c r="H309" i="7"/>
  <c r="K308" i="7"/>
  <c r="J308" i="7"/>
  <c r="H308" i="7"/>
  <c r="K307" i="7"/>
  <c r="J307" i="7"/>
  <c r="H307" i="7"/>
  <c r="L306" i="7"/>
  <c r="K306" i="7"/>
  <c r="J306" i="7"/>
  <c r="H306" i="7"/>
  <c r="K305" i="7"/>
  <c r="J305" i="7"/>
  <c r="H305" i="7"/>
  <c r="K304" i="7"/>
  <c r="J304" i="7"/>
  <c r="H304" i="7"/>
  <c r="K303" i="7"/>
  <c r="J303" i="7"/>
  <c r="H303" i="7"/>
  <c r="K302" i="7"/>
  <c r="J302" i="7"/>
  <c r="H302" i="7"/>
  <c r="K301" i="7"/>
  <c r="J301" i="7"/>
  <c r="H301" i="7"/>
  <c r="K300" i="7"/>
  <c r="J300" i="7"/>
  <c r="H300" i="7"/>
  <c r="F252" i="5"/>
  <c r="F411" i="5"/>
  <c r="F429" i="5"/>
  <c r="F380" i="5"/>
  <c r="F19" i="5"/>
  <c r="F503" i="5"/>
  <c r="F55" i="5"/>
  <c r="F325" i="5"/>
  <c r="F299" i="5"/>
  <c r="F47" i="5"/>
  <c r="F284" i="5"/>
  <c r="F77" i="5"/>
  <c r="F297" i="5"/>
  <c r="F293" i="5"/>
  <c r="F117" i="5"/>
  <c r="F343" i="5"/>
  <c r="F317" i="5"/>
  <c r="F283" i="5"/>
  <c r="F43" i="5"/>
  <c r="F321" i="5"/>
  <c r="F181" i="5"/>
  <c r="F103" i="5"/>
  <c r="F98" i="5"/>
  <c r="F89" i="5"/>
  <c r="F5" i="5"/>
  <c r="H473" i="4"/>
  <c r="L467" i="5" s="1"/>
  <c r="H471" i="4"/>
  <c r="L423" i="5" s="1"/>
  <c r="M423" i="5" s="1"/>
  <c r="K468" i="4"/>
  <c r="H465" i="4"/>
  <c r="L464" i="5" s="1"/>
  <c r="H457" i="4"/>
  <c r="L502" i="5" s="1"/>
  <c r="H456" i="4"/>
  <c r="L185" i="5" s="1"/>
  <c r="M185" i="5" s="1"/>
  <c r="K452" i="4"/>
  <c r="H448" i="4"/>
  <c r="L490" i="5" s="1"/>
  <c r="K442" i="4"/>
  <c r="J441" i="4"/>
  <c r="J439" i="4"/>
  <c r="K438" i="4"/>
  <c r="K437" i="4"/>
  <c r="H437" i="4"/>
  <c r="L482" i="5" s="1"/>
  <c r="J436" i="4"/>
  <c r="K435" i="4"/>
  <c r="K427" i="4"/>
  <c r="H425" i="4"/>
  <c r="L363" i="5" s="1"/>
  <c r="J422" i="4"/>
  <c r="J421" i="4"/>
  <c r="H418" i="4"/>
  <c r="L387" i="5" s="1"/>
  <c r="J414" i="4"/>
  <c r="K408" i="4"/>
  <c r="J404" i="4"/>
  <c r="J403" i="4"/>
  <c r="K398" i="4"/>
  <c r="J394" i="4"/>
  <c r="H394" i="4"/>
  <c r="L402" i="5" s="1"/>
  <c r="K393" i="4"/>
  <c r="J391" i="4"/>
  <c r="H389" i="4"/>
  <c r="L459" i="5" s="1"/>
  <c r="K386" i="4"/>
  <c r="J385" i="4"/>
  <c r="H385" i="4"/>
  <c r="L106" i="5" s="1"/>
  <c r="J384" i="4"/>
  <c r="H382" i="4"/>
  <c r="L427" i="5" s="1"/>
  <c r="J381" i="4"/>
  <c r="J379" i="4"/>
  <c r="H377" i="4"/>
  <c r="L339" i="5" s="1"/>
  <c r="M339" i="5" s="1"/>
  <c r="H376" i="4"/>
  <c r="L456" i="5" s="1"/>
  <c r="K374" i="4"/>
  <c r="J374" i="4"/>
  <c r="J373" i="4"/>
  <c r="H372" i="4"/>
  <c r="L102" i="5" s="1"/>
  <c r="J369" i="4"/>
  <c r="K361" i="4"/>
  <c r="H360" i="4"/>
  <c r="L220" i="5" s="1"/>
  <c r="H358" i="4"/>
  <c r="L416" i="5" s="1"/>
  <c r="H356" i="4"/>
  <c r="L462" i="5" s="1"/>
  <c r="M462" i="5" s="1"/>
  <c r="H354" i="4"/>
  <c r="L418" i="5" s="1"/>
  <c r="H351" i="4"/>
  <c r="L477" i="5" s="1"/>
  <c r="H347" i="4"/>
  <c r="L406" i="5" s="1"/>
  <c r="H346" i="4"/>
  <c r="L169" i="5" s="1"/>
  <c r="H345" i="4"/>
  <c r="L56" i="5" s="1"/>
  <c r="K337" i="4"/>
  <c r="K334" i="4"/>
  <c r="H331" i="4"/>
  <c r="L40" i="5" s="1"/>
  <c r="H329" i="4"/>
  <c r="L447" i="5" s="1"/>
  <c r="H325" i="4"/>
  <c r="L434" i="5" s="1"/>
  <c r="H321" i="4"/>
  <c r="L450" i="5" s="1"/>
  <c r="H318" i="4"/>
  <c r="L288" i="5" s="1"/>
  <c r="M288" i="5" s="1"/>
  <c r="H317" i="4"/>
  <c r="L212" i="5" s="1"/>
  <c r="H316" i="4"/>
  <c r="L436" i="5" s="1"/>
  <c r="K312" i="4"/>
  <c r="H309" i="4"/>
  <c r="L244" i="5" s="1"/>
  <c r="K308" i="4"/>
  <c r="H308" i="4"/>
  <c r="L398" i="5" s="1"/>
  <c r="K307" i="4"/>
  <c r="H305" i="4"/>
  <c r="L302" i="5" s="1"/>
  <c r="J304" i="4"/>
  <c r="J303" i="4"/>
  <c r="K300" i="4"/>
  <c r="K299" i="4"/>
  <c r="H299" i="4"/>
  <c r="L167" i="5" s="1"/>
  <c r="M167" i="5" s="1"/>
  <c r="K298" i="4"/>
  <c r="H298" i="4"/>
  <c r="L354" i="5" s="1"/>
  <c r="J297" i="4"/>
  <c r="H297" i="4"/>
  <c r="L139" i="5" s="1"/>
  <c r="J295" i="4"/>
  <c r="H293" i="4"/>
  <c r="L94" i="5" s="1"/>
  <c r="H291" i="4"/>
  <c r="L15" i="5" s="1"/>
  <c r="H290" i="4"/>
  <c r="L403" i="5" s="1"/>
  <c r="H284" i="4"/>
  <c r="L205" i="5" s="1"/>
  <c r="J282" i="4"/>
  <c r="H282" i="4"/>
  <c r="L126" i="5" s="1"/>
  <c r="K280" i="4"/>
  <c r="H280" i="4"/>
  <c r="L370" i="5" s="1"/>
  <c r="H278" i="4"/>
  <c r="L137" i="5" s="1"/>
  <c r="J274" i="4"/>
  <c r="K273" i="4"/>
  <c r="J271" i="4"/>
  <c r="K266" i="4"/>
  <c r="J263" i="4"/>
  <c r="H263" i="4"/>
  <c r="L409" i="5" s="1"/>
  <c r="J259" i="4"/>
  <c r="H257" i="4"/>
  <c r="L341" i="5" s="1"/>
  <c r="K254" i="4"/>
  <c r="J253" i="4"/>
  <c r="H251" i="4"/>
  <c r="L72" i="5" s="1"/>
  <c r="K249" i="4"/>
  <c r="J247" i="4"/>
  <c r="K246" i="4"/>
  <c r="K244" i="4"/>
  <c r="J243" i="4"/>
  <c r="K241" i="4"/>
  <c r="H241" i="4"/>
  <c r="L225" i="5" s="1"/>
  <c r="K237" i="4"/>
  <c r="K236" i="4"/>
  <c r="H235" i="4"/>
  <c r="L119" i="5" s="1"/>
  <c r="H233" i="4"/>
  <c r="L408" i="5" s="1"/>
  <c r="H232" i="4"/>
  <c r="L374" i="5" s="1"/>
  <c r="J229" i="4"/>
  <c r="H227" i="4"/>
  <c r="L389" i="5" s="1"/>
  <c r="M389" i="5" s="1"/>
  <c r="H226" i="4"/>
  <c r="L481" i="5" s="1"/>
  <c r="H224" i="4"/>
  <c r="L377" i="5" s="1"/>
  <c r="M377" i="5" s="1"/>
  <c r="K223" i="4"/>
  <c r="J221" i="4"/>
  <c r="K219" i="4"/>
  <c r="J218" i="4"/>
  <c r="J212" i="4"/>
  <c r="K211" i="4"/>
  <c r="K210" i="4"/>
  <c r="H210" i="4"/>
  <c r="L229" i="5" s="1"/>
  <c r="K209" i="4"/>
  <c r="H208" i="4"/>
  <c r="L275" i="5" s="1"/>
  <c r="H207" i="4"/>
  <c r="L431" i="5" s="1"/>
  <c r="K206" i="4"/>
  <c r="J206" i="4"/>
  <c r="H206" i="4"/>
  <c r="L334" i="5" s="1"/>
  <c r="J203" i="4"/>
  <c r="K201" i="4"/>
  <c r="K196" i="4"/>
  <c r="H196" i="4"/>
  <c r="L485" i="5" s="1"/>
  <c r="J195" i="4"/>
  <c r="H195" i="4"/>
  <c r="L203" i="5" s="1"/>
  <c r="J194" i="4"/>
  <c r="J190" i="4"/>
  <c r="H190" i="4"/>
  <c r="L127" i="5" s="1"/>
  <c r="K188" i="4"/>
  <c r="K184" i="4"/>
  <c r="K182" i="4"/>
  <c r="H180" i="4"/>
  <c r="L376" i="5" s="1"/>
  <c r="M376" i="5" s="1"/>
  <c r="K179" i="4"/>
  <c r="H179" i="4"/>
  <c r="L425" i="5" s="1"/>
  <c r="K176" i="4"/>
  <c r="K173" i="4"/>
  <c r="J171" i="4"/>
  <c r="K170" i="4"/>
  <c r="H170" i="4"/>
  <c r="L497" i="5" s="1"/>
  <c r="L299" i="7"/>
  <c r="K299" i="7"/>
  <c r="M299" i="7" s="1"/>
  <c r="J299" i="7"/>
  <c r="H299" i="7"/>
  <c r="L298" i="7"/>
  <c r="K298" i="7"/>
  <c r="J298" i="7"/>
  <c r="H298" i="7"/>
  <c r="L297" i="7"/>
  <c r="K297" i="7"/>
  <c r="J297" i="7"/>
  <c r="H297" i="7"/>
  <c r="K296" i="7"/>
  <c r="J296" i="7"/>
  <c r="H296" i="7"/>
  <c r="K295" i="7"/>
  <c r="J295" i="7"/>
  <c r="H295" i="7"/>
  <c r="K294" i="7"/>
  <c r="J294" i="7"/>
  <c r="H294" i="7"/>
  <c r="L293" i="7"/>
  <c r="K293" i="7"/>
  <c r="J293" i="7"/>
  <c r="H293" i="7"/>
  <c r="L292" i="7"/>
  <c r="K292" i="7"/>
  <c r="J292" i="7"/>
  <c r="H292" i="7"/>
  <c r="L291" i="7"/>
  <c r="K291" i="7"/>
  <c r="J291" i="7"/>
  <c r="H291" i="7"/>
  <c r="K290" i="7"/>
  <c r="J290" i="7"/>
  <c r="H290" i="7"/>
  <c r="K289" i="7"/>
  <c r="J289" i="7"/>
  <c r="H289" i="7"/>
  <c r="O288" i="7"/>
  <c r="K288" i="7"/>
  <c r="J288" i="7"/>
  <c r="H288" i="7"/>
  <c r="K287" i="7"/>
  <c r="J287" i="7"/>
  <c r="H287" i="7"/>
  <c r="K286" i="7"/>
  <c r="J286" i="7"/>
  <c r="H286" i="7"/>
  <c r="K285" i="7"/>
  <c r="J285" i="7"/>
  <c r="H285" i="7"/>
  <c r="L284" i="7"/>
  <c r="K284" i="7"/>
  <c r="J284" i="7"/>
  <c r="H284" i="7"/>
  <c r="L283" i="7"/>
  <c r="K283" i="7"/>
  <c r="J283" i="7"/>
  <c r="H283" i="7"/>
  <c r="L282" i="7"/>
  <c r="K282" i="7"/>
  <c r="J282" i="7"/>
  <c r="H282" i="7"/>
  <c r="K281" i="7"/>
  <c r="J281" i="7"/>
  <c r="H281" i="7"/>
  <c r="O280" i="7"/>
  <c r="L280" i="7"/>
  <c r="K280" i="7"/>
  <c r="J280" i="7"/>
  <c r="H280" i="7"/>
  <c r="K279" i="7"/>
  <c r="J279" i="7"/>
  <c r="H279" i="7"/>
  <c r="K278" i="7"/>
  <c r="J278" i="7"/>
  <c r="H278" i="7"/>
  <c r="K277" i="7"/>
  <c r="J277" i="7"/>
  <c r="H277" i="7"/>
  <c r="K276" i="7"/>
  <c r="J276" i="7"/>
  <c r="H276" i="7"/>
  <c r="L275" i="7"/>
  <c r="K275" i="7"/>
  <c r="J275" i="7"/>
  <c r="H275" i="7"/>
  <c r="K274" i="7"/>
  <c r="J274" i="7"/>
  <c r="H274" i="7"/>
  <c r="K273" i="7"/>
  <c r="J273" i="7"/>
  <c r="H273" i="7"/>
  <c r="K272" i="7"/>
  <c r="J272" i="7"/>
  <c r="H272" i="7"/>
  <c r="K271" i="7"/>
  <c r="J271" i="7"/>
  <c r="H271" i="7"/>
  <c r="K270" i="7"/>
  <c r="J270" i="7"/>
  <c r="H270" i="7"/>
  <c r="K269" i="7"/>
  <c r="J269" i="7"/>
  <c r="H269" i="7"/>
  <c r="L268" i="7"/>
  <c r="K268" i="7"/>
  <c r="J268" i="7"/>
  <c r="H268" i="7"/>
  <c r="K267" i="7"/>
  <c r="J267" i="7"/>
  <c r="H267" i="7"/>
  <c r="K266" i="7"/>
  <c r="J266" i="7"/>
  <c r="H266" i="7"/>
  <c r="L265" i="7"/>
  <c r="K265" i="7"/>
  <c r="J265" i="7"/>
  <c r="H265" i="7"/>
  <c r="K264" i="7"/>
  <c r="J264" i="7"/>
  <c r="H264" i="7"/>
  <c r="L263" i="7"/>
  <c r="K263" i="7"/>
  <c r="J263" i="7"/>
  <c r="H263" i="7"/>
  <c r="K262" i="7"/>
  <c r="J262" i="7"/>
  <c r="H262" i="7"/>
  <c r="K261" i="7"/>
  <c r="J261" i="7"/>
  <c r="H261" i="7"/>
  <c r="L260" i="7"/>
  <c r="K260" i="7"/>
  <c r="J260" i="7"/>
  <c r="H260" i="7"/>
  <c r="L259" i="7"/>
  <c r="K259" i="7"/>
  <c r="J259" i="7"/>
  <c r="H259" i="7"/>
  <c r="L258" i="7"/>
  <c r="K258" i="7"/>
  <c r="J258" i="7"/>
  <c r="H258" i="7"/>
  <c r="K257" i="7"/>
  <c r="J257" i="7"/>
  <c r="H257" i="7"/>
  <c r="K256" i="7"/>
  <c r="J256" i="7"/>
  <c r="H256" i="7"/>
  <c r="L255" i="7"/>
  <c r="K255" i="7"/>
  <c r="J255" i="7"/>
  <c r="H255" i="7"/>
  <c r="K254" i="7"/>
  <c r="J254" i="7"/>
  <c r="H254" i="7"/>
  <c r="K253" i="7"/>
  <c r="J253" i="7"/>
  <c r="H253" i="7"/>
  <c r="L252" i="7"/>
  <c r="K252" i="7"/>
  <c r="J252" i="7"/>
  <c r="H252" i="7"/>
  <c r="K251" i="7"/>
  <c r="J251" i="7"/>
  <c r="H251" i="7"/>
  <c r="K250" i="7"/>
  <c r="J250" i="7"/>
  <c r="H250" i="7"/>
  <c r="K249" i="7"/>
  <c r="J249" i="7"/>
  <c r="H249" i="7"/>
  <c r="L248" i="7"/>
  <c r="K248" i="7"/>
  <c r="J248" i="7"/>
  <c r="H248" i="7"/>
  <c r="K247" i="7"/>
  <c r="J247" i="7"/>
  <c r="H247" i="7"/>
  <c r="L246" i="7"/>
  <c r="K246" i="7"/>
  <c r="J246" i="7"/>
  <c r="H246" i="7"/>
  <c r="K245" i="7"/>
  <c r="J245" i="7"/>
  <c r="H245" i="7"/>
  <c r="K244" i="7"/>
  <c r="J244" i="7"/>
  <c r="H244" i="7"/>
  <c r="K243" i="7"/>
  <c r="J243" i="7"/>
  <c r="H243" i="7"/>
  <c r="K242" i="7"/>
  <c r="J242" i="7"/>
  <c r="H242" i="7"/>
  <c r="K241" i="7"/>
  <c r="J241" i="7"/>
  <c r="H241" i="7"/>
  <c r="O240" i="7"/>
  <c r="K240" i="7"/>
  <c r="J240" i="7"/>
  <c r="H240" i="7"/>
  <c r="K239" i="7"/>
  <c r="J239" i="7"/>
  <c r="H239" i="7"/>
  <c r="K238" i="7"/>
  <c r="J238" i="7"/>
  <c r="H238" i="7"/>
  <c r="K237" i="7"/>
  <c r="J237" i="7"/>
  <c r="H237" i="7"/>
  <c r="O236" i="7"/>
  <c r="K236" i="7"/>
  <c r="J236" i="7"/>
  <c r="H236" i="7"/>
  <c r="K235" i="7"/>
  <c r="J235" i="7"/>
  <c r="H235" i="7"/>
  <c r="K234" i="7"/>
  <c r="J234" i="7"/>
  <c r="H234" i="7"/>
  <c r="K233" i="7"/>
  <c r="J233" i="7"/>
  <c r="H233" i="7"/>
  <c r="O232" i="7"/>
  <c r="K232" i="7"/>
  <c r="J232" i="7"/>
  <c r="H232" i="7"/>
  <c r="K231" i="7"/>
  <c r="J231" i="7"/>
  <c r="H231" i="7"/>
  <c r="K230" i="7"/>
  <c r="J230" i="7"/>
  <c r="H230" i="7"/>
  <c r="K229" i="7"/>
  <c r="J229" i="7"/>
  <c r="H229" i="7"/>
  <c r="O228" i="7"/>
  <c r="K228" i="7"/>
  <c r="J228" i="7"/>
  <c r="H228" i="7"/>
  <c r="K227" i="7"/>
  <c r="J227" i="7"/>
  <c r="H227" i="7"/>
  <c r="K226" i="7"/>
  <c r="J226" i="7"/>
  <c r="H226" i="7"/>
  <c r="K225" i="7"/>
  <c r="J225" i="7"/>
  <c r="H225" i="7"/>
  <c r="K224" i="7"/>
  <c r="J224" i="7"/>
  <c r="H224" i="7"/>
  <c r="K223" i="7"/>
  <c r="J223" i="7"/>
  <c r="H223" i="7"/>
  <c r="K222" i="7"/>
  <c r="J222" i="7"/>
  <c r="H222" i="7"/>
  <c r="K221" i="7"/>
  <c r="J221" i="7"/>
  <c r="H221" i="7"/>
  <c r="K220" i="7"/>
  <c r="J220" i="7"/>
  <c r="H220" i="7"/>
  <c r="K219" i="7"/>
  <c r="J219" i="7"/>
  <c r="H219" i="7"/>
  <c r="K218" i="7"/>
  <c r="J218" i="7"/>
  <c r="H218" i="7"/>
  <c r="K217" i="7"/>
  <c r="J217" i="7"/>
  <c r="H217" i="7"/>
  <c r="K216" i="7"/>
  <c r="J216" i="7"/>
  <c r="H216" i="7"/>
  <c r="K215" i="7"/>
  <c r="J215" i="7"/>
  <c r="H215" i="7"/>
  <c r="K214" i="7"/>
  <c r="J214" i="7"/>
  <c r="H214" i="7"/>
  <c r="K213" i="7"/>
  <c r="J213" i="7"/>
  <c r="H213" i="7"/>
  <c r="K212" i="7"/>
  <c r="J212" i="7"/>
  <c r="H212" i="7"/>
  <c r="K211" i="7"/>
  <c r="J211" i="7"/>
  <c r="H211" i="7"/>
  <c r="K210" i="7"/>
  <c r="J210" i="7"/>
  <c r="H210" i="7"/>
  <c r="K209" i="7"/>
  <c r="J209" i="7"/>
  <c r="H209" i="7"/>
  <c r="K208" i="7"/>
  <c r="J208" i="7"/>
  <c r="H208" i="7"/>
  <c r="K207" i="7"/>
  <c r="J207" i="7"/>
  <c r="H207" i="7"/>
  <c r="K206" i="7"/>
  <c r="J206" i="7"/>
  <c r="H206" i="7"/>
  <c r="K205" i="7"/>
  <c r="J205" i="7"/>
  <c r="H205" i="7"/>
  <c r="K204" i="7"/>
  <c r="J204" i="7"/>
  <c r="H204" i="7"/>
  <c r="O203" i="7"/>
  <c r="K203" i="7"/>
  <c r="J203" i="7"/>
  <c r="H203" i="7"/>
  <c r="K202" i="7"/>
  <c r="J202" i="7"/>
  <c r="H202" i="7"/>
  <c r="K201" i="7"/>
  <c r="J201" i="7"/>
  <c r="H201" i="7"/>
  <c r="K200" i="7"/>
  <c r="J200" i="7"/>
  <c r="H200" i="7"/>
  <c r="O199" i="7"/>
  <c r="K199" i="7"/>
  <c r="J199" i="7"/>
  <c r="H199" i="7"/>
  <c r="K198" i="7"/>
  <c r="J198" i="7"/>
  <c r="H198" i="7"/>
  <c r="K197" i="7"/>
  <c r="J197" i="7"/>
  <c r="H197" i="7"/>
  <c r="K196" i="7"/>
  <c r="J196" i="7"/>
  <c r="H196" i="7"/>
  <c r="K195" i="7"/>
  <c r="J195" i="7"/>
  <c r="H195" i="7"/>
  <c r="K194" i="7"/>
  <c r="J194" i="7"/>
  <c r="H194" i="7"/>
  <c r="K193" i="7"/>
  <c r="J193" i="7"/>
  <c r="H193" i="7"/>
  <c r="K192" i="7"/>
  <c r="J192" i="7"/>
  <c r="H192" i="7"/>
  <c r="K191" i="7"/>
  <c r="J191" i="7"/>
  <c r="H191" i="7"/>
  <c r="K190" i="7"/>
  <c r="J190" i="7"/>
  <c r="H190" i="7"/>
  <c r="K189" i="7"/>
  <c r="J189" i="7"/>
  <c r="H189" i="7"/>
  <c r="K188" i="7"/>
  <c r="J188" i="7"/>
  <c r="H188" i="7"/>
  <c r="K187" i="7"/>
  <c r="J187" i="7"/>
  <c r="H187" i="7"/>
  <c r="K186" i="7"/>
  <c r="J186" i="7"/>
  <c r="H186" i="7"/>
  <c r="K185" i="7"/>
  <c r="J185" i="7"/>
  <c r="H185" i="7"/>
  <c r="K184" i="7"/>
  <c r="J184" i="7"/>
  <c r="H184" i="7"/>
  <c r="K183" i="7"/>
  <c r="J183" i="7"/>
  <c r="H183" i="7"/>
  <c r="K182" i="7"/>
  <c r="J182" i="7"/>
  <c r="H182" i="7"/>
  <c r="K181" i="7"/>
  <c r="J181" i="7"/>
  <c r="H181" i="7"/>
  <c r="K180" i="7"/>
  <c r="J180" i="7"/>
  <c r="H180" i="7"/>
  <c r="K179" i="7"/>
  <c r="J179" i="7"/>
  <c r="H179" i="7"/>
  <c r="K178" i="7"/>
  <c r="J178" i="7"/>
  <c r="H178" i="7"/>
  <c r="K177" i="7"/>
  <c r="J177" i="7"/>
  <c r="H177" i="7"/>
  <c r="K176" i="7"/>
  <c r="J176" i="7"/>
  <c r="H176" i="7"/>
  <c r="K175" i="7"/>
  <c r="J175" i="7"/>
  <c r="H175" i="7"/>
  <c r="K174" i="7"/>
  <c r="J174" i="7"/>
  <c r="H174" i="7"/>
  <c r="K173" i="7"/>
  <c r="J173" i="7"/>
  <c r="H173" i="7"/>
  <c r="K172" i="7"/>
  <c r="J172" i="7"/>
  <c r="H172" i="7"/>
  <c r="K171" i="7"/>
  <c r="J171" i="7"/>
  <c r="H171" i="7"/>
  <c r="K170" i="7"/>
  <c r="J170" i="7"/>
  <c r="H170" i="7"/>
  <c r="K169" i="7"/>
  <c r="J169" i="7"/>
  <c r="H169" i="7"/>
  <c r="K168" i="7"/>
  <c r="J168" i="7"/>
  <c r="H168" i="7"/>
  <c r="K167" i="7"/>
  <c r="J167" i="7"/>
  <c r="H167" i="7"/>
  <c r="K166" i="7"/>
  <c r="J166" i="7"/>
  <c r="H166" i="7"/>
  <c r="K165" i="7"/>
  <c r="J165" i="7"/>
  <c r="H165" i="7"/>
  <c r="K164" i="7"/>
  <c r="J164" i="7"/>
  <c r="H164" i="7"/>
  <c r="K163" i="7"/>
  <c r="J163" i="7"/>
  <c r="H163" i="7"/>
  <c r="K162" i="7"/>
  <c r="J162" i="7"/>
  <c r="H162" i="7"/>
  <c r="K161" i="7"/>
  <c r="J161" i="7"/>
  <c r="H161" i="7"/>
  <c r="K160" i="7"/>
  <c r="J160" i="7"/>
  <c r="H160" i="7"/>
  <c r="K159" i="7"/>
  <c r="J159" i="7"/>
  <c r="H159" i="7"/>
  <c r="O158" i="7"/>
  <c r="K158" i="7"/>
  <c r="J158" i="7"/>
  <c r="H158" i="7"/>
  <c r="K157" i="7"/>
  <c r="J157" i="7"/>
  <c r="H157" i="7"/>
  <c r="K156" i="7"/>
  <c r="J156" i="7"/>
  <c r="H156" i="7"/>
  <c r="O155" i="7"/>
  <c r="K155" i="7"/>
  <c r="J155" i="7"/>
  <c r="H155" i="7"/>
  <c r="K154" i="7"/>
  <c r="J154" i="7"/>
  <c r="H154" i="7"/>
  <c r="K153" i="7"/>
  <c r="J153" i="7"/>
  <c r="H153" i="7"/>
  <c r="K152" i="7"/>
  <c r="J152" i="7"/>
  <c r="H152" i="7"/>
  <c r="K151" i="7"/>
  <c r="J151" i="7"/>
  <c r="H151" i="7"/>
  <c r="K150" i="7"/>
  <c r="J150" i="7"/>
  <c r="H150" i="7"/>
  <c r="K149" i="7"/>
  <c r="J149" i="7"/>
  <c r="H149" i="7"/>
  <c r="K148" i="7"/>
  <c r="J148" i="7"/>
  <c r="H148" i="7"/>
  <c r="K147" i="7"/>
  <c r="J147" i="7"/>
  <c r="H147" i="7"/>
  <c r="K146" i="7"/>
  <c r="J146" i="7"/>
  <c r="H146" i="7"/>
  <c r="K145" i="7"/>
  <c r="J145" i="7"/>
  <c r="H145" i="7"/>
  <c r="K144" i="7"/>
  <c r="J144" i="7"/>
  <c r="H144" i="7"/>
  <c r="K143" i="7"/>
  <c r="J143" i="7"/>
  <c r="H143" i="7"/>
  <c r="K142" i="7"/>
  <c r="J142" i="7"/>
  <c r="H142" i="7"/>
  <c r="K141" i="7"/>
  <c r="J141" i="7"/>
  <c r="H141" i="7"/>
  <c r="K140" i="7"/>
  <c r="J140" i="7"/>
  <c r="H140" i="7"/>
  <c r="K139" i="7"/>
  <c r="J139" i="7"/>
  <c r="H139" i="7"/>
  <c r="K138" i="7"/>
  <c r="J138" i="7"/>
  <c r="H138" i="7"/>
  <c r="K137" i="7"/>
  <c r="J137" i="7"/>
  <c r="H137" i="7"/>
  <c r="K136" i="7"/>
  <c r="J136" i="7"/>
  <c r="H136" i="7"/>
  <c r="K135" i="7"/>
  <c r="J135" i="7"/>
  <c r="H135" i="7"/>
  <c r="K134" i="7"/>
  <c r="J134" i="7"/>
  <c r="H134" i="7"/>
  <c r="K133" i="7"/>
  <c r="J133" i="7"/>
  <c r="H133" i="7"/>
  <c r="K132" i="7"/>
  <c r="J132" i="7"/>
  <c r="H132" i="7"/>
  <c r="K131" i="7"/>
  <c r="J131" i="7"/>
  <c r="H131" i="7"/>
  <c r="K130" i="7"/>
  <c r="J130" i="7"/>
  <c r="H130" i="7"/>
  <c r="K129" i="7"/>
  <c r="J129" i="7"/>
  <c r="H129" i="7"/>
  <c r="K128" i="7"/>
  <c r="J128" i="7"/>
  <c r="H128" i="7"/>
  <c r="K127" i="7"/>
  <c r="J127" i="7"/>
  <c r="H127" i="7"/>
  <c r="K126" i="7"/>
  <c r="J126" i="7"/>
  <c r="H126" i="7"/>
  <c r="K125" i="7"/>
  <c r="J125" i="7"/>
  <c r="H125" i="7"/>
  <c r="K124" i="7"/>
  <c r="J124" i="7"/>
  <c r="H124" i="7"/>
  <c r="K123" i="7"/>
  <c r="J123" i="7"/>
  <c r="H123" i="7"/>
  <c r="K122" i="7"/>
  <c r="J122" i="7"/>
  <c r="H122" i="7"/>
  <c r="K121" i="7"/>
  <c r="J121" i="7"/>
  <c r="H121" i="7"/>
  <c r="K120" i="7"/>
  <c r="J120" i="7"/>
  <c r="H120" i="7"/>
  <c r="K119" i="7"/>
  <c r="J119" i="7"/>
  <c r="H119" i="7"/>
  <c r="K118" i="7"/>
  <c r="J118" i="7"/>
  <c r="H118" i="7"/>
  <c r="L117" i="7"/>
  <c r="K117" i="7"/>
  <c r="J117" i="7"/>
  <c r="H117" i="7"/>
  <c r="K116" i="7"/>
  <c r="J116" i="7"/>
  <c r="H116" i="7"/>
  <c r="K115" i="7"/>
  <c r="J115" i="7"/>
  <c r="H115" i="7"/>
  <c r="K114" i="7"/>
  <c r="J114" i="7"/>
  <c r="H114" i="7"/>
  <c r="K113" i="7"/>
  <c r="J113" i="7"/>
  <c r="H113" i="7"/>
  <c r="K112" i="7"/>
  <c r="J112" i="7"/>
  <c r="H112" i="7"/>
  <c r="K111" i="7"/>
  <c r="J111" i="7"/>
  <c r="H111" i="7"/>
  <c r="K110" i="7"/>
  <c r="J110" i="7"/>
  <c r="H110" i="7"/>
  <c r="K109" i="7"/>
  <c r="J109" i="7"/>
  <c r="H109" i="7"/>
  <c r="K108" i="7"/>
  <c r="J108" i="7"/>
  <c r="H108" i="7"/>
  <c r="K107" i="7"/>
  <c r="J107" i="7"/>
  <c r="H107" i="7"/>
  <c r="K106" i="7"/>
  <c r="J106" i="7"/>
  <c r="H106" i="7"/>
  <c r="K105" i="7"/>
  <c r="J105" i="7"/>
  <c r="H105" i="7"/>
  <c r="K104" i="7"/>
  <c r="J104" i="7"/>
  <c r="H104" i="7"/>
  <c r="L103" i="7"/>
  <c r="K103" i="7"/>
  <c r="J103" i="7"/>
  <c r="H103" i="7"/>
  <c r="K102" i="7"/>
  <c r="J102" i="7"/>
  <c r="H102" i="7"/>
  <c r="K101" i="7"/>
  <c r="J101" i="7"/>
  <c r="H101" i="7"/>
  <c r="K100" i="7"/>
  <c r="J100" i="7"/>
  <c r="H100" i="7"/>
  <c r="K99" i="7"/>
  <c r="J99" i="7"/>
  <c r="H99" i="7"/>
  <c r="L98" i="7"/>
  <c r="K98" i="7"/>
  <c r="J98" i="7"/>
  <c r="H98" i="7"/>
  <c r="K97" i="7"/>
  <c r="J97" i="7"/>
  <c r="H97" i="7"/>
  <c r="K96" i="7"/>
  <c r="J96" i="7"/>
  <c r="H96" i="7"/>
  <c r="K95" i="7"/>
  <c r="J95" i="7"/>
  <c r="H95" i="7"/>
  <c r="K94" i="7"/>
  <c r="J94" i="7"/>
  <c r="H94" i="7"/>
  <c r="K93" i="7"/>
  <c r="J93" i="7"/>
  <c r="H93" i="7"/>
  <c r="K92" i="7"/>
  <c r="J92" i="7"/>
  <c r="H92" i="7"/>
  <c r="K91" i="7"/>
  <c r="J91" i="7"/>
  <c r="H91" i="7"/>
  <c r="K90" i="7"/>
  <c r="J90" i="7"/>
  <c r="H90" i="7"/>
  <c r="L89" i="7"/>
  <c r="K89" i="7"/>
  <c r="J89" i="7"/>
  <c r="H89" i="7"/>
  <c r="H490" i="6"/>
  <c r="H489" i="6"/>
  <c r="H488" i="6"/>
  <c r="I487" i="6"/>
  <c r="J487" i="6" s="1"/>
  <c r="L486" i="6"/>
  <c r="I486" i="6"/>
  <c r="J486" i="6" s="1"/>
  <c r="H484" i="6"/>
  <c r="H483" i="6"/>
  <c r="H482" i="6"/>
  <c r="I481" i="6"/>
  <c r="J481" i="6" s="1"/>
  <c r="L480" i="6"/>
  <c r="H480" i="6"/>
  <c r="I479" i="6"/>
  <c r="J479" i="6" s="1"/>
  <c r="I478" i="6"/>
  <c r="J478" i="6" s="1"/>
  <c r="I477" i="6"/>
  <c r="J477" i="6" s="1"/>
  <c r="H476" i="6"/>
  <c r="I475" i="6"/>
  <c r="J475" i="6" s="1"/>
  <c r="I474" i="6"/>
  <c r="J474" i="6" s="1"/>
  <c r="I473" i="6"/>
  <c r="J473" i="6" s="1"/>
  <c r="H471" i="6"/>
  <c r="I470" i="6"/>
  <c r="J470" i="6" s="1"/>
  <c r="I468" i="6"/>
  <c r="J468" i="6" s="1"/>
  <c r="H467" i="6"/>
  <c r="H465" i="6"/>
  <c r="I464" i="6"/>
  <c r="J464" i="6" s="1"/>
  <c r="I463" i="6"/>
  <c r="J463" i="6" s="1"/>
  <c r="I462" i="6"/>
  <c r="J462" i="6" s="1"/>
  <c r="L461" i="6"/>
  <c r="H461" i="6"/>
  <c r="H460" i="6"/>
  <c r="I459" i="6"/>
  <c r="J459" i="6" s="1"/>
  <c r="I458" i="6"/>
  <c r="J458" i="6" s="1"/>
  <c r="H457" i="6"/>
  <c r="H456" i="6"/>
  <c r="I455" i="6"/>
  <c r="J455" i="6" s="1"/>
  <c r="I453" i="6"/>
  <c r="J453" i="6" s="1"/>
  <c r="H452" i="6"/>
  <c r="I451" i="6"/>
  <c r="J451" i="6" s="1"/>
  <c r="I450" i="6"/>
  <c r="J450" i="6" s="1"/>
  <c r="H449" i="6"/>
  <c r="I448" i="6"/>
  <c r="J448" i="6" s="1"/>
  <c r="H447" i="6"/>
  <c r="I446" i="6"/>
  <c r="J446" i="6" s="1"/>
  <c r="H445" i="6"/>
  <c r="I444" i="6"/>
  <c r="J444" i="6" s="1"/>
  <c r="H443" i="6"/>
  <c r="I442" i="6"/>
  <c r="J442" i="6" s="1"/>
  <c r="H441" i="6"/>
  <c r="H440" i="6"/>
  <c r="I439" i="6"/>
  <c r="J439" i="6" s="1"/>
  <c r="I438" i="6"/>
  <c r="J438" i="6" s="1"/>
  <c r="H437" i="6"/>
  <c r="H436" i="6"/>
  <c r="H435" i="6"/>
  <c r="I434" i="6"/>
  <c r="J434" i="6" s="1"/>
  <c r="I433" i="6"/>
  <c r="J433" i="6" s="1"/>
  <c r="H432" i="6"/>
  <c r="I431" i="6"/>
  <c r="J431" i="6" s="1"/>
  <c r="I430" i="6"/>
  <c r="J430" i="6" s="1"/>
  <c r="H429" i="6"/>
  <c r="I428" i="6"/>
  <c r="J428" i="6" s="1"/>
  <c r="H428" i="6"/>
  <c r="H427" i="6"/>
  <c r="I426" i="6"/>
  <c r="J426" i="6" s="1"/>
  <c r="I425" i="6"/>
  <c r="J425" i="6" s="1"/>
  <c r="I424" i="6"/>
  <c r="J424" i="6" s="1"/>
  <c r="H423" i="6"/>
  <c r="I422" i="6"/>
  <c r="J422" i="6" s="1"/>
  <c r="H421" i="6"/>
  <c r="H420" i="6"/>
  <c r="H419" i="6"/>
  <c r="I418" i="6"/>
  <c r="J418" i="6" s="1"/>
  <c r="H417" i="6"/>
  <c r="H416" i="6"/>
  <c r="I415" i="6"/>
  <c r="J415" i="6" s="1"/>
  <c r="I414" i="6"/>
  <c r="J414" i="6" s="1"/>
  <c r="H413" i="6"/>
  <c r="H412" i="6"/>
  <c r="H411" i="6"/>
  <c r="H410" i="6"/>
  <c r="H409" i="6"/>
  <c r="H408" i="6"/>
  <c r="I407" i="6"/>
  <c r="J407" i="6" s="1"/>
  <c r="I406" i="6"/>
  <c r="J406" i="6" s="1"/>
  <c r="H405" i="6"/>
  <c r="H404" i="6"/>
  <c r="H403" i="6"/>
  <c r="H402" i="6"/>
  <c r="H401" i="6"/>
  <c r="H400" i="6"/>
  <c r="H399" i="6"/>
  <c r="H398" i="6"/>
  <c r="H397" i="6"/>
  <c r="H396" i="6"/>
  <c r="I395" i="6"/>
  <c r="J395" i="6" s="1"/>
  <c r="I394" i="6"/>
  <c r="J394" i="6" s="1"/>
  <c r="I292" i="6"/>
  <c r="J292" i="6" s="1"/>
  <c r="H291" i="6"/>
  <c r="I289" i="6"/>
  <c r="J289" i="6" s="1"/>
  <c r="H288" i="6"/>
  <c r="I287" i="6"/>
  <c r="J287" i="6" s="1"/>
  <c r="H287" i="6"/>
  <c r="I286" i="6"/>
  <c r="J286" i="6" s="1"/>
  <c r="H286" i="6"/>
  <c r="H285" i="6"/>
  <c r="I284" i="6"/>
  <c r="J284" i="6" s="1"/>
  <c r="H283" i="6"/>
  <c r="I282" i="6"/>
  <c r="J282" i="6" s="1"/>
  <c r="I281" i="6"/>
  <c r="J281" i="6" s="1"/>
  <c r="H281" i="6"/>
  <c r="I280" i="6"/>
  <c r="J280" i="6" s="1"/>
  <c r="I277" i="6"/>
  <c r="J277" i="6" s="1"/>
  <c r="H277" i="6"/>
  <c r="I276" i="6"/>
  <c r="J276" i="6" s="1"/>
  <c r="I275" i="6"/>
  <c r="J275" i="6" s="1"/>
  <c r="H273" i="6"/>
  <c r="I272" i="6"/>
  <c r="J272" i="6" s="1"/>
  <c r="I271" i="6"/>
  <c r="J271" i="6" s="1"/>
  <c r="H271" i="6"/>
  <c r="I270" i="6"/>
  <c r="J270" i="6" s="1"/>
  <c r="H269" i="6"/>
  <c r="I268" i="6"/>
  <c r="J268" i="6" s="1"/>
  <c r="I266" i="6"/>
  <c r="J266" i="6" s="1"/>
  <c r="H266" i="6"/>
  <c r="I263" i="6"/>
  <c r="J263" i="6" s="1"/>
  <c r="H263" i="6"/>
  <c r="I262" i="6"/>
  <c r="J262" i="6" s="1"/>
  <c r="I261" i="6"/>
  <c r="J261" i="6" s="1"/>
  <c r="I259" i="6"/>
  <c r="J259" i="6" s="1"/>
  <c r="I258" i="6"/>
  <c r="J258" i="6" s="1"/>
  <c r="I257" i="6"/>
  <c r="J257" i="6" s="1"/>
  <c r="H256" i="6"/>
  <c r="I255" i="6"/>
  <c r="J255" i="6" s="1"/>
  <c r="H255" i="6"/>
  <c r="H253" i="6"/>
  <c r="I251" i="6"/>
  <c r="J251" i="6" s="1"/>
  <c r="I250" i="6"/>
  <c r="J250" i="6" s="1"/>
  <c r="H250" i="6"/>
  <c r="H247" i="6"/>
  <c r="I244" i="6"/>
  <c r="J244" i="6" s="1"/>
  <c r="H243" i="6"/>
  <c r="I242" i="6"/>
  <c r="J242" i="6" s="1"/>
  <c r="I240" i="6"/>
  <c r="J240" i="6" s="1"/>
  <c r="H240" i="6"/>
  <c r="I238" i="6"/>
  <c r="J238" i="6" s="1"/>
  <c r="I237" i="6"/>
  <c r="J237" i="6" s="1"/>
  <c r="I236" i="6"/>
  <c r="J236" i="6" s="1"/>
  <c r="I235" i="6"/>
  <c r="J235" i="6" s="1"/>
  <c r="H233" i="6"/>
  <c r="H232" i="6"/>
  <c r="I231" i="6"/>
  <c r="J231" i="6" s="1"/>
  <c r="H231" i="6"/>
  <c r="H228" i="6"/>
  <c r="I227" i="6"/>
  <c r="J227" i="6" s="1"/>
  <c r="I224" i="6"/>
  <c r="J224" i="6" s="1"/>
  <c r="H223" i="6"/>
  <c r="I222" i="6"/>
  <c r="J222" i="6" s="1"/>
  <c r="H222" i="6"/>
  <c r="I221" i="6"/>
  <c r="J221" i="6" s="1"/>
  <c r="H221" i="6"/>
  <c r="H220" i="6"/>
  <c r="I218" i="6"/>
  <c r="J218" i="6" s="1"/>
  <c r="I215" i="6"/>
  <c r="J215" i="6" s="1"/>
  <c r="I213" i="6"/>
  <c r="J213" i="6" s="1"/>
  <c r="I212" i="6"/>
  <c r="J212" i="6" s="1"/>
  <c r="I210" i="6"/>
  <c r="J210" i="6" s="1"/>
  <c r="H210" i="6"/>
  <c r="I209" i="6"/>
  <c r="J209" i="6" s="1"/>
  <c r="I208" i="6"/>
  <c r="J208" i="6" s="1"/>
  <c r="H34" i="6"/>
  <c r="I33" i="6"/>
  <c r="J33" i="6" s="1"/>
  <c r="H32" i="6"/>
  <c r="H31" i="6"/>
  <c r="H30" i="6"/>
  <c r="H28" i="6"/>
  <c r="I27" i="6"/>
  <c r="J27" i="6" s="1"/>
  <c r="I26" i="6"/>
  <c r="J26" i="6" s="1"/>
  <c r="H25" i="6"/>
  <c r="I24" i="6"/>
  <c r="J24" i="6" s="1"/>
  <c r="I23" i="6"/>
  <c r="J23" i="6" s="1"/>
  <c r="I22" i="6"/>
  <c r="J22" i="6" s="1"/>
  <c r="H22" i="6"/>
  <c r="F486" i="5"/>
  <c r="F466" i="5"/>
  <c r="F467" i="5"/>
  <c r="F433" i="5"/>
  <c r="F222" i="5"/>
  <c r="F298" i="5"/>
  <c r="F306" i="5"/>
  <c r="F337" i="5"/>
  <c r="F248" i="5"/>
  <c r="F96" i="5"/>
  <c r="F83" i="5"/>
  <c r="F470" i="5"/>
  <c r="F280" i="5"/>
  <c r="F383" i="5"/>
  <c r="F228" i="5"/>
  <c r="F109" i="5"/>
  <c r="F268" i="5"/>
  <c r="F461" i="5"/>
  <c r="F420" i="5"/>
  <c r="G420" i="5" s="1"/>
  <c r="F142" i="5"/>
  <c r="F381" i="5"/>
  <c r="F38" i="5"/>
  <c r="F342" i="5"/>
  <c r="F493" i="5"/>
  <c r="F445" i="5"/>
  <c r="F407" i="5"/>
  <c r="F292" i="5"/>
  <c r="F210" i="5"/>
  <c r="F427" i="5"/>
  <c r="F339" i="5"/>
  <c r="F430" i="5"/>
  <c r="F328" i="5"/>
  <c r="F359" i="5"/>
  <c r="F318" i="5"/>
  <c r="F201" i="5"/>
  <c r="F491" i="5"/>
  <c r="F415" i="5"/>
  <c r="F40" i="5"/>
  <c r="F434" i="5"/>
  <c r="F162" i="5"/>
  <c r="F212" i="5"/>
  <c r="F371" i="5"/>
  <c r="F263" i="5"/>
  <c r="F152" i="5"/>
  <c r="F398" i="5"/>
  <c r="F389" i="5"/>
  <c r="F377" i="5"/>
  <c r="F480" i="5"/>
  <c r="F332" i="5"/>
  <c r="F386" i="5"/>
  <c r="F193" i="5"/>
  <c r="F431" i="5"/>
  <c r="F25" i="5"/>
  <c r="F498" i="5"/>
  <c r="F125" i="5"/>
  <c r="F159" i="5"/>
  <c r="F127" i="5"/>
  <c r="F48" i="5"/>
  <c r="F313" i="5"/>
  <c r="F282" i="5"/>
  <c r="F376" i="5"/>
  <c r="F425" i="5"/>
  <c r="F115" i="5"/>
  <c r="F373" i="5"/>
  <c r="F260" i="5"/>
  <c r="F46" i="5"/>
  <c r="F8" i="5"/>
  <c r="F265" i="5"/>
  <c r="F155" i="5"/>
  <c r="F165" i="5"/>
  <c r="F426" i="5"/>
  <c r="F379" i="5"/>
  <c r="G379" i="5" s="1"/>
  <c r="F124" i="5"/>
  <c r="F226" i="5"/>
  <c r="F17" i="5"/>
  <c r="G17" i="5" s="1"/>
  <c r="F326" i="5"/>
  <c r="K474" i="4"/>
  <c r="H470" i="4"/>
  <c r="L121" i="5" s="1"/>
  <c r="M121" i="5" s="1"/>
  <c r="H468" i="4"/>
  <c r="L479" i="5" s="1"/>
  <c r="M479" i="5" s="1"/>
  <c r="H461" i="4"/>
  <c r="L306" i="5" s="1"/>
  <c r="K460" i="4"/>
  <c r="H459" i="4"/>
  <c r="L230" i="5" s="1"/>
  <c r="M230" i="5" s="1"/>
  <c r="J446" i="4"/>
  <c r="H445" i="4"/>
  <c r="L470" i="5" s="1"/>
  <c r="M470" i="5" s="1"/>
  <c r="K444" i="4"/>
  <c r="J442" i="4"/>
  <c r="K440" i="4"/>
  <c r="J434" i="4"/>
  <c r="H433" i="4"/>
  <c r="L315" i="5" s="1"/>
  <c r="H432" i="4"/>
  <c r="L45" i="5" s="1"/>
  <c r="M45" i="5" s="1"/>
  <c r="E432" i="6" s="1"/>
  <c r="H431" i="4"/>
  <c r="L296" i="5" s="1"/>
  <c r="K430" i="4"/>
  <c r="K428" i="4"/>
  <c r="J427" i="4"/>
  <c r="J426" i="4"/>
  <c r="K425" i="4"/>
  <c r="H422" i="4"/>
  <c r="L372" i="5" s="1"/>
  <c r="J413" i="4"/>
  <c r="K406" i="4"/>
  <c r="H406" i="4"/>
  <c r="L38" i="5" s="1"/>
  <c r="K405" i="4"/>
  <c r="H404" i="4"/>
  <c r="L347" i="5" s="1"/>
  <c r="H400" i="4"/>
  <c r="L11" i="5" s="1"/>
  <c r="J398" i="4"/>
  <c r="H393" i="4"/>
  <c r="L200" i="5" s="1"/>
  <c r="M200" i="5" s="1"/>
  <c r="K391" i="4"/>
  <c r="H391" i="4"/>
  <c r="L493" i="5" s="1"/>
  <c r="M493" i="5" s="1"/>
  <c r="J388" i="4"/>
  <c r="H383" i="4"/>
  <c r="L428" i="5" s="1"/>
  <c r="J382" i="4"/>
  <c r="K381" i="4"/>
  <c r="J377" i="4"/>
  <c r="K375" i="4"/>
  <c r="H375" i="4"/>
  <c r="L439" i="5" s="1"/>
  <c r="K372" i="4"/>
  <c r="J371" i="4"/>
  <c r="H369" i="4"/>
  <c r="L328" i="5" s="1"/>
  <c r="M328" i="5" s="1"/>
  <c r="E369" i="6" s="1"/>
  <c r="J366" i="4"/>
  <c r="J364" i="4"/>
  <c r="J360" i="4"/>
  <c r="H359" i="4"/>
  <c r="L289" i="5" s="1"/>
  <c r="M289" i="5" s="1"/>
  <c r="J358" i="4"/>
  <c r="H348" i="4"/>
  <c r="L39" i="5" s="1"/>
  <c r="K346" i="4"/>
  <c r="K344" i="4"/>
  <c r="K343" i="4"/>
  <c r="K341" i="4"/>
  <c r="H341" i="4"/>
  <c r="L491" i="5" s="1"/>
  <c r="K340" i="4"/>
  <c r="H340" i="4"/>
  <c r="L415" i="5" s="1"/>
  <c r="M415" i="5" s="1"/>
  <c r="H339" i="4"/>
  <c r="L336" i="5" s="1"/>
  <c r="M336" i="5" s="1"/>
  <c r="E339" i="6" s="1"/>
  <c r="H333" i="4"/>
  <c r="L240" i="5" s="1"/>
  <c r="M240" i="5" s="1"/>
  <c r="K332" i="4"/>
  <c r="K331" i="4"/>
  <c r="K329" i="4"/>
  <c r="K328" i="4"/>
  <c r="H327" i="4"/>
  <c r="L179" i="5" s="1"/>
  <c r="M179" i="5" s="1"/>
  <c r="K326" i="4"/>
  <c r="H326" i="4"/>
  <c r="L400" i="5" s="1"/>
  <c r="K316" i="4"/>
  <c r="K315" i="4"/>
  <c r="H312" i="4"/>
  <c r="L263" i="5" s="1"/>
  <c r="M263" i="5" s="1"/>
  <c r="K311" i="4"/>
  <c r="H306" i="4"/>
  <c r="L495" i="5" s="1"/>
  <c r="H303" i="4"/>
  <c r="L446" i="5" s="1"/>
  <c r="K302" i="4"/>
  <c r="J301" i="4"/>
  <c r="H294" i="4"/>
  <c r="L219" i="5" s="1"/>
  <c r="J293" i="4"/>
  <c r="K292" i="4"/>
  <c r="K291" i="4"/>
  <c r="K290" i="4"/>
  <c r="K289" i="4"/>
  <c r="K288" i="4"/>
  <c r="H288" i="4"/>
  <c r="L290" i="5" s="1"/>
  <c r="K287" i="4"/>
  <c r="K286" i="4"/>
  <c r="J286" i="4"/>
  <c r="H286" i="4"/>
  <c r="L194" i="5" s="1"/>
  <c r="K282" i="4"/>
  <c r="J277" i="4"/>
  <c r="J273" i="4"/>
  <c r="H273" i="4"/>
  <c r="L399" i="5" s="1"/>
  <c r="J272" i="4"/>
  <c r="K269" i="4"/>
  <c r="H269" i="4"/>
  <c r="L465" i="5" s="1"/>
  <c r="H268" i="4"/>
  <c r="L310" i="5" s="1"/>
  <c r="K267" i="4"/>
  <c r="H267" i="4"/>
  <c r="L274" i="5" s="1"/>
  <c r="J260" i="4"/>
  <c r="K259" i="4"/>
  <c r="J256" i="4"/>
  <c r="K252" i="4"/>
  <c r="K247" i="4"/>
  <c r="K245" i="4"/>
  <c r="J245" i="4"/>
  <c r="J244" i="4"/>
  <c r="H244" i="4"/>
  <c r="L357" i="5" s="1"/>
  <c r="K243" i="4"/>
  <c r="H243" i="4"/>
  <c r="L401" i="5" s="1"/>
  <c r="J241" i="4"/>
  <c r="J239" i="4"/>
  <c r="J235" i="4"/>
  <c r="K231" i="4"/>
  <c r="K228" i="4"/>
  <c r="H228" i="4"/>
  <c r="L413" i="5" s="1"/>
  <c r="J226" i="4"/>
  <c r="K224" i="4"/>
  <c r="J224" i="4"/>
  <c r="K220" i="4"/>
  <c r="J220" i="4"/>
  <c r="H220" i="4"/>
  <c r="L367" i="5" s="1"/>
  <c r="M367" i="5" s="1"/>
  <c r="J219" i="4"/>
  <c r="H219" i="4"/>
  <c r="L213" i="5" s="1"/>
  <c r="J214" i="4"/>
  <c r="H201" i="4"/>
  <c r="L125" i="5" s="1"/>
  <c r="M125" i="5" s="1"/>
  <c r="K198" i="4"/>
  <c r="H197" i="4"/>
  <c r="L180" i="5" s="1"/>
  <c r="K193" i="4"/>
  <c r="H192" i="4"/>
  <c r="L172" i="5" s="1"/>
  <c r="M172" i="5" s="1"/>
  <c r="K190" i="4"/>
  <c r="K187" i="4"/>
  <c r="J187" i="4"/>
  <c r="K186" i="4"/>
  <c r="K185" i="4"/>
  <c r="K183" i="4"/>
  <c r="J180" i="4"/>
  <c r="J175" i="4"/>
  <c r="J172" i="4"/>
  <c r="J170" i="4"/>
  <c r="K88" i="7"/>
  <c r="J88" i="7"/>
  <c r="H88" i="7"/>
  <c r="K87" i="7"/>
  <c r="J87" i="7"/>
  <c r="H87" i="7"/>
  <c r="K86" i="7"/>
  <c r="J86" i="7"/>
  <c r="H86" i="7"/>
  <c r="K85" i="7"/>
  <c r="J85" i="7"/>
  <c r="H85" i="7"/>
  <c r="K84" i="7"/>
  <c r="J84" i="7"/>
  <c r="H84" i="7"/>
  <c r="L83" i="7"/>
  <c r="K83" i="7"/>
  <c r="J83" i="7"/>
  <c r="H83" i="7"/>
  <c r="K82" i="7"/>
  <c r="J82" i="7"/>
  <c r="H82" i="7"/>
  <c r="L81" i="7"/>
  <c r="K81" i="7"/>
  <c r="J81" i="7"/>
  <c r="H81" i="7"/>
  <c r="K80" i="7"/>
  <c r="J80" i="7"/>
  <c r="H80" i="7"/>
  <c r="K79" i="7"/>
  <c r="J79" i="7"/>
  <c r="H79" i="7"/>
  <c r="K78" i="7"/>
  <c r="J78" i="7"/>
  <c r="H78" i="7"/>
  <c r="K77" i="7"/>
  <c r="J77" i="7"/>
  <c r="H77" i="7"/>
  <c r="K76" i="7"/>
  <c r="J76" i="7"/>
  <c r="H76" i="7"/>
  <c r="K75" i="7"/>
  <c r="J75" i="7"/>
  <c r="H75" i="7"/>
  <c r="K74" i="7"/>
  <c r="J74" i="7"/>
  <c r="H74" i="7"/>
  <c r="K73" i="7"/>
  <c r="J73" i="7"/>
  <c r="H73" i="7"/>
  <c r="K72" i="7"/>
  <c r="J72" i="7"/>
  <c r="H72" i="7"/>
  <c r="L71" i="7"/>
  <c r="K71" i="7"/>
  <c r="J71" i="7"/>
  <c r="H71" i="7"/>
  <c r="K70" i="7"/>
  <c r="J70" i="7"/>
  <c r="H70" i="7"/>
  <c r="K69" i="7"/>
  <c r="J69" i="7"/>
  <c r="H69" i="7"/>
  <c r="K68" i="7"/>
  <c r="J68" i="7"/>
  <c r="H68" i="7"/>
  <c r="K67" i="7"/>
  <c r="J67" i="7"/>
  <c r="H67" i="7"/>
  <c r="K66" i="7"/>
  <c r="J66" i="7"/>
  <c r="H66" i="7"/>
  <c r="K65" i="7"/>
  <c r="J65" i="7"/>
  <c r="H65" i="7"/>
  <c r="K64" i="7"/>
  <c r="J64" i="7"/>
  <c r="H64" i="7"/>
  <c r="K63" i="7"/>
  <c r="J63" i="7"/>
  <c r="H63" i="7"/>
  <c r="K62" i="7"/>
  <c r="J62" i="7"/>
  <c r="H62" i="7"/>
  <c r="K61" i="7"/>
  <c r="J61" i="7"/>
  <c r="H61" i="7"/>
  <c r="K60" i="7"/>
  <c r="J60" i="7"/>
  <c r="H60" i="7"/>
  <c r="K59" i="7"/>
  <c r="J59" i="7"/>
  <c r="H59" i="7"/>
  <c r="K58" i="7"/>
  <c r="J58" i="7"/>
  <c r="H58" i="7"/>
  <c r="K57" i="7"/>
  <c r="J57" i="7"/>
  <c r="H57" i="7"/>
  <c r="K56" i="7"/>
  <c r="J56" i="7"/>
  <c r="H56" i="7"/>
  <c r="L55" i="7"/>
  <c r="K55" i="7"/>
  <c r="J55" i="7"/>
  <c r="H55" i="7"/>
  <c r="K54" i="7"/>
  <c r="J54" i="7"/>
  <c r="H54" i="7"/>
  <c r="K53" i="7"/>
  <c r="J53" i="7"/>
  <c r="H53" i="7"/>
  <c r="O52" i="7"/>
  <c r="K52" i="7"/>
  <c r="J52" i="7"/>
  <c r="H52" i="7"/>
  <c r="K51" i="7"/>
  <c r="J51" i="7"/>
  <c r="H51" i="7"/>
  <c r="K50" i="7"/>
  <c r="J50" i="7"/>
  <c r="H50" i="7"/>
  <c r="K49" i="7"/>
  <c r="J49" i="7"/>
  <c r="H49" i="7"/>
  <c r="L48" i="7"/>
  <c r="K48" i="7"/>
  <c r="J48" i="7"/>
  <c r="H48" i="7"/>
  <c r="L47" i="7"/>
  <c r="K47" i="7"/>
  <c r="J47" i="7"/>
  <c r="H47" i="7"/>
  <c r="L46" i="7"/>
  <c r="K46" i="7"/>
  <c r="J46" i="7"/>
  <c r="H46" i="7"/>
  <c r="K45" i="7"/>
  <c r="J45" i="7"/>
  <c r="H45" i="7"/>
  <c r="K44" i="7"/>
  <c r="J44" i="7"/>
  <c r="H44" i="7"/>
  <c r="K43" i="7"/>
  <c r="J43" i="7"/>
  <c r="H43" i="7"/>
  <c r="O42" i="7"/>
  <c r="K42" i="7"/>
  <c r="J42" i="7"/>
  <c r="H42" i="7"/>
  <c r="K41" i="7"/>
  <c r="J41" i="7"/>
  <c r="H41" i="7"/>
  <c r="K40" i="7"/>
  <c r="J40" i="7"/>
  <c r="H40" i="7"/>
  <c r="K39" i="7"/>
  <c r="J39" i="7"/>
  <c r="H39" i="7"/>
  <c r="K38" i="7"/>
  <c r="J38" i="7"/>
  <c r="H38" i="7"/>
  <c r="K37" i="7"/>
  <c r="J37" i="7"/>
  <c r="H37" i="7"/>
  <c r="K36" i="7"/>
  <c r="J36" i="7"/>
  <c r="H36" i="7"/>
  <c r="K35" i="7"/>
  <c r="J35" i="7"/>
  <c r="H35" i="7"/>
  <c r="O34" i="7"/>
  <c r="K34" i="7"/>
  <c r="J34" i="7"/>
  <c r="H34" i="7"/>
  <c r="K33" i="7"/>
  <c r="J33" i="7"/>
  <c r="H33" i="7"/>
  <c r="K32" i="7"/>
  <c r="J32" i="7"/>
  <c r="H32" i="7"/>
  <c r="K31" i="7"/>
  <c r="J31" i="7"/>
  <c r="H31" i="7"/>
  <c r="K30" i="7"/>
  <c r="J30" i="7"/>
  <c r="H30" i="7"/>
  <c r="K29" i="7"/>
  <c r="J29" i="7"/>
  <c r="H29" i="7"/>
  <c r="K28" i="7"/>
  <c r="J28" i="7"/>
  <c r="H28" i="7"/>
  <c r="K27" i="7"/>
  <c r="J27" i="7"/>
  <c r="H27" i="7"/>
  <c r="K26" i="7"/>
  <c r="J26" i="7"/>
  <c r="H26" i="7"/>
  <c r="K25" i="7"/>
  <c r="J25" i="7"/>
  <c r="H25" i="7"/>
  <c r="K24" i="7"/>
  <c r="J24" i="7"/>
  <c r="H24" i="7"/>
  <c r="K23" i="7"/>
  <c r="J23" i="7"/>
  <c r="H23" i="7"/>
  <c r="K22" i="7"/>
  <c r="J22" i="7"/>
  <c r="H22" i="7"/>
  <c r="K21" i="7"/>
  <c r="J21" i="7"/>
  <c r="H21" i="7"/>
  <c r="K20" i="7"/>
  <c r="J20" i="7"/>
  <c r="H20" i="7"/>
  <c r="K19" i="7"/>
  <c r="J19" i="7"/>
  <c r="H19" i="7"/>
  <c r="O18" i="7"/>
  <c r="K18" i="7"/>
  <c r="J18" i="7"/>
  <c r="H18" i="7"/>
  <c r="O17" i="7"/>
  <c r="K17" i="7"/>
  <c r="J17" i="7"/>
  <c r="H17" i="7"/>
  <c r="K16" i="7"/>
  <c r="J16" i="7"/>
  <c r="H16" i="7"/>
  <c r="K15" i="7"/>
  <c r="J15" i="7"/>
  <c r="H15" i="7"/>
  <c r="K14" i="7"/>
  <c r="J14" i="7"/>
  <c r="H14" i="7"/>
  <c r="K13" i="7"/>
  <c r="J13" i="7"/>
  <c r="H13" i="7"/>
  <c r="K12" i="7"/>
  <c r="J12" i="7"/>
  <c r="H12" i="7"/>
  <c r="K11" i="7"/>
  <c r="J11" i="7"/>
  <c r="H11" i="7"/>
  <c r="K10" i="7"/>
  <c r="J10" i="7"/>
  <c r="H10" i="7"/>
  <c r="K9" i="7"/>
  <c r="J9" i="7"/>
  <c r="H9" i="7"/>
  <c r="L8" i="7"/>
  <c r="K8" i="7"/>
  <c r="J8" i="7"/>
  <c r="H8" i="7"/>
  <c r="K7" i="7"/>
  <c r="J7" i="7"/>
  <c r="H7" i="7"/>
  <c r="K6" i="7"/>
  <c r="J6" i="7"/>
  <c r="H6" i="7"/>
  <c r="L5" i="7"/>
  <c r="J5" i="7"/>
  <c r="I504" i="6"/>
  <c r="J504" i="6" s="1"/>
  <c r="H504" i="6"/>
  <c r="L503" i="6"/>
  <c r="I503" i="6"/>
  <c r="J503" i="6" s="1"/>
  <c r="H503" i="6"/>
  <c r="L502" i="6"/>
  <c r="I502" i="6"/>
  <c r="J502" i="6" s="1"/>
  <c r="H502" i="6"/>
  <c r="I501" i="6"/>
  <c r="J501" i="6" s="1"/>
  <c r="H501" i="6"/>
  <c r="I500" i="6"/>
  <c r="J500" i="6" s="1"/>
  <c r="H500" i="6"/>
  <c r="I499" i="6"/>
  <c r="J499" i="6" s="1"/>
  <c r="H499" i="6"/>
  <c r="I498" i="6"/>
  <c r="J498" i="6" s="1"/>
  <c r="H498" i="6"/>
  <c r="I497" i="6"/>
  <c r="J497" i="6" s="1"/>
  <c r="H497" i="6"/>
  <c r="I496" i="6"/>
  <c r="J496" i="6" s="1"/>
  <c r="H496" i="6"/>
  <c r="I495" i="6"/>
  <c r="J495" i="6" s="1"/>
  <c r="H495" i="6"/>
  <c r="I494" i="6"/>
  <c r="J494" i="6" s="1"/>
  <c r="H494" i="6"/>
  <c r="I493" i="6"/>
  <c r="J493" i="6" s="1"/>
  <c r="H493" i="6"/>
  <c r="I492" i="6"/>
  <c r="J492" i="6" s="1"/>
  <c r="H492" i="6"/>
  <c r="I491" i="6"/>
  <c r="J491" i="6" s="1"/>
  <c r="H491" i="6"/>
  <c r="I490" i="6"/>
  <c r="J490" i="6" s="1"/>
  <c r="I489" i="6"/>
  <c r="J489" i="6" s="1"/>
  <c r="I488" i="6"/>
  <c r="J488" i="6" s="1"/>
  <c r="H487" i="6"/>
  <c r="H486" i="6"/>
  <c r="I485" i="6"/>
  <c r="J485" i="6" s="1"/>
  <c r="H485" i="6"/>
  <c r="I484" i="6"/>
  <c r="J484" i="6" s="1"/>
  <c r="I483" i="6"/>
  <c r="J483" i="6" s="1"/>
  <c r="I482" i="6"/>
  <c r="J482" i="6" s="1"/>
  <c r="H481" i="6"/>
  <c r="I480" i="6"/>
  <c r="J480" i="6" s="1"/>
  <c r="H479" i="6"/>
  <c r="H478" i="6"/>
  <c r="H477" i="6"/>
  <c r="I476" i="6"/>
  <c r="J476" i="6" s="1"/>
  <c r="H475" i="6"/>
  <c r="H474" i="6"/>
  <c r="H473" i="6"/>
  <c r="I472" i="6"/>
  <c r="J472" i="6" s="1"/>
  <c r="H472" i="6"/>
  <c r="I471" i="6"/>
  <c r="J471" i="6" s="1"/>
  <c r="H470" i="6"/>
  <c r="I469" i="6"/>
  <c r="J469" i="6" s="1"/>
  <c r="H469" i="6"/>
  <c r="H468" i="6"/>
  <c r="L467" i="6"/>
  <c r="I467" i="6"/>
  <c r="J467" i="6" s="1"/>
  <c r="L466" i="6"/>
  <c r="I466" i="6"/>
  <c r="J466" i="6" s="1"/>
  <c r="H466" i="6"/>
  <c r="I465" i="6"/>
  <c r="J465" i="6" s="1"/>
  <c r="H464" i="6"/>
  <c r="H463" i="6"/>
  <c r="H462" i="6"/>
  <c r="I461" i="6"/>
  <c r="J461" i="6" s="1"/>
  <c r="I460" i="6"/>
  <c r="J460" i="6" s="1"/>
  <c r="H459" i="6"/>
  <c r="H458" i="6"/>
  <c r="I457" i="6"/>
  <c r="J457" i="6" s="1"/>
  <c r="I456" i="6"/>
  <c r="J456" i="6" s="1"/>
  <c r="H455" i="6"/>
  <c r="I454" i="6"/>
  <c r="J454" i="6" s="1"/>
  <c r="H454" i="6"/>
  <c r="H453" i="6"/>
  <c r="I452" i="6"/>
  <c r="J452" i="6" s="1"/>
  <c r="H451" i="6"/>
  <c r="H450" i="6"/>
  <c r="I449" i="6"/>
  <c r="J449" i="6" s="1"/>
  <c r="H448" i="6"/>
  <c r="I447" i="6"/>
  <c r="J447" i="6" s="1"/>
  <c r="H446" i="6"/>
  <c r="L445" i="6"/>
  <c r="I445" i="6"/>
  <c r="J445" i="6" s="1"/>
  <c r="H444" i="6"/>
  <c r="I443" i="6"/>
  <c r="J443" i="6" s="1"/>
  <c r="H442" i="6"/>
  <c r="I441" i="6"/>
  <c r="J441" i="6" s="1"/>
  <c r="I440" i="6"/>
  <c r="J440" i="6" s="1"/>
  <c r="H439" i="6"/>
  <c r="H438" i="6"/>
  <c r="I437" i="6"/>
  <c r="J437" i="6" s="1"/>
  <c r="I436" i="6"/>
  <c r="J436" i="6" s="1"/>
  <c r="I435" i="6"/>
  <c r="J435" i="6" s="1"/>
  <c r="H434" i="6"/>
  <c r="L433" i="6"/>
  <c r="H433" i="6"/>
  <c r="I432" i="6"/>
  <c r="J432" i="6" s="1"/>
  <c r="H431" i="6"/>
  <c r="L430" i="6"/>
  <c r="H430" i="6"/>
  <c r="I429" i="6"/>
  <c r="J429" i="6" s="1"/>
  <c r="L427" i="6"/>
  <c r="I427" i="6"/>
  <c r="J427" i="6" s="1"/>
  <c r="H426" i="6"/>
  <c r="H425" i="6"/>
  <c r="H424" i="6"/>
  <c r="I423" i="6"/>
  <c r="J423" i="6" s="1"/>
  <c r="H422" i="6"/>
  <c r="I421" i="6"/>
  <c r="J421" i="6" s="1"/>
  <c r="L420" i="6"/>
  <c r="I420" i="6"/>
  <c r="J420" i="6" s="1"/>
  <c r="I419" i="6"/>
  <c r="J419" i="6" s="1"/>
  <c r="H418" i="6"/>
  <c r="I417" i="6"/>
  <c r="J417" i="6" s="1"/>
  <c r="I416" i="6"/>
  <c r="J416" i="6" s="1"/>
  <c r="L415" i="6"/>
  <c r="H415" i="6"/>
  <c r="H414" i="6"/>
  <c r="I413" i="6"/>
  <c r="J413" i="6" s="1"/>
  <c r="I412" i="6"/>
  <c r="J412" i="6" s="1"/>
  <c r="I411" i="6"/>
  <c r="J411" i="6" s="1"/>
  <c r="I410" i="6"/>
  <c r="J410" i="6" s="1"/>
  <c r="I409" i="6"/>
  <c r="J409" i="6" s="1"/>
  <c r="I408" i="6"/>
  <c r="J408" i="6" s="1"/>
  <c r="H407" i="6"/>
  <c r="H406" i="6"/>
  <c r="I405" i="6"/>
  <c r="J405" i="6" s="1"/>
  <c r="I404" i="6"/>
  <c r="J404" i="6" s="1"/>
  <c r="I403" i="6"/>
  <c r="J403" i="6" s="1"/>
  <c r="I402" i="6"/>
  <c r="J402" i="6" s="1"/>
  <c r="I401" i="6"/>
  <c r="J401" i="6" s="1"/>
  <c r="I400" i="6"/>
  <c r="J400" i="6" s="1"/>
  <c r="I399" i="6"/>
  <c r="J399" i="6" s="1"/>
  <c r="I398" i="6"/>
  <c r="J398" i="6" s="1"/>
  <c r="I397" i="6"/>
  <c r="J397" i="6" s="1"/>
  <c r="I396" i="6"/>
  <c r="J396" i="6" s="1"/>
  <c r="H395" i="6"/>
  <c r="H394" i="6"/>
  <c r="I291" i="6"/>
  <c r="J291" i="6" s="1"/>
  <c r="H290" i="6"/>
  <c r="H289" i="6"/>
  <c r="I288" i="6"/>
  <c r="J288" i="6" s="1"/>
  <c r="H284" i="6"/>
  <c r="I283" i="6"/>
  <c r="J283" i="6" s="1"/>
  <c r="L280" i="6"/>
  <c r="H280" i="6"/>
  <c r="I279" i="6"/>
  <c r="J279" i="6" s="1"/>
  <c r="H279" i="6"/>
  <c r="H278" i="6"/>
  <c r="I274" i="6"/>
  <c r="J274" i="6" s="1"/>
  <c r="H274" i="6"/>
  <c r="I273" i="6"/>
  <c r="J273" i="6" s="1"/>
  <c r="H270" i="6"/>
  <c r="I269" i="6"/>
  <c r="J269" i="6" s="1"/>
  <c r="L268" i="6"/>
  <c r="H268" i="6"/>
  <c r="I267" i="6"/>
  <c r="J267" i="6" s="1"/>
  <c r="L265" i="6"/>
  <c r="I265" i="6"/>
  <c r="J265" i="6" s="1"/>
  <c r="H264" i="6"/>
  <c r="H262" i="6"/>
  <c r="H261" i="6"/>
  <c r="L260" i="6"/>
  <c r="I260" i="6"/>
  <c r="J260" i="6" s="1"/>
  <c r="H259" i="6"/>
  <c r="H258" i="6"/>
  <c r="H257" i="6"/>
  <c r="I256" i="6"/>
  <c r="J256" i="6" s="1"/>
  <c r="I254" i="6"/>
  <c r="J254" i="6" s="1"/>
  <c r="I253" i="6"/>
  <c r="J253" i="6" s="1"/>
  <c r="H252" i="6"/>
  <c r="H251" i="6"/>
  <c r="I249" i="6"/>
  <c r="J249" i="6" s="1"/>
  <c r="I248" i="6"/>
  <c r="J248" i="6" s="1"/>
  <c r="I247" i="6"/>
  <c r="J247" i="6" s="1"/>
  <c r="I246" i="6"/>
  <c r="J246" i="6" s="1"/>
  <c r="H246" i="6"/>
  <c r="I245" i="6"/>
  <c r="J245" i="6" s="1"/>
  <c r="H245" i="6"/>
  <c r="H244" i="6"/>
  <c r="I243" i="6"/>
  <c r="J243" i="6" s="1"/>
  <c r="H242" i="6"/>
  <c r="I241" i="6"/>
  <c r="J241" i="6" s="1"/>
  <c r="I239" i="6"/>
  <c r="J239" i="6" s="1"/>
  <c r="H238" i="6"/>
  <c r="H236" i="6"/>
  <c r="L235" i="6"/>
  <c r="H235" i="6"/>
  <c r="I234" i="6"/>
  <c r="J234" i="6" s="1"/>
  <c r="I232" i="6"/>
  <c r="J232" i="6" s="1"/>
  <c r="H230" i="6"/>
  <c r="L229" i="6"/>
  <c r="H229" i="6"/>
  <c r="L228" i="6"/>
  <c r="I228" i="6"/>
  <c r="J228" i="6" s="1"/>
  <c r="H227" i="6"/>
  <c r="L226" i="6"/>
  <c r="I226" i="6"/>
  <c r="J226" i="6" s="1"/>
  <c r="H225" i="6"/>
  <c r="I223" i="6"/>
  <c r="J223" i="6" s="1"/>
  <c r="I220" i="6"/>
  <c r="J220" i="6" s="1"/>
  <c r="I219" i="6"/>
  <c r="J219" i="6" s="1"/>
  <c r="H218" i="6"/>
  <c r="H217" i="6"/>
  <c r="H216" i="6"/>
  <c r="I214" i="6"/>
  <c r="J214" i="6" s="1"/>
  <c r="H214" i="6"/>
  <c r="H213" i="6"/>
  <c r="H212" i="6"/>
  <c r="I211" i="6"/>
  <c r="J211" i="6" s="1"/>
  <c r="H211" i="6"/>
  <c r="L210" i="6"/>
  <c r="H209" i="6"/>
  <c r="I34" i="6"/>
  <c r="J34" i="6" s="1"/>
  <c r="I32" i="6"/>
  <c r="J32" i="6" s="1"/>
  <c r="I31" i="6"/>
  <c r="J31" i="6" s="1"/>
  <c r="I30" i="6"/>
  <c r="J30" i="6" s="1"/>
  <c r="I29" i="6"/>
  <c r="J29" i="6" s="1"/>
  <c r="H29" i="6"/>
  <c r="I28" i="6"/>
  <c r="J28" i="6" s="1"/>
  <c r="I25" i="6"/>
  <c r="J25" i="6" s="1"/>
  <c r="H24" i="6"/>
  <c r="H23" i="6"/>
  <c r="F364" i="5"/>
  <c r="F338" i="5"/>
  <c r="F423" i="5"/>
  <c r="F121" i="5"/>
  <c r="F479" i="5"/>
  <c r="F464" i="5"/>
  <c r="F264" i="5"/>
  <c r="M306" i="5"/>
  <c r="F230" i="5"/>
  <c r="F183" i="5"/>
  <c r="G248" i="5"/>
  <c r="F468" i="5"/>
  <c r="F238" i="5"/>
  <c r="F128" i="5"/>
  <c r="F243" i="5"/>
  <c r="F492" i="5"/>
  <c r="M315" i="5"/>
  <c r="M296" i="5"/>
  <c r="G228" i="5"/>
  <c r="F311" i="5"/>
  <c r="F149" i="5"/>
  <c r="F363" i="5"/>
  <c r="M372" i="5"/>
  <c r="E422" i="6" s="1"/>
  <c r="Q422" i="6" s="1"/>
  <c r="F387" i="5"/>
  <c r="F277" i="5"/>
  <c r="F184" i="5"/>
  <c r="F97" i="5"/>
  <c r="M38" i="5"/>
  <c r="F347" i="5"/>
  <c r="F460" i="5"/>
  <c r="F501" i="5"/>
  <c r="M11" i="5"/>
  <c r="F178" i="5"/>
  <c r="F214" i="5"/>
  <c r="G445" i="5"/>
  <c r="F459" i="5"/>
  <c r="F106" i="5"/>
  <c r="G210" i="5"/>
  <c r="M428" i="5"/>
  <c r="F428" i="5"/>
  <c r="F414" i="5"/>
  <c r="F456" i="5"/>
  <c r="F391" i="5"/>
  <c r="F322" i="5"/>
  <c r="F64" i="5"/>
  <c r="F469" i="5"/>
  <c r="F189" i="5"/>
  <c r="F416" i="5"/>
  <c r="F169" i="5"/>
  <c r="F56" i="5"/>
  <c r="F240" i="5"/>
  <c r="F474" i="5"/>
  <c r="F323" i="5"/>
  <c r="F447" i="5"/>
  <c r="F304" i="5"/>
  <c r="F450" i="5"/>
  <c r="F288" i="5"/>
  <c r="F436" i="5"/>
  <c r="F244" i="5"/>
  <c r="F446" i="5"/>
  <c r="F413" i="5"/>
  <c r="F287" i="5"/>
  <c r="F453" i="5"/>
  <c r="F182" i="5"/>
  <c r="F95" i="5"/>
  <c r="F171" i="5"/>
  <c r="F82" i="5"/>
  <c r="F497" i="5"/>
  <c r="F153" i="5"/>
  <c r="F70" i="5"/>
  <c r="F78" i="5"/>
  <c r="F188" i="5"/>
  <c r="F241" i="5"/>
  <c r="F59" i="5"/>
  <c r="F356" i="5"/>
  <c r="F61" i="5"/>
  <c r="F145" i="5"/>
  <c r="F295" i="5"/>
  <c r="F32" i="5"/>
  <c r="F271" i="5"/>
  <c r="F261" i="5"/>
  <c r="F163" i="5"/>
  <c r="F85" i="5"/>
  <c r="F157" i="5"/>
  <c r="F160" i="5"/>
  <c r="F191" i="5"/>
  <c r="K466" i="4"/>
  <c r="K465" i="4"/>
  <c r="K463" i="4"/>
  <c r="H463" i="4"/>
  <c r="L410" i="5" s="1"/>
  <c r="M410" i="5" s="1"/>
  <c r="E463" i="6" s="1"/>
  <c r="Q463" i="6" s="1"/>
  <c r="H458" i="4"/>
  <c r="L183" i="5" s="1"/>
  <c r="M183" i="5" s="1"/>
  <c r="H455" i="4"/>
  <c r="L278" i="5" s="1"/>
  <c r="M278" i="5" s="1"/>
  <c r="E455" i="6" s="1"/>
  <c r="Q455" i="6" s="1"/>
  <c r="H454" i="4"/>
  <c r="L248" i="5" s="1"/>
  <c r="M248" i="5" s="1"/>
  <c r="K449" i="4"/>
  <c r="K445" i="4"/>
  <c r="H442" i="4"/>
  <c r="L280" i="5" s="1"/>
  <c r="M280" i="5" s="1"/>
  <c r="E442" i="6" s="1"/>
  <c r="Q442" i="6" s="1"/>
  <c r="K436" i="4"/>
  <c r="H436" i="4"/>
  <c r="L308" i="5" s="1"/>
  <c r="M308" i="5" s="1"/>
  <c r="J435" i="4"/>
  <c r="K434" i="4"/>
  <c r="K433" i="4"/>
  <c r="K431" i="4"/>
  <c r="J428" i="4"/>
  <c r="H428" i="4"/>
  <c r="L311" i="5" s="1"/>
  <c r="M311" i="5" s="1"/>
  <c r="E428" i="6" s="1"/>
  <c r="Q428" i="6" s="1"/>
  <c r="J425" i="4"/>
  <c r="K424" i="4"/>
  <c r="J420" i="4"/>
  <c r="H419" i="4"/>
  <c r="L461" i="5" s="1"/>
  <c r="M461" i="5" s="1"/>
  <c r="H417" i="4"/>
  <c r="L420" i="5" s="1"/>
  <c r="M420" i="5" s="1"/>
  <c r="E417" i="6" s="1"/>
  <c r="Q417" i="6" s="1"/>
  <c r="K413" i="4"/>
  <c r="J410" i="4"/>
  <c r="K404" i="4"/>
  <c r="K403" i="4"/>
  <c r="J402" i="4"/>
  <c r="J400" i="4"/>
  <c r="K399" i="4"/>
  <c r="H398" i="4"/>
  <c r="L211" i="5" s="1"/>
  <c r="M211" i="5" s="1"/>
  <c r="H396" i="4"/>
  <c r="L178" i="5" s="1"/>
  <c r="M178" i="5" s="1"/>
  <c r="H392" i="4"/>
  <c r="L204" i="5" s="1"/>
  <c r="M204" i="5" s="1"/>
  <c r="J390" i="4"/>
  <c r="J389" i="4"/>
  <c r="K385" i="4"/>
  <c r="H381" i="4"/>
  <c r="L414" i="5" s="1"/>
  <c r="M414" i="5" s="1"/>
  <c r="J380" i="4"/>
  <c r="K376" i="4"/>
  <c r="J375" i="4"/>
  <c r="H373" i="4"/>
  <c r="L164" i="5" s="1"/>
  <c r="M164" i="5" s="1"/>
  <c r="J372" i="4"/>
  <c r="K369" i="4"/>
  <c r="H366" i="4"/>
  <c r="L30" i="5" s="1"/>
  <c r="M30" i="5" s="1"/>
  <c r="E366" i="6" s="1"/>
  <c r="J365" i="4"/>
  <c r="K364" i="4"/>
  <c r="H364" i="4"/>
  <c r="L469" i="5" s="1"/>
  <c r="M469" i="5" s="1"/>
  <c r="E364" i="6" s="1"/>
  <c r="K363" i="4"/>
  <c r="J363" i="4"/>
  <c r="H363" i="4"/>
  <c r="L189" i="5" s="1"/>
  <c r="M189" i="5" s="1"/>
  <c r="K360" i="4"/>
  <c r="J357" i="4"/>
  <c r="J356" i="4"/>
  <c r="K355" i="4"/>
  <c r="H355" i="4"/>
  <c r="L250" i="5" s="1"/>
  <c r="M250" i="5" s="1"/>
  <c r="K354" i="4"/>
  <c r="K350" i="4"/>
  <c r="K349" i="4"/>
  <c r="K347" i="4"/>
  <c r="H344" i="4"/>
  <c r="L235" i="5" s="1"/>
  <c r="M235" i="5" s="1"/>
  <c r="E344" i="6" s="1"/>
  <c r="H343" i="4"/>
  <c r="L395" i="5" s="1"/>
  <c r="M395" i="5" s="1"/>
  <c r="K338" i="4"/>
  <c r="H338" i="4"/>
  <c r="L375" i="5" s="1"/>
  <c r="M375" i="5" s="1"/>
  <c r="E338" i="6" s="1"/>
  <c r="H334" i="4"/>
  <c r="L66" i="5" s="1"/>
  <c r="K333" i="4"/>
  <c r="H330" i="4"/>
  <c r="L323" i="5" s="1"/>
  <c r="M323" i="5" s="1"/>
  <c r="E330" i="6" s="1"/>
  <c r="K325" i="4"/>
  <c r="K323" i="4"/>
  <c r="K322" i="4"/>
  <c r="K320" i="4"/>
  <c r="K319" i="4"/>
  <c r="H314" i="4"/>
  <c r="L232" i="5" s="1"/>
  <c r="M232" i="5" s="1"/>
  <c r="E314" i="6" s="1"/>
  <c r="K313" i="4"/>
  <c r="H311" i="4"/>
  <c r="L152" i="5" s="1"/>
  <c r="M152" i="5" s="1"/>
  <c r="H307" i="4"/>
  <c r="L136" i="5" s="1"/>
  <c r="M136" i="5" s="1"/>
  <c r="K306" i="4"/>
  <c r="K304" i="4"/>
  <c r="J299" i="4"/>
  <c r="K296" i="4"/>
  <c r="H296" i="4"/>
  <c r="L84" i="5" s="1"/>
  <c r="H295" i="4"/>
  <c r="L65" i="5" s="1"/>
  <c r="J289" i="4"/>
  <c r="H289" i="4"/>
  <c r="L199" i="5" s="1"/>
  <c r="J288" i="4"/>
  <c r="J287" i="4"/>
  <c r="H287" i="4"/>
  <c r="L355" i="5" s="1"/>
  <c r="H285" i="4"/>
  <c r="L31" i="5" s="1"/>
  <c r="K283" i="4"/>
  <c r="K281" i="4"/>
  <c r="H281" i="4"/>
  <c r="L88" i="5" s="1"/>
  <c r="H277" i="4"/>
  <c r="L346" i="5" s="1"/>
  <c r="H276" i="4"/>
  <c r="L79" i="5" s="1"/>
  <c r="K275" i="4"/>
  <c r="H271" i="4"/>
  <c r="L458" i="5" s="1"/>
  <c r="H270" i="4"/>
  <c r="L28" i="5" s="1"/>
  <c r="J268" i="4"/>
  <c r="J267" i="4"/>
  <c r="J262" i="4"/>
  <c r="K261" i="4"/>
  <c r="H261" i="4"/>
  <c r="L262" i="5" s="1"/>
  <c r="K260" i="4"/>
  <c r="J257" i="4"/>
  <c r="K251" i="4"/>
  <c r="J251" i="4"/>
  <c r="H250" i="4"/>
  <c r="L435" i="5" s="1"/>
  <c r="H248" i="4"/>
  <c r="L175" i="5" s="1"/>
  <c r="H247" i="4"/>
  <c r="L331" i="5" s="1"/>
  <c r="J242" i="4"/>
  <c r="H240" i="4"/>
  <c r="L365" i="5" s="1"/>
  <c r="J238" i="4"/>
  <c r="H237" i="4"/>
  <c r="L454" i="5" s="1"/>
  <c r="K230" i="4"/>
  <c r="K229" i="4"/>
  <c r="J228" i="4"/>
  <c r="J225" i="4"/>
  <c r="H223" i="4"/>
  <c r="L335" i="5" s="1"/>
  <c r="M335" i="5" s="1"/>
  <c r="E223" i="6" s="1"/>
  <c r="Q223" i="6" s="1"/>
  <c r="H217" i="4"/>
  <c r="L193" i="5" s="1"/>
  <c r="M193" i="5" s="1"/>
  <c r="J216" i="4"/>
  <c r="H216" i="4"/>
  <c r="L287" i="5" s="1"/>
  <c r="M287" i="5" s="1"/>
  <c r="E216" i="6" s="1"/>
  <c r="Q216" i="6" s="1"/>
  <c r="K215" i="4"/>
  <c r="K213" i="4"/>
  <c r="K212" i="4"/>
  <c r="H212" i="4"/>
  <c r="L187" i="5" s="1"/>
  <c r="M187" i="5" s="1"/>
  <c r="J211" i="4"/>
  <c r="J210" i="4"/>
  <c r="J207" i="4"/>
  <c r="K205" i="4"/>
  <c r="J205" i="4"/>
  <c r="J201" i="4"/>
  <c r="K200" i="4"/>
  <c r="H200" i="4"/>
  <c r="L182" i="5" s="1"/>
  <c r="M182" i="5" s="1"/>
  <c r="K194" i="4"/>
  <c r="H194" i="4"/>
  <c r="L95" i="5" s="1"/>
  <c r="M95" i="5" s="1"/>
  <c r="K192" i="4"/>
  <c r="J192" i="4"/>
  <c r="J191" i="4"/>
  <c r="J189" i="4"/>
  <c r="H184" i="4"/>
  <c r="L82" i="5" s="1"/>
  <c r="M82" i="5" s="1"/>
  <c r="J178" i="4"/>
  <c r="H175" i="4"/>
  <c r="L344" i="5" s="1"/>
  <c r="M344" i="5" s="1"/>
  <c r="H174" i="4"/>
  <c r="L231" i="5" s="1"/>
  <c r="M231" i="5" s="1"/>
  <c r="J173" i="4"/>
  <c r="H173" i="4"/>
  <c r="L198" i="5" s="1"/>
  <c r="M198" i="5" s="1"/>
  <c r="K172" i="4"/>
  <c r="H172" i="4"/>
  <c r="L252" i="5" s="1"/>
  <c r="M252" i="5" s="1"/>
  <c r="I393" i="6"/>
  <c r="J393" i="6" s="1"/>
  <c r="H393" i="6"/>
  <c r="I392" i="6"/>
  <c r="J392" i="6" s="1"/>
  <c r="H392" i="6"/>
  <c r="I391" i="6"/>
  <c r="J391" i="6" s="1"/>
  <c r="H391" i="6"/>
  <c r="I390" i="6"/>
  <c r="J390" i="6" s="1"/>
  <c r="H390" i="6"/>
  <c r="I389" i="6"/>
  <c r="J389" i="6" s="1"/>
  <c r="H389" i="6"/>
  <c r="I388" i="6"/>
  <c r="J388" i="6" s="1"/>
  <c r="H388" i="6"/>
  <c r="I387" i="6"/>
  <c r="J387" i="6" s="1"/>
  <c r="H387" i="6"/>
  <c r="I386" i="6"/>
  <c r="J386" i="6" s="1"/>
  <c r="H386" i="6"/>
  <c r="I385" i="6"/>
  <c r="J385" i="6" s="1"/>
  <c r="H385" i="6"/>
  <c r="I384" i="6"/>
  <c r="J384" i="6" s="1"/>
  <c r="H384" i="6"/>
  <c r="I383" i="6"/>
  <c r="J383" i="6" s="1"/>
  <c r="H383" i="6"/>
  <c r="I382" i="6"/>
  <c r="J382" i="6" s="1"/>
  <c r="H382" i="6"/>
  <c r="L381" i="6"/>
  <c r="I381" i="6"/>
  <c r="J381" i="6" s="1"/>
  <c r="H381" i="6"/>
  <c r="L380" i="6"/>
  <c r="I380" i="6"/>
  <c r="J380" i="6" s="1"/>
  <c r="H380" i="6"/>
  <c r="I379" i="6"/>
  <c r="J379" i="6" s="1"/>
  <c r="H379" i="6"/>
  <c r="I378" i="6"/>
  <c r="J378" i="6" s="1"/>
  <c r="H378" i="6"/>
  <c r="I377" i="6"/>
  <c r="J377" i="6" s="1"/>
  <c r="H377" i="6"/>
  <c r="I376" i="6"/>
  <c r="J376" i="6" s="1"/>
  <c r="H376" i="6"/>
  <c r="I375" i="6"/>
  <c r="J375" i="6" s="1"/>
  <c r="H375" i="6"/>
  <c r="I374" i="6"/>
  <c r="J374" i="6" s="1"/>
  <c r="H374" i="6"/>
  <c r="I373" i="6"/>
  <c r="J373" i="6" s="1"/>
  <c r="H373" i="6"/>
  <c r="I372" i="6"/>
  <c r="J372" i="6" s="1"/>
  <c r="H372" i="6"/>
  <c r="I371" i="6"/>
  <c r="J371" i="6" s="1"/>
  <c r="H371" i="6"/>
  <c r="I370" i="6"/>
  <c r="J370" i="6" s="1"/>
  <c r="H370" i="6"/>
  <c r="I369" i="6"/>
  <c r="J369" i="6" s="1"/>
  <c r="H369" i="6"/>
  <c r="I368" i="6"/>
  <c r="J368" i="6" s="1"/>
  <c r="H368" i="6"/>
  <c r="I367" i="6"/>
  <c r="J367" i="6" s="1"/>
  <c r="H367" i="6"/>
  <c r="I366" i="6"/>
  <c r="J366" i="6" s="1"/>
  <c r="H366" i="6"/>
  <c r="I365" i="6"/>
  <c r="J365" i="6" s="1"/>
  <c r="H365" i="6"/>
  <c r="I364" i="6"/>
  <c r="J364" i="6" s="1"/>
  <c r="H364" i="6"/>
  <c r="I363" i="6"/>
  <c r="J363" i="6" s="1"/>
  <c r="H363" i="6"/>
  <c r="I362" i="6"/>
  <c r="J362" i="6" s="1"/>
  <c r="H362" i="6"/>
  <c r="I361" i="6"/>
  <c r="J361" i="6" s="1"/>
  <c r="H361" i="6"/>
  <c r="I360" i="6"/>
  <c r="J360" i="6" s="1"/>
  <c r="H360" i="6"/>
  <c r="L359" i="6"/>
  <c r="I359" i="6"/>
  <c r="J359" i="6" s="1"/>
  <c r="H359" i="6"/>
  <c r="I358" i="6"/>
  <c r="J358" i="6" s="1"/>
  <c r="H358" i="6"/>
  <c r="I357" i="6"/>
  <c r="J357" i="6" s="1"/>
  <c r="H357" i="6"/>
  <c r="I356" i="6"/>
  <c r="J356" i="6" s="1"/>
  <c r="H356" i="6"/>
  <c r="I355" i="6"/>
  <c r="J355" i="6" s="1"/>
  <c r="H355" i="6"/>
  <c r="I354" i="6"/>
  <c r="J354" i="6" s="1"/>
  <c r="H354" i="6"/>
  <c r="I353" i="6"/>
  <c r="J353" i="6" s="1"/>
  <c r="H353" i="6"/>
  <c r="I352" i="6"/>
  <c r="J352" i="6" s="1"/>
  <c r="H352" i="6"/>
  <c r="I351" i="6"/>
  <c r="J351" i="6" s="1"/>
  <c r="H351" i="6"/>
  <c r="I350" i="6"/>
  <c r="J350" i="6" s="1"/>
  <c r="H350" i="6"/>
  <c r="I349" i="6"/>
  <c r="J349" i="6" s="1"/>
  <c r="H349" i="6"/>
  <c r="I348" i="6"/>
  <c r="J348" i="6" s="1"/>
  <c r="H348" i="6"/>
  <c r="I347" i="6"/>
  <c r="J347" i="6" s="1"/>
  <c r="H347" i="6"/>
  <c r="I346" i="6"/>
  <c r="J346" i="6" s="1"/>
  <c r="H346" i="6"/>
  <c r="I345" i="6"/>
  <c r="J345" i="6" s="1"/>
  <c r="H345" i="6"/>
  <c r="I344" i="6"/>
  <c r="J344" i="6" s="1"/>
  <c r="H344" i="6"/>
  <c r="L343" i="6"/>
  <c r="I343" i="6"/>
  <c r="J343" i="6" s="1"/>
  <c r="H343" i="6"/>
  <c r="L342" i="6"/>
  <c r="I342" i="6"/>
  <c r="J342" i="6" s="1"/>
  <c r="H342" i="6"/>
  <c r="I341" i="6"/>
  <c r="J341" i="6" s="1"/>
  <c r="H341" i="6"/>
  <c r="I340" i="6"/>
  <c r="J340" i="6" s="1"/>
  <c r="H340" i="6"/>
  <c r="L339" i="6"/>
  <c r="I339" i="6"/>
  <c r="J339" i="6" s="1"/>
  <c r="H339" i="6"/>
  <c r="I338" i="6"/>
  <c r="J338" i="6" s="1"/>
  <c r="H338" i="6"/>
  <c r="L337" i="6"/>
  <c r="I337" i="6"/>
  <c r="J337" i="6" s="1"/>
  <c r="H337" i="6"/>
  <c r="I336" i="6"/>
  <c r="J336" i="6" s="1"/>
  <c r="H336" i="6"/>
  <c r="I335" i="6"/>
  <c r="J335" i="6" s="1"/>
  <c r="H335" i="6"/>
  <c r="I334" i="6"/>
  <c r="J334" i="6" s="1"/>
  <c r="H334" i="6"/>
  <c r="I333" i="6"/>
  <c r="J333" i="6" s="1"/>
  <c r="H333" i="6"/>
  <c r="L332" i="6"/>
  <c r="I332" i="6"/>
  <c r="J332" i="6" s="1"/>
  <c r="H332" i="6"/>
  <c r="I331" i="6"/>
  <c r="J331" i="6" s="1"/>
  <c r="H331" i="6"/>
  <c r="I330" i="6"/>
  <c r="J330" i="6" s="1"/>
  <c r="H330" i="6"/>
  <c r="I329" i="6"/>
  <c r="J329" i="6" s="1"/>
  <c r="H329" i="6"/>
  <c r="L328" i="6"/>
  <c r="I328" i="6"/>
  <c r="J328" i="6" s="1"/>
  <c r="H328" i="6"/>
  <c r="I327" i="6"/>
  <c r="J327" i="6" s="1"/>
  <c r="H327" i="6"/>
  <c r="L326" i="6"/>
  <c r="I326" i="6"/>
  <c r="J326" i="6" s="1"/>
  <c r="H326" i="6"/>
  <c r="L325" i="6"/>
  <c r="I325" i="6"/>
  <c r="J325" i="6" s="1"/>
  <c r="H325" i="6"/>
  <c r="I324" i="6"/>
  <c r="J324" i="6" s="1"/>
  <c r="H324" i="6"/>
  <c r="I323" i="6"/>
  <c r="J323" i="6" s="1"/>
  <c r="H323" i="6"/>
  <c r="I322" i="6"/>
  <c r="J322" i="6" s="1"/>
  <c r="H322" i="6"/>
  <c r="L321" i="6"/>
  <c r="I321" i="6"/>
  <c r="J321" i="6" s="1"/>
  <c r="H321" i="6"/>
  <c r="I320" i="6"/>
  <c r="J320" i="6" s="1"/>
  <c r="H320" i="6"/>
  <c r="I319" i="6"/>
  <c r="J319" i="6" s="1"/>
  <c r="H319" i="6"/>
  <c r="L318" i="6"/>
  <c r="I318" i="6"/>
  <c r="J318" i="6" s="1"/>
  <c r="H318" i="6"/>
  <c r="L317" i="6"/>
  <c r="I317" i="6"/>
  <c r="J317" i="6" s="1"/>
  <c r="H317" i="6"/>
  <c r="I316" i="6"/>
  <c r="J316" i="6" s="1"/>
  <c r="H316" i="6"/>
  <c r="I315" i="6"/>
  <c r="J315" i="6" s="1"/>
  <c r="H315" i="6"/>
  <c r="L314" i="6"/>
  <c r="I314" i="6"/>
  <c r="J314" i="6" s="1"/>
  <c r="H314" i="6"/>
  <c r="L313" i="6"/>
  <c r="I313" i="6"/>
  <c r="J313" i="6" s="1"/>
  <c r="H313" i="6"/>
  <c r="I312" i="6"/>
  <c r="J312" i="6" s="1"/>
  <c r="H312" i="6"/>
  <c r="I311" i="6"/>
  <c r="J311" i="6" s="1"/>
  <c r="H311" i="6"/>
  <c r="I310" i="6"/>
  <c r="J310" i="6" s="1"/>
  <c r="H310" i="6"/>
  <c r="I309" i="6"/>
  <c r="J309" i="6" s="1"/>
  <c r="H309" i="6"/>
  <c r="I308" i="6"/>
  <c r="J308" i="6" s="1"/>
  <c r="H308" i="6"/>
  <c r="I307" i="6"/>
  <c r="J307" i="6" s="1"/>
  <c r="H307" i="6"/>
  <c r="L306" i="6"/>
  <c r="I306" i="6"/>
  <c r="J306" i="6" s="1"/>
  <c r="H306" i="6"/>
  <c r="I305" i="6"/>
  <c r="J305" i="6" s="1"/>
  <c r="H305" i="6"/>
  <c r="I304" i="6"/>
  <c r="J304" i="6" s="1"/>
  <c r="H304" i="6"/>
  <c r="L303" i="6"/>
  <c r="I303" i="6"/>
  <c r="J303" i="6" s="1"/>
  <c r="H303" i="6"/>
  <c r="I302" i="6"/>
  <c r="J302" i="6" s="1"/>
  <c r="H302" i="6"/>
  <c r="L301" i="6"/>
  <c r="I301" i="6"/>
  <c r="J301" i="6" s="1"/>
  <c r="H301" i="6"/>
  <c r="I300" i="6"/>
  <c r="J300" i="6" s="1"/>
  <c r="H300" i="6"/>
  <c r="L299" i="6"/>
  <c r="I299" i="6"/>
  <c r="J299" i="6" s="1"/>
  <c r="H299" i="6"/>
  <c r="L298" i="6"/>
  <c r="I298" i="6"/>
  <c r="J298" i="6" s="1"/>
  <c r="H298" i="6"/>
  <c r="L297" i="6"/>
  <c r="I297" i="6"/>
  <c r="J297" i="6" s="1"/>
  <c r="H297" i="6"/>
  <c r="I296" i="6"/>
  <c r="J296" i="6" s="1"/>
  <c r="H296" i="6"/>
  <c r="I295" i="6"/>
  <c r="J295" i="6" s="1"/>
  <c r="H295" i="6"/>
  <c r="L294" i="6"/>
  <c r="I294" i="6"/>
  <c r="J294" i="6" s="1"/>
  <c r="H294" i="6"/>
  <c r="I293" i="6"/>
  <c r="J293" i="6" s="1"/>
  <c r="H293" i="6"/>
  <c r="H292" i="6"/>
  <c r="I290" i="6"/>
  <c r="J290" i="6" s="1"/>
  <c r="I285" i="6"/>
  <c r="J285" i="6" s="1"/>
  <c r="H282" i="6"/>
  <c r="I278" i="6"/>
  <c r="J278" i="6" s="1"/>
  <c r="H276" i="6"/>
  <c r="H275" i="6"/>
  <c r="H272" i="6"/>
  <c r="H267" i="6"/>
  <c r="H265" i="6"/>
  <c r="I264" i="6"/>
  <c r="J264" i="6" s="1"/>
  <c r="H260" i="6"/>
  <c r="H254" i="6"/>
  <c r="I252" i="6"/>
  <c r="J252" i="6" s="1"/>
  <c r="H249" i="6"/>
  <c r="H248" i="6"/>
  <c r="H241" i="6"/>
  <c r="H239" i="6"/>
  <c r="H237" i="6"/>
  <c r="H234" i="6"/>
  <c r="I233" i="6"/>
  <c r="J233" i="6" s="1"/>
  <c r="I230" i="6"/>
  <c r="J230" i="6" s="1"/>
  <c r="I229" i="6"/>
  <c r="J229" i="6" s="1"/>
  <c r="H226" i="6"/>
  <c r="I225" i="6"/>
  <c r="J225" i="6" s="1"/>
  <c r="H224" i="6"/>
  <c r="H219" i="6"/>
  <c r="I217" i="6"/>
  <c r="J217" i="6" s="1"/>
  <c r="I216" i="6"/>
  <c r="J216" i="6" s="1"/>
  <c r="H215" i="6"/>
  <c r="H208" i="6"/>
  <c r="H33" i="6"/>
  <c r="H27" i="6"/>
  <c r="H26" i="6"/>
  <c r="F270" i="5"/>
  <c r="F253" i="5"/>
  <c r="F437" i="5"/>
  <c r="F239" i="5"/>
  <c r="F156" i="5"/>
  <c r="F394" i="5"/>
  <c r="F410" i="5"/>
  <c r="F502" i="5"/>
  <c r="F278" i="5"/>
  <c r="F490" i="5"/>
  <c r="F385" i="5"/>
  <c r="F441" i="5"/>
  <c r="F266" i="5"/>
  <c r="F45" i="5"/>
  <c r="F296" i="5"/>
  <c r="F63" i="5"/>
  <c r="F209" i="5"/>
  <c r="F76" i="5"/>
  <c r="F173" i="5"/>
  <c r="F281" i="5"/>
  <c r="F68" i="5"/>
  <c r="F99" i="5"/>
  <c r="F74" i="5"/>
  <c r="F131" i="5"/>
  <c r="F267" i="5"/>
  <c r="F166" i="5"/>
  <c r="F35" i="5"/>
  <c r="K473" i="4"/>
  <c r="K472" i="4"/>
  <c r="K467" i="4"/>
  <c r="H466" i="4"/>
  <c r="L298" i="5" s="1"/>
  <c r="M298" i="5" s="1"/>
  <c r="E466" i="6" s="1"/>
  <c r="Q466" i="6" s="1"/>
  <c r="K462" i="4"/>
  <c r="K461" i="4"/>
  <c r="K459" i="4"/>
  <c r="K456" i="4"/>
  <c r="H453" i="4"/>
  <c r="L96" i="5" s="1"/>
  <c r="M96" i="5" s="1"/>
  <c r="J451" i="4"/>
  <c r="H450" i="4"/>
  <c r="L141" i="5" s="1"/>
  <c r="M141" i="5" s="1"/>
  <c r="H443" i="4"/>
  <c r="L243" i="5" s="1"/>
  <c r="M243" i="5" s="1"/>
  <c r="E443" i="6" s="1"/>
  <c r="Q443" i="6" s="1"/>
  <c r="K441" i="4"/>
  <c r="H441" i="4"/>
  <c r="L492" i="5" s="1"/>
  <c r="M492" i="5" s="1"/>
  <c r="E441" i="6" s="1"/>
  <c r="Q441" i="6" s="1"/>
  <c r="H440" i="4"/>
  <c r="L383" i="5" s="1"/>
  <c r="M383" i="5" s="1"/>
  <c r="H438" i="4"/>
  <c r="L237" i="5" s="1"/>
  <c r="M237" i="5" s="1"/>
  <c r="H435" i="4"/>
  <c r="L215" i="5" s="1"/>
  <c r="M215" i="5" s="1"/>
  <c r="K426" i="4"/>
  <c r="H426" i="4"/>
  <c r="L149" i="5" s="1"/>
  <c r="M149" i="5" s="1"/>
  <c r="J424" i="4"/>
  <c r="J423" i="4"/>
  <c r="H421" i="4"/>
  <c r="L257" i="5" s="1"/>
  <c r="M257" i="5" s="1"/>
  <c r="H420" i="4"/>
  <c r="L329" i="5" s="1"/>
  <c r="M329" i="5" s="1"/>
  <c r="E420" i="6" s="1"/>
  <c r="Q420" i="6" s="1"/>
  <c r="J418" i="4"/>
  <c r="K416" i="4"/>
  <c r="H416" i="4"/>
  <c r="L255" i="5" s="1"/>
  <c r="M255" i="5" s="1"/>
  <c r="J412" i="4"/>
  <c r="K411" i="4"/>
  <c r="H410" i="4"/>
  <c r="L142" i="5" s="1"/>
  <c r="M142" i="5" s="1"/>
  <c r="E410" i="6" s="1"/>
  <c r="Q410" i="6" s="1"/>
  <c r="H408" i="4"/>
  <c r="L381" i="5" s="1"/>
  <c r="M381" i="5" s="1"/>
  <c r="H401" i="4"/>
  <c r="L501" i="5" s="1"/>
  <c r="M501" i="5" s="1"/>
  <c r="K394" i="4"/>
  <c r="J393" i="4"/>
  <c r="K389" i="4"/>
  <c r="K388" i="4"/>
  <c r="H388" i="4"/>
  <c r="L407" i="5" s="1"/>
  <c r="M407" i="5" s="1"/>
  <c r="E388" i="6" s="1"/>
  <c r="Q388" i="6" s="1"/>
  <c r="J387" i="4"/>
  <c r="K378" i="4"/>
  <c r="H378" i="4"/>
  <c r="L254" i="5" s="1"/>
  <c r="M254" i="5" s="1"/>
  <c r="K371" i="4"/>
  <c r="H362" i="4"/>
  <c r="L122" i="5" s="1"/>
  <c r="M122" i="5" s="1"/>
  <c r="J361" i="4"/>
  <c r="H357" i="4"/>
  <c r="L318" i="5" s="1"/>
  <c r="M318" i="5" s="1"/>
  <c r="K356" i="4"/>
  <c r="J355" i="4"/>
  <c r="K353" i="4"/>
  <c r="H353" i="4"/>
  <c r="L291" i="5" s="1"/>
  <c r="H350" i="4"/>
  <c r="L256" i="5" s="1"/>
  <c r="M256" i="5" s="1"/>
  <c r="K345" i="4"/>
  <c r="K342" i="4"/>
  <c r="K336" i="4"/>
  <c r="H336" i="4"/>
  <c r="L14" i="5" s="1"/>
  <c r="M14" i="5" s="1"/>
  <c r="E336" i="6" s="1"/>
  <c r="Q336" i="6" s="1"/>
  <c r="H323" i="4"/>
  <c r="L303" i="5" s="1"/>
  <c r="M303" i="5" s="1"/>
  <c r="E323" i="6" s="1"/>
  <c r="Q323" i="6" s="1"/>
  <c r="K321" i="4"/>
  <c r="H320" i="4"/>
  <c r="L162" i="5" s="1"/>
  <c r="M162" i="5" s="1"/>
  <c r="E320" i="6" s="1"/>
  <c r="Q320" i="6" s="1"/>
  <c r="H319" i="4"/>
  <c r="L114" i="5" s="1"/>
  <c r="M114" i="5" s="1"/>
  <c r="K318" i="4"/>
  <c r="H313" i="4"/>
  <c r="L451" i="5" s="1"/>
  <c r="M451" i="5" s="1"/>
  <c r="E313" i="6" s="1"/>
  <c r="Q313" i="6" s="1"/>
  <c r="H310" i="4"/>
  <c r="L419" i="5" s="1"/>
  <c r="M419" i="5" s="1"/>
  <c r="J302" i="4"/>
  <c r="H302" i="4"/>
  <c r="L208" i="5" s="1"/>
  <c r="M208" i="5" s="1"/>
  <c r="K301" i="4"/>
  <c r="J300" i="4"/>
  <c r="H300" i="4"/>
  <c r="L242" i="5" s="1"/>
  <c r="M242" i="5" s="1"/>
  <c r="E300" i="6" s="1"/>
  <c r="Q300" i="6" s="1"/>
  <c r="J298" i="4"/>
  <c r="K297" i="4"/>
  <c r="J296" i="4"/>
  <c r="J294" i="4"/>
  <c r="J292" i="4"/>
  <c r="K285" i="4"/>
  <c r="J285" i="4"/>
  <c r="J284" i="4"/>
  <c r="J283" i="4"/>
  <c r="H283" i="4"/>
  <c r="L312" i="5" s="1"/>
  <c r="J280" i="4"/>
  <c r="J279" i="4"/>
  <c r="K278" i="4"/>
  <c r="J275" i="4"/>
  <c r="H275" i="4"/>
  <c r="L177" i="5" s="1"/>
  <c r="K274" i="4"/>
  <c r="H274" i="4"/>
  <c r="L349" i="5" s="1"/>
  <c r="H272" i="4"/>
  <c r="L444" i="5" s="1"/>
  <c r="K271" i="4"/>
  <c r="K268" i="4"/>
  <c r="H266" i="4"/>
  <c r="L57" i="5" s="1"/>
  <c r="J265" i="4"/>
  <c r="K263" i="4"/>
  <c r="H260" i="4"/>
  <c r="L118" i="5" s="1"/>
  <c r="H259" i="4"/>
  <c r="L73" i="5" s="1"/>
  <c r="J258" i="4"/>
  <c r="H258" i="4"/>
  <c r="L58" i="5" s="1"/>
  <c r="K256" i="4"/>
  <c r="H256" i="4"/>
  <c r="L361" i="5" s="1"/>
  <c r="K253" i="4"/>
  <c r="J252" i="4"/>
  <c r="J250" i="4"/>
  <c r="J249" i="4"/>
  <c r="J246" i="4"/>
  <c r="K242" i="4"/>
  <c r="H242" i="4"/>
  <c r="L273" i="5" s="1"/>
  <c r="K240" i="4"/>
  <c r="J240" i="4"/>
  <c r="K239" i="4"/>
  <c r="J236" i="4"/>
  <c r="K234" i="4"/>
  <c r="H234" i="4"/>
  <c r="L500" i="5" s="1"/>
  <c r="K225" i="4"/>
  <c r="H225" i="4"/>
  <c r="L314" i="5" s="1"/>
  <c r="M314" i="5" s="1"/>
  <c r="J222" i="4"/>
  <c r="K221" i="4"/>
  <c r="H221" i="4"/>
  <c r="L332" i="5" s="1"/>
  <c r="M332" i="5" s="1"/>
  <c r="H218" i="4"/>
  <c r="L386" i="5" s="1"/>
  <c r="M386" i="5" s="1"/>
  <c r="K217" i="4"/>
  <c r="J217" i="4"/>
  <c r="K216" i="4"/>
  <c r="J215" i="4"/>
  <c r="H215" i="4"/>
  <c r="L116" i="5" s="1"/>
  <c r="M116" i="5" s="1"/>
  <c r="J209" i="4"/>
  <c r="H209" i="4"/>
  <c r="L382" i="5" s="1"/>
  <c r="J204" i="4"/>
  <c r="J200" i="4"/>
  <c r="K199" i="4"/>
  <c r="J198" i="4"/>
  <c r="H198" i="4"/>
  <c r="L422" i="5" s="1"/>
  <c r="M422" i="5" s="1"/>
  <c r="K197" i="4"/>
  <c r="J196" i="4"/>
  <c r="H193" i="4"/>
  <c r="L159" i="5" s="1"/>
  <c r="M159" i="5" s="1"/>
  <c r="K191" i="4"/>
  <c r="K189" i="4"/>
  <c r="J186" i="4"/>
  <c r="J185" i="4"/>
  <c r="H185" i="4"/>
  <c r="L301" i="5" s="1"/>
  <c r="M301" i="5" s="1"/>
  <c r="J184" i="4"/>
  <c r="J183" i="4"/>
  <c r="H183" i="4"/>
  <c r="L282" i="5" s="1"/>
  <c r="M282" i="5" s="1"/>
  <c r="K180" i="4"/>
  <c r="J179" i="4"/>
  <c r="K178" i="4"/>
  <c r="H178" i="4"/>
  <c r="L258" i="5" s="1"/>
  <c r="M258" i="5" s="1"/>
  <c r="H176" i="4"/>
  <c r="L236" i="5" s="1"/>
  <c r="M236" i="5" s="1"/>
  <c r="J174" i="4"/>
  <c r="I207" i="6"/>
  <c r="J207" i="6" s="1"/>
  <c r="H207" i="6"/>
  <c r="I206" i="6"/>
  <c r="J206" i="6" s="1"/>
  <c r="H206" i="6"/>
  <c r="I205" i="6"/>
  <c r="J205" i="6" s="1"/>
  <c r="H205" i="6"/>
  <c r="I204" i="6"/>
  <c r="J204" i="6" s="1"/>
  <c r="H204" i="6"/>
  <c r="I203" i="6"/>
  <c r="J203" i="6" s="1"/>
  <c r="H203" i="6"/>
  <c r="I202" i="6"/>
  <c r="J202" i="6" s="1"/>
  <c r="H202" i="6"/>
  <c r="I201" i="6"/>
  <c r="J201" i="6" s="1"/>
  <c r="H201" i="6"/>
  <c r="I200" i="6"/>
  <c r="J200" i="6" s="1"/>
  <c r="H200" i="6"/>
  <c r="I199" i="6"/>
  <c r="J199" i="6" s="1"/>
  <c r="H199" i="6"/>
  <c r="I198" i="6"/>
  <c r="J198" i="6" s="1"/>
  <c r="H198" i="6"/>
  <c r="I197" i="6"/>
  <c r="J197" i="6" s="1"/>
  <c r="H197" i="6"/>
  <c r="I196" i="6"/>
  <c r="J196" i="6" s="1"/>
  <c r="H196" i="6"/>
  <c r="I195" i="6"/>
  <c r="J195" i="6" s="1"/>
  <c r="H195" i="6"/>
  <c r="I194" i="6"/>
  <c r="J194" i="6" s="1"/>
  <c r="H194" i="6"/>
  <c r="I193" i="6"/>
  <c r="J193" i="6" s="1"/>
  <c r="H193" i="6"/>
  <c r="I192" i="6"/>
  <c r="J192" i="6" s="1"/>
  <c r="H192" i="6"/>
  <c r="I191" i="6"/>
  <c r="J191" i="6" s="1"/>
  <c r="H191" i="6"/>
  <c r="I190" i="6"/>
  <c r="J190" i="6" s="1"/>
  <c r="H190" i="6"/>
  <c r="I189" i="6"/>
  <c r="J189" i="6" s="1"/>
  <c r="H189" i="6"/>
  <c r="I188" i="6"/>
  <c r="J188" i="6" s="1"/>
  <c r="H188" i="6"/>
  <c r="I187" i="6"/>
  <c r="J187" i="6" s="1"/>
  <c r="H187" i="6"/>
  <c r="I186" i="6"/>
  <c r="J186" i="6" s="1"/>
  <c r="H186" i="6"/>
  <c r="I185" i="6"/>
  <c r="J185" i="6" s="1"/>
  <c r="H185" i="6"/>
  <c r="I184" i="6"/>
  <c r="J184" i="6" s="1"/>
  <c r="H184" i="6"/>
  <c r="I183" i="6"/>
  <c r="J183" i="6" s="1"/>
  <c r="H183" i="6"/>
  <c r="I182" i="6"/>
  <c r="J182" i="6" s="1"/>
  <c r="H182" i="6"/>
  <c r="I181" i="6"/>
  <c r="J181" i="6" s="1"/>
  <c r="H181" i="6"/>
  <c r="I180" i="6"/>
  <c r="J180" i="6" s="1"/>
  <c r="H180" i="6"/>
  <c r="I179" i="6"/>
  <c r="J179" i="6" s="1"/>
  <c r="H179" i="6"/>
  <c r="I178" i="6"/>
  <c r="J178" i="6" s="1"/>
  <c r="H178" i="6"/>
  <c r="I177" i="6"/>
  <c r="J177" i="6" s="1"/>
  <c r="H177" i="6"/>
  <c r="I176" i="6"/>
  <c r="J176" i="6" s="1"/>
  <c r="H176" i="6"/>
  <c r="I175" i="6"/>
  <c r="J175" i="6" s="1"/>
  <c r="H175" i="6"/>
  <c r="I174" i="6"/>
  <c r="J174" i="6" s="1"/>
  <c r="H174" i="6"/>
  <c r="I173" i="6"/>
  <c r="J173" i="6" s="1"/>
  <c r="H173" i="6"/>
  <c r="I172" i="6"/>
  <c r="J172" i="6" s="1"/>
  <c r="H172" i="6"/>
  <c r="I171" i="6"/>
  <c r="J171" i="6" s="1"/>
  <c r="H171" i="6"/>
  <c r="I170" i="6"/>
  <c r="J170" i="6" s="1"/>
  <c r="H170" i="6"/>
  <c r="I169" i="6"/>
  <c r="J169" i="6" s="1"/>
  <c r="H169" i="6"/>
  <c r="I168" i="6"/>
  <c r="J168" i="6" s="1"/>
  <c r="H168" i="6"/>
  <c r="I167" i="6"/>
  <c r="J167" i="6" s="1"/>
  <c r="H167" i="6"/>
  <c r="I166" i="6"/>
  <c r="J166" i="6" s="1"/>
  <c r="H166" i="6"/>
  <c r="I165" i="6"/>
  <c r="J165" i="6" s="1"/>
  <c r="H165" i="6"/>
  <c r="I164" i="6"/>
  <c r="J164" i="6" s="1"/>
  <c r="H164" i="6"/>
  <c r="I163" i="6"/>
  <c r="J163" i="6" s="1"/>
  <c r="H163" i="6"/>
  <c r="I162" i="6"/>
  <c r="J162" i="6" s="1"/>
  <c r="H162" i="6"/>
  <c r="I161" i="6"/>
  <c r="J161" i="6" s="1"/>
  <c r="H161" i="6"/>
  <c r="I160" i="6"/>
  <c r="J160" i="6" s="1"/>
  <c r="H160" i="6"/>
  <c r="I159" i="6"/>
  <c r="J159" i="6" s="1"/>
  <c r="H159" i="6"/>
  <c r="I158" i="6"/>
  <c r="J158" i="6" s="1"/>
  <c r="H158" i="6"/>
  <c r="I157" i="6"/>
  <c r="J157" i="6" s="1"/>
  <c r="H157" i="6"/>
  <c r="I156" i="6"/>
  <c r="J156" i="6" s="1"/>
  <c r="H156" i="6"/>
  <c r="I155" i="6"/>
  <c r="J155" i="6" s="1"/>
  <c r="H155" i="6"/>
  <c r="I154" i="6"/>
  <c r="J154" i="6" s="1"/>
  <c r="H154" i="6"/>
  <c r="I153" i="6"/>
  <c r="J153" i="6" s="1"/>
  <c r="H153" i="6"/>
  <c r="I152" i="6"/>
  <c r="J152" i="6" s="1"/>
  <c r="H152" i="6"/>
  <c r="I151" i="6"/>
  <c r="J151" i="6" s="1"/>
  <c r="H151" i="6"/>
  <c r="I150" i="6"/>
  <c r="J150" i="6" s="1"/>
  <c r="H150" i="6"/>
  <c r="I149" i="6"/>
  <c r="J149" i="6" s="1"/>
  <c r="H149" i="6"/>
  <c r="I148" i="6"/>
  <c r="J148" i="6" s="1"/>
  <c r="H148" i="6"/>
  <c r="I147" i="6"/>
  <c r="J147" i="6" s="1"/>
  <c r="H147" i="6"/>
  <c r="I146" i="6"/>
  <c r="J146" i="6" s="1"/>
  <c r="H146" i="6"/>
  <c r="I145" i="6"/>
  <c r="J145" i="6" s="1"/>
  <c r="H145" i="6"/>
  <c r="I144" i="6"/>
  <c r="J144" i="6" s="1"/>
  <c r="H144" i="6"/>
  <c r="I143" i="6"/>
  <c r="J143" i="6" s="1"/>
  <c r="H143" i="6"/>
  <c r="L142" i="6"/>
  <c r="I142" i="6"/>
  <c r="J142" i="6" s="1"/>
  <c r="H142" i="6"/>
  <c r="I141" i="6"/>
  <c r="J141" i="6" s="1"/>
  <c r="H141" i="6"/>
  <c r="I140" i="6"/>
  <c r="J140" i="6" s="1"/>
  <c r="H140" i="6"/>
  <c r="I139" i="6"/>
  <c r="J139" i="6" s="1"/>
  <c r="H139" i="6"/>
  <c r="I138" i="6"/>
  <c r="J138" i="6" s="1"/>
  <c r="H138" i="6"/>
  <c r="I137" i="6"/>
  <c r="J137" i="6" s="1"/>
  <c r="H137" i="6"/>
  <c r="I136" i="6"/>
  <c r="J136" i="6" s="1"/>
  <c r="H136" i="6"/>
  <c r="I135" i="6"/>
  <c r="J135" i="6" s="1"/>
  <c r="H135" i="6"/>
  <c r="I134" i="6"/>
  <c r="J134" i="6" s="1"/>
  <c r="H134" i="6"/>
  <c r="I133" i="6"/>
  <c r="J133" i="6" s="1"/>
  <c r="H133" i="6"/>
  <c r="I132" i="6"/>
  <c r="J132" i="6" s="1"/>
  <c r="H132" i="6"/>
  <c r="I131" i="6"/>
  <c r="J131" i="6" s="1"/>
  <c r="H131" i="6"/>
  <c r="I130" i="6"/>
  <c r="J130" i="6" s="1"/>
  <c r="H130" i="6"/>
  <c r="I129" i="6"/>
  <c r="J129" i="6" s="1"/>
  <c r="H129" i="6"/>
  <c r="I128" i="6"/>
  <c r="J128" i="6" s="1"/>
  <c r="H128" i="6"/>
  <c r="I127" i="6"/>
  <c r="J127" i="6" s="1"/>
  <c r="H127" i="6"/>
  <c r="I126" i="6"/>
  <c r="J126" i="6" s="1"/>
  <c r="H126" i="6"/>
  <c r="I125" i="6"/>
  <c r="J125" i="6" s="1"/>
  <c r="H125" i="6"/>
  <c r="I124" i="6"/>
  <c r="J124" i="6" s="1"/>
  <c r="H124" i="6"/>
  <c r="I123" i="6"/>
  <c r="J123" i="6" s="1"/>
  <c r="H123" i="6"/>
  <c r="I122" i="6"/>
  <c r="J122" i="6" s="1"/>
  <c r="H122" i="6"/>
  <c r="I121" i="6"/>
  <c r="J121" i="6" s="1"/>
  <c r="H121" i="6"/>
  <c r="I120" i="6"/>
  <c r="J120" i="6" s="1"/>
  <c r="H120" i="6"/>
  <c r="I119" i="6"/>
  <c r="J119" i="6" s="1"/>
  <c r="H119" i="6"/>
  <c r="I118" i="6"/>
  <c r="J118" i="6" s="1"/>
  <c r="H118" i="6"/>
  <c r="L117" i="6"/>
  <c r="I117" i="6"/>
  <c r="J117" i="6" s="1"/>
  <c r="H117" i="6"/>
  <c r="I116" i="6"/>
  <c r="J116" i="6" s="1"/>
  <c r="H116" i="6"/>
  <c r="I115" i="6"/>
  <c r="J115" i="6" s="1"/>
  <c r="H115" i="6"/>
  <c r="I114" i="6"/>
  <c r="J114" i="6" s="1"/>
  <c r="H114" i="6"/>
  <c r="I113" i="6"/>
  <c r="J113" i="6" s="1"/>
  <c r="H113" i="6"/>
  <c r="I112" i="6"/>
  <c r="J112" i="6" s="1"/>
  <c r="H112" i="6"/>
  <c r="I111" i="6"/>
  <c r="J111" i="6" s="1"/>
  <c r="H111" i="6"/>
  <c r="I110" i="6"/>
  <c r="J110" i="6" s="1"/>
  <c r="H110" i="6"/>
  <c r="L109" i="6"/>
  <c r="I109" i="6"/>
  <c r="J109" i="6" s="1"/>
  <c r="H109" i="6"/>
  <c r="I108" i="6"/>
  <c r="J108" i="6" s="1"/>
  <c r="H108" i="6"/>
  <c r="I107" i="6"/>
  <c r="J107" i="6" s="1"/>
  <c r="H107" i="6"/>
  <c r="I106" i="6"/>
  <c r="J106" i="6" s="1"/>
  <c r="H106" i="6"/>
  <c r="I105" i="6"/>
  <c r="J105" i="6" s="1"/>
  <c r="H105" i="6"/>
  <c r="I104" i="6"/>
  <c r="J104" i="6" s="1"/>
  <c r="H104" i="6"/>
  <c r="L103" i="6"/>
  <c r="I103" i="6"/>
  <c r="J103" i="6" s="1"/>
  <c r="H103" i="6"/>
  <c r="I102" i="6"/>
  <c r="J102" i="6" s="1"/>
  <c r="H102" i="6"/>
  <c r="I101" i="6"/>
  <c r="J101" i="6" s="1"/>
  <c r="H101" i="6"/>
  <c r="I100" i="6"/>
  <c r="J100" i="6" s="1"/>
  <c r="H100" i="6"/>
  <c r="I99" i="6"/>
  <c r="J99" i="6" s="1"/>
  <c r="H99" i="6"/>
  <c r="I98" i="6"/>
  <c r="J98" i="6" s="1"/>
  <c r="H98" i="6"/>
  <c r="I97" i="6"/>
  <c r="J97" i="6" s="1"/>
  <c r="H97" i="6"/>
  <c r="I96" i="6"/>
  <c r="J96" i="6" s="1"/>
  <c r="H96" i="6"/>
  <c r="I95" i="6"/>
  <c r="J95" i="6" s="1"/>
  <c r="H95" i="6"/>
  <c r="I94" i="6"/>
  <c r="J94" i="6" s="1"/>
  <c r="H94" i="6"/>
  <c r="I93" i="6"/>
  <c r="J93" i="6" s="1"/>
  <c r="H93" i="6"/>
  <c r="I92" i="6"/>
  <c r="J92" i="6" s="1"/>
  <c r="H92" i="6"/>
  <c r="I91" i="6"/>
  <c r="J91" i="6" s="1"/>
  <c r="H91" i="6"/>
  <c r="I90" i="6"/>
  <c r="J90" i="6" s="1"/>
  <c r="H90" i="6"/>
  <c r="I89" i="6"/>
  <c r="J89" i="6" s="1"/>
  <c r="H89" i="6"/>
  <c r="I88" i="6"/>
  <c r="J88" i="6" s="1"/>
  <c r="H88" i="6"/>
  <c r="I87" i="6"/>
  <c r="J87" i="6" s="1"/>
  <c r="H87" i="6"/>
  <c r="I86" i="6"/>
  <c r="J86" i="6" s="1"/>
  <c r="H86" i="6"/>
  <c r="I85" i="6"/>
  <c r="J85" i="6" s="1"/>
  <c r="H85" i="6"/>
  <c r="I84" i="6"/>
  <c r="J84" i="6" s="1"/>
  <c r="H84" i="6"/>
  <c r="I83" i="6"/>
  <c r="J83" i="6" s="1"/>
  <c r="H83" i="6"/>
  <c r="I82" i="6"/>
  <c r="J82" i="6" s="1"/>
  <c r="H82" i="6"/>
  <c r="I81" i="6"/>
  <c r="J81" i="6" s="1"/>
  <c r="H81" i="6"/>
  <c r="I80" i="6"/>
  <c r="J80" i="6" s="1"/>
  <c r="H80" i="6"/>
  <c r="I79" i="6"/>
  <c r="J79" i="6" s="1"/>
  <c r="H79" i="6"/>
  <c r="I78" i="6"/>
  <c r="J78" i="6" s="1"/>
  <c r="H78" i="6"/>
  <c r="I77" i="6"/>
  <c r="J77" i="6" s="1"/>
  <c r="H77" i="6"/>
  <c r="I76" i="6"/>
  <c r="J76" i="6" s="1"/>
  <c r="H76" i="6"/>
  <c r="I75" i="6"/>
  <c r="J75" i="6" s="1"/>
  <c r="H75" i="6"/>
  <c r="I74" i="6"/>
  <c r="J74" i="6" s="1"/>
  <c r="H74" i="6"/>
  <c r="I73" i="6"/>
  <c r="J73" i="6" s="1"/>
  <c r="H73" i="6"/>
  <c r="I72" i="6"/>
  <c r="J72" i="6" s="1"/>
  <c r="H72" i="6"/>
  <c r="I71" i="6"/>
  <c r="J71" i="6" s="1"/>
  <c r="H71" i="6"/>
  <c r="I70" i="6"/>
  <c r="J70" i="6" s="1"/>
  <c r="H70" i="6"/>
  <c r="I69" i="6"/>
  <c r="J69" i="6" s="1"/>
  <c r="H69" i="6"/>
  <c r="I68" i="6"/>
  <c r="J68" i="6" s="1"/>
  <c r="H68" i="6"/>
  <c r="I67" i="6"/>
  <c r="J67" i="6" s="1"/>
  <c r="H67" i="6"/>
  <c r="I66" i="6"/>
  <c r="J66" i="6" s="1"/>
  <c r="H66" i="6"/>
  <c r="I65" i="6"/>
  <c r="J65" i="6" s="1"/>
  <c r="H65" i="6"/>
  <c r="I64" i="6"/>
  <c r="J64" i="6" s="1"/>
  <c r="H64" i="6"/>
  <c r="I63" i="6"/>
  <c r="J63" i="6" s="1"/>
  <c r="H63" i="6"/>
  <c r="I62" i="6"/>
  <c r="J62" i="6" s="1"/>
  <c r="H62" i="6"/>
  <c r="I61" i="6"/>
  <c r="J61" i="6" s="1"/>
  <c r="H61" i="6"/>
  <c r="I60" i="6"/>
  <c r="J60" i="6" s="1"/>
  <c r="H60" i="6"/>
  <c r="I59" i="6"/>
  <c r="J59" i="6" s="1"/>
  <c r="H59" i="6"/>
  <c r="I58" i="6"/>
  <c r="J58" i="6" s="1"/>
  <c r="H58" i="6"/>
  <c r="I57" i="6"/>
  <c r="J57" i="6" s="1"/>
  <c r="H57" i="6"/>
  <c r="I56" i="6"/>
  <c r="J56" i="6" s="1"/>
  <c r="H56" i="6"/>
  <c r="I55" i="6"/>
  <c r="J55" i="6" s="1"/>
  <c r="H55" i="6"/>
  <c r="I54" i="6"/>
  <c r="J54" i="6" s="1"/>
  <c r="H54" i="6"/>
  <c r="I53" i="6"/>
  <c r="J53" i="6" s="1"/>
  <c r="H53" i="6"/>
  <c r="I52" i="6"/>
  <c r="J52" i="6" s="1"/>
  <c r="H52" i="6"/>
  <c r="I51" i="6"/>
  <c r="J51" i="6" s="1"/>
  <c r="H51" i="6"/>
  <c r="I50" i="6"/>
  <c r="J50" i="6" s="1"/>
  <c r="H50" i="6"/>
  <c r="I49" i="6"/>
  <c r="J49" i="6" s="1"/>
  <c r="H49" i="6"/>
  <c r="I48" i="6"/>
  <c r="J48" i="6" s="1"/>
  <c r="H48" i="6"/>
  <c r="I47" i="6"/>
  <c r="J47" i="6" s="1"/>
  <c r="H47" i="6"/>
  <c r="I46" i="6"/>
  <c r="J46" i="6" s="1"/>
  <c r="H46" i="6"/>
  <c r="I45" i="6"/>
  <c r="J45" i="6" s="1"/>
  <c r="H45" i="6"/>
  <c r="I44" i="6"/>
  <c r="J44" i="6" s="1"/>
  <c r="H44" i="6"/>
  <c r="I43" i="6"/>
  <c r="J43" i="6" s="1"/>
  <c r="H43" i="6"/>
  <c r="I42" i="6"/>
  <c r="J42" i="6" s="1"/>
  <c r="H42" i="6"/>
  <c r="I41" i="6"/>
  <c r="J41" i="6" s="1"/>
  <c r="H41" i="6"/>
  <c r="I40" i="6"/>
  <c r="J40" i="6" s="1"/>
  <c r="H40" i="6"/>
  <c r="I39" i="6"/>
  <c r="J39" i="6" s="1"/>
  <c r="H39" i="6"/>
  <c r="I38" i="6"/>
  <c r="J38" i="6" s="1"/>
  <c r="H38" i="6"/>
  <c r="I37" i="6"/>
  <c r="J37" i="6" s="1"/>
  <c r="H37" i="6"/>
  <c r="I36" i="6"/>
  <c r="J36" i="6" s="1"/>
  <c r="H36" i="6"/>
  <c r="I35" i="6"/>
  <c r="J35" i="6" s="1"/>
  <c r="H35" i="6"/>
  <c r="F255" i="5"/>
  <c r="F195" i="5"/>
  <c r="F211" i="5"/>
  <c r="F397" i="5"/>
  <c r="F483" i="5"/>
  <c r="F489" i="5"/>
  <c r="F439" i="5"/>
  <c r="F291" i="5"/>
  <c r="F235" i="5"/>
  <c r="F395" i="5"/>
  <c r="F478" i="5"/>
  <c r="F336" i="5"/>
  <c r="F375" i="5"/>
  <c r="F404" i="5"/>
  <c r="F259" i="5"/>
  <c r="F303" i="5"/>
  <c r="F130" i="5"/>
  <c r="F419" i="5"/>
  <c r="F396" i="5"/>
  <c r="F208" i="5"/>
  <c r="F484" i="5"/>
  <c r="F242" i="5"/>
  <c r="F481" i="5"/>
  <c r="F314" i="5"/>
  <c r="F213" i="5"/>
  <c r="F116" i="5"/>
  <c r="F227" i="5"/>
  <c r="F90" i="5"/>
  <c r="F229" i="5"/>
  <c r="F382" i="5"/>
  <c r="F275" i="5"/>
  <c r="F334" i="5"/>
  <c r="F487" i="5"/>
  <c r="F246" i="5"/>
  <c r="F422" i="5"/>
  <c r="F180" i="5"/>
  <c r="F485" i="5"/>
  <c r="F301" i="5"/>
  <c r="F258" i="5"/>
  <c r="F333" i="5"/>
  <c r="F236" i="5"/>
  <c r="F344" i="5"/>
  <c r="F198" i="5"/>
  <c r="F294" i="5"/>
  <c r="F221" i="5"/>
  <c r="F176" i="5"/>
  <c r="F316" i="5"/>
  <c r="F71" i="5"/>
  <c r="F146" i="5"/>
  <c r="F206" i="5"/>
  <c r="F129" i="5"/>
  <c r="F81" i="5"/>
  <c r="F285" i="5"/>
  <c r="H472" i="4"/>
  <c r="L156" i="5" s="1"/>
  <c r="M156" i="5" s="1"/>
  <c r="E472" i="6" s="1"/>
  <c r="Q472" i="6" s="1"/>
  <c r="K471" i="4"/>
  <c r="K469" i="4"/>
  <c r="H467" i="4"/>
  <c r="L222" i="5" s="1"/>
  <c r="M222" i="5" s="1"/>
  <c r="H462" i="4"/>
  <c r="L264" i="5" s="1"/>
  <c r="M264" i="5" s="1"/>
  <c r="E462" i="6" s="1"/>
  <c r="Q462" i="6" s="1"/>
  <c r="J453" i="4"/>
  <c r="H452" i="4"/>
  <c r="L468" i="5" s="1"/>
  <c r="M468" i="5" s="1"/>
  <c r="E452" i="6" s="1"/>
  <c r="Q452" i="6" s="1"/>
  <c r="J448" i="4"/>
  <c r="K446" i="4"/>
  <c r="J445" i="4"/>
  <c r="H444" i="4"/>
  <c r="L128" i="5" s="1"/>
  <c r="M128" i="5" s="1"/>
  <c r="K443" i="4"/>
  <c r="H439" i="4"/>
  <c r="L266" i="5" s="1"/>
  <c r="M266" i="5" s="1"/>
  <c r="J432" i="4"/>
  <c r="H429" i="4"/>
  <c r="L228" i="5" s="1"/>
  <c r="M228" i="5" s="1"/>
  <c r="J417" i="4"/>
  <c r="K415" i="4"/>
  <c r="H415" i="4"/>
  <c r="L195" i="5" s="1"/>
  <c r="M195" i="5" s="1"/>
  <c r="E415" i="6" s="1"/>
  <c r="Q415" i="6" s="1"/>
  <c r="K414" i="4"/>
  <c r="K412" i="4"/>
  <c r="H409" i="4"/>
  <c r="L97" i="5" s="1"/>
  <c r="M97" i="5" s="1"/>
  <c r="K407" i="4"/>
  <c r="H407" i="4"/>
  <c r="L475" i="5" s="1"/>
  <c r="M475" i="5" s="1"/>
  <c r="K401" i="4"/>
  <c r="K400" i="4"/>
  <c r="K395" i="4"/>
  <c r="J392" i="4"/>
  <c r="J386" i="4"/>
  <c r="K382" i="4"/>
  <c r="H380" i="4"/>
  <c r="L489" i="5" s="1"/>
  <c r="M489" i="5" s="1"/>
  <c r="J378" i="4"/>
  <c r="H374" i="4"/>
  <c r="L391" i="5" s="1"/>
  <c r="M391" i="5" s="1"/>
  <c r="K373" i="4"/>
  <c r="J368" i="4"/>
  <c r="J362" i="4"/>
  <c r="H361" i="4"/>
  <c r="L476" i="5" s="1"/>
  <c r="M476" i="5" s="1"/>
  <c r="H352" i="4"/>
  <c r="L201" i="5" s="1"/>
  <c r="M201" i="5" s="1"/>
  <c r="I21" i="6"/>
  <c r="J21" i="6" s="1"/>
  <c r="H21" i="6"/>
  <c r="I20" i="6"/>
  <c r="J20" i="6" s="1"/>
  <c r="H20" i="6"/>
  <c r="I19" i="6"/>
  <c r="J19" i="6" s="1"/>
  <c r="H19" i="6"/>
  <c r="I18" i="6"/>
  <c r="J18" i="6" s="1"/>
  <c r="H18" i="6"/>
  <c r="I17" i="6"/>
  <c r="J17" i="6" s="1"/>
  <c r="H17" i="6"/>
  <c r="I16" i="6"/>
  <c r="J16" i="6" s="1"/>
  <c r="H16" i="6"/>
  <c r="I15" i="6"/>
  <c r="J15" i="6" s="1"/>
  <c r="H15" i="6"/>
  <c r="I14" i="6"/>
  <c r="J14" i="6" s="1"/>
  <c r="H14" i="6"/>
  <c r="I13" i="6"/>
  <c r="J13" i="6" s="1"/>
  <c r="H13" i="6"/>
  <c r="I12" i="6"/>
  <c r="J12" i="6" s="1"/>
  <c r="H12" i="6"/>
  <c r="I11" i="6"/>
  <c r="J11" i="6" s="1"/>
  <c r="H11" i="6"/>
  <c r="I10" i="6"/>
  <c r="J10" i="6" s="1"/>
  <c r="H10" i="6"/>
  <c r="I9" i="6"/>
  <c r="J9" i="6" s="1"/>
  <c r="H9" i="6"/>
  <c r="I8" i="6"/>
  <c r="J8" i="6" s="1"/>
  <c r="H8" i="6"/>
  <c r="I7" i="6"/>
  <c r="J7" i="6" s="1"/>
  <c r="H7" i="6"/>
  <c r="I6" i="6"/>
  <c r="J6" i="6" s="1"/>
  <c r="H6" i="6"/>
  <c r="I5" i="6"/>
  <c r="J5" i="6" s="1"/>
  <c r="H5" i="6"/>
  <c r="F352" i="5"/>
  <c r="F366" i="5"/>
  <c r="F499" i="5"/>
  <c r="F463" i="5"/>
  <c r="F348" i="5"/>
  <c r="F369" i="5"/>
  <c r="F455" i="5"/>
  <c r="F320" i="5"/>
  <c r="F330" i="5"/>
  <c r="F457" i="5"/>
  <c r="F442" i="5"/>
  <c r="F432" i="5"/>
  <c r="F105" i="5"/>
  <c r="F351" i="5"/>
  <c r="F233" i="5"/>
  <c r="F279" i="5"/>
  <c r="F388" i="5"/>
  <c r="F223" i="5"/>
  <c r="F345" i="5"/>
  <c r="F443" i="5"/>
  <c r="F269" i="5"/>
  <c r="F472" i="5"/>
  <c r="G270" i="5"/>
  <c r="F417" i="5"/>
  <c r="F185" i="5"/>
  <c r="F141" i="5"/>
  <c r="F237" i="5"/>
  <c r="F482" i="5"/>
  <c r="F308" i="5"/>
  <c r="F215" i="5"/>
  <c r="F360" i="5"/>
  <c r="F315" i="5"/>
  <c r="G45" i="5"/>
  <c r="G296" i="5"/>
  <c r="F358" i="5"/>
  <c r="G268" i="5"/>
  <c r="F327" i="5"/>
  <c r="F372" i="5"/>
  <c r="F257" i="5"/>
  <c r="F329" i="5"/>
  <c r="G195" i="5"/>
  <c r="F113" i="5"/>
  <c r="F393" i="5"/>
  <c r="F475" i="5"/>
  <c r="F319" i="5"/>
  <c r="F452" i="5"/>
  <c r="F11" i="5"/>
  <c r="F402" i="5"/>
  <c r="F200" i="5"/>
  <c r="L393" i="6" s="1"/>
  <c r="F204" i="5"/>
  <c r="F488" i="5"/>
  <c r="F254" i="5"/>
  <c r="F164" i="5"/>
  <c r="F102" i="5"/>
  <c r="F30" i="5"/>
  <c r="F384" i="5"/>
  <c r="G469" i="5"/>
  <c r="F122" i="5"/>
  <c r="F476" i="5"/>
  <c r="F220" i="5"/>
  <c r="F289" i="5"/>
  <c r="G318" i="5"/>
  <c r="F462" i="5"/>
  <c r="F250" i="5"/>
  <c r="F418" i="5"/>
  <c r="G291" i="5"/>
  <c r="G201" i="5"/>
  <c r="F477" i="5"/>
  <c r="F256" i="5"/>
  <c r="F120" i="5"/>
  <c r="F39" i="5"/>
  <c r="F406" i="5"/>
  <c r="F14" i="5"/>
  <c r="F197" i="5"/>
  <c r="F66" i="5"/>
  <c r="G240" i="5"/>
  <c r="F179" i="5"/>
  <c r="F400" i="5"/>
  <c r="F114" i="5"/>
  <c r="F232" i="5"/>
  <c r="F451" i="5"/>
  <c r="F136" i="5"/>
  <c r="F495" i="5"/>
  <c r="F302" i="5"/>
  <c r="G377" i="5"/>
  <c r="G480" i="5"/>
  <c r="G332" i="5"/>
  <c r="F367" i="5"/>
  <c r="G213" i="5"/>
  <c r="G90" i="5"/>
  <c r="F187" i="5"/>
  <c r="G229" i="5"/>
  <c r="G382" i="5"/>
  <c r="F504" i="5"/>
  <c r="G180" i="5"/>
  <c r="F203" i="5"/>
  <c r="G159" i="5"/>
  <c r="F172" i="5"/>
  <c r="F144" i="5"/>
  <c r="G282" i="5"/>
  <c r="F309" i="5"/>
  <c r="F405" i="5"/>
  <c r="G344" i="5"/>
  <c r="F231" i="5"/>
  <c r="G198" i="5"/>
  <c r="F143" i="5"/>
  <c r="G260" i="5"/>
  <c r="F12" i="5"/>
  <c r="F135" i="5"/>
  <c r="F192" i="5"/>
  <c r="F23" i="5"/>
  <c r="F424" i="5"/>
  <c r="F18" i="5"/>
  <c r="F62" i="5"/>
  <c r="F234" i="5"/>
  <c r="F6" i="5"/>
  <c r="G163" i="5"/>
  <c r="F216" i="5"/>
  <c r="F286" i="5"/>
  <c r="G129" i="5"/>
  <c r="F80" i="5"/>
  <c r="F100" i="5"/>
  <c r="H474" i="4"/>
  <c r="L239" i="5" s="1"/>
  <c r="M239" i="5" s="1"/>
  <c r="E474" i="6" s="1"/>
  <c r="Q474" i="6" s="1"/>
  <c r="H469" i="4"/>
  <c r="L433" i="5" s="1"/>
  <c r="M433" i="5" s="1"/>
  <c r="E469" i="6" s="1"/>
  <c r="Q469" i="6" s="1"/>
  <c r="K457" i="4"/>
  <c r="K454" i="4"/>
  <c r="J450" i="4"/>
  <c r="J443" i="4"/>
  <c r="K439" i="4"/>
  <c r="H430" i="4"/>
  <c r="L358" i="5" s="1"/>
  <c r="M358" i="5" s="1"/>
  <c r="J429" i="4"/>
  <c r="H424" i="4"/>
  <c r="L268" i="5" s="1"/>
  <c r="M268" i="5" s="1"/>
  <c r="H423" i="4"/>
  <c r="L327" i="5" s="1"/>
  <c r="M327" i="5" s="1"/>
  <c r="E423" i="6" s="1"/>
  <c r="Q423" i="6" s="1"/>
  <c r="K420" i="4"/>
  <c r="K419" i="4"/>
  <c r="J416" i="4"/>
  <c r="J415" i="4"/>
  <c r="H412" i="4"/>
  <c r="L277" i="5" s="1"/>
  <c r="M277" i="5" s="1"/>
  <c r="K410" i="4"/>
  <c r="K409" i="4"/>
  <c r="H405" i="4"/>
  <c r="L319" i="5" s="1"/>
  <c r="M319" i="5" s="1"/>
  <c r="J397" i="4"/>
  <c r="J396" i="4"/>
  <c r="J395" i="4"/>
  <c r="H390" i="4"/>
  <c r="L445" i="5" s="1"/>
  <c r="M445" i="5" s="1"/>
  <c r="E390" i="6" s="1"/>
  <c r="Q390" i="6" s="1"/>
  <c r="K387" i="4"/>
  <c r="K384" i="4"/>
  <c r="J376" i="4"/>
  <c r="J370" i="4"/>
  <c r="H370" i="4"/>
  <c r="L430" i="5" s="1"/>
  <c r="M430" i="5" s="1"/>
  <c r="K366" i="4"/>
  <c r="H365" i="4"/>
  <c r="L384" i="5" s="1"/>
  <c r="M384" i="5" s="1"/>
  <c r="K359" i="4"/>
  <c r="K357" i="4"/>
  <c r="K352" i="4"/>
  <c r="K351" i="4"/>
  <c r="H349" i="4"/>
  <c r="L120" i="5" s="1"/>
  <c r="M120" i="5" s="1"/>
  <c r="K324" i="4"/>
  <c r="H324" i="4"/>
  <c r="L304" i="5" s="1"/>
  <c r="M304" i="5" s="1"/>
  <c r="E324" i="6" s="1"/>
  <c r="Q324" i="6" s="1"/>
  <c r="H315" i="4"/>
  <c r="L371" i="5" s="1"/>
  <c r="M371" i="5" s="1"/>
  <c r="E315" i="6" s="1"/>
  <c r="Q315" i="6" s="1"/>
  <c r="K309" i="4"/>
  <c r="H304" i="4"/>
  <c r="L396" i="5" s="1"/>
  <c r="M396" i="5" s="1"/>
  <c r="E304" i="6" s="1"/>
  <c r="Q304" i="6" s="1"/>
  <c r="H301" i="4"/>
  <c r="L484" i="5" s="1"/>
  <c r="M484" i="5" s="1"/>
  <c r="E301" i="6" s="1"/>
  <c r="Q301" i="6" s="1"/>
  <c r="J278" i="4"/>
  <c r="K277" i="4"/>
  <c r="J270" i="4"/>
  <c r="J269" i="4"/>
  <c r="J266" i="4"/>
  <c r="H254" i="4"/>
  <c r="L438" i="5" s="1"/>
  <c r="H249" i="4"/>
  <c r="L378" i="5" s="1"/>
  <c r="J248" i="4"/>
  <c r="K235" i="4"/>
  <c r="J232" i="4"/>
  <c r="J231" i="4"/>
  <c r="H229" i="4"/>
  <c r="L412" i="5" s="1"/>
  <c r="J227" i="4"/>
  <c r="H222" i="4"/>
  <c r="L480" i="5" s="1"/>
  <c r="M480" i="5" s="1"/>
  <c r="E222" i="6" s="1"/>
  <c r="Q222" i="6" s="1"/>
  <c r="K218" i="4"/>
  <c r="K214" i="4"/>
  <c r="H214" i="4"/>
  <c r="L227" i="5" s="1"/>
  <c r="M227" i="5" s="1"/>
  <c r="E214" i="6" s="1"/>
  <c r="Q214" i="6" s="1"/>
  <c r="J213" i="4"/>
  <c r="K203" i="4"/>
  <c r="K202" i="4"/>
  <c r="H202" i="4"/>
  <c r="L498" i="5" s="1"/>
  <c r="M498" i="5" s="1"/>
  <c r="E202" i="6" s="1"/>
  <c r="Q202" i="6" s="1"/>
  <c r="H199" i="4"/>
  <c r="L246" i="5" s="1"/>
  <c r="M246" i="5" s="1"/>
  <c r="J197" i="4"/>
  <c r="K195" i="4"/>
  <c r="H191" i="4"/>
  <c r="L144" i="5" s="1"/>
  <c r="M144" i="5" s="1"/>
  <c r="E191" i="6" s="1"/>
  <c r="Q191" i="6" s="1"/>
  <c r="H187" i="4"/>
  <c r="L171" i="5" s="1"/>
  <c r="M171" i="5" s="1"/>
  <c r="E187" i="6" s="1"/>
  <c r="Q187" i="6" s="1"/>
  <c r="H182" i="4"/>
  <c r="L309" i="5" s="1"/>
  <c r="M309" i="5" s="1"/>
  <c r="E182" i="6" s="1"/>
  <c r="Q182" i="6" s="1"/>
  <c r="J177" i="4"/>
  <c r="H177" i="4"/>
  <c r="L333" i="5" s="1"/>
  <c r="M333" i="5" s="1"/>
  <c r="K175" i="4"/>
  <c r="F167" i="5"/>
  <c r="F354" i="5"/>
  <c r="F139" i="5"/>
  <c r="F84" i="5"/>
  <c r="F65" i="5"/>
  <c r="F219" i="5"/>
  <c r="F94" i="5"/>
  <c r="F307" i="5"/>
  <c r="F15" i="5"/>
  <c r="F403" i="5"/>
  <c r="F199" i="5"/>
  <c r="F290" i="5"/>
  <c r="F355" i="5"/>
  <c r="F194" i="5"/>
  <c r="F31" i="5"/>
  <c r="F205" i="5"/>
  <c r="F312" i="5"/>
  <c r="F126" i="5"/>
  <c r="F88" i="5"/>
  <c r="F370" i="5"/>
  <c r="F202" i="5"/>
  <c r="F137" i="5"/>
  <c r="F346" i="5"/>
  <c r="F79" i="5"/>
  <c r="F177" i="5"/>
  <c r="F349" i="5"/>
  <c r="F399" i="5"/>
  <c r="F444" i="5"/>
  <c r="F458" i="5"/>
  <c r="F28" i="5"/>
  <c r="F465" i="5"/>
  <c r="F310" i="5"/>
  <c r="F274" i="5"/>
  <c r="F57" i="5"/>
  <c r="F473" i="5"/>
  <c r="F93" i="5"/>
  <c r="F409" i="5"/>
  <c r="F251" i="5"/>
  <c r="F262" i="5"/>
  <c r="F118" i="5"/>
  <c r="F73" i="5"/>
  <c r="F58" i="5"/>
  <c r="F341" i="5"/>
  <c r="F361" i="5"/>
  <c r="F440" i="5"/>
  <c r="M438" i="5"/>
  <c r="E254" i="6" s="1"/>
  <c r="Q254" i="6" s="1"/>
  <c r="F438" i="5"/>
  <c r="F49" i="5"/>
  <c r="F421" i="5"/>
  <c r="F72" i="5"/>
  <c r="F435" i="5"/>
  <c r="M378" i="5"/>
  <c r="E249" i="6" s="1"/>
  <c r="Q249" i="6" s="1"/>
  <c r="F378" i="5"/>
  <c r="F175" i="5"/>
  <c r="F331" i="5"/>
  <c r="F26" i="5"/>
  <c r="F496" i="5"/>
  <c r="F357" i="5"/>
  <c r="F401" i="5"/>
  <c r="F273" i="5"/>
  <c r="F225" i="5"/>
  <c r="F365" i="5"/>
  <c r="F494" i="5"/>
  <c r="F276" i="5"/>
  <c r="F454" i="5"/>
  <c r="F217" i="5"/>
  <c r="F119" i="5"/>
  <c r="F500" i="5"/>
  <c r="F408" i="5"/>
  <c r="F374" i="5"/>
  <c r="F368" i="5"/>
  <c r="F340" i="5"/>
  <c r="M412" i="5"/>
  <c r="F412" i="5"/>
  <c r="F335" i="5"/>
  <c r="G487" i="5"/>
  <c r="G485" i="5"/>
  <c r="G48" i="5"/>
  <c r="F362" i="5"/>
  <c r="G376" i="5"/>
  <c r="G425" i="5"/>
  <c r="F392" i="5"/>
  <c r="G46" i="5"/>
  <c r="F41" i="5"/>
  <c r="F67" i="5"/>
  <c r="F112" i="5"/>
  <c r="G206" i="5"/>
  <c r="G160" i="5"/>
  <c r="F60" i="5"/>
  <c r="K470" i="4"/>
  <c r="H464" i="4"/>
  <c r="L394" i="5" s="1"/>
  <c r="M394" i="5" s="1"/>
  <c r="K458" i="4"/>
  <c r="K455" i="4"/>
  <c r="J452" i="4"/>
  <c r="H451" i="4"/>
  <c r="L83" i="5" s="1"/>
  <c r="M83" i="5" s="1"/>
  <c r="E451" i="6" s="1"/>
  <c r="Q451" i="6" s="1"/>
  <c r="J449" i="4"/>
  <c r="K448" i="4"/>
  <c r="H447" i="4"/>
  <c r="L385" i="5" s="1"/>
  <c r="M385" i="5" s="1"/>
  <c r="J444" i="4"/>
  <c r="J438" i="4"/>
  <c r="J433" i="4"/>
  <c r="K432" i="4"/>
  <c r="J431" i="4"/>
  <c r="J430" i="4"/>
  <c r="H427" i="4"/>
  <c r="L109" i="5" s="1"/>
  <c r="M109" i="5" s="1"/>
  <c r="K422" i="4"/>
  <c r="J419" i="4"/>
  <c r="K417" i="4"/>
  <c r="H413" i="4"/>
  <c r="L393" i="5" s="1"/>
  <c r="M393" i="5" s="1"/>
  <c r="J409" i="4"/>
  <c r="J408" i="4"/>
  <c r="J407" i="4"/>
  <c r="J406" i="4"/>
  <c r="H399" i="4"/>
  <c r="L342" i="5" s="1"/>
  <c r="M342" i="5" s="1"/>
  <c r="H397" i="4"/>
  <c r="L397" i="5" s="1"/>
  <c r="M397" i="5" s="1"/>
  <c r="E397" i="6" s="1"/>
  <c r="Q397" i="6" s="1"/>
  <c r="H384" i="4"/>
  <c r="L210" i="5" s="1"/>
  <c r="M210" i="5" s="1"/>
  <c r="E384" i="6" s="1"/>
  <c r="Q384" i="6" s="1"/>
  <c r="J383" i="4"/>
  <c r="F51" i="5"/>
  <c r="F353" i="5"/>
  <c r="F154" i="5"/>
  <c r="F16" i="5"/>
  <c r="F158" i="5"/>
  <c r="F37" i="5"/>
  <c r="F390" i="5"/>
  <c r="F196" i="5"/>
  <c r="F134" i="5"/>
  <c r="F92" i="5"/>
  <c r="F27" i="5"/>
  <c r="F151" i="5"/>
  <c r="F170" i="5"/>
  <c r="F42" i="5"/>
  <c r="F247" i="5"/>
  <c r="F272" i="5"/>
  <c r="F245" i="5"/>
  <c r="F138" i="5"/>
  <c r="F9" i="5"/>
  <c r="F101" i="5"/>
  <c r="F87" i="5"/>
  <c r="F300" i="5"/>
  <c r="F34" i="5"/>
  <c r="F69" i="5"/>
  <c r="F168" i="5"/>
  <c r="F21" i="5"/>
  <c r="F224" i="5"/>
  <c r="F54" i="5"/>
  <c r="F75" i="5"/>
  <c r="F110" i="5"/>
  <c r="F111" i="5"/>
  <c r="F324" i="5"/>
  <c r="F24" i="5"/>
  <c r="F305" i="5"/>
  <c r="F13" i="5"/>
  <c r="F133" i="5"/>
  <c r="F52" i="5"/>
  <c r="F249" i="5"/>
  <c r="F147" i="5"/>
  <c r="F448" i="5"/>
  <c r="F36" i="5"/>
  <c r="F7" i="5"/>
  <c r="F132" i="5"/>
  <c r="F10" i="5"/>
  <c r="F53" i="5"/>
  <c r="F50" i="5"/>
  <c r="F218" i="5"/>
  <c r="F29" i="5"/>
  <c r="F161" i="5"/>
  <c r="F140" i="5"/>
  <c r="F107" i="5"/>
  <c r="F20" i="5"/>
  <c r="F150" i="5"/>
  <c r="L21" i="6" s="1"/>
  <c r="F86" i="5"/>
  <c r="F186" i="5"/>
  <c r="F449" i="5"/>
  <c r="F471" i="5"/>
  <c r="F350" i="5"/>
  <c r="F91" i="5"/>
  <c r="F33" i="5"/>
  <c r="F207" i="5"/>
  <c r="F22" i="5"/>
  <c r="F174" i="5"/>
  <c r="F104" i="5"/>
  <c r="F190" i="5"/>
  <c r="F108" i="5"/>
  <c r="F148" i="5"/>
  <c r="F123" i="5"/>
  <c r="F44" i="5"/>
  <c r="H504" i="4"/>
  <c r="L352" i="5" s="1"/>
  <c r="M352" i="5" s="1"/>
  <c r="H503" i="4"/>
  <c r="L366" i="5" s="1"/>
  <c r="M366" i="5" s="1"/>
  <c r="H502" i="4"/>
  <c r="L499" i="5" s="1"/>
  <c r="M499" i="5" s="1"/>
  <c r="H501" i="4"/>
  <c r="L463" i="5" s="1"/>
  <c r="M463" i="5" s="1"/>
  <c r="H500" i="4"/>
  <c r="L348" i="5" s="1"/>
  <c r="M348" i="5" s="1"/>
  <c r="H499" i="4"/>
  <c r="L369" i="5" s="1"/>
  <c r="M369" i="5" s="1"/>
  <c r="E499" i="6" s="1"/>
  <c r="Q499" i="6" s="1"/>
  <c r="H498" i="4"/>
  <c r="L455" i="5" s="1"/>
  <c r="M455" i="5" s="1"/>
  <c r="H497" i="4"/>
  <c r="L320" i="5" s="1"/>
  <c r="M320" i="5" s="1"/>
  <c r="H496" i="4"/>
  <c r="L330" i="5" s="1"/>
  <c r="M330" i="5" s="1"/>
  <c r="H495" i="4"/>
  <c r="L457" i="5" s="1"/>
  <c r="M457" i="5" s="1"/>
  <c r="H494" i="4"/>
  <c r="L442" i="5" s="1"/>
  <c r="M442" i="5" s="1"/>
  <c r="H493" i="4"/>
  <c r="L432" i="5" s="1"/>
  <c r="M432" i="5" s="1"/>
  <c r="H492" i="4"/>
  <c r="L105" i="5" s="1"/>
  <c r="M105" i="5" s="1"/>
  <c r="H491" i="4"/>
  <c r="L351" i="5" s="1"/>
  <c r="M351" i="5" s="1"/>
  <c r="H490" i="4"/>
  <c r="L233" i="5" s="1"/>
  <c r="M233" i="5" s="1"/>
  <c r="H489" i="4"/>
  <c r="L279" i="5" s="1"/>
  <c r="M279" i="5" s="1"/>
  <c r="H488" i="4"/>
  <c r="L388" i="5" s="1"/>
  <c r="M388" i="5" s="1"/>
  <c r="H487" i="4"/>
  <c r="L223" i="5" s="1"/>
  <c r="M223" i="5" s="1"/>
  <c r="H486" i="4"/>
  <c r="L345" i="5" s="1"/>
  <c r="M345" i="5" s="1"/>
  <c r="H485" i="4"/>
  <c r="L443" i="5" s="1"/>
  <c r="M443" i="5" s="1"/>
  <c r="H484" i="4"/>
  <c r="L269" i="5" s="1"/>
  <c r="M269" i="5" s="1"/>
  <c r="H483" i="4"/>
  <c r="L472" i="5" s="1"/>
  <c r="M472" i="5" s="1"/>
  <c r="H482" i="4"/>
  <c r="L270" i="5" s="1"/>
  <c r="M270" i="5" s="1"/>
  <c r="H481" i="4"/>
  <c r="L253" i="5" s="1"/>
  <c r="M253" i="5" s="1"/>
  <c r="H480" i="4"/>
  <c r="L437" i="5" s="1"/>
  <c r="M437" i="5" s="1"/>
  <c r="H479" i="4"/>
  <c r="L364" i="5" s="1"/>
  <c r="M364" i="5" s="1"/>
  <c r="H478" i="4"/>
  <c r="L338" i="5" s="1"/>
  <c r="M338" i="5" s="1"/>
  <c r="H477" i="4"/>
  <c r="L417" i="5" s="1"/>
  <c r="M417" i="5" s="1"/>
  <c r="H476" i="4"/>
  <c r="L486" i="5" s="1"/>
  <c r="M486" i="5" s="1"/>
  <c r="H475" i="4"/>
  <c r="L466" i="5" s="1"/>
  <c r="M466" i="5" s="1"/>
  <c r="K464" i="4"/>
  <c r="H460" i="4"/>
  <c r="L337" i="5" s="1"/>
  <c r="M337" i="5" s="1"/>
  <c r="J454" i="4"/>
  <c r="K453" i="4"/>
  <c r="K450" i="4"/>
  <c r="H449" i="4"/>
  <c r="L238" i="5" s="1"/>
  <c r="M238" i="5" s="1"/>
  <c r="J447" i="4"/>
  <c r="H446" i="4"/>
  <c r="L441" i="5" s="1"/>
  <c r="M441" i="5" s="1"/>
  <c r="J440" i="4"/>
  <c r="J437" i="4"/>
  <c r="H434" i="4"/>
  <c r="L360" i="5" s="1"/>
  <c r="M360" i="5" s="1"/>
  <c r="K421" i="4"/>
  <c r="H414" i="4"/>
  <c r="L113" i="5" s="1"/>
  <c r="M113" i="5" s="1"/>
  <c r="J411" i="4"/>
  <c r="H411" i="4"/>
  <c r="L184" i="5" s="1"/>
  <c r="M184" i="5" s="1"/>
  <c r="J405" i="4"/>
  <c r="H403" i="4"/>
  <c r="L460" i="5" s="1"/>
  <c r="M460" i="5" s="1"/>
  <c r="K402" i="4"/>
  <c r="H402" i="4"/>
  <c r="L452" i="5" s="1"/>
  <c r="M452" i="5" s="1"/>
  <c r="J401" i="4"/>
  <c r="J399" i="4"/>
  <c r="H395" i="4"/>
  <c r="L214" i="5" s="1"/>
  <c r="M214" i="5" s="1"/>
  <c r="K390" i="4"/>
  <c r="H387" i="4"/>
  <c r="L292" i="5" s="1"/>
  <c r="M292" i="5" s="1"/>
  <c r="H386" i="4"/>
  <c r="L483" i="5" s="1"/>
  <c r="M483" i="5" s="1"/>
  <c r="E386" i="6" s="1"/>
  <c r="Q386" i="6" s="1"/>
  <c r="K380" i="4"/>
  <c r="K379" i="4"/>
  <c r="H379" i="4"/>
  <c r="L488" i="5" s="1"/>
  <c r="M488" i="5" s="1"/>
  <c r="K377" i="4"/>
  <c r="H371" i="4"/>
  <c r="L322" i="5" s="1"/>
  <c r="M322" i="5" s="1"/>
  <c r="H368" i="4"/>
  <c r="L64" i="5" s="1"/>
  <c r="M64" i="5" s="1"/>
  <c r="K358" i="4"/>
  <c r="K348" i="4"/>
  <c r="H332" i="4"/>
  <c r="L474" i="5" s="1"/>
  <c r="M474" i="5" s="1"/>
  <c r="E332" i="6" s="1"/>
  <c r="Q332" i="6" s="1"/>
  <c r="K330" i="4"/>
  <c r="K317" i="4"/>
  <c r="K305" i="4"/>
  <c r="K295" i="4"/>
  <c r="J291" i="4"/>
  <c r="J290" i="4"/>
  <c r="H279" i="4"/>
  <c r="L202" i="5" s="1"/>
  <c r="M202" i="5" s="1"/>
  <c r="E279" i="6" s="1"/>
  <c r="Q279" i="6" s="1"/>
  <c r="J276" i="4"/>
  <c r="K272" i="4"/>
  <c r="K265" i="4"/>
  <c r="H265" i="4"/>
  <c r="L473" i="5" s="1"/>
  <c r="M473" i="5" s="1"/>
  <c r="J264" i="4"/>
  <c r="K258" i="4"/>
  <c r="J255" i="4"/>
  <c r="J254" i="4"/>
  <c r="H253" i="4"/>
  <c r="L49" i="5" s="1"/>
  <c r="M49" i="5" s="1"/>
  <c r="E253" i="6" s="1"/>
  <c r="Q253" i="6" s="1"/>
  <c r="K250" i="4"/>
  <c r="H246" i="4"/>
  <c r="L26" i="5" s="1"/>
  <c r="M26" i="5" s="1"/>
  <c r="H239" i="4"/>
  <c r="L494" i="5" s="1"/>
  <c r="M494" i="5" s="1"/>
  <c r="H238" i="4"/>
  <c r="L276" i="5" s="1"/>
  <c r="M276" i="5" s="1"/>
  <c r="E238" i="6" s="1"/>
  <c r="Q238" i="6" s="1"/>
  <c r="J237" i="4"/>
  <c r="K233" i="4"/>
  <c r="H230" i="4"/>
  <c r="L340" i="5" s="1"/>
  <c r="M340" i="5" s="1"/>
  <c r="E230" i="6" s="1"/>
  <c r="Q230" i="6" s="1"/>
  <c r="K226" i="4"/>
  <c r="J223" i="4"/>
  <c r="J208" i="4"/>
  <c r="K207" i="4"/>
  <c r="H205" i="4"/>
  <c r="L487" i="5" s="1"/>
  <c r="M487" i="5" s="1"/>
  <c r="H204" i="4"/>
  <c r="L25" i="5" s="1"/>
  <c r="M25" i="5" s="1"/>
  <c r="J202" i="4"/>
  <c r="H189" i="4"/>
  <c r="L48" i="5" s="1"/>
  <c r="M48" i="5" s="1"/>
  <c r="J188" i="4"/>
  <c r="H186" i="4"/>
  <c r="L313" i="5" s="1"/>
  <c r="M313" i="5" s="1"/>
  <c r="J181" i="4"/>
  <c r="J176" i="4"/>
  <c r="K367" i="4"/>
  <c r="J367" i="4"/>
  <c r="K169" i="4"/>
  <c r="J169" i="4"/>
  <c r="H169" i="4"/>
  <c r="L294" i="5" s="1"/>
  <c r="M294" i="5" s="1"/>
  <c r="J168" i="4"/>
  <c r="H168" i="4"/>
  <c r="L411" i="5" s="1"/>
  <c r="M411" i="5" s="1"/>
  <c r="E168" i="6" s="1"/>
  <c r="Q168" i="6" s="1"/>
  <c r="J167" i="4"/>
  <c r="H167" i="4"/>
  <c r="L429" i="5" s="1"/>
  <c r="M429" i="5" s="1"/>
  <c r="E167" i="6" s="1"/>
  <c r="Q167" i="6" s="1"/>
  <c r="J166" i="4"/>
  <c r="H166" i="4"/>
  <c r="L143" i="5" s="1"/>
  <c r="M143" i="5" s="1"/>
  <c r="E166" i="6" s="1"/>
  <c r="Q166" i="6" s="1"/>
  <c r="J165" i="4"/>
  <c r="H165" i="4"/>
  <c r="L373" i="5" s="1"/>
  <c r="M373" i="5" s="1"/>
  <c r="J164" i="4"/>
  <c r="H164" i="4"/>
  <c r="L153" i="5" s="1"/>
  <c r="M153" i="5" s="1"/>
  <c r="E164" i="6" s="1"/>
  <c r="Q164" i="6" s="1"/>
  <c r="J163" i="4"/>
  <c r="H163" i="4"/>
  <c r="L70" i="5" s="1"/>
  <c r="M70" i="5" s="1"/>
  <c r="E163" i="6" s="1"/>
  <c r="Q163" i="6" s="1"/>
  <c r="J162" i="4"/>
  <c r="H162" i="4"/>
  <c r="L380" i="5" s="1"/>
  <c r="M380" i="5" s="1"/>
  <c r="J161" i="4"/>
  <c r="H161" i="4"/>
  <c r="L260" i="5" s="1"/>
  <c r="M260" i="5" s="1"/>
  <c r="J160" i="4"/>
  <c r="H160" i="4"/>
  <c r="L12" i="5" s="1"/>
  <c r="M12" i="5" s="1"/>
  <c r="E160" i="6" s="1"/>
  <c r="Q160" i="6" s="1"/>
  <c r="J159" i="4"/>
  <c r="H159" i="4"/>
  <c r="L135" i="5" s="1"/>
  <c r="M135" i="5" s="1"/>
  <c r="E159" i="6" s="1"/>
  <c r="Q159" i="6" s="1"/>
  <c r="J158" i="4"/>
  <c r="H158" i="4"/>
  <c r="L192" i="5" s="1"/>
  <c r="M192" i="5" s="1"/>
  <c r="E158" i="6" s="1"/>
  <c r="Q158" i="6" s="1"/>
  <c r="J157" i="4"/>
  <c r="H157" i="4"/>
  <c r="L392" i="5" s="1"/>
  <c r="M392" i="5" s="1"/>
  <c r="E157" i="6" s="1"/>
  <c r="Q157" i="6" s="1"/>
  <c r="J156" i="4"/>
  <c r="H156" i="4"/>
  <c r="L19" i="5" s="1"/>
  <c r="M19" i="5" s="1"/>
  <c r="E156" i="6" s="1"/>
  <c r="Q156" i="6" s="1"/>
  <c r="J155" i="4"/>
  <c r="H155" i="4"/>
  <c r="L503" i="5" s="1"/>
  <c r="M503" i="5" s="1"/>
  <c r="J154" i="4"/>
  <c r="H154" i="4"/>
  <c r="L55" i="5" s="1"/>
  <c r="M55" i="5" s="1"/>
  <c r="E154" i="6" s="1"/>
  <c r="Q154" i="6" s="1"/>
  <c r="J153" i="4"/>
  <c r="H153" i="4"/>
  <c r="L23" i="5" s="1"/>
  <c r="M23" i="5" s="1"/>
  <c r="E153" i="6" s="1"/>
  <c r="Q153" i="6" s="1"/>
  <c r="J152" i="4"/>
  <c r="H152" i="4"/>
  <c r="L78" i="5" s="1"/>
  <c r="M78" i="5" s="1"/>
  <c r="E152" i="6" s="1"/>
  <c r="Q152" i="6" s="1"/>
  <c r="J151" i="4"/>
  <c r="H151" i="4"/>
  <c r="L325" i="5" s="1"/>
  <c r="M325" i="5" s="1"/>
  <c r="E151" i="6" s="1"/>
  <c r="Q151" i="6" s="1"/>
  <c r="J150" i="4"/>
  <c r="H150" i="4"/>
  <c r="L299" i="5" s="1"/>
  <c r="M299" i="5" s="1"/>
  <c r="J149" i="4"/>
  <c r="H149" i="4"/>
  <c r="L47" i="5" s="1"/>
  <c r="M47" i="5" s="1"/>
  <c r="E149" i="6" s="1"/>
  <c r="Q149" i="6" s="1"/>
  <c r="J148" i="4"/>
  <c r="H148" i="4"/>
  <c r="L284" i="5" s="1"/>
  <c r="M284" i="5" s="1"/>
  <c r="J147" i="4"/>
  <c r="H147" i="4"/>
  <c r="L46" i="5" s="1"/>
  <c r="M46" i="5" s="1"/>
  <c r="E147" i="6" s="1"/>
  <c r="Q147" i="6" s="1"/>
  <c r="J146" i="4"/>
  <c r="H146" i="4"/>
  <c r="L424" i="5" s="1"/>
  <c r="M424" i="5" s="1"/>
  <c r="J145" i="4"/>
  <c r="H145" i="4"/>
  <c r="L77" i="5" s="1"/>
  <c r="M77" i="5" s="1"/>
  <c r="J144" i="4"/>
  <c r="H144" i="4"/>
  <c r="L188" i="5" s="1"/>
  <c r="M188" i="5" s="1"/>
  <c r="E144" i="6" s="1"/>
  <c r="Q144" i="6" s="1"/>
  <c r="J143" i="4"/>
  <c r="H143" i="4"/>
  <c r="L8" i="5" s="1"/>
  <c r="M8" i="5" s="1"/>
  <c r="E143" i="6" s="1"/>
  <c r="Q143" i="6" s="1"/>
  <c r="J142" i="4"/>
  <c r="H142" i="4"/>
  <c r="L63" i="5" s="1"/>
  <c r="M63" i="5" s="1"/>
  <c r="E142" i="6" s="1"/>
  <c r="Q142" i="6" s="1"/>
  <c r="J141" i="4"/>
  <c r="H141" i="4"/>
  <c r="L209" i="5" s="1"/>
  <c r="M209" i="5" s="1"/>
  <c r="E141" i="6" s="1"/>
  <c r="Q141" i="6" s="1"/>
  <c r="J140" i="4"/>
  <c r="H140" i="4"/>
  <c r="L297" i="5" s="1"/>
  <c r="M297" i="5" s="1"/>
  <c r="E140" i="6" s="1"/>
  <c r="Q140" i="6" s="1"/>
  <c r="J139" i="4"/>
  <c r="H139" i="4"/>
  <c r="L293" i="5" s="1"/>
  <c r="M293" i="5" s="1"/>
  <c r="J138" i="4"/>
  <c r="H138" i="4"/>
  <c r="L41" i="5" s="1"/>
  <c r="M41" i="5" s="1"/>
  <c r="E138" i="6" s="1"/>
  <c r="Q138" i="6" s="1"/>
  <c r="J137" i="4"/>
  <c r="H137" i="4"/>
  <c r="L221" i="5" s="1"/>
  <c r="M221" i="5" s="1"/>
  <c r="J136" i="4"/>
  <c r="H136" i="4"/>
  <c r="L176" i="5" s="1"/>
  <c r="M176" i="5" s="1"/>
  <c r="E136" i="6" s="1"/>
  <c r="Q136" i="6" s="1"/>
  <c r="J135" i="4"/>
  <c r="H135" i="4"/>
  <c r="L316" i="5" s="1"/>
  <c r="M316" i="5" s="1"/>
  <c r="E135" i="6" s="1"/>
  <c r="Q135" i="6" s="1"/>
  <c r="J134" i="4"/>
  <c r="H134" i="4"/>
  <c r="L241" i="5" s="1"/>
  <c r="M241" i="5" s="1"/>
  <c r="E134" i="6" s="1"/>
  <c r="Q134" i="6" s="1"/>
  <c r="J133" i="4"/>
  <c r="H133" i="4"/>
  <c r="L117" i="5" s="1"/>
  <c r="M117" i="5" s="1"/>
  <c r="E133" i="6" s="1"/>
  <c r="Q133" i="6" s="1"/>
  <c r="J132" i="4"/>
  <c r="H132" i="4"/>
  <c r="L76" i="5" s="1"/>
  <c r="M76" i="5" s="1"/>
  <c r="E132" i="6" s="1"/>
  <c r="Q132" i="6" s="1"/>
  <c r="J131" i="4"/>
  <c r="H131" i="4"/>
  <c r="L265" i="5" s="1"/>
  <c r="M265" i="5" s="1"/>
  <c r="E131" i="6" s="1"/>
  <c r="Q131" i="6" s="1"/>
  <c r="J130" i="4"/>
  <c r="H130" i="4"/>
  <c r="L173" i="5" s="1"/>
  <c r="M173" i="5" s="1"/>
  <c r="J129" i="4"/>
  <c r="H129" i="4"/>
  <c r="L18" i="5" s="1"/>
  <c r="M18" i="5" s="1"/>
  <c r="E129" i="6" s="1"/>
  <c r="Q129" i="6" s="1"/>
  <c r="J128" i="4"/>
  <c r="H128" i="4"/>
  <c r="L62" i="5" s="1"/>
  <c r="M62" i="5" s="1"/>
  <c r="E128" i="6" s="1"/>
  <c r="Q128" i="6" s="1"/>
  <c r="J127" i="4"/>
  <c r="H127" i="4"/>
  <c r="L67" i="5" s="1"/>
  <c r="M67" i="5" s="1"/>
  <c r="J126" i="4"/>
  <c r="H126" i="4"/>
  <c r="L155" i="5" s="1"/>
  <c r="M155" i="5" s="1"/>
  <c r="J125" i="4"/>
  <c r="H125" i="4"/>
  <c r="L165" i="5" s="1"/>
  <c r="M165" i="5" s="1"/>
  <c r="E125" i="6" s="1"/>
  <c r="Q125" i="6" s="1"/>
  <c r="J124" i="4"/>
  <c r="H124" i="4"/>
  <c r="L343" i="5" s="1"/>
  <c r="M343" i="5" s="1"/>
  <c r="J123" i="4"/>
  <c r="H123" i="4"/>
  <c r="L426" i="5" s="1"/>
  <c r="M426" i="5" s="1"/>
  <c r="J122" i="4"/>
  <c r="H122" i="4"/>
  <c r="L112" i="5" s="1"/>
  <c r="M112" i="5" s="1"/>
  <c r="E122" i="6" s="1"/>
  <c r="Q122" i="6" s="1"/>
  <c r="J121" i="4"/>
  <c r="H121" i="4"/>
  <c r="L281" i="5" s="1"/>
  <c r="M281" i="5" s="1"/>
  <c r="E121" i="6" s="1"/>
  <c r="Q121" i="6" s="1"/>
  <c r="J120" i="4"/>
  <c r="H120" i="4"/>
  <c r="L59" i="5" s="1"/>
  <c r="M59" i="5" s="1"/>
  <c r="E120" i="6" s="1"/>
  <c r="Q120" i="6" s="1"/>
  <c r="J119" i="4"/>
  <c r="H119" i="4"/>
  <c r="L356" i="5" s="1"/>
  <c r="M356" i="5" s="1"/>
  <c r="J118" i="4"/>
  <c r="H118" i="4"/>
  <c r="L61" i="5" s="1"/>
  <c r="M61" i="5" s="1"/>
  <c r="J117" i="4"/>
  <c r="H117" i="4"/>
  <c r="L71" i="5" s="1"/>
  <c r="M71" i="5" s="1"/>
  <c r="E117" i="6" s="1"/>
  <c r="Q117" i="6" s="1"/>
  <c r="J116" i="4"/>
  <c r="H116" i="4"/>
  <c r="L379" i="5" s="1"/>
  <c r="M379" i="5" s="1"/>
  <c r="E116" i="6" s="1"/>
  <c r="Q116" i="6" s="1"/>
  <c r="J115" i="4"/>
  <c r="H115" i="4"/>
  <c r="L317" i="5" s="1"/>
  <c r="M317" i="5" s="1"/>
  <c r="J114" i="4"/>
  <c r="H114" i="4"/>
  <c r="L146" i="5" s="1"/>
  <c r="M146" i="5" s="1"/>
  <c r="E114" i="6" s="1"/>
  <c r="Q114" i="6" s="1"/>
  <c r="J113" i="4"/>
  <c r="H113" i="4"/>
  <c r="L68" i="5" s="1"/>
  <c r="M68" i="5" s="1"/>
  <c r="E113" i="6" s="1"/>
  <c r="Q113" i="6" s="1"/>
  <c r="J112" i="4"/>
  <c r="H112" i="4"/>
  <c r="L124" i="5" s="1"/>
  <c r="M124" i="5" s="1"/>
  <c r="E112" i="6" s="1"/>
  <c r="Q112" i="6" s="1"/>
  <c r="J111" i="4"/>
  <c r="H111" i="4"/>
  <c r="L145" i="5" s="1"/>
  <c r="M145" i="5" s="1"/>
  <c r="E111" i="6" s="1"/>
  <c r="Q111" i="6" s="1"/>
  <c r="J110" i="4"/>
  <c r="H110" i="4"/>
  <c r="L295" i="5" s="1"/>
  <c r="M295" i="5" s="1"/>
  <c r="E110" i="6" s="1"/>
  <c r="Q110" i="6" s="1"/>
  <c r="J109" i="4"/>
  <c r="H109" i="4"/>
  <c r="L234" i="5" s="1"/>
  <c r="M234" i="5" s="1"/>
  <c r="E109" i="6" s="1"/>
  <c r="Q109" i="6" s="1"/>
  <c r="J108" i="4"/>
  <c r="H108" i="4"/>
  <c r="L6" i="5" s="1"/>
  <c r="M6" i="5" s="1"/>
  <c r="J107" i="4"/>
  <c r="H107" i="4"/>
  <c r="L32" i="5" s="1"/>
  <c r="M32" i="5" s="1"/>
  <c r="E107" i="6" s="1"/>
  <c r="Q107" i="6" s="1"/>
  <c r="J106" i="4"/>
  <c r="H106" i="4"/>
  <c r="L271" i="5" s="1"/>
  <c r="M271" i="5" s="1"/>
  <c r="J105" i="4"/>
  <c r="H105" i="4"/>
  <c r="L261" i="5" s="1"/>
  <c r="M261" i="5" s="1"/>
  <c r="E105" i="6" s="1"/>
  <c r="Q105" i="6" s="1"/>
  <c r="J104" i="4"/>
  <c r="H104" i="4"/>
  <c r="L226" i="5" s="1"/>
  <c r="M226" i="5" s="1"/>
  <c r="J103" i="4"/>
  <c r="H103" i="4"/>
  <c r="L17" i="5" s="1"/>
  <c r="M17" i="5" s="1"/>
  <c r="J102" i="4"/>
  <c r="H102" i="4"/>
  <c r="L163" i="5" s="1"/>
  <c r="M163" i="5" s="1"/>
  <c r="J101" i="4"/>
  <c r="H101" i="4"/>
  <c r="L216" i="5" s="1"/>
  <c r="M216" i="5" s="1"/>
  <c r="J100" i="4"/>
  <c r="H100" i="4"/>
  <c r="L286" i="5" s="1"/>
  <c r="M286" i="5" s="1"/>
  <c r="J99" i="4"/>
  <c r="H99" i="4"/>
  <c r="L85" i="5" s="1"/>
  <c r="M85" i="5" s="1"/>
  <c r="J98" i="4"/>
  <c r="H98" i="4"/>
  <c r="L99" i="5" s="1"/>
  <c r="M99" i="5" s="1"/>
  <c r="J97" i="4"/>
  <c r="H97" i="4"/>
  <c r="L283" i="5" s="1"/>
  <c r="M283" i="5" s="1"/>
  <c r="J96" i="4"/>
  <c r="H96" i="4"/>
  <c r="L43" i="5" s="1"/>
  <c r="M43" i="5" s="1"/>
  <c r="J95" i="4"/>
  <c r="H95" i="4"/>
  <c r="L326" i="5" s="1"/>
  <c r="M326" i="5" s="1"/>
  <c r="E95" i="6" s="1"/>
  <c r="Q95" i="6" s="1"/>
  <c r="J94" i="4"/>
  <c r="H94" i="4"/>
  <c r="L157" i="5" s="1"/>
  <c r="M157" i="5" s="1"/>
  <c r="J93" i="4"/>
  <c r="H93" i="4"/>
  <c r="L206" i="5" s="1"/>
  <c r="M206" i="5" s="1"/>
  <c r="J92" i="4"/>
  <c r="H92" i="4"/>
  <c r="L321" i="5" s="1"/>
  <c r="M321" i="5" s="1"/>
  <c r="J91" i="4"/>
  <c r="H91" i="4"/>
  <c r="L129" i="5" s="1"/>
  <c r="M129" i="5" s="1"/>
  <c r="J90" i="4"/>
  <c r="H90" i="4"/>
  <c r="L160" i="5" s="1"/>
  <c r="M160" i="5" s="1"/>
  <c r="J89" i="4"/>
  <c r="H89" i="4"/>
  <c r="L191" i="5" s="1"/>
  <c r="M191" i="5" s="1"/>
  <c r="J88" i="4"/>
  <c r="H88" i="4"/>
  <c r="L60" i="5" s="1"/>
  <c r="M60" i="5" s="1"/>
  <c r="J87" i="4"/>
  <c r="H87" i="4"/>
  <c r="L81" i="5" s="1"/>
  <c r="M81" i="5" s="1"/>
  <c r="J86" i="4"/>
  <c r="H86" i="4"/>
  <c r="L181" i="5" s="1"/>
  <c r="M181" i="5" s="1"/>
  <c r="J85" i="4"/>
  <c r="H85" i="4"/>
  <c r="L285" i="5" s="1"/>
  <c r="M285" i="5" s="1"/>
  <c r="E85" i="6" s="1"/>
  <c r="Q85" i="6" s="1"/>
  <c r="J84" i="4"/>
  <c r="H84" i="4"/>
  <c r="L74" i="5" s="1"/>
  <c r="M74" i="5" s="1"/>
  <c r="J83" i="4"/>
  <c r="H83" i="4"/>
  <c r="L131" i="5" s="1"/>
  <c r="M131" i="5" s="1"/>
  <c r="J82" i="4"/>
  <c r="H82" i="4"/>
  <c r="L267" i="5" s="1"/>
  <c r="M267" i="5" s="1"/>
  <c r="E82" i="6" s="1"/>
  <c r="Q82" i="6" s="1"/>
  <c r="J81" i="4"/>
  <c r="H81" i="4"/>
  <c r="L166" i="5" s="1"/>
  <c r="M166" i="5" s="1"/>
  <c r="E81" i="6" s="1"/>
  <c r="Q81" i="6" s="1"/>
  <c r="J80" i="4"/>
  <c r="H80" i="4"/>
  <c r="L35" i="5" s="1"/>
  <c r="M35" i="5" s="1"/>
  <c r="J79" i="4"/>
  <c r="H79" i="4"/>
  <c r="L103" i="5" s="1"/>
  <c r="M103" i="5" s="1"/>
  <c r="J78" i="4"/>
  <c r="H78" i="4"/>
  <c r="L98" i="5" s="1"/>
  <c r="M98" i="5" s="1"/>
  <c r="J77" i="4"/>
  <c r="H77" i="4"/>
  <c r="L89" i="5" s="1"/>
  <c r="M89" i="5" s="1"/>
  <c r="J76" i="4"/>
  <c r="H76" i="4"/>
  <c r="L5" i="5" s="1"/>
  <c r="M5" i="5" s="1"/>
  <c r="J75" i="4"/>
  <c r="H75" i="4"/>
  <c r="L80" i="5" s="1"/>
  <c r="M80" i="5" s="1"/>
  <c r="J74" i="4"/>
  <c r="H74" i="4"/>
  <c r="L100" i="5" s="1"/>
  <c r="M100" i="5" s="1"/>
  <c r="E74" i="6" s="1"/>
  <c r="Q74" i="6" s="1"/>
  <c r="J73" i="4"/>
  <c r="H73" i="4"/>
  <c r="L51" i="5" s="1"/>
  <c r="M51" i="5" s="1"/>
  <c r="J72" i="4"/>
  <c r="H72" i="4"/>
  <c r="L353" i="5" s="1"/>
  <c r="M353" i="5" s="1"/>
  <c r="J71" i="4"/>
  <c r="H71" i="4"/>
  <c r="L154" i="5" s="1"/>
  <c r="M154" i="5" s="1"/>
  <c r="J70" i="4"/>
  <c r="H70" i="4"/>
  <c r="L16" i="5" s="1"/>
  <c r="M16" i="5" s="1"/>
  <c r="J69" i="4"/>
  <c r="H69" i="4"/>
  <c r="L158" i="5" s="1"/>
  <c r="M158" i="5" s="1"/>
  <c r="J68" i="4"/>
  <c r="H68" i="4"/>
  <c r="L37" i="5" s="1"/>
  <c r="M37" i="5" s="1"/>
  <c r="J67" i="4"/>
  <c r="H67" i="4"/>
  <c r="L390" i="5" s="1"/>
  <c r="M390" i="5" s="1"/>
  <c r="J66" i="4"/>
  <c r="H66" i="4"/>
  <c r="L196" i="5" s="1"/>
  <c r="M196" i="5" s="1"/>
  <c r="J65" i="4"/>
  <c r="H65" i="4"/>
  <c r="L134" i="5" s="1"/>
  <c r="M134" i="5" s="1"/>
  <c r="J64" i="4"/>
  <c r="H64" i="4"/>
  <c r="L92" i="5" s="1"/>
  <c r="M92" i="5" s="1"/>
  <c r="J63" i="4"/>
  <c r="H63" i="4"/>
  <c r="L27" i="5" s="1"/>
  <c r="M27" i="5" s="1"/>
  <c r="J62" i="4"/>
  <c r="H62" i="4"/>
  <c r="L151" i="5" s="1"/>
  <c r="M151" i="5" s="1"/>
  <c r="J61" i="4"/>
  <c r="H61" i="4"/>
  <c r="L170" i="5" s="1"/>
  <c r="M170" i="5" s="1"/>
  <c r="J60" i="4"/>
  <c r="H60" i="4"/>
  <c r="L42" i="5" s="1"/>
  <c r="M42" i="5" s="1"/>
  <c r="E60" i="6" s="1"/>
  <c r="Q60" i="6" s="1"/>
  <c r="J59" i="4"/>
  <c r="H59" i="4"/>
  <c r="L247" i="5" s="1"/>
  <c r="M247" i="5" s="1"/>
  <c r="J58" i="4"/>
  <c r="H58" i="4"/>
  <c r="L272" i="5" s="1"/>
  <c r="M272" i="5" s="1"/>
  <c r="J57" i="4"/>
  <c r="H57" i="4"/>
  <c r="L245" i="5" s="1"/>
  <c r="M245" i="5" s="1"/>
  <c r="J56" i="4"/>
  <c r="H56" i="4"/>
  <c r="L138" i="5" s="1"/>
  <c r="M138" i="5" s="1"/>
  <c r="J55" i="4"/>
  <c r="H55" i="4"/>
  <c r="L9" i="5" s="1"/>
  <c r="M9" i="5" s="1"/>
  <c r="J54" i="4"/>
  <c r="H54" i="4"/>
  <c r="L101" i="5" s="1"/>
  <c r="M101" i="5" s="1"/>
  <c r="J53" i="4"/>
  <c r="H53" i="4"/>
  <c r="L87" i="5" s="1"/>
  <c r="M87" i="5" s="1"/>
  <c r="J52" i="4"/>
  <c r="H52" i="4"/>
  <c r="L300" i="5" s="1"/>
  <c r="M300" i="5" s="1"/>
  <c r="J51" i="4"/>
  <c r="H51" i="4"/>
  <c r="L34" i="5" s="1"/>
  <c r="M34" i="5" s="1"/>
  <c r="E51" i="6" s="1"/>
  <c r="Q51" i="6" s="1"/>
  <c r="J50" i="4"/>
  <c r="H50" i="4"/>
  <c r="L69" i="5" s="1"/>
  <c r="M69" i="5" s="1"/>
  <c r="J49" i="4"/>
  <c r="H49" i="4"/>
  <c r="L168" i="5" s="1"/>
  <c r="M168" i="5" s="1"/>
  <c r="E49" i="6" s="1"/>
  <c r="Q49" i="6" s="1"/>
  <c r="J48" i="4"/>
  <c r="H48" i="4"/>
  <c r="L21" i="5" s="1"/>
  <c r="M21" i="5" s="1"/>
  <c r="E48" i="6" s="1"/>
  <c r="Q48" i="6" s="1"/>
  <c r="J47" i="4"/>
  <c r="H47" i="4"/>
  <c r="L224" i="5" s="1"/>
  <c r="M224" i="5" s="1"/>
  <c r="J46" i="4"/>
  <c r="H46" i="4"/>
  <c r="L54" i="5" s="1"/>
  <c r="M54" i="5" s="1"/>
  <c r="J45" i="4"/>
  <c r="H45" i="4"/>
  <c r="L75" i="5" s="1"/>
  <c r="M75" i="5" s="1"/>
  <c r="E45" i="6" s="1"/>
  <c r="Q45" i="6" s="1"/>
  <c r="J44" i="4"/>
  <c r="H44" i="4"/>
  <c r="L110" i="5" s="1"/>
  <c r="M110" i="5" s="1"/>
  <c r="J43" i="4"/>
  <c r="H43" i="4"/>
  <c r="L111" i="5" s="1"/>
  <c r="M111" i="5" s="1"/>
  <c r="E43" i="6" s="1"/>
  <c r="Q43" i="6" s="1"/>
  <c r="J42" i="4"/>
  <c r="H42" i="4"/>
  <c r="L324" i="5" s="1"/>
  <c r="M324" i="5" s="1"/>
  <c r="E42" i="6" s="1"/>
  <c r="Q42" i="6" s="1"/>
  <c r="J41" i="4"/>
  <c r="H41" i="4"/>
  <c r="L24" i="5" s="1"/>
  <c r="M24" i="5" s="1"/>
  <c r="J40" i="4"/>
  <c r="H40" i="4"/>
  <c r="L305" i="5" s="1"/>
  <c r="M305" i="5" s="1"/>
  <c r="J39" i="4"/>
  <c r="H39" i="4"/>
  <c r="L13" i="5" s="1"/>
  <c r="M13" i="5" s="1"/>
  <c r="J38" i="4"/>
  <c r="H38" i="4"/>
  <c r="L133" i="5" s="1"/>
  <c r="M133" i="5" s="1"/>
  <c r="E38" i="6" s="1"/>
  <c r="Q38" i="6" s="1"/>
  <c r="J37" i="4"/>
  <c r="H37" i="4"/>
  <c r="L52" i="5" s="1"/>
  <c r="M52" i="5" s="1"/>
  <c r="E37" i="6" s="1"/>
  <c r="Q37" i="6" s="1"/>
  <c r="J36" i="4"/>
  <c r="H36" i="4"/>
  <c r="L249" i="5" s="1"/>
  <c r="M249" i="5" s="1"/>
  <c r="J35" i="4"/>
  <c r="H35" i="4"/>
  <c r="L147" i="5" s="1"/>
  <c r="M147" i="5" s="1"/>
  <c r="E35" i="6" s="1"/>
  <c r="Q35" i="6" s="1"/>
  <c r="J34" i="4"/>
  <c r="H34" i="4"/>
  <c r="L448" i="5" s="1"/>
  <c r="M448" i="5" s="1"/>
  <c r="E34" i="6" s="1"/>
  <c r="Q34" i="6" s="1"/>
  <c r="J33" i="4"/>
  <c r="H33" i="4"/>
  <c r="L36" i="5" s="1"/>
  <c r="M36" i="5" s="1"/>
  <c r="J32" i="4"/>
  <c r="H32" i="4"/>
  <c r="L7" i="5" s="1"/>
  <c r="M7" i="5" s="1"/>
  <c r="J31" i="4"/>
  <c r="H31" i="4"/>
  <c r="L132" i="5" s="1"/>
  <c r="M132" i="5" s="1"/>
  <c r="J30" i="4"/>
  <c r="H30" i="4"/>
  <c r="L10" i="5" s="1"/>
  <c r="M10" i="5" s="1"/>
  <c r="E30" i="6" s="1"/>
  <c r="Q30" i="6" s="1"/>
  <c r="J29" i="4"/>
  <c r="H29" i="4"/>
  <c r="L53" i="5" s="1"/>
  <c r="M53" i="5" s="1"/>
  <c r="J28" i="4"/>
  <c r="H28" i="4"/>
  <c r="L50" i="5" s="1"/>
  <c r="M50" i="5" s="1"/>
  <c r="J27" i="4"/>
  <c r="H27" i="4"/>
  <c r="L218" i="5" s="1"/>
  <c r="M218" i="5" s="1"/>
  <c r="E27" i="6" s="1"/>
  <c r="Q27" i="6" s="1"/>
  <c r="J26" i="4"/>
  <c r="H26" i="4"/>
  <c r="L29" i="5" s="1"/>
  <c r="M29" i="5" s="1"/>
  <c r="E26" i="6" s="1"/>
  <c r="Q26" i="6" s="1"/>
  <c r="J25" i="4"/>
  <c r="H25" i="4"/>
  <c r="L161" i="5" s="1"/>
  <c r="M161" i="5" s="1"/>
  <c r="E25" i="6" s="1"/>
  <c r="Q25" i="6" s="1"/>
  <c r="J24" i="4"/>
  <c r="H24" i="4"/>
  <c r="L140" i="5" s="1"/>
  <c r="M140" i="5" s="1"/>
  <c r="E24" i="6" s="1"/>
  <c r="Q24" i="6" s="1"/>
  <c r="J23" i="4"/>
  <c r="H23" i="4"/>
  <c r="L107" i="5" s="1"/>
  <c r="M107" i="5" s="1"/>
  <c r="E23" i="6" s="1"/>
  <c r="Q23" i="6" s="1"/>
  <c r="J22" i="4"/>
  <c r="H22" i="4"/>
  <c r="L20" i="5" s="1"/>
  <c r="M20" i="5" s="1"/>
  <c r="J21" i="4"/>
  <c r="H21" i="4"/>
  <c r="L150" i="5" s="1"/>
  <c r="M150" i="5" s="1"/>
  <c r="E21" i="6" s="1"/>
  <c r="Q21" i="6" s="1"/>
  <c r="J20" i="4"/>
  <c r="H20" i="4"/>
  <c r="L86" i="5" s="1"/>
  <c r="M86" i="5" s="1"/>
  <c r="E20" i="6" s="1"/>
  <c r="Q20" i="6" s="1"/>
  <c r="J19" i="4"/>
  <c r="H19" i="4"/>
  <c r="L186" i="5" s="1"/>
  <c r="M186" i="5" s="1"/>
  <c r="E19" i="6" s="1"/>
  <c r="Q19" i="6" s="1"/>
  <c r="J18" i="4"/>
  <c r="H18" i="4"/>
  <c r="L449" i="5" s="1"/>
  <c r="M449" i="5" s="1"/>
  <c r="J17" i="4"/>
  <c r="H17" i="4"/>
  <c r="L471" i="5" s="1"/>
  <c r="M471" i="5" s="1"/>
  <c r="E17" i="6" s="1"/>
  <c r="Q17" i="6" s="1"/>
  <c r="J16" i="4"/>
  <c r="H16" i="4"/>
  <c r="L350" i="5" s="1"/>
  <c r="M350" i="5" s="1"/>
  <c r="E16" i="6" s="1"/>
  <c r="Q16" i="6" s="1"/>
  <c r="J15" i="4"/>
  <c r="H15" i="4"/>
  <c r="L91" i="5" s="1"/>
  <c r="M91" i="5" s="1"/>
  <c r="J14" i="4"/>
  <c r="H14" i="4"/>
  <c r="L33" i="5" s="1"/>
  <c r="M33" i="5" s="1"/>
  <c r="E14" i="6" s="1"/>
  <c r="Q14" i="6" s="1"/>
  <c r="J13" i="4"/>
  <c r="H13" i="4"/>
  <c r="L207" i="5" s="1"/>
  <c r="M207" i="5" s="1"/>
  <c r="E13" i="6" s="1"/>
  <c r="Q13" i="6" s="1"/>
  <c r="J12" i="4"/>
  <c r="H12" i="4"/>
  <c r="L22" i="5" s="1"/>
  <c r="M22" i="5" s="1"/>
  <c r="E12" i="6" s="1"/>
  <c r="Q12" i="6" s="1"/>
  <c r="J11" i="4"/>
  <c r="H11" i="4"/>
  <c r="L174" i="5" s="1"/>
  <c r="M174" i="5" s="1"/>
  <c r="E11" i="6" s="1"/>
  <c r="Q11" i="6" s="1"/>
  <c r="J10" i="4"/>
  <c r="H10" i="4"/>
  <c r="L104" i="5" s="1"/>
  <c r="M104" i="5" s="1"/>
  <c r="E10" i="6" s="1"/>
  <c r="Q10" i="6" s="1"/>
  <c r="J9" i="4"/>
  <c r="H9" i="4"/>
  <c r="L190" i="5" s="1"/>
  <c r="M190" i="5" s="1"/>
  <c r="E9" i="6" s="1"/>
  <c r="Q9" i="6" s="1"/>
  <c r="J8" i="4"/>
  <c r="H8" i="4"/>
  <c r="L108" i="5" s="1"/>
  <c r="M108" i="5" s="1"/>
  <c r="E8" i="6" s="1"/>
  <c r="Q8" i="6" s="1"/>
  <c r="J7" i="4"/>
  <c r="H7" i="4"/>
  <c r="L148" i="5" s="1"/>
  <c r="M148" i="5" s="1"/>
  <c r="E7" i="6" s="1"/>
  <c r="Q7" i="6" s="1"/>
  <c r="J6" i="4"/>
  <c r="H6" i="4"/>
  <c r="L123" i="5" s="1"/>
  <c r="M123" i="5" s="1"/>
  <c r="E6" i="6" s="1"/>
  <c r="Q6" i="6" s="1"/>
  <c r="H5" i="4"/>
  <c r="L44" i="5" s="1"/>
  <c r="M44" i="5" s="1"/>
  <c r="K368" i="4"/>
  <c r="H367" i="4"/>
  <c r="L359" i="5" s="1"/>
  <c r="M359" i="5" s="1"/>
  <c r="E367" i="6" s="1"/>
  <c r="Q367" i="6" s="1"/>
  <c r="K365" i="4"/>
  <c r="K362" i="4"/>
  <c r="J359" i="4"/>
  <c r="H342" i="4"/>
  <c r="L478" i="5" s="1"/>
  <c r="M478" i="5" s="1"/>
  <c r="E342" i="6" s="1"/>
  <c r="Q342" i="6" s="1"/>
  <c r="K339" i="4"/>
  <c r="H337" i="4"/>
  <c r="L404" i="5" s="1"/>
  <c r="M404" i="5" s="1"/>
  <c r="E337" i="6" s="1"/>
  <c r="Q337" i="6" s="1"/>
  <c r="K335" i="4"/>
  <c r="H335" i="4"/>
  <c r="L197" i="5" s="1"/>
  <c r="M197" i="5" s="1"/>
  <c r="E335" i="6" s="1"/>
  <c r="Q335" i="6" s="1"/>
  <c r="H328" i="4"/>
  <c r="L259" i="5" s="1"/>
  <c r="M259" i="5" s="1"/>
  <c r="E328" i="6" s="1"/>
  <c r="Q328" i="6" s="1"/>
  <c r="K327" i="4"/>
  <c r="H322" i="4"/>
  <c r="L130" i="5" s="1"/>
  <c r="M130" i="5" s="1"/>
  <c r="E322" i="6" s="1"/>
  <c r="Q322" i="6" s="1"/>
  <c r="K314" i="4"/>
  <c r="K310" i="4"/>
  <c r="K303" i="4"/>
  <c r="K294" i="4"/>
  <c r="K293" i="4"/>
  <c r="H292" i="4"/>
  <c r="L307" i="5" s="1"/>
  <c r="M307" i="5" s="1"/>
  <c r="E292" i="6" s="1"/>
  <c r="Q292" i="6" s="1"/>
  <c r="K284" i="4"/>
  <c r="J281" i="4"/>
  <c r="K276" i="4"/>
  <c r="K270" i="4"/>
  <c r="H264" i="4"/>
  <c r="L93" i="5" s="1"/>
  <c r="M93" i="5" s="1"/>
  <c r="E264" i="6" s="1"/>
  <c r="Q264" i="6" s="1"/>
  <c r="K262" i="4"/>
  <c r="H262" i="4"/>
  <c r="L251" i="5" s="1"/>
  <c r="M251" i="5" s="1"/>
  <c r="J261" i="4"/>
  <c r="K257" i="4"/>
  <c r="K255" i="4"/>
  <c r="H255" i="4"/>
  <c r="L440" i="5" s="1"/>
  <c r="M440" i="5" s="1"/>
  <c r="E255" i="6" s="1"/>
  <c r="Q255" i="6" s="1"/>
  <c r="H252" i="4"/>
  <c r="L421" i="5" s="1"/>
  <c r="M421" i="5" s="1"/>
  <c r="E252" i="6" s="1"/>
  <c r="Q252" i="6" s="1"/>
  <c r="K248" i="4"/>
  <c r="H245" i="4"/>
  <c r="L496" i="5" s="1"/>
  <c r="M496" i="5" s="1"/>
  <c r="E245" i="6" s="1"/>
  <c r="Q245" i="6" s="1"/>
  <c r="H236" i="4"/>
  <c r="L217" i="5" s="1"/>
  <c r="M217" i="5" s="1"/>
  <c r="E236" i="6" s="1"/>
  <c r="Q236" i="6" s="1"/>
  <c r="J234" i="4"/>
  <c r="J233" i="4"/>
  <c r="H231" i="4"/>
  <c r="L368" i="5" s="1"/>
  <c r="M368" i="5" s="1"/>
  <c r="E231" i="6" s="1"/>
  <c r="Q231" i="6" s="1"/>
  <c r="J230" i="4"/>
  <c r="K222" i="4"/>
  <c r="H213" i="4"/>
  <c r="L90" i="5" s="1"/>
  <c r="M90" i="5" s="1"/>
  <c r="H211" i="4"/>
  <c r="L453" i="5" s="1"/>
  <c r="M453" i="5" s="1"/>
  <c r="E211" i="6" s="1"/>
  <c r="Q211" i="6" s="1"/>
  <c r="K208" i="4"/>
  <c r="K204" i="4"/>
  <c r="H203" i="4"/>
  <c r="L504" i="5" s="1"/>
  <c r="M504" i="5" s="1"/>
  <c r="J199" i="4"/>
  <c r="J193" i="4"/>
  <c r="H188" i="4"/>
  <c r="L362" i="5" s="1"/>
  <c r="M362" i="5" s="1"/>
  <c r="E188" i="6" s="1"/>
  <c r="Q188" i="6" s="1"/>
  <c r="J182" i="4"/>
  <c r="K181" i="4"/>
  <c r="H181" i="4"/>
  <c r="L405" i="5" s="1"/>
  <c r="M405" i="5" s="1"/>
  <c r="E181" i="6" s="1"/>
  <c r="Q181" i="6" s="1"/>
  <c r="K177" i="4"/>
  <c r="K174" i="4"/>
  <c r="H171" i="4"/>
  <c r="L115" i="5" s="1"/>
  <c r="M115" i="5" s="1"/>
  <c r="E171" i="6" s="1"/>
  <c r="Q171" i="6" s="1"/>
  <c r="L504" i="7" l="1"/>
  <c r="L503" i="7"/>
  <c r="L502" i="7"/>
  <c r="L501" i="7"/>
  <c r="L500" i="7"/>
  <c r="L499" i="7"/>
  <c r="L498" i="7"/>
  <c r="L497" i="7"/>
  <c r="L496" i="7"/>
  <c r="L495" i="7"/>
  <c r="L494" i="7"/>
  <c r="L493" i="7"/>
  <c r="L492" i="7"/>
  <c r="L491" i="7"/>
  <c r="L490" i="7"/>
  <c r="L489" i="7"/>
  <c r="L488" i="7"/>
  <c r="L487" i="7"/>
  <c r="L486" i="7"/>
  <c r="L485" i="7"/>
  <c r="L484" i="7"/>
  <c r="L483" i="7"/>
  <c r="L482" i="7"/>
  <c r="L481" i="7"/>
  <c r="L480" i="7"/>
  <c r="L479" i="7"/>
  <c r="L478" i="7"/>
  <c r="L477" i="7"/>
  <c r="L476" i="7"/>
  <c r="L475" i="7"/>
  <c r="L474" i="7"/>
  <c r="L473" i="7"/>
  <c r="L472" i="7"/>
  <c r="L471" i="7"/>
  <c r="L470" i="7"/>
  <c r="L469" i="7"/>
  <c r="L468" i="7"/>
  <c r="L465" i="7"/>
  <c r="L464" i="7"/>
  <c r="L463" i="7"/>
  <c r="L462" i="7"/>
  <c r="L461" i="7"/>
  <c r="L460" i="7"/>
  <c r="L459" i="7"/>
  <c r="L458" i="7"/>
  <c r="L457" i="7"/>
  <c r="L456" i="7"/>
  <c r="L455" i="7"/>
  <c r="L454" i="7"/>
  <c r="L453" i="7"/>
  <c r="L452" i="7"/>
  <c r="L451" i="7"/>
  <c r="L450" i="7"/>
  <c r="L449" i="7"/>
  <c r="L448" i="7"/>
  <c r="L447" i="7"/>
  <c r="L446" i="7"/>
  <c r="L445" i="7"/>
  <c r="L444" i="7"/>
  <c r="L443" i="7"/>
  <c r="L442" i="7"/>
  <c r="L441" i="7"/>
  <c r="L440" i="7"/>
  <c r="L439" i="7"/>
  <c r="L438" i="7"/>
  <c r="L437" i="7"/>
  <c r="L436" i="7"/>
  <c r="L435" i="7"/>
  <c r="L434" i="7"/>
  <c r="L432" i="7"/>
  <c r="L431" i="7"/>
  <c r="L430" i="7"/>
  <c r="L428" i="7"/>
  <c r="L427" i="7"/>
  <c r="L426" i="7"/>
  <c r="L425" i="7"/>
  <c r="L424" i="7"/>
  <c r="L423" i="7"/>
  <c r="L422" i="7"/>
  <c r="L421" i="7"/>
  <c r="L419" i="7"/>
  <c r="L418" i="7"/>
  <c r="L417" i="7"/>
  <c r="L416" i="7"/>
  <c r="L415" i="7"/>
  <c r="L414" i="7"/>
  <c r="L413" i="7"/>
  <c r="L412" i="7"/>
  <c r="L410" i="7"/>
  <c r="L409" i="7"/>
  <c r="L408" i="7"/>
  <c r="L406" i="7"/>
  <c r="L405" i="7"/>
  <c r="L404" i="7"/>
  <c r="L403" i="7"/>
  <c r="L402" i="7"/>
  <c r="L401" i="7"/>
  <c r="L400" i="7"/>
  <c r="L399" i="7"/>
  <c r="L398" i="7"/>
  <c r="L397" i="7"/>
  <c r="L396" i="7"/>
  <c r="L395" i="7"/>
  <c r="L394" i="7"/>
  <c r="L393" i="7"/>
  <c r="L392" i="7"/>
  <c r="L391" i="7"/>
  <c r="L390" i="7"/>
  <c r="L388" i="7"/>
  <c r="L387" i="7"/>
  <c r="L385" i="7"/>
  <c r="L384" i="7"/>
  <c r="L382" i="7"/>
  <c r="L379" i="7"/>
  <c r="L378" i="7"/>
  <c r="L376" i="7"/>
  <c r="L375" i="7"/>
  <c r="L374" i="7"/>
  <c r="L373" i="7"/>
  <c r="L372" i="7"/>
  <c r="L370" i="7"/>
  <c r="L369" i="7"/>
  <c r="L368" i="7"/>
  <c r="L367" i="7"/>
  <c r="L366" i="7"/>
  <c r="L365" i="7"/>
  <c r="L364" i="7"/>
  <c r="L363" i="7"/>
  <c r="L362" i="7"/>
  <c r="L294" i="7"/>
  <c r="L289" i="7"/>
  <c r="L287" i="7"/>
  <c r="L285" i="7"/>
  <c r="L279" i="7"/>
  <c r="L277" i="7"/>
  <c r="L273" i="7"/>
  <c r="L270" i="7"/>
  <c r="L269" i="7"/>
  <c r="L267" i="7"/>
  <c r="L262" i="7"/>
  <c r="L257" i="7"/>
  <c r="L253" i="7"/>
  <c r="L250" i="7"/>
  <c r="L249" i="7"/>
  <c r="L68" i="7"/>
  <c r="L65" i="7"/>
  <c r="L61" i="7"/>
  <c r="L58" i="7"/>
  <c r="L51" i="7"/>
  <c r="L7" i="7"/>
  <c r="G393" i="5"/>
  <c r="G200" i="5"/>
  <c r="E419" i="6"/>
  <c r="Q419" i="6" s="1"/>
  <c r="E381" i="6"/>
  <c r="E350" i="6"/>
  <c r="Q350" i="6" s="1"/>
  <c r="E123" i="6"/>
  <c r="Q123" i="6" s="1"/>
  <c r="L361" i="7"/>
  <c r="L360" i="7"/>
  <c r="L359" i="7"/>
  <c r="L358" i="7"/>
  <c r="L357" i="7"/>
  <c r="L356" i="7"/>
  <c r="L355" i="7"/>
  <c r="L354" i="7"/>
  <c r="L353" i="7"/>
  <c r="L352" i="7"/>
  <c r="L351" i="7"/>
  <c r="L350" i="7"/>
  <c r="L349" i="7"/>
  <c r="L348" i="7"/>
  <c r="L347" i="7"/>
  <c r="L346" i="7"/>
  <c r="L345" i="7"/>
  <c r="L344" i="7"/>
  <c r="L343" i="7"/>
  <c r="L342" i="7"/>
  <c r="L341" i="7"/>
  <c r="L340" i="7"/>
  <c r="L339" i="7"/>
  <c r="L338" i="7"/>
  <c r="L337" i="7"/>
  <c r="L336" i="7"/>
  <c r="L335" i="7"/>
  <c r="L334" i="7"/>
  <c r="L333" i="7"/>
  <c r="L332" i="7"/>
  <c r="L331" i="7"/>
  <c r="L330" i="7"/>
  <c r="L329" i="7"/>
  <c r="L328" i="7"/>
  <c r="L327" i="7"/>
  <c r="L326" i="7"/>
  <c r="L325" i="7"/>
  <c r="L324" i="7"/>
  <c r="L323" i="7"/>
  <c r="L322" i="7"/>
  <c r="L321" i="7"/>
  <c r="L320" i="7"/>
  <c r="L319" i="7"/>
  <c r="L318" i="7"/>
  <c r="L317" i="7"/>
  <c r="L316" i="7"/>
  <c r="L315" i="7"/>
  <c r="L314" i="7"/>
  <c r="L313" i="7"/>
  <c r="L312" i="7"/>
  <c r="L311" i="7"/>
  <c r="L310" i="7"/>
  <c r="L309" i="7"/>
  <c r="L308" i="7"/>
  <c r="L307" i="7"/>
  <c r="L305" i="7"/>
  <c r="L304" i="7"/>
  <c r="L303" i="7"/>
  <c r="L302" i="7"/>
  <c r="L301" i="7"/>
  <c r="L300" i="7"/>
  <c r="G221" i="5"/>
  <c r="G76" i="5"/>
  <c r="G155" i="5"/>
  <c r="G146" i="5"/>
  <c r="G68" i="5"/>
  <c r="G191" i="5"/>
  <c r="G166" i="5"/>
  <c r="G35" i="5"/>
  <c r="L296" i="7"/>
  <c r="L295" i="7"/>
  <c r="L290" i="7"/>
  <c r="L288" i="7"/>
  <c r="L286" i="7"/>
  <c r="L281" i="7"/>
  <c r="L278" i="7"/>
  <c r="L276" i="7"/>
  <c r="L274" i="7"/>
  <c r="L272" i="7"/>
  <c r="L271" i="7"/>
  <c r="L266" i="7"/>
  <c r="L264" i="7"/>
  <c r="L261" i="7"/>
  <c r="L256" i="7"/>
  <c r="L254" i="7"/>
  <c r="L251" i="7"/>
  <c r="L247" i="7"/>
  <c r="L67" i="7"/>
  <c r="L64" i="7"/>
  <c r="L60" i="7"/>
  <c r="L57" i="7"/>
  <c r="L53" i="7"/>
  <c r="L9" i="7"/>
  <c r="L504" i="6"/>
  <c r="L501" i="6"/>
  <c r="G414" i="5"/>
  <c r="E373" i="6"/>
  <c r="E307" i="6"/>
  <c r="E217" i="6"/>
  <c r="Q217" i="6" s="1"/>
  <c r="E378" i="6"/>
  <c r="Q378" i="6" s="1"/>
  <c r="E104" i="6"/>
  <c r="Q104" i="6" s="1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11" i="7"/>
  <c r="L200" i="7"/>
  <c r="L194" i="7"/>
  <c r="L187" i="7"/>
  <c r="L184" i="7"/>
  <c r="L170" i="7"/>
  <c r="L164" i="7"/>
  <c r="L163" i="7"/>
  <c r="L152" i="7"/>
  <c r="L144" i="7"/>
  <c r="L134" i="7"/>
  <c r="L132" i="7"/>
  <c r="L131" i="7"/>
  <c r="L130" i="7"/>
  <c r="L126" i="7"/>
  <c r="L125" i="7"/>
  <c r="L123" i="7"/>
  <c r="L121" i="7"/>
  <c r="L120" i="7"/>
  <c r="L119" i="7"/>
  <c r="L118" i="7"/>
  <c r="L116" i="7"/>
  <c r="L114" i="7"/>
  <c r="L113" i="7"/>
  <c r="L112" i="7"/>
  <c r="L111" i="7"/>
  <c r="L110" i="7"/>
  <c r="L107" i="7"/>
  <c r="L106" i="7"/>
  <c r="L105" i="7"/>
  <c r="L104" i="7"/>
  <c r="L102" i="7"/>
  <c r="L99" i="7"/>
  <c r="L95" i="7"/>
  <c r="L94" i="7"/>
  <c r="L93" i="7"/>
  <c r="L91" i="7"/>
  <c r="L90" i="7"/>
  <c r="L490" i="6"/>
  <c r="L488" i="6"/>
  <c r="L485" i="6"/>
  <c r="L483" i="6"/>
  <c r="L477" i="6"/>
  <c r="L475" i="6"/>
  <c r="L474" i="6"/>
  <c r="L469" i="6"/>
  <c r="L464" i="6"/>
  <c r="L460" i="6"/>
  <c r="L457" i="6"/>
  <c r="L456" i="6"/>
  <c r="L454" i="6"/>
  <c r="L451" i="6"/>
  <c r="L448" i="6"/>
  <c r="L446" i="6"/>
  <c r="G356" i="5"/>
  <c r="G85" i="5"/>
  <c r="G81" i="5"/>
  <c r="E470" i="6"/>
  <c r="Q470" i="6" s="1"/>
  <c r="E393" i="6"/>
  <c r="Q393" i="6" s="1"/>
  <c r="E340" i="6"/>
  <c r="E333" i="6"/>
  <c r="E201" i="6"/>
  <c r="L88" i="7"/>
  <c r="L87" i="7"/>
  <c r="L85" i="7"/>
  <c r="L84" i="7"/>
  <c r="L80" i="7"/>
  <c r="L74" i="7"/>
  <c r="L73" i="7"/>
  <c r="L70" i="7"/>
  <c r="L69" i="7"/>
  <c r="L66" i="7"/>
  <c r="L63" i="7"/>
  <c r="L59" i="7"/>
  <c r="L56" i="7"/>
  <c r="L52" i="7"/>
  <c r="L49" i="7"/>
  <c r="L6" i="7"/>
  <c r="E343" i="6"/>
  <c r="E362" i="6"/>
  <c r="Q362" i="6" s="1"/>
  <c r="E108" i="6"/>
  <c r="Q108" i="6" s="1"/>
  <c r="L216" i="6"/>
  <c r="L211" i="6"/>
  <c r="G490" i="5"/>
  <c r="G211" i="5"/>
  <c r="L207" i="6"/>
  <c r="G316" i="5"/>
  <c r="G32" i="5"/>
  <c r="E468" i="6"/>
  <c r="Q468" i="6" s="1"/>
  <c r="E445" i="6"/>
  <c r="E391" i="6"/>
  <c r="E327" i="6"/>
  <c r="E192" i="6"/>
  <c r="L82" i="7"/>
  <c r="L75" i="7"/>
  <c r="L72" i="7"/>
  <c r="L62" i="7"/>
  <c r="L54" i="7"/>
  <c r="L50" i="7"/>
  <c r="L10" i="7"/>
  <c r="E396" i="6"/>
  <c r="Q396" i="6" s="1"/>
  <c r="E504" i="6"/>
  <c r="Q504" i="6" s="1"/>
  <c r="E115" i="6"/>
  <c r="Q115" i="6" s="1"/>
  <c r="L500" i="6"/>
  <c r="L499" i="6"/>
  <c r="L498" i="6"/>
  <c r="L497" i="6"/>
  <c r="L496" i="6"/>
  <c r="L495" i="6"/>
  <c r="L494" i="6"/>
  <c r="L493" i="6"/>
  <c r="L492" i="6"/>
  <c r="L491" i="6"/>
  <c r="L489" i="6"/>
  <c r="L487" i="6"/>
  <c r="L484" i="6"/>
  <c r="L482" i="6"/>
  <c r="L481" i="6"/>
  <c r="L476" i="6"/>
  <c r="L473" i="6"/>
  <c r="L472" i="6"/>
  <c r="L463" i="6"/>
  <c r="L455" i="6"/>
  <c r="L453" i="6"/>
  <c r="L450" i="6"/>
  <c r="L447" i="6"/>
  <c r="L442" i="6"/>
  <c r="L439" i="6"/>
  <c r="L438" i="6"/>
  <c r="L437" i="6"/>
  <c r="L436" i="6"/>
  <c r="L435" i="6"/>
  <c r="L424" i="6"/>
  <c r="L422" i="6"/>
  <c r="L421" i="6"/>
  <c r="L417" i="6"/>
  <c r="L416" i="6"/>
  <c r="L414" i="6"/>
  <c r="L408" i="6"/>
  <c r="L406" i="6"/>
  <c r="L405" i="6"/>
  <c r="L402" i="6"/>
  <c r="L400" i="6"/>
  <c r="L399" i="6"/>
  <c r="L394" i="6"/>
  <c r="L291" i="6"/>
  <c r="L281" i="6"/>
  <c r="L278" i="6"/>
  <c r="L275" i="6"/>
  <c r="L274" i="6"/>
  <c r="L271" i="6"/>
  <c r="L267" i="6"/>
  <c r="L266" i="6"/>
  <c r="L264" i="6"/>
  <c r="L261" i="6"/>
  <c r="L257" i="6"/>
  <c r="L253" i="6"/>
  <c r="L250" i="6"/>
  <c r="L247" i="6"/>
  <c r="L245" i="6"/>
  <c r="L240" i="6"/>
  <c r="L232" i="6"/>
  <c r="L225" i="6"/>
  <c r="L224" i="6"/>
  <c r="L219" i="6"/>
  <c r="L218" i="6"/>
  <c r="L215" i="6"/>
  <c r="L209" i="6"/>
  <c r="L32" i="6"/>
  <c r="L31" i="6"/>
  <c r="L30" i="6"/>
  <c r="L28" i="6"/>
  <c r="L27" i="6"/>
  <c r="L26" i="6"/>
  <c r="L22" i="6"/>
  <c r="E461" i="6"/>
  <c r="Q461" i="6" s="1"/>
  <c r="G278" i="5"/>
  <c r="E433" i="6"/>
  <c r="Q433" i="6" s="1"/>
  <c r="G363" i="5"/>
  <c r="E383" i="6"/>
  <c r="E392" i="6"/>
  <c r="E405" i="6"/>
  <c r="Q405" i="6" s="1"/>
  <c r="E200" i="6"/>
  <c r="E174" i="6"/>
  <c r="Q174" i="6" s="1"/>
  <c r="E173" i="6"/>
  <c r="Q173" i="6" s="1"/>
  <c r="L392" i="6"/>
  <c r="L391" i="6"/>
  <c r="L390" i="6"/>
  <c r="L388" i="6"/>
  <c r="L387" i="6"/>
  <c r="L386" i="6"/>
  <c r="L384" i="6"/>
  <c r="L382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1" i="6"/>
  <c r="L340" i="6"/>
  <c r="L338" i="6"/>
  <c r="L336" i="6"/>
  <c r="L335" i="6"/>
  <c r="L334" i="6"/>
  <c r="L333" i="6"/>
  <c r="L331" i="6"/>
  <c r="L330" i="6"/>
  <c r="L329" i="6"/>
  <c r="L327" i="6"/>
  <c r="L324" i="6"/>
  <c r="L323" i="6"/>
  <c r="L322" i="6"/>
  <c r="L320" i="6"/>
  <c r="L319" i="6"/>
  <c r="L316" i="6"/>
  <c r="L315" i="6"/>
  <c r="L312" i="6"/>
  <c r="L311" i="6"/>
  <c r="L310" i="6"/>
  <c r="L309" i="6"/>
  <c r="L308" i="6"/>
  <c r="L307" i="6"/>
  <c r="L305" i="6"/>
  <c r="L304" i="6"/>
  <c r="L302" i="6"/>
  <c r="L300" i="6"/>
  <c r="L296" i="6"/>
  <c r="L295" i="6"/>
  <c r="G188" i="5"/>
  <c r="G241" i="5"/>
  <c r="G59" i="5"/>
  <c r="E453" i="6"/>
  <c r="Q453" i="6" s="1"/>
  <c r="E440" i="6"/>
  <c r="Q440" i="6" s="1"/>
  <c r="E438" i="6"/>
  <c r="Q438" i="6" s="1"/>
  <c r="E426" i="6"/>
  <c r="Q426" i="6" s="1"/>
  <c r="E421" i="6"/>
  <c r="Q421" i="6" s="1"/>
  <c r="E319" i="6"/>
  <c r="Q319" i="6" s="1"/>
  <c r="E221" i="6"/>
  <c r="Q221" i="6" s="1"/>
  <c r="E218" i="6"/>
  <c r="Q218" i="6" s="1"/>
  <c r="E215" i="6"/>
  <c r="Q215" i="6" s="1"/>
  <c r="E198" i="6"/>
  <c r="Q198" i="6" s="1"/>
  <c r="E193" i="6"/>
  <c r="Q193" i="6" s="1"/>
  <c r="E185" i="6"/>
  <c r="Q185" i="6" s="1"/>
  <c r="E183" i="6"/>
  <c r="Q183" i="6" s="1"/>
  <c r="E178" i="6"/>
  <c r="Q178" i="6" s="1"/>
  <c r="E176" i="6"/>
  <c r="Q176" i="6" s="1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E184" i="6"/>
  <c r="Q184" i="6" s="1"/>
  <c r="L183" i="6"/>
  <c r="L182" i="6"/>
  <c r="L181" i="6"/>
  <c r="L180" i="6"/>
  <c r="L179" i="6"/>
  <c r="L178" i="6"/>
  <c r="L177" i="6"/>
  <c r="L176" i="6"/>
  <c r="L175" i="6"/>
  <c r="L174" i="6"/>
  <c r="L173" i="6"/>
  <c r="E172" i="6"/>
  <c r="Q172" i="6" s="1"/>
  <c r="L171" i="6"/>
  <c r="L170" i="6"/>
  <c r="L169" i="6"/>
  <c r="L166" i="6"/>
  <c r="L165" i="6"/>
  <c r="L164" i="6"/>
  <c r="L163" i="6"/>
  <c r="L161" i="6"/>
  <c r="L160" i="6"/>
  <c r="L159" i="6"/>
  <c r="L158" i="6"/>
  <c r="L157" i="6"/>
  <c r="L153" i="6"/>
  <c r="L152" i="6"/>
  <c r="L147" i="6"/>
  <c r="L146" i="6"/>
  <c r="L144" i="6"/>
  <c r="L143" i="6"/>
  <c r="L141" i="6"/>
  <c r="L138" i="6"/>
  <c r="L137" i="6"/>
  <c r="L136" i="6"/>
  <c r="L135" i="6"/>
  <c r="L134" i="6"/>
  <c r="L132" i="6"/>
  <c r="L131" i="6"/>
  <c r="L130" i="6"/>
  <c r="L129" i="6"/>
  <c r="L128" i="6"/>
  <c r="L127" i="6"/>
  <c r="L126" i="6"/>
  <c r="L125" i="6"/>
  <c r="L123" i="6"/>
  <c r="L122" i="6"/>
  <c r="L121" i="6"/>
  <c r="L120" i="6"/>
  <c r="L119" i="6"/>
  <c r="L118" i="6"/>
  <c r="L116" i="6"/>
  <c r="L114" i="6"/>
  <c r="L113" i="6"/>
  <c r="L112" i="6"/>
  <c r="L111" i="6"/>
  <c r="L110" i="6"/>
  <c r="L108" i="6"/>
  <c r="L107" i="6"/>
  <c r="L106" i="6"/>
  <c r="L105" i="6"/>
  <c r="L104" i="6"/>
  <c r="L102" i="6"/>
  <c r="L101" i="6"/>
  <c r="G456" i="5"/>
  <c r="G56" i="5"/>
  <c r="G447" i="5"/>
  <c r="G304" i="5"/>
  <c r="G171" i="5"/>
  <c r="G74" i="5"/>
  <c r="G131" i="5"/>
  <c r="E429" i="6"/>
  <c r="Q429" i="6" s="1"/>
  <c r="E407" i="6"/>
  <c r="Q407" i="6" s="1"/>
  <c r="E380" i="6"/>
  <c r="Q380" i="6" s="1"/>
  <c r="E352" i="6"/>
  <c r="Q352" i="6" s="1"/>
  <c r="G335" i="5"/>
  <c r="G392" i="5"/>
  <c r="E430" i="6"/>
  <c r="Q430" i="6" s="1"/>
  <c r="E424" i="6"/>
  <c r="Q424" i="6" s="1"/>
  <c r="E412" i="6"/>
  <c r="Q412" i="6" s="1"/>
  <c r="E130" i="6"/>
  <c r="Q130" i="6" s="1"/>
  <c r="E124" i="6"/>
  <c r="Q124" i="6" s="1"/>
  <c r="E503" i="6"/>
  <c r="Q503" i="6" s="1"/>
  <c r="E501" i="6"/>
  <c r="Q501" i="6" s="1"/>
  <c r="E498" i="6"/>
  <c r="Q498" i="6" s="1"/>
  <c r="E496" i="6"/>
  <c r="Q496" i="6" s="1"/>
  <c r="E494" i="6"/>
  <c r="Q494" i="6" s="1"/>
  <c r="E493" i="6"/>
  <c r="Q493" i="6" s="1"/>
  <c r="E492" i="6"/>
  <c r="Q492" i="6" s="1"/>
  <c r="E489" i="6"/>
  <c r="Q489" i="6" s="1"/>
  <c r="E488" i="6"/>
  <c r="Q488" i="6" s="1"/>
  <c r="E487" i="6"/>
  <c r="Q487" i="6" s="1"/>
  <c r="E486" i="6"/>
  <c r="Q486" i="6" s="1"/>
  <c r="E484" i="6"/>
  <c r="Q484" i="6" s="1"/>
  <c r="E483" i="6"/>
  <c r="Q483" i="6" s="1"/>
  <c r="E480" i="6"/>
  <c r="Q480" i="6" s="1"/>
  <c r="E479" i="6"/>
  <c r="Q479" i="6" s="1"/>
  <c r="E478" i="6"/>
  <c r="Q478" i="6" s="1"/>
  <c r="E476" i="6"/>
  <c r="Q476" i="6" s="1"/>
  <c r="E475" i="6"/>
  <c r="Q475" i="6" s="1"/>
  <c r="E460" i="6"/>
  <c r="Q460" i="6" s="1"/>
  <c r="E449" i="6"/>
  <c r="Q449" i="6" s="1"/>
  <c r="E414" i="6"/>
  <c r="Q414" i="6" s="1"/>
  <c r="E411" i="6"/>
  <c r="Q411" i="6" s="1"/>
  <c r="E395" i="6"/>
  <c r="Q395" i="6" s="1"/>
  <c r="E379" i="6"/>
  <c r="Q379" i="6" s="1"/>
  <c r="E371" i="6"/>
  <c r="Q371" i="6" s="1"/>
  <c r="E368" i="6"/>
  <c r="Q368" i="6" s="1"/>
  <c r="E265" i="6"/>
  <c r="Q265" i="6" s="1"/>
  <c r="E246" i="6"/>
  <c r="Q246" i="6" s="1"/>
  <c r="E239" i="6"/>
  <c r="Q239" i="6" s="1"/>
  <c r="E204" i="6"/>
  <c r="Q204" i="6" s="1"/>
  <c r="E189" i="6"/>
  <c r="Q189" i="6" s="1"/>
  <c r="E186" i="6"/>
  <c r="Q186" i="6" s="1"/>
  <c r="E165" i="6"/>
  <c r="Q165" i="6" s="1"/>
  <c r="E162" i="6"/>
  <c r="Q162" i="6" s="1"/>
  <c r="E161" i="6"/>
  <c r="Q161" i="6" s="1"/>
  <c r="E155" i="6"/>
  <c r="Q155" i="6" s="1"/>
  <c r="E150" i="6"/>
  <c r="Q150" i="6" s="1"/>
  <c r="E148" i="6"/>
  <c r="Q148" i="6" s="1"/>
  <c r="E146" i="6"/>
  <c r="Q146" i="6" s="1"/>
  <c r="E145" i="6"/>
  <c r="Q145" i="6" s="1"/>
  <c r="E103" i="6"/>
  <c r="Q103" i="6" s="1"/>
  <c r="E101" i="6"/>
  <c r="Q101" i="6" s="1"/>
  <c r="E100" i="6"/>
  <c r="Q100" i="6" s="1"/>
  <c r="E99" i="6"/>
  <c r="Q99" i="6" s="1"/>
  <c r="E98" i="6"/>
  <c r="Q98" i="6" s="1"/>
  <c r="E97" i="6"/>
  <c r="Q97" i="6" s="1"/>
  <c r="E96" i="6"/>
  <c r="Q96" i="6" s="1"/>
  <c r="E93" i="6"/>
  <c r="Q93" i="6" s="1"/>
  <c r="E92" i="6"/>
  <c r="Q92" i="6" s="1"/>
  <c r="E91" i="6"/>
  <c r="Q91" i="6" s="1"/>
  <c r="E90" i="6"/>
  <c r="Q90" i="6" s="1"/>
  <c r="E89" i="6"/>
  <c r="Q89" i="6" s="1"/>
  <c r="E87" i="6"/>
  <c r="Q87" i="6" s="1"/>
  <c r="E86" i="6"/>
  <c r="Q86" i="6" s="1"/>
  <c r="E83" i="6"/>
  <c r="Q83" i="6" s="1"/>
  <c r="E80" i="6"/>
  <c r="Q80" i="6" s="1"/>
  <c r="E78" i="6"/>
  <c r="Q78" i="6" s="1"/>
  <c r="E77" i="6"/>
  <c r="Q77" i="6" s="1"/>
  <c r="E76" i="6"/>
  <c r="Q76" i="6" s="1"/>
  <c r="E75" i="6"/>
  <c r="Q75" i="6" s="1"/>
  <c r="E71" i="6"/>
  <c r="Q71" i="6" s="1"/>
  <c r="E70" i="6"/>
  <c r="Q70" i="6" s="1"/>
  <c r="E69" i="6"/>
  <c r="Q69" i="6" s="1"/>
  <c r="E68" i="6"/>
  <c r="Q68" i="6" s="1"/>
  <c r="E67" i="6"/>
  <c r="Q67" i="6" s="1"/>
  <c r="E64" i="6"/>
  <c r="Q64" i="6" s="1"/>
  <c r="E63" i="6"/>
  <c r="Q63" i="6" s="1"/>
  <c r="E62" i="6"/>
  <c r="Q62" i="6" s="1"/>
  <c r="E61" i="6"/>
  <c r="Q61" i="6" s="1"/>
  <c r="E59" i="6"/>
  <c r="Q59" i="6" s="1"/>
  <c r="E55" i="6"/>
  <c r="Q55" i="6" s="1"/>
  <c r="E54" i="6"/>
  <c r="Q54" i="6" s="1"/>
  <c r="E53" i="6"/>
  <c r="Q53" i="6" s="1"/>
  <c r="E52" i="6"/>
  <c r="Q52" i="6" s="1"/>
  <c r="E50" i="6"/>
  <c r="Q50" i="6" s="1"/>
  <c r="E47" i="6"/>
  <c r="Q47" i="6" s="1"/>
  <c r="E46" i="6"/>
  <c r="Q46" i="6" s="1"/>
  <c r="E44" i="6"/>
  <c r="Q44" i="6" s="1"/>
  <c r="E41" i="6"/>
  <c r="Q41" i="6" s="1"/>
  <c r="E36" i="6"/>
  <c r="Q36" i="6" s="1"/>
  <c r="E33" i="6"/>
  <c r="Q33" i="6" s="1"/>
  <c r="E32" i="6"/>
  <c r="Q32" i="6" s="1"/>
  <c r="E29" i="6"/>
  <c r="Q29" i="6" s="1"/>
  <c r="E22" i="6"/>
  <c r="Q22" i="6" s="1"/>
  <c r="E18" i="6"/>
  <c r="Q18" i="6" s="1"/>
  <c r="Q432" i="6"/>
  <c r="Q369" i="6"/>
  <c r="Q366" i="6"/>
  <c r="Q364" i="6"/>
  <c r="E359" i="6"/>
  <c r="Q359" i="6" s="1"/>
  <c r="Q344" i="6"/>
  <c r="Q339" i="6"/>
  <c r="Q338" i="6"/>
  <c r="Q330" i="6"/>
  <c r="Q314" i="6"/>
  <c r="E311" i="6"/>
  <c r="Q311" i="6" s="1"/>
  <c r="E194" i="6"/>
  <c r="Q194" i="6" s="1"/>
  <c r="S26" i="9"/>
  <c r="M487" i="7"/>
  <c r="N487" i="7" s="1"/>
  <c r="M462" i="7"/>
  <c r="N462" i="7" s="1"/>
  <c r="M449" i="7"/>
  <c r="N449" i="7" s="1"/>
  <c r="M294" i="7"/>
  <c r="N294" i="7" s="1"/>
  <c r="M374" i="7"/>
  <c r="N374" i="7" s="1"/>
  <c r="S25" i="9"/>
  <c r="S23" i="9"/>
  <c r="M502" i="7"/>
  <c r="N502" i="7" s="1"/>
  <c r="M428" i="7"/>
  <c r="N428" i="7" s="1"/>
  <c r="S24" i="9"/>
  <c r="M433" i="7"/>
  <c r="N433" i="7" s="1"/>
  <c r="H5" i="8"/>
  <c r="I5" i="9"/>
  <c r="N299" i="7"/>
  <c r="O299" i="7"/>
  <c r="K490" i="6"/>
  <c r="O490" i="6" s="1"/>
  <c r="P490" i="6" s="1"/>
  <c r="N490" i="6"/>
  <c r="K489" i="6"/>
  <c r="O489" i="6" s="1"/>
  <c r="N489" i="6"/>
  <c r="K488" i="6"/>
  <c r="O488" i="6" s="1"/>
  <c r="N488" i="6"/>
  <c r="K484" i="6"/>
  <c r="O484" i="6" s="1"/>
  <c r="N484" i="6"/>
  <c r="N483" i="6"/>
  <c r="K483" i="6"/>
  <c r="O483" i="6" s="1"/>
  <c r="K482" i="6"/>
  <c r="O482" i="6" s="1"/>
  <c r="P482" i="6" s="1"/>
  <c r="N482" i="6"/>
  <c r="K480" i="6"/>
  <c r="O480" i="6" s="1"/>
  <c r="N480" i="6"/>
  <c r="N476" i="6"/>
  <c r="K476" i="6"/>
  <c r="O476" i="6" s="1"/>
  <c r="N471" i="6"/>
  <c r="K471" i="6"/>
  <c r="O471" i="6" s="1"/>
  <c r="K467" i="6"/>
  <c r="O467" i="6" s="1"/>
  <c r="N467" i="6"/>
  <c r="K465" i="6"/>
  <c r="O465" i="6" s="1"/>
  <c r="N465" i="6"/>
  <c r="K461" i="6"/>
  <c r="O461" i="6" s="1"/>
  <c r="N461" i="6"/>
  <c r="K460" i="6"/>
  <c r="O460" i="6" s="1"/>
  <c r="N460" i="6"/>
  <c r="K457" i="6"/>
  <c r="O457" i="6" s="1"/>
  <c r="N457" i="6"/>
  <c r="K456" i="6"/>
  <c r="O456" i="6" s="1"/>
  <c r="N456" i="6"/>
  <c r="K452" i="6"/>
  <c r="O452" i="6" s="1"/>
  <c r="N452" i="6"/>
  <c r="K449" i="6"/>
  <c r="O449" i="6" s="1"/>
  <c r="N449" i="6"/>
  <c r="K447" i="6"/>
  <c r="O447" i="6" s="1"/>
  <c r="P447" i="6" s="1"/>
  <c r="N447" i="6"/>
  <c r="K445" i="6"/>
  <c r="O445" i="6" s="1"/>
  <c r="N445" i="6"/>
  <c r="N443" i="6"/>
  <c r="K443" i="6"/>
  <c r="O443" i="6" s="1"/>
  <c r="P443" i="6" s="1"/>
  <c r="K441" i="6"/>
  <c r="O441" i="6" s="1"/>
  <c r="P441" i="6" s="1"/>
  <c r="N441" i="6"/>
  <c r="K440" i="6"/>
  <c r="O440" i="6" s="1"/>
  <c r="N440" i="6"/>
  <c r="K437" i="6"/>
  <c r="O437" i="6" s="1"/>
  <c r="P437" i="6" s="1"/>
  <c r="N437" i="6"/>
  <c r="K436" i="6"/>
  <c r="O436" i="6" s="1"/>
  <c r="N436" i="6"/>
  <c r="K435" i="6"/>
  <c r="O435" i="6" s="1"/>
  <c r="P435" i="6" s="1"/>
  <c r="N435" i="6"/>
  <c r="N432" i="6"/>
  <c r="K432" i="6"/>
  <c r="O432" i="6" s="1"/>
  <c r="K429" i="6"/>
  <c r="O429" i="6" s="1"/>
  <c r="N429" i="6"/>
  <c r="K428" i="6"/>
  <c r="O428" i="6" s="1"/>
  <c r="N428" i="6"/>
  <c r="N427" i="6"/>
  <c r="K427" i="6"/>
  <c r="O427" i="6" s="1"/>
  <c r="N423" i="6"/>
  <c r="K423" i="6"/>
  <c r="O423" i="6" s="1"/>
  <c r="K421" i="6"/>
  <c r="O421" i="6" s="1"/>
  <c r="N421" i="6"/>
  <c r="K420" i="6"/>
  <c r="O420" i="6" s="1"/>
  <c r="N420" i="6"/>
  <c r="N419" i="6"/>
  <c r="K419" i="6"/>
  <c r="O419" i="6" s="1"/>
  <c r="K417" i="6"/>
  <c r="O417" i="6" s="1"/>
  <c r="N417" i="6"/>
  <c r="K416" i="6"/>
  <c r="O416" i="6" s="1"/>
  <c r="N416" i="6"/>
  <c r="K413" i="6"/>
  <c r="O413" i="6" s="1"/>
  <c r="N413" i="6"/>
  <c r="K412" i="6"/>
  <c r="O412" i="6" s="1"/>
  <c r="P412" i="6" s="1"/>
  <c r="N412" i="6"/>
  <c r="K411" i="6"/>
  <c r="O411" i="6" s="1"/>
  <c r="N411" i="6"/>
  <c r="N410" i="6"/>
  <c r="K410" i="6"/>
  <c r="O410" i="6" s="1"/>
  <c r="K409" i="6"/>
  <c r="O409" i="6" s="1"/>
  <c r="N409" i="6"/>
  <c r="K408" i="6"/>
  <c r="O408" i="6" s="1"/>
  <c r="P408" i="6" s="1"/>
  <c r="N408" i="6"/>
  <c r="K405" i="6"/>
  <c r="O405" i="6" s="1"/>
  <c r="N405" i="6"/>
  <c r="K404" i="6"/>
  <c r="O404" i="6" s="1"/>
  <c r="N404" i="6"/>
  <c r="K403" i="6"/>
  <c r="O403" i="6" s="1"/>
  <c r="N403" i="6"/>
  <c r="K402" i="6"/>
  <c r="O402" i="6" s="1"/>
  <c r="N402" i="6"/>
  <c r="K401" i="6"/>
  <c r="O401" i="6" s="1"/>
  <c r="P401" i="6" s="1"/>
  <c r="N401" i="6"/>
  <c r="K400" i="6"/>
  <c r="O400" i="6" s="1"/>
  <c r="N400" i="6"/>
  <c r="N399" i="6"/>
  <c r="K399" i="6"/>
  <c r="O399" i="6" s="1"/>
  <c r="K398" i="6"/>
  <c r="O398" i="6" s="1"/>
  <c r="N398" i="6"/>
  <c r="K397" i="6"/>
  <c r="O397" i="6" s="1"/>
  <c r="N397" i="6"/>
  <c r="K396" i="6"/>
  <c r="O396" i="6" s="1"/>
  <c r="N396" i="6"/>
  <c r="K291" i="6"/>
  <c r="O291" i="6" s="1"/>
  <c r="N291" i="6"/>
  <c r="K288" i="6"/>
  <c r="O288" i="6" s="1"/>
  <c r="P288" i="6" s="1"/>
  <c r="N288" i="6"/>
  <c r="K287" i="6"/>
  <c r="O287" i="6" s="1"/>
  <c r="N287" i="6"/>
  <c r="K286" i="6"/>
  <c r="O286" i="6" s="1"/>
  <c r="N286" i="6"/>
  <c r="K285" i="6"/>
  <c r="O285" i="6" s="1"/>
  <c r="N285" i="6"/>
  <c r="K283" i="6"/>
  <c r="O283" i="6" s="1"/>
  <c r="P283" i="6" s="1"/>
  <c r="N283" i="6"/>
  <c r="N281" i="6"/>
  <c r="K281" i="6"/>
  <c r="O281" i="6" s="1"/>
  <c r="K277" i="6"/>
  <c r="O277" i="6" s="1"/>
  <c r="N277" i="6"/>
  <c r="K273" i="6"/>
  <c r="O273" i="6" s="1"/>
  <c r="N273" i="6"/>
  <c r="K271" i="6"/>
  <c r="O271" i="6" s="1"/>
  <c r="N271" i="6"/>
  <c r="K269" i="6"/>
  <c r="O269" i="6" s="1"/>
  <c r="N269" i="6"/>
  <c r="K266" i="6"/>
  <c r="O266" i="6" s="1"/>
  <c r="N266" i="6"/>
  <c r="K263" i="6"/>
  <c r="O263" i="6" s="1"/>
  <c r="N263" i="6"/>
  <c r="N256" i="6"/>
  <c r="K256" i="6"/>
  <c r="O256" i="6" s="1"/>
  <c r="P256" i="6" s="1"/>
  <c r="N255" i="6"/>
  <c r="K255" i="6"/>
  <c r="O255" i="6" s="1"/>
  <c r="P255" i="6" s="1"/>
  <c r="K253" i="6"/>
  <c r="O253" i="6" s="1"/>
  <c r="N253" i="6"/>
  <c r="K250" i="6"/>
  <c r="O250" i="6" s="1"/>
  <c r="N250" i="6"/>
  <c r="K247" i="6"/>
  <c r="O247" i="6" s="1"/>
  <c r="N247" i="6"/>
  <c r="N243" i="6"/>
  <c r="K243" i="6"/>
  <c r="O243" i="6" s="1"/>
  <c r="K240" i="6"/>
  <c r="O240" i="6" s="1"/>
  <c r="P240" i="6" s="1"/>
  <c r="N240" i="6"/>
  <c r="K233" i="6"/>
  <c r="O233" i="6" s="1"/>
  <c r="P233" i="6" s="1"/>
  <c r="N233" i="6"/>
  <c r="K232" i="6"/>
  <c r="O232" i="6" s="1"/>
  <c r="P232" i="6" s="1"/>
  <c r="N232" i="6"/>
  <c r="N231" i="6"/>
  <c r="K231" i="6"/>
  <c r="O231" i="6" s="1"/>
  <c r="N228" i="6"/>
  <c r="K228" i="6"/>
  <c r="O228" i="6" s="1"/>
  <c r="P228" i="6" s="1"/>
  <c r="K223" i="6"/>
  <c r="O223" i="6" s="1"/>
  <c r="N223" i="6"/>
  <c r="N222" i="6"/>
  <c r="K222" i="6"/>
  <c r="O222" i="6" s="1"/>
  <c r="P222" i="6" s="1"/>
  <c r="N221" i="6"/>
  <c r="K221" i="6"/>
  <c r="O221" i="6" s="1"/>
  <c r="P221" i="6" s="1"/>
  <c r="K220" i="6"/>
  <c r="O220" i="6" s="1"/>
  <c r="P220" i="6" s="1"/>
  <c r="N220" i="6"/>
  <c r="K210" i="6"/>
  <c r="O210" i="6" s="1"/>
  <c r="N210" i="6"/>
  <c r="N34" i="6"/>
  <c r="K34" i="6"/>
  <c r="O34" i="6" s="1"/>
  <c r="P34" i="6" s="1"/>
  <c r="K32" i="6"/>
  <c r="O32" i="6" s="1"/>
  <c r="N32" i="6"/>
  <c r="K31" i="6"/>
  <c r="O31" i="6" s="1"/>
  <c r="N31" i="6"/>
  <c r="K30" i="6"/>
  <c r="O30" i="6" s="1"/>
  <c r="N30" i="6"/>
  <c r="N28" i="6"/>
  <c r="K28" i="6"/>
  <c r="O28" i="6" s="1"/>
  <c r="K25" i="6"/>
  <c r="O25" i="6" s="1"/>
  <c r="N25" i="6"/>
  <c r="K22" i="6"/>
  <c r="O22" i="6" s="1"/>
  <c r="N22" i="6"/>
  <c r="K504" i="6"/>
  <c r="O504" i="6" s="1"/>
  <c r="N504" i="6"/>
  <c r="K503" i="6"/>
  <c r="O503" i="6" s="1"/>
  <c r="P503" i="6" s="1"/>
  <c r="N503" i="6"/>
  <c r="K502" i="6"/>
  <c r="O502" i="6" s="1"/>
  <c r="N502" i="6"/>
  <c r="K501" i="6"/>
  <c r="O501" i="6" s="1"/>
  <c r="N501" i="6"/>
  <c r="K500" i="6"/>
  <c r="O500" i="6" s="1"/>
  <c r="P500" i="6" s="1"/>
  <c r="N500" i="6"/>
  <c r="K499" i="6"/>
  <c r="O499" i="6" s="1"/>
  <c r="N499" i="6"/>
  <c r="K498" i="6"/>
  <c r="O498" i="6" s="1"/>
  <c r="N498" i="6"/>
  <c r="K497" i="6"/>
  <c r="O497" i="6" s="1"/>
  <c r="P497" i="6" s="1"/>
  <c r="N497" i="6"/>
  <c r="K496" i="6"/>
  <c r="O496" i="6" s="1"/>
  <c r="P496" i="6" s="1"/>
  <c r="N496" i="6"/>
  <c r="K495" i="6"/>
  <c r="O495" i="6" s="1"/>
  <c r="P495" i="6" s="1"/>
  <c r="N495" i="6"/>
  <c r="K494" i="6"/>
  <c r="O494" i="6" s="1"/>
  <c r="P494" i="6" s="1"/>
  <c r="N494" i="6"/>
  <c r="K493" i="6"/>
  <c r="O493" i="6" s="1"/>
  <c r="N493" i="6"/>
  <c r="K492" i="6"/>
  <c r="O492" i="6" s="1"/>
  <c r="N492" i="6"/>
  <c r="K491" i="6"/>
  <c r="O491" i="6" s="1"/>
  <c r="N491" i="6"/>
  <c r="N487" i="6"/>
  <c r="K487" i="6"/>
  <c r="O487" i="6" s="1"/>
  <c r="K486" i="6"/>
  <c r="O486" i="6" s="1"/>
  <c r="N486" i="6"/>
  <c r="K485" i="6"/>
  <c r="O485" i="6" s="1"/>
  <c r="N485" i="6"/>
  <c r="K481" i="6"/>
  <c r="O481" i="6" s="1"/>
  <c r="P481" i="6" s="1"/>
  <c r="N481" i="6"/>
  <c r="K479" i="6"/>
  <c r="O479" i="6" s="1"/>
  <c r="P479" i="6" s="1"/>
  <c r="N479" i="6"/>
  <c r="N478" i="6"/>
  <c r="K478" i="6"/>
  <c r="O478" i="6" s="1"/>
  <c r="K477" i="6"/>
  <c r="O477" i="6" s="1"/>
  <c r="N477" i="6"/>
  <c r="K475" i="6"/>
  <c r="O475" i="6" s="1"/>
  <c r="N475" i="6"/>
  <c r="K474" i="6"/>
  <c r="O474" i="6" s="1"/>
  <c r="N474" i="6"/>
  <c r="N473" i="6"/>
  <c r="K473" i="6"/>
  <c r="O473" i="6" s="1"/>
  <c r="N472" i="6"/>
  <c r="K472" i="6"/>
  <c r="O472" i="6" s="1"/>
  <c r="K470" i="6"/>
  <c r="O470" i="6" s="1"/>
  <c r="N470" i="6"/>
  <c r="K469" i="6"/>
  <c r="O469" i="6" s="1"/>
  <c r="N469" i="6"/>
  <c r="N468" i="6"/>
  <c r="K468" i="6"/>
  <c r="O468" i="6" s="1"/>
  <c r="P468" i="6" s="1"/>
  <c r="N466" i="6"/>
  <c r="K466" i="6"/>
  <c r="O466" i="6" s="1"/>
  <c r="P466" i="6" s="1"/>
  <c r="K464" i="6"/>
  <c r="O464" i="6" s="1"/>
  <c r="N464" i="6"/>
  <c r="N463" i="6"/>
  <c r="K463" i="6"/>
  <c r="O463" i="6" s="1"/>
  <c r="P463" i="6" s="1"/>
  <c r="K462" i="6"/>
  <c r="O462" i="6" s="1"/>
  <c r="P462" i="6" s="1"/>
  <c r="N462" i="6"/>
  <c r="N459" i="6"/>
  <c r="K459" i="6"/>
  <c r="O459" i="6" s="1"/>
  <c r="K458" i="6"/>
  <c r="O458" i="6" s="1"/>
  <c r="N458" i="6"/>
  <c r="N455" i="6"/>
  <c r="K455" i="6"/>
  <c r="O455" i="6" s="1"/>
  <c r="K454" i="6"/>
  <c r="O454" i="6" s="1"/>
  <c r="P454" i="6" s="1"/>
  <c r="N454" i="6"/>
  <c r="K453" i="6"/>
  <c r="O453" i="6" s="1"/>
  <c r="N453" i="6"/>
  <c r="K451" i="6"/>
  <c r="O451" i="6" s="1"/>
  <c r="N451" i="6"/>
  <c r="K450" i="6"/>
  <c r="O450" i="6" s="1"/>
  <c r="N450" i="6"/>
  <c r="K448" i="6"/>
  <c r="O448" i="6" s="1"/>
  <c r="N448" i="6"/>
  <c r="K446" i="6"/>
  <c r="O446" i="6" s="1"/>
  <c r="P446" i="6" s="1"/>
  <c r="N446" i="6"/>
  <c r="K444" i="6"/>
  <c r="O444" i="6" s="1"/>
  <c r="N444" i="6"/>
  <c r="K442" i="6"/>
  <c r="O442" i="6" s="1"/>
  <c r="N442" i="6"/>
  <c r="K439" i="6"/>
  <c r="O439" i="6" s="1"/>
  <c r="N439" i="6"/>
  <c r="N438" i="6"/>
  <c r="K438" i="6"/>
  <c r="O438" i="6" s="1"/>
  <c r="K434" i="6"/>
  <c r="O434" i="6" s="1"/>
  <c r="P434" i="6" s="1"/>
  <c r="N434" i="6"/>
  <c r="N433" i="6"/>
  <c r="K433" i="6"/>
  <c r="O433" i="6" s="1"/>
  <c r="K431" i="6"/>
  <c r="O431" i="6" s="1"/>
  <c r="P431" i="6" s="1"/>
  <c r="N431" i="6"/>
  <c r="N430" i="6"/>
  <c r="K430" i="6"/>
  <c r="O430" i="6" s="1"/>
  <c r="K426" i="6"/>
  <c r="O426" i="6" s="1"/>
  <c r="N426" i="6"/>
  <c r="K425" i="6"/>
  <c r="O425" i="6" s="1"/>
  <c r="N425" i="6"/>
  <c r="N424" i="6"/>
  <c r="K424" i="6"/>
  <c r="O424" i="6" s="1"/>
  <c r="K422" i="6"/>
  <c r="O422" i="6" s="1"/>
  <c r="N422" i="6"/>
  <c r="K418" i="6"/>
  <c r="O418" i="6" s="1"/>
  <c r="N418" i="6"/>
  <c r="K415" i="6"/>
  <c r="O415" i="6" s="1"/>
  <c r="N415" i="6"/>
  <c r="N414" i="6"/>
  <c r="K414" i="6"/>
  <c r="O414" i="6" s="1"/>
  <c r="K407" i="6"/>
  <c r="O407" i="6" s="1"/>
  <c r="N407" i="6"/>
  <c r="K406" i="6"/>
  <c r="O406" i="6" s="1"/>
  <c r="N406" i="6"/>
  <c r="K395" i="6"/>
  <c r="O395" i="6" s="1"/>
  <c r="N395" i="6"/>
  <c r="K394" i="6"/>
  <c r="O394" i="6" s="1"/>
  <c r="N394" i="6"/>
  <c r="K290" i="6"/>
  <c r="O290" i="6" s="1"/>
  <c r="N290" i="6"/>
  <c r="K289" i="6"/>
  <c r="O289" i="6" s="1"/>
  <c r="N289" i="6"/>
  <c r="K284" i="6"/>
  <c r="O284" i="6" s="1"/>
  <c r="N284" i="6"/>
  <c r="N280" i="6"/>
  <c r="K280" i="6"/>
  <c r="O280" i="6" s="1"/>
  <c r="P280" i="6" s="1"/>
  <c r="K279" i="6"/>
  <c r="O279" i="6" s="1"/>
  <c r="N279" i="6"/>
  <c r="K278" i="6"/>
  <c r="O278" i="6" s="1"/>
  <c r="N278" i="6"/>
  <c r="N274" i="6"/>
  <c r="K274" i="6"/>
  <c r="O274" i="6" s="1"/>
  <c r="N270" i="6"/>
  <c r="K270" i="6"/>
  <c r="O270" i="6" s="1"/>
  <c r="N268" i="6"/>
  <c r="K268" i="6"/>
  <c r="O268" i="6" s="1"/>
  <c r="K264" i="6"/>
  <c r="O264" i="6" s="1"/>
  <c r="N264" i="6"/>
  <c r="K262" i="6"/>
  <c r="O262" i="6" s="1"/>
  <c r="N262" i="6"/>
  <c r="K261" i="6"/>
  <c r="O261" i="6" s="1"/>
  <c r="P261" i="6" s="1"/>
  <c r="N261" i="6"/>
  <c r="N259" i="6"/>
  <c r="K259" i="6"/>
  <c r="O259" i="6" s="1"/>
  <c r="N258" i="6"/>
  <c r="K258" i="6"/>
  <c r="O258" i="6" s="1"/>
  <c r="K257" i="6"/>
  <c r="O257" i="6" s="1"/>
  <c r="N257" i="6"/>
  <c r="N252" i="6"/>
  <c r="K252" i="6"/>
  <c r="O252" i="6" s="1"/>
  <c r="K251" i="6"/>
  <c r="O251" i="6" s="1"/>
  <c r="N251" i="6"/>
  <c r="K246" i="6"/>
  <c r="O246" i="6" s="1"/>
  <c r="N246" i="6"/>
  <c r="N245" i="6"/>
  <c r="K245" i="6"/>
  <c r="O245" i="6" s="1"/>
  <c r="K244" i="6"/>
  <c r="O244" i="6" s="1"/>
  <c r="N244" i="6"/>
  <c r="N242" i="6"/>
  <c r="K242" i="6"/>
  <c r="O242" i="6" s="1"/>
  <c r="K238" i="6"/>
  <c r="O238" i="6" s="1"/>
  <c r="N238" i="6"/>
  <c r="K236" i="6"/>
  <c r="O236" i="6" s="1"/>
  <c r="P236" i="6" s="1"/>
  <c r="N236" i="6"/>
  <c r="N235" i="6"/>
  <c r="K235" i="6"/>
  <c r="O235" i="6" s="1"/>
  <c r="K230" i="6"/>
  <c r="O230" i="6" s="1"/>
  <c r="N230" i="6"/>
  <c r="K229" i="6"/>
  <c r="O229" i="6" s="1"/>
  <c r="N229" i="6"/>
  <c r="K227" i="6"/>
  <c r="O227" i="6" s="1"/>
  <c r="N227" i="6"/>
  <c r="K225" i="6"/>
  <c r="O225" i="6" s="1"/>
  <c r="N225" i="6"/>
  <c r="K218" i="6"/>
  <c r="O218" i="6" s="1"/>
  <c r="N218" i="6"/>
  <c r="K217" i="6"/>
  <c r="O217" i="6" s="1"/>
  <c r="N217" i="6"/>
  <c r="N216" i="6"/>
  <c r="K216" i="6"/>
  <c r="O216" i="6" s="1"/>
  <c r="K214" i="6"/>
  <c r="O214" i="6" s="1"/>
  <c r="P214" i="6" s="1"/>
  <c r="N214" i="6"/>
  <c r="K213" i="6"/>
  <c r="O213" i="6" s="1"/>
  <c r="N213" i="6"/>
  <c r="K212" i="6"/>
  <c r="O212" i="6" s="1"/>
  <c r="N212" i="6"/>
  <c r="K211" i="6"/>
  <c r="O211" i="6" s="1"/>
  <c r="N211" i="6"/>
  <c r="K209" i="6"/>
  <c r="O209" i="6" s="1"/>
  <c r="N209" i="6"/>
  <c r="K29" i="6"/>
  <c r="O29" i="6" s="1"/>
  <c r="N29" i="6"/>
  <c r="N24" i="6"/>
  <c r="K24" i="6"/>
  <c r="O24" i="6" s="1"/>
  <c r="K23" i="6"/>
  <c r="O23" i="6" s="1"/>
  <c r="N23" i="6"/>
  <c r="K393" i="6"/>
  <c r="O393" i="6" s="1"/>
  <c r="N393" i="6"/>
  <c r="K392" i="6"/>
  <c r="O392" i="6" s="1"/>
  <c r="P392" i="6" s="1"/>
  <c r="N392" i="6"/>
  <c r="K391" i="6"/>
  <c r="O391" i="6" s="1"/>
  <c r="P391" i="6" s="1"/>
  <c r="N391" i="6"/>
  <c r="K390" i="6"/>
  <c r="O390" i="6" s="1"/>
  <c r="N390" i="6"/>
  <c r="K389" i="6"/>
  <c r="O389" i="6" s="1"/>
  <c r="N389" i="6"/>
  <c r="K388" i="6"/>
  <c r="O388" i="6" s="1"/>
  <c r="N388" i="6"/>
  <c r="K387" i="6"/>
  <c r="O387" i="6" s="1"/>
  <c r="P387" i="6" s="1"/>
  <c r="N387" i="6"/>
  <c r="K386" i="6"/>
  <c r="O386" i="6" s="1"/>
  <c r="P386" i="6" s="1"/>
  <c r="N386" i="6"/>
  <c r="K385" i="6"/>
  <c r="O385" i="6" s="1"/>
  <c r="N385" i="6"/>
  <c r="K384" i="6"/>
  <c r="O384" i="6" s="1"/>
  <c r="N384" i="6"/>
  <c r="K383" i="6"/>
  <c r="O383" i="6" s="1"/>
  <c r="P383" i="6" s="1"/>
  <c r="N383" i="6"/>
  <c r="K382" i="6"/>
  <c r="O382" i="6" s="1"/>
  <c r="P382" i="6" s="1"/>
  <c r="N382" i="6"/>
  <c r="K381" i="6"/>
  <c r="O381" i="6" s="1"/>
  <c r="N381" i="6"/>
  <c r="K380" i="6"/>
  <c r="O380" i="6" s="1"/>
  <c r="P380" i="6" s="1"/>
  <c r="N380" i="6"/>
  <c r="K379" i="6"/>
  <c r="O379" i="6" s="1"/>
  <c r="P379" i="6" s="1"/>
  <c r="N379" i="6"/>
  <c r="K378" i="6"/>
  <c r="O378" i="6" s="1"/>
  <c r="N378" i="6"/>
  <c r="K377" i="6"/>
  <c r="O377" i="6" s="1"/>
  <c r="N377" i="6"/>
  <c r="K376" i="6"/>
  <c r="O376" i="6" s="1"/>
  <c r="P376" i="6" s="1"/>
  <c r="N376" i="6"/>
  <c r="K375" i="6"/>
  <c r="O375" i="6" s="1"/>
  <c r="P375" i="6" s="1"/>
  <c r="N375" i="6"/>
  <c r="K374" i="6"/>
  <c r="O374" i="6" s="1"/>
  <c r="P374" i="6" s="1"/>
  <c r="N374" i="6"/>
  <c r="K373" i="6"/>
  <c r="O373" i="6" s="1"/>
  <c r="N373" i="6"/>
  <c r="K372" i="6"/>
  <c r="O372" i="6" s="1"/>
  <c r="N372" i="6"/>
  <c r="K371" i="6"/>
  <c r="O371" i="6" s="1"/>
  <c r="N371" i="6"/>
  <c r="K370" i="6"/>
  <c r="O370" i="6" s="1"/>
  <c r="N370" i="6"/>
  <c r="K369" i="6"/>
  <c r="O369" i="6" s="1"/>
  <c r="P369" i="6" s="1"/>
  <c r="N369" i="6"/>
  <c r="K368" i="6"/>
  <c r="O368" i="6" s="1"/>
  <c r="N368" i="6"/>
  <c r="K367" i="6"/>
  <c r="O367" i="6" s="1"/>
  <c r="N367" i="6"/>
  <c r="K366" i="6"/>
  <c r="O366" i="6" s="1"/>
  <c r="N366" i="6"/>
  <c r="K365" i="6"/>
  <c r="O365" i="6" s="1"/>
  <c r="N365" i="6"/>
  <c r="K364" i="6"/>
  <c r="O364" i="6" s="1"/>
  <c r="P364" i="6" s="1"/>
  <c r="N364" i="6"/>
  <c r="K363" i="6"/>
  <c r="O363" i="6" s="1"/>
  <c r="N363" i="6"/>
  <c r="K362" i="6"/>
  <c r="O362" i="6" s="1"/>
  <c r="N362" i="6"/>
  <c r="K361" i="6"/>
  <c r="O361" i="6" s="1"/>
  <c r="P361" i="6" s="1"/>
  <c r="N361" i="6"/>
  <c r="K360" i="6"/>
  <c r="O360" i="6" s="1"/>
  <c r="N360" i="6"/>
  <c r="K359" i="6"/>
  <c r="O359" i="6" s="1"/>
  <c r="N359" i="6"/>
  <c r="K358" i="6"/>
  <c r="O358" i="6" s="1"/>
  <c r="P358" i="6" s="1"/>
  <c r="N358" i="6"/>
  <c r="K357" i="6"/>
  <c r="O357" i="6" s="1"/>
  <c r="N357" i="6"/>
  <c r="K356" i="6"/>
  <c r="O356" i="6" s="1"/>
  <c r="P356" i="6" s="1"/>
  <c r="N356" i="6"/>
  <c r="K355" i="6"/>
  <c r="O355" i="6" s="1"/>
  <c r="N355" i="6"/>
  <c r="K354" i="6"/>
  <c r="O354" i="6" s="1"/>
  <c r="N354" i="6"/>
  <c r="K353" i="6"/>
  <c r="O353" i="6" s="1"/>
  <c r="N353" i="6"/>
  <c r="K352" i="6"/>
  <c r="O352" i="6" s="1"/>
  <c r="P352" i="6" s="1"/>
  <c r="N352" i="6"/>
  <c r="K351" i="6"/>
  <c r="O351" i="6" s="1"/>
  <c r="N351" i="6"/>
  <c r="K350" i="6"/>
  <c r="O350" i="6" s="1"/>
  <c r="N350" i="6"/>
  <c r="K349" i="6"/>
  <c r="O349" i="6" s="1"/>
  <c r="N349" i="6"/>
  <c r="K348" i="6"/>
  <c r="O348" i="6" s="1"/>
  <c r="N348" i="6"/>
  <c r="K347" i="6"/>
  <c r="O347" i="6" s="1"/>
  <c r="N347" i="6"/>
  <c r="K346" i="6"/>
  <c r="O346" i="6" s="1"/>
  <c r="N346" i="6"/>
  <c r="K345" i="6"/>
  <c r="O345" i="6" s="1"/>
  <c r="N345" i="6"/>
  <c r="K344" i="6"/>
  <c r="O344" i="6" s="1"/>
  <c r="N344" i="6"/>
  <c r="K343" i="6"/>
  <c r="O343" i="6" s="1"/>
  <c r="N343" i="6"/>
  <c r="K342" i="6"/>
  <c r="O342" i="6" s="1"/>
  <c r="N342" i="6"/>
  <c r="K341" i="6"/>
  <c r="O341" i="6" s="1"/>
  <c r="N341" i="6"/>
  <c r="K340" i="6"/>
  <c r="O340" i="6" s="1"/>
  <c r="N340" i="6"/>
  <c r="K339" i="6"/>
  <c r="O339" i="6" s="1"/>
  <c r="N339" i="6"/>
  <c r="K338" i="6"/>
  <c r="O338" i="6" s="1"/>
  <c r="N338" i="6"/>
  <c r="K337" i="6"/>
  <c r="O337" i="6" s="1"/>
  <c r="N337" i="6"/>
  <c r="K336" i="6"/>
  <c r="O336" i="6" s="1"/>
  <c r="N336" i="6"/>
  <c r="K335" i="6"/>
  <c r="O335" i="6" s="1"/>
  <c r="N335" i="6"/>
  <c r="K334" i="6"/>
  <c r="O334" i="6" s="1"/>
  <c r="N334" i="6"/>
  <c r="K333" i="6"/>
  <c r="O333" i="6" s="1"/>
  <c r="P333" i="6" s="1"/>
  <c r="N333" i="6"/>
  <c r="K332" i="6"/>
  <c r="O332" i="6" s="1"/>
  <c r="N332" i="6"/>
  <c r="K331" i="6"/>
  <c r="O331" i="6" s="1"/>
  <c r="N331" i="6"/>
  <c r="K330" i="6"/>
  <c r="O330" i="6" s="1"/>
  <c r="N330" i="6"/>
  <c r="K329" i="6"/>
  <c r="O329" i="6" s="1"/>
  <c r="N329" i="6"/>
  <c r="K328" i="6"/>
  <c r="O328" i="6" s="1"/>
  <c r="N328" i="6"/>
  <c r="K327" i="6"/>
  <c r="O327" i="6" s="1"/>
  <c r="N327" i="6"/>
  <c r="K326" i="6"/>
  <c r="O326" i="6" s="1"/>
  <c r="N326" i="6"/>
  <c r="K325" i="6"/>
  <c r="O325" i="6" s="1"/>
  <c r="N325" i="6"/>
  <c r="K324" i="6"/>
  <c r="O324" i="6" s="1"/>
  <c r="N324" i="6"/>
  <c r="K323" i="6"/>
  <c r="O323" i="6" s="1"/>
  <c r="N323" i="6"/>
  <c r="K322" i="6"/>
  <c r="O322" i="6" s="1"/>
  <c r="N322" i="6"/>
  <c r="K321" i="6"/>
  <c r="O321" i="6" s="1"/>
  <c r="N321" i="6"/>
  <c r="K320" i="6"/>
  <c r="O320" i="6" s="1"/>
  <c r="N320" i="6"/>
  <c r="K319" i="6"/>
  <c r="O319" i="6" s="1"/>
  <c r="N319" i="6"/>
  <c r="K318" i="6"/>
  <c r="O318" i="6" s="1"/>
  <c r="P318" i="6" s="1"/>
  <c r="N318" i="6"/>
  <c r="K317" i="6"/>
  <c r="O317" i="6" s="1"/>
  <c r="P317" i="6" s="1"/>
  <c r="N317" i="6"/>
  <c r="K316" i="6"/>
  <c r="O316" i="6" s="1"/>
  <c r="N316" i="6"/>
  <c r="K315" i="6"/>
  <c r="O315" i="6" s="1"/>
  <c r="N315" i="6"/>
  <c r="K314" i="6"/>
  <c r="O314" i="6" s="1"/>
  <c r="N314" i="6"/>
  <c r="K313" i="6"/>
  <c r="O313" i="6" s="1"/>
  <c r="N313" i="6"/>
  <c r="K312" i="6"/>
  <c r="O312" i="6" s="1"/>
  <c r="N312" i="6"/>
  <c r="K311" i="6"/>
  <c r="O311" i="6" s="1"/>
  <c r="N311" i="6"/>
  <c r="K310" i="6"/>
  <c r="O310" i="6" s="1"/>
  <c r="N310" i="6"/>
  <c r="K309" i="6"/>
  <c r="O309" i="6" s="1"/>
  <c r="N309" i="6"/>
  <c r="K308" i="6"/>
  <c r="O308" i="6" s="1"/>
  <c r="N308" i="6"/>
  <c r="K307" i="6"/>
  <c r="O307" i="6" s="1"/>
  <c r="N307" i="6"/>
  <c r="K306" i="6"/>
  <c r="O306" i="6" s="1"/>
  <c r="N306" i="6"/>
  <c r="K305" i="6"/>
  <c r="O305" i="6" s="1"/>
  <c r="N305" i="6"/>
  <c r="K304" i="6"/>
  <c r="O304" i="6" s="1"/>
  <c r="N304" i="6"/>
  <c r="K303" i="6"/>
  <c r="O303" i="6" s="1"/>
  <c r="N303" i="6"/>
  <c r="K302" i="6"/>
  <c r="O302" i="6" s="1"/>
  <c r="N302" i="6"/>
  <c r="K301" i="6"/>
  <c r="O301" i="6" s="1"/>
  <c r="N301" i="6"/>
  <c r="K300" i="6"/>
  <c r="O300" i="6" s="1"/>
  <c r="N300" i="6"/>
  <c r="K299" i="6"/>
  <c r="O299" i="6" s="1"/>
  <c r="N299" i="6"/>
  <c r="K298" i="6"/>
  <c r="O298" i="6" s="1"/>
  <c r="N298" i="6"/>
  <c r="K297" i="6"/>
  <c r="O297" i="6" s="1"/>
  <c r="N297" i="6"/>
  <c r="K296" i="6"/>
  <c r="O296" i="6" s="1"/>
  <c r="N296" i="6"/>
  <c r="K295" i="6"/>
  <c r="O295" i="6" s="1"/>
  <c r="N295" i="6"/>
  <c r="K294" i="6"/>
  <c r="O294" i="6" s="1"/>
  <c r="N294" i="6"/>
  <c r="K293" i="6"/>
  <c r="O293" i="6" s="1"/>
  <c r="N293" i="6"/>
  <c r="K292" i="6"/>
  <c r="O292" i="6" s="1"/>
  <c r="N292" i="6"/>
  <c r="K282" i="6"/>
  <c r="O282" i="6" s="1"/>
  <c r="N282" i="6"/>
  <c r="K276" i="6"/>
  <c r="O276" i="6" s="1"/>
  <c r="N276" i="6"/>
  <c r="K275" i="6"/>
  <c r="O275" i="6" s="1"/>
  <c r="N275" i="6"/>
  <c r="K272" i="6"/>
  <c r="O272" i="6" s="1"/>
  <c r="P272" i="6" s="1"/>
  <c r="N272" i="6"/>
  <c r="K267" i="6"/>
  <c r="O267" i="6" s="1"/>
  <c r="N267" i="6"/>
  <c r="K265" i="6"/>
  <c r="O265" i="6" s="1"/>
  <c r="N265" i="6"/>
  <c r="K260" i="6"/>
  <c r="O260" i="6" s="1"/>
  <c r="N260" i="6"/>
  <c r="K254" i="6"/>
  <c r="O254" i="6" s="1"/>
  <c r="N254" i="6"/>
  <c r="N249" i="6"/>
  <c r="K249" i="6"/>
  <c r="O249" i="6" s="1"/>
  <c r="K248" i="6"/>
  <c r="O248" i="6" s="1"/>
  <c r="N248" i="6"/>
  <c r="K241" i="6"/>
  <c r="O241" i="6" s="1"/>
  <c r="P241" i="6" s="1"/>
  <c r="N241" i="6"/>
  <c r="K239" i="6"/>
  <c r="O239" i="6" s="1"/>
  <c r="N239" i="6"/>
  <c r="N237" i="6"/>
  <c r="K237" i="6"/>
  <c r="O237" i="6" s="1"/>
  <c r="K234" i="6"/>
  <c r="O234" i="6" s="1"/>
  <c r="P234" i="6" s="1"/>
  <c r="N234" i="6"/>
  <c r="K226" i="6"/>
  <c r="O226" i="6" s="1"/>
  <c r="N226" i="6"/>
  <c r="K224" i="6"/>
  <c r="O224" i="6" s="1"/>
  <c r="N224" i="6"/>
  <c r="N219" i="6"/>
  <c r="K219" i="6"/>
  <c r="O219" i="6" s="1"/>
  <c r="K215" i="6"/>
  <c r="O215" i="6" s="1"/>
  <c r="N215" i="6"/>
  <c r="K208" i="6"/>
  <c r="O208" i="6" s="1"/>
  <c r="N208" i="6"/>
  <c r="K33" i="6"/>
  <c r="O33" i="6" s="1"/>
  <c r="N33" i="6"/>
  <c r="N27" i="6"/>
  <c r="K27" i="6"/>
  <c r="O27" i="6" s="1"/>
  <c r="K26" i="6"/>
  <c r="O26" i="6" s="1"/>
  <c r="N26" i="6"/>
  <c r="K207" i="6"/>
  <c r="O207" i="6" s="1"/>
  <c r="N207" i="6"/>
  <c r="K206" i="6"/>
  <c r="O206" i="6" s="1"/>
  <c r="N206" i="6"/>
  <c r="K205" i="6"/>
  <c r="O205" i="6" s="1"/>
  <c r="N205" i="6"/>
  <c r="K204" i="6"/>
  <c r="O204" i="6" s="1"/>
  <c r="N204" i="6"/>
  <c r="K203" i="6"/>
  <c r="O203" i="6" s="1"/>
  <c r="P203" i="6" s="1"/>
  <c r="N203" i="6"/>
  <c r="K202" i="6"/>
  <c r="O202" i="6" s="1"/>
  <c r="P202" i="6" s="1"/>
  <c r="N202" i="6"/>
  <c r="K201" i="6"/>
  <c r="O201" i="6" s="1"/>
  <c r="N201" i="6"/>
  <c r="K200" i="6"/>
  <c r="O200" i="6" s="1"/>
  <c r="N200" i="6"/>
  <c r="K199" i="6"/>
  <c r="O199" i="6" s="1"/>
  <c r="N199" i="6"/>
  <c r="K198" i="6"/>
  <c r="O198" i="6" s="1"/>
  <c r="N198" i="6"/>
  <c r="K197" i="6"/>
  <c r="O197" i="6" s="1"/>
  <c r="N197" i="6"/>
  <c r="K196" i="6"/>
  <c r="O196" i="6" s="1"/>
  <c r="N196" i="6"/>
  <c r="K195" i="6"/>
  <c r="O195" i="6" s="1"/>
  <c r="N195" i="6"/>
  <c r="K194" i="6"/>
  <c r="O194" i="6" s="1"/>
  <c r="N194" i="6"/>
  <c r="K193" i="6"/>
  <c r="O193" i="6" s="1"/>
  <c r="N193" i="6"/>
  <c r="K192" i="6"/>
  <c r="O192" i="6" s="1"/>
  <c r="N192" i="6"/>
  <c r="K191" i="6"/>
  <c r="O191" i="6" s="1"/>
  <c r="N191" i="6"/>
  <c r="K190" i="6"/>
  <c r="O190" i="6" s="1"/>
  <c r="N190" i="6"/>
  <c r="K189" i="6"/>
  <c r="O189" i="6" s="1"/>
  <c r="N189" i="6"/>
  <c r="K188" i="6"/>
  <c r="O188" i="6" s="1"/>
  <c r="N188" i="6"/>
  <c r="K187" i="6"/>
  <c r="O187" i="6" s="1"/>
  <c r="N187" i="6"/>
  <c r="K186" i="6"/>
  <c r="O186" i="6" s="1"/>
  <c r="P186" i="6" s="1"/>
  <c r="N186" i="6"/>
  <c r="K185" i="6"/>
  <c r="O185" i="6" s="1"/>
  <c r="N185" i="6"/>
  <c r="K184" i="6"/>
  <c r="O184" i="6" s="1"/>
  <c r="N184" i="6"/>
  <c r="K183" i="6"/>
  <c r="O183" i="6" s="1"/>
  <c r="N183" i="6"/>
  <c r="K182" i="6"/>
  <c r="O182" i="6" s="1"/>
  <c r="N182" i="6"/>
  <c r="K181" i="6"/>
  <c r="O181" i="6" s="1"/>
  <c r="P181" i="6" s="1"/>
  <c r="N181" i="6"/>
  <c r="K180" i="6"/>
  <c r="O180" i="6" s="1"/>
  <c r="N180" i="6"/>
  <c r="K179" i="6"/>
  <c r="O179" i="6" s="1"/>
  <c r="P179" i="6" s="1"/>
  <c r="N179" i="6"/>
  <c r="K178" i="6"/>
  <c r="O178" i="6" s="1"/>
  <c r="N178" i="6"/>
  <c r="K177" i="6"/>
  <c r="O177" i="6" s="1"/>
  <c r="N177" i="6"/>
  <c r="K176" i="6"/>
  <c r="O176" i="6" s="1"/>
  <c r="N176" i="6"/>
  <c r="K175" i="6"/>
  <c r="O175" i="6" s="1"/>
  <c r="N175" i="6"/>
  <c r="K174" i="6"/>
  <c r="O174" i="6" s="1"/>
  <c r="N174" i="6"/>
  <c r="K173" i="6"/>
  <c r="O173" i="6" s="1"/>
  <c r="N173" i="6"/>
  <c r="K172" i="6"/>
  <c r="O172" i="6" s="1"/>
  <c r="N172" i="6"/>
  <c r="K171" i="6"/>
  <c r="O171" i="6" s="1"/>
  <c r="N171" i="6"/>
  <c r="K170" i="6"/>
  <c r="O170" i="6" s="1"/>
  <c r="N170" i="6"/>
  <c r="K169" i="6"/>
  <c r="O169" i="6" s="1"/>
  <c r="N169" i="6"/>
  <c r="K168" i="6"/>
  <c r="O168" i="6" s="1"/>
  <c r="N168" i="6"/>
  <c r="K167" i="6"/>
  <c r="O167" i="6" s="1"/>
  <c r="N167" i="6"/>
  <c r="K166" i="6"/>
  <c r="O166" i="6" s="1"/>
  <c r="N166" i="6"/>
  <c r="K165" i="6"/>
  <c r="O165" i="6" s="1"/>
  <c r="P165" i="6" s="1"/>
  <c r="N165" i="6"/>
  <c r="K164" i="6"/>
  <c r="O164" i="6" s="1"/>
  <c r="N164" i="6"/>
  <c r="K163" i="6"/>
  <c r="O163" i="6" s="1"/>
  <c r="N163" i="6"/>
  <c r="K162" i="6"/>
  <c r="O162" i="6" s="1"/>
  <c r="P162" i="6" s="1"/>
  <c r="N162" i="6"/>
  <c r="K161" i="6"/>
  <c r="O161" i="6" s="1"/>
  <c r="N161" i="6"/>
  <c r="K160" i="6"/>
  <c r="O160" i="6" s="1"/>
  <c r="N160" i="6"/>
  <c r="K159" i="6"/>
  <c r="O159" i="6" s="1"/>
  <c r="N159" i="6"/>
  <c r="K158" i="6"/>
  <c r="O158" i="6" s="1"/>
  <c r="P158" i="6" s="1"/>
  <c r="N158" i="6"/>
  <c r="K157" i="6"/>
  <c r="O157" i="6" s="1"/>
  <c r="N157" i="6"/>
  <c r="K156" i="6"/>
  <c r="O156" i="6" s="1"/>
  <c r="N156" i="6"/>
  <c r="K155" i="6"/>
  <c r="O155" i="6" s="1"/>
  <c r="P155" i="6" s="1"/>
  <c r="N155" i="6"/>
  <c r="K154" i="6"/>
  <c r="O154" i="6" s="1"/>
  <c r="N154" i="6"/>
  <c r="K153" i="6"/>
  <c r="O153" i="6" s="1"/>
  <c r="N153" i="6"/>
  <c r="K152" i="6"/>
  <c r="O152" i="6" s="1"/>
  <c r="N152" i="6"/>
  <c r="K151" i="6"/>
  <c r="O151" i="6" s="1"/>
  <c r="N151" i="6"/>
  <c r="K150" i="6"/>
  <c r="O150" i="6" s="1"/>
  <c r="N150" i="6"/>
  <c r="K149" i="6"/>
  <c r="O149" i="6" s="1"/>
  <c r="N149" i="6"/>
  <c r="K148" i="6"/>
  <c r="O148" i="6" s="1"/>
  <c r="P148" i="6" s="1"/>
  <c r="N148" i="6"/>
  <c r="K147" i="6"/>
  <c r="O147" i="6" s="1"/>
  <c r="N147" i="6"/>
  <c r="K146" i="6"/>
  <c r="O146" i="6" s="1"/>
  <c r="N146" i="6"/>
  <c r="K145" i="6"/>
  <c r="O145" i="6" s="1"/>
  <c r="N145" i="6"/>
  <c r="K144" i="6"/>
  <c r="O144" i="6" s="1"/>
  <c r="N144" i="6"/>
  <c r="K143" i="6"/>
  <c r="O143" i="6" s="1"/>
  <c r="N143" i="6"/>
  <c r="K142" i="6"/>
  <c r="O142" i="6" s="1"/>
  <c r="N142" i="6"/>
  <c r="K141" i="6"/>
  <c r="O141" i="6" s="1"/>
  <c r="N141" i="6"/>
  <c r="K140" i="6"/>
  <c r="O140" i="6" s="1"/>
  <c r="P140" i="6" s="1"/>
  <c r="N140" i="6"/>
  <c r="K139" i="6"/>
  <c r="O139" i="6" s="1"/>
  <c r="N139" i="6"/>
  <c r="K138" i="6"/>
  <c r="O138" i="6" s="1"/>
  <c r="N138" i="6"/>
  <c r="K137" i="6"/>
  <c r="O137" i="6" s="1"/>
  <c r="N137" i="6"/>
  <c r="K136" i="6"/>
  <c r="O136" i="6" s="1"/>
  <c r="N136" i="6"/>
  <c r="K135" i="6"/>
  <c r="O135" i="6" s="1"/>
  <c r="N135" i="6"/>
  <c r="K134" i="6"/>
  <c r="O134" i="6" s="1"/>
  <c r="P134" i="6" s="1"/>
  <c r="N134" i="6"/>
  <c r="K133" i="6"/>
  <c r="O133" i="6" s="1"/>
  <c r="N133" i="6"/>
  <c r="K132" i="6"/>
  <c r="O132" i="6" s="1"/>
  <c r="N132" i="6"/>
  <c r="K131" i="6"/>
  <c r="O131" i="6" s="1"/>
  <c r="N131" i="6"/>
  <c r="K130" i="6"/>
  <c r="O130" i="6" s="1"/>
  <c r="N130" i="6"/>
  <c r="K129" i="6"/>
  <c r="O129" i="6" s="1"/>
  <c r="N129" i="6"/>
  <c r="K128" i="6"/>
  <c r="O128" i="6" s="1"/>
  <c r="N128" i="6"/>
  <c r="K127" i="6"/>
  <c r="O127" i="6" s="1"/>
  <c r="N127" i="6"/>
  <c r="K126" i="6"/>
  <c r="O126" i="6" s="1"/>
  <c r="N126" i="6"/>
  <c r="K125" i="6"/>
  <c r="O125" i="6" s="1"/>
  <c r="N125" i="6"/>
  <c r="K124" i="6"/>
  <c r="O124" i="6" s="1"/>
  <c r="P124" i="6" s="1"/>
  <c r="N124" i="6"/>
  <c r="K123" i="6"/>
  <c r="O123" i="6" s="1"/>
  <c r="P123" i="6" s="1"/>
  <c r="N123" i="6"/>
  <c r="K122" i="6"/>
  <c r="O122" i="6" s="1"/>
  <c r="N122" i="6"/>
  <c r="K121" i="6"/>
  <c r="O121" i="6" s="1"/>
  <c r="N121" i="6"/>
  <c r="K120" i="6"/>
  <c r="O120" i="6" s="1"/>
  <c r="N120" i="6"/>
  <c r="K119" i="6"/>
  <c r="O119" i="6" s="1"/>
  <c r="P119" i="6" s="1"/>
  <c r="N119" i="6"/>
  <c r="K118" i="6"/>
  <c r="O118" i="6" s="1"/>
  <c r="N118" i="6"/>
  <c r="K117" i="6"/>
  <c r="O117" i="6" s="1"/>
  <c r="N117" i="6"/>
  <c r="K116" i="6"/>
  <c r="O116" i="6" s="1"/>
  <c r="P116" i="6" s="1"/>
  <c r="N116" i="6"/>
  <c r="K115" i="6"/>
  <c r="O115" i="6" s="1"/>
  <c r="N115" i="6"/>
  <c r="K114" i="6"/>
  <c r="O114" i="6" s="1"/>
  <c r="N114" i="6"/>
  <c r="K113" i="6"/>
  <c r="O113" i="6" s="1"/>
  <c r="N113" i="6"/>
  <c r="K112" i="6"/>
  <c r="O112" i="6" s="1"/>
  <c r="N112" i="6"/>
  <c r="K111" i="6"/>
  <c r="O111" i="6" s="1"/>
  <c r="N111" i="6"/>
  <c r="K110" i="6"/>
  <c r="O110" i="6" s="1"/>
  <c r="N110" i="6"/>
  <c r="K109" i="6"/>
  <c r="O109" i="6" s="1"/>
  <c r="N109" i="6"/>
  <c r="K108" i="6"/>
  <c r="O108" i="6" s="1"/>
  <c r="N108" i="6"/>
  <c r="K107" i="6"/>
  <c r="O107" i="6" s="1"/>
  <c r="N107" i="6"/>
  <c r="K106" i="6"/>
  <c r="O106" i="6" s="1"/>
  <c r="N106" i="6"/>
  <c r="K105" i="6"/>
  <c r="O105" i="6" s="1"/>
  <c r="N105" i="6"/>
  <c r="K104" i="6"/>
  <c r="O104" i="6" s="1"/>
  <c r="N104" i="6"/>
  <c r="K103" i="6"/>
  <c r="O103" i="6" s="1"/>
  <c r="N103" i="6"/>
  <c r="K102" i="6"/>
  <c r="O102" i="6" s="1"/>
  <c r="N102" i="6"/>
  <c r="K101" i="6"/>
  <c r="O101" i="6" s="1"/>
  <c r="N101" i="6"/>
  <c r="K100" i="6"/>
  <c r="O100" i="6" s="1"/>
  <c r="P100" i="6" s="1"/>
  <c r="N100" i="6"/>
  <c r="K99" i="6"/>
  <c r="O99" i="6" s="1"/>
  <c r="N99" i="6"/>
  <c r="K98" i="6"/>
  <c r="O98" i="6" s="1"/>
  <c r="N98" i="6"/>
  <c r="K97" i="6"/>
  <c r="O97" i="6" s="1"/>
  <c r="N97" i="6"/>
  <c r="K96" i="6"/>
  <c r="O96" i="6" s="1"/>
  <c r="N96" i="6"/>
  <c r="K95" i="6"/>
  <c r="O95" i="6" s="1"/>
  <c r="N95" i="6"/>
  <c r="K94" i="6"/>
  <c r="O94" i="6" s="1"/>
  <c r="N94" i="6"/>
  <c r="K93" i="6"/>
  <c r="O93" i="6" s="1"/>
  <c r="P93" i="6" s="1"/>
  <c r="N93" i="6"/>
  <c r="K92" i="6"/>
  <c r="O92" i="6" s="1"/>
  <c r="N92" i="6"/>
  <c r="K91" i="6"/>
  <c r="O91" i="6" s="1"/>
  <c r="N91" i="6"/>
  <c r="K90" i="6"/>
  <c r="O90" i="6" s="1"/>
  <c r="N90" i="6"/>
  <c r="K89" i="6"/>
  <c r="O89" i="6" s="1"/>
  <c r="N89" i="6"/>
  <c r="K88" i="6"/>
  <c r="O88" i="6" s="1"/>
  <c r="N88" i="6"/>
  <c r="K87" i="6"/>
  <c r="O87" i="6" s="1"/>
  <c r="N87" i="6"/>
  <c r="K86" i="6"/>
  <c r="O86" i="6" s="1"/>
  <c r="N86" i="6"/>
  <c r="K85" i="6"/>
  <c r="O85" i="6" s="1"/>
  <c r="N85" i="6"/>
  <c r="K84" i="6"/>
  <c r="O84" i="6" s="1"/>
  <c r="N84" i="6"/>
  <c r="K83" i="6"/>
  <c r="O83" i="6" s="1"/>
  <c r="N83" i="6"/>
  <c r="K82" i="6"/>
  <c r="O82" i="6" s="1"/>
  <c r="N82" i="6"/>
  <c r="K81" i="6"/>
  <c r="O81" i="6" s="1"/>
  <c r="N81" i="6"/>
  <c r="K80" i="6"/>
  <c r="O80" i="6" s="1"/>
  <c r="N80" i="6"/>
  <c r="K79" i="6"/>
  <c r="O79" i="6" s="1"/>
  <c r="N79" i="6"/>
  <c r="K78" i="6"/>
  <c r="O78" i="6" s="1"/>
  <c r="N78" i="6"/>
  <c r="K77" i="6"/>
  <c r="O77" i="6" s="1"/>
  <c r="N77" i="6"/>
  <c r="K76" i="6"/>
  <c r="O76" i="6" s="1"/>
  <c r="N76" i="6"/>
  <c r="K75" i="6"/>
  <c r="O75" i="6" s="1"/>
  <c r="N75" i="6"/>
  <c r="K74" i="6"/>
  <c r="O74" i="6" s="1"/>
  <c r="N74" i="6"/>
  <c r="K73" i="6"/>
  <c r="O73" i="6" s="1"/>
  <c r="N73" i="6"/>
  <c r="K72" i="6"/>
  <c r="O72" i="6" s="1"/>
  <c r="P72" i="6" s="1"/>
  <c r="N72" i="6"/>
  <c r="K71" i="6"/>
  <c r="O71" i="6" s="1"/>
  <c r="N71" i="6"/>
  <c r="K70" i="6"/>
  <c r="O70" i="6" s="1"/>
  <c r="N70" i="6"/>
  <c r="K69" i="6"/>
  <c r="O69" i="6" s="1"/>
  <c r="N69" i="6"/>
  <c r="K68" i="6"/>
  <c r="O68" i="6" s="1"/>
  <c r="N68" i="6"/>
  <c r="K67" i="6"/>
  <c r="O67" i="6" s="1"/>
  <c r="N67" i="6"/>
  <c r="K66" i="6"/>
  <c r="O66" i="6" s="1"/>
  <c r="N66" i="6"/>
  <c r="K65" i="6"/>
  <c r="O65" i="6" s="1"/>
  <c r="N65" i="6"/>
  <c r="K64" i="6"/>
  <c r="O64" i="6" s="1"/>
  <c r="N64" i="6"/>
  <c r="K63" i="6"/>
  <c r="O63" i="6" s="1"/>
  <c r="N63" i="6"/>
  <c r="K62" i="6"/>
  <c r="O62" i="6" s="1"/>
  <c r="N62" i="6"/>
  <c r="K61" i="6"/>
  <c r="O61" i="6" s="1"/>
  <c r="N61" i="6"/>
  <c r="K60" i="6"/>
  <c r="O60" i="6" s="1"/>
  <c r="N60" i="6"/>
  <c r="K59" i="6"/>
  <c r="O59" i="6" s="1"/>
  <c r="N59" i="6"/>
  <c r="K58" i="6"/>
  <c r="O58" i="6" s="1"/>
  <c r="P58" i="6" s="1"/>
  <c r="N58" i="6"/>
  <c r="K57" i="6"/>
  <c r="O57" i="6" s="1"/>
  <c r="N57" i="6"/>
  <c r="K56" i="6"/>
  <c r="O56" i="6" s="1"/>
  <c r="N56" i="6"/>
  <c r="K55" i="6"/>
  <c r="O55" i="6" s="1"/>
  <c r="N55" i="6"/>
  <c r="K54" i="6"/>
  <c r="O54" i="6" s="1"/>
  <c r="N54" i="6"/>
  <c r="K53" i="6"/>
  <c r="O53" i="6" s="1"/>
  <c r="N53" i="6"/>
  <c r="K52" i="6"/>
  <c r="O52" i="6" s="1"/>
  <c r="N52" i="6"/>
  <c r="K51" i="6"/>
  <c r="O51" i="6" s="1"/>
  <c r="N51" i="6"/>
  <c r="K50" i="6"/>
  <c r="O50" i="6" s="1"/>
  <c r="N50" i="6"/>
  <c r="K49" i="6"/>
  <c r="O49" i="6" s="1"/>
  <c r="N49" i="6"/>
  <c r="K48" i="6"/>
  <c r="O48" i="6" s="1"/>
  <c r="N48" i="6"/>
  <c r="K47" i="6"/>
  <c r="O47" i="6" s="1"/>
  <c r="P47" i="6" s="1"/>
  <c r="N47" i="6"/>
  <c r="K46" i="6"/>
  <c r="O46" i="6" s="1"/>
  <c r="N46" i="6"/>
  <c r="K45" i="6"/>
  <c r="O45" i="6" s="1"/>
  <c r="N45" i="6"/>
  <c r="K44" i="6"/>
  <c r="O44" i="6" s="1"/>
  <c r="N44" i="6"/>
  <c r="K43" i="6"/>
  <c r="O43" i="6" s="1"/>
  <c r="N43" i="6"/>
  <c r="K42" i="6"/>
  <c r="O42" i="6" s="1"/>
  <c r="P42" i="6" s="1"/>
  <c r="N42" i="6"/>
  <c r="K41" i="6"/>
  <c r="O41" i="6" s="1"/>
  <c r="N41" i="6"/>
  <c r="K40" i="6"/>
  <c r="O40" i="6" s="1"/>
  <c r="P40" i="6" s="1"/>
  <c r="N40" i="6"/>
  <c r="K39" i="6"/>
  <c r="O39" i="6" s="1"/>
  <c r="N39" i="6"/>
  <c r="K38" i="6"/>
  <c r="O38" i="6" s="1"/>
  <c r="N38" i="6"/>
  <c r="K37" i="6"/>
  <c r="O37" i="6" s="1"/>
  <c r="N37" i="6"/>
  <c r="K36" i="6"/>
  <c r="O36" i="6" s="1"/>
  <c r="N36" i="6"/>
  <c r="K35" i="6"/>
  <c r="O35" i="6" s="1"/>
  <c r="N35" i="6"/>
  <c r="N21" i="6"/>
  <c r="K21" i="6"/>
  <c r="O21" i="6" s="1"/>
  <c r="K20" i="6"/>
  <c r="O20" i="6" s="1"/>
  <c r="N20" i="6"/>
  <c r="K19" i="6"/>
  <c r="O19" i="6" s="1"/>
  <c r="N19" i="6"/>
  <c r="K18" i="6"/>
  <c r="O18" i="6" s="1"/>
  <c r="N18" i="6"/>
  <c r="K17" i="6"/>
  <c r="O17" i="6" s="1"/>
  <c r="P17" i="6" s="1"/>
  <c r="N17" i="6"/>
  <c r="K16" i="6"/>
  <c r="O16" i="6" s="1"/>
  <c r="N16" i="6"/>
  <c r="K15" i="6"/>
  <c r="O15" i="6" s="1"/>
  <c r="N15" i="6"/>
  <c r="K14" i="6"/>
  <c r="O14" i="6" s="1"/>
  <c r="N14" i="6"/>
  <c r="K13" i="6"/>
  <c r="O13" i="6" s="1"/>
  <c r="N13" i="6"/>
  <c r="K12" i="6"/>
  <c r="O12" i="6" s="1"/>
  <c r="N12" i="6"/>
  <c r="K11" i="6"/>
  <c r="O11" i="6" s="1"/>
  <c r="N11" i="6"/>
  <c r="K10" i="6"/>
  <c r="O10" i="6" s="1"/>
  <c r="N10" i="6"/>
  <c r="K9" i="6"/>
  <c r="O9" i="6" s="1"/>
  <c r="N9" i="6"/>
  <c r="K8" i="6"/>
  <c r="O8" i="6" s="1"/>
  <c r="N8" i="6"/>
  <c r="K7" i="6"/>
  <c r="O7" i="6" s="1"/>
  <c r="N7" i="6"/>
  <c r="K6" i="6"/>
  <c r="O6" i="6" s="1"/>
  <c r="N6" i="6"/>
  <c r="K5" i="6"/>
  <c r="O5" i="6" s="1"/>
  <c r="N5" i="6"/>
  <c r="E5" i="6"/>
  <c r="Q5" i="6" s="1"/>
  <c r="S32" i="9"/>
  <c r="S31" i="9"/>
  <c r="S30" i="9"/>
  <c r="S29" i="9"/>
  <c r="S28" i="9"/>
  <c r="S27" i="9"/>
  <c r="M492" i="7"/>
  <c r="M485" i="7"/>
  <c r="M477" i="7"/>
  <c r="M476" i="7"/>
  <c r="M455" i="7"/>
  <c r="M446" i="7"/>
  <c r="M444" i="7"/>
  <c r="M443" i="7"/>
  <c r="M442" i="7"/>
  <c r="N442" i="7" s="1"/>
  <c r="M440" i="7"/>
  <c r="M439" i="7"/>
  <c r="M435" i="7"/>
  <c r="M419" i="7"/>
  <c r="N419" i="7" s="1"/>
  <c r="M418" i="7"/>
  <c r="M417" i="7"/>
  <c r="M400" i="7"/>
  <c r="M376" i="7"/>
  <c r="M364" i="7"/>
  <c r="N364" i="7" s="1"/>
  <c r="M344" i="7"/>
  <c r="M322" i="7"/>
  <c r="M350" i="7"/>
  <c r="M349" i="7"/>
  <c r="M230" i="7"/>
  <c r="L230" i="7"/>
  <c r="M229" i="7"/>
  <c r="L229" i="7"/>
  <c r="M228" i="7"/>
  <c r="N228" i="7" s="1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N203" i="7" s="1"/>
  <c r="L203" i="7"/>
  <c r="M202" i="7"/>
  <c r="L202" i="7"/>
  <c r="M201" i="7"/>
  <c r="L201" i="7"/>
  <c r="M200" i="7"/>
  <c r="M199" i="7"/>
  <c r="N199" i="7" s="1"/>
  <c r="L199" i="7"/>
  <c r="M198" i="7"/>
  <c r="L198" i="7"/>
  <c r="M197" i="7"/>
  <c r="L197" i="7"/>
  <c r="M196" i="7"/>
  <c r="L196" i="7"/>
  <c r="M195" i="7"/>
  <c r="L195" i="7"/>
  <c r="M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M186" i="7"/>
  <c r="L186" i="7"/>
  <c r="M185" i="7"/>
  <c r="L185" i="7"/>
  <c r="M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M169" i="7"/>
  <c r="L169" i="7"/>
  <c r="M168" i="7"/>
  <c r="L168" i="7"/>
  <c r="M167" i="7"/>
  <c r="L167" i="7"/>
  <c r="M166" i="7"/>
  <c r="L166" i="7"/>
  <c r="M165" i="7"/>
  <c r="L165" i="7"/>
  <c r="M164" i="7"/>
  <c r="M163" i="7"/>
  <c r="M162" i="7"/>
  <c r="L162" i="7"/>
  <c r="M161" i="7"/>
  <c r="L161" i="7"/>
  <c r="M160" i="7"/>
  <c r="L160" i="7"/>
  <c r="M159" i="7"/>
  <c r="L159" i="7"/>
  <c r="M158" i="7"/>
  <c r="N158" i="7" s="1"/>
  <c r="L158" i="7"/>
  <c r="M157" i="7"/>
  <c r="L157" i="7"/>
  <c r="M156" i="7"/>
  <c r="L156" i="7"/>
  <c r="M155" i="7"/>
  <c r="N155" i="7" s="1"/>
  <c r="L155" i="7"/>
  <c r="M154" i="7"/>
  <c r="L154" i="7"/>
  <c r="M153" i="7"/>
  <c r="L153" i="7"/>
  <c r="M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M133" i="7"/>
  <c r="L133" i="7"/>
  <c r="M132" i="7"/>
  <c r="M131" i="7"/>
  <c r="M130" i="7"/>
  <c r="M129" i="7"/>
  <c r="L129" i="7"/>
  <c r="M128" i="7"/>
  <c r="L128" i="7"/>
  <c r="M127" i="7"/>
  <c r="L127" i="7"/>
  <c r="M126" i="7"/>
  <c r="M125" i="7"/>
  <c r="M124" i="7"/>
  <c r="L124" i="7"/>
  <c r="M123" i="7"/>
  <c r="M122" i="7"/>
  <c r="L122" i="7"/>
  <c r="M121" i="7"/>
  <c r="M120" i="7"/>
  <c r="M119" i="7"/>
  <c r="M118" i="7"/>
  <c r="M117" i="7"/>
  <c r="M116" i="7"/>
  <c r="M115" i="7"/>
  <c r="L115" i="7"/>
  <c r="M114" i="7"/>
  <c r="M113" i="7"/>
  <c r="M112" i="7"/>
  <c r="M111" i="7"/>
  <c r="M110" i="7"/>
  <c r="M109" i="7"/>
  <c r="L109" i="7"/>
  <c r="M108" i="7"/>
  <c r="L108" i="7"/>
  <c r="M107" i="7"/>
  <c r="M106" i="7"/>
  <c r="M105" i="7"/>
  <c r="M104" i="7"/>
  <c r="M103" i="7"/>
  <c r="M102" i="7"/>
  <c r="M101" i="7"/>
  <c r="L101" i="7"/>
  <c r="M100" i="7"/>
  <c r="L100" i="7"/>
  <c r="M99" i="7"/>
  <c r="M98" i="7"/>
  <c r="M97" i="7"/>
  <c r="L97" i="7"/>
  <c r="M96" i="7"/>
  <c r="L96" i="7"/>
  <c r="M95" i="7"/>
  <c r="M94" i="7"/>
  <c r="M93" i="7"/>
  <c r="M92" i="7"/>
  <c r="L92" i="7"/>
  <c r="M91" i="7"/>
  <c r="M90" i="7"/>
  <c r="M89" i="7"/>
  <c r="L479" i="6"/>
  <c r="L471" i="6"/>
  <c r="L465" i="6"/>
  <c r="L452" i="6"/>
  <c r="L449" i="6"/>
  <c r="L444" i="6"/>
  <c r="L441" i="6"/>
  <c r="M65" i="7"/>
  <c r="M63" i="7"/>
  <c r="M57" i="7"/>
  <c r="M56" i="7"/>
  <c r="M55" i="7"/>
  <c r="M52" i="7"/>
  <c r="N52" i="7" s="1"/>
  <c r="M51" i="7"/>
  <c r="M50" i="7"/>
  <c r="M49" i="7"/>
  <c r="M48" i="7"/>
  <c r="M47" i="7"/>
  <c r="M46" i="7"/>
  <c r="M10" i="7"/>
  <c r="M9" i="7"/>
  <c r="M7" i="7"/>
  <c r="M5" i="7"/>
  <c r="A5" i="9"/>
  <c r="L478" i="6"/>
  <c r="E471" i="6"/>
  <c r="Q471" i="6" s="1"/>
  <c r="L470" i="6"/>
  <c r="L458" i="6"/>
  <c r="G338" i="5"/>
  <c r="M467" i="5"/>
  <c r="G468" i="5"/>
  <c r="G238" i="5"/>
  <c r="G128" i="5"/>
  <c r="M363" i="5"/>
  <c r="M387" i="5"/>
  <c r="G387" i="5"/>
  <c r="G178" i="5"/>
  <c r="G214" i="5"/>
  <c r="M402" i="5"/>
  <c r="G459" i="5"/>
  <c r="M106" i="5"/>
  <c r="G428" i="5"/>
  <c r="M427" i="5"/>
  <c r="E427" i="6" s="1"/>
  <c r="Q427" i="6" s="1"/>
  <c r="E318" i="6"/>
  <c r="Q318" i="6" s="1"/>
  <c r="L151" i="6"/>
  <c r="L149" i="6"/>
  <c r="L148" i="6"/>
  <c r="L145" i="6"/>
  <c r="L140" i="6"/>
  <c r="M401" i="7"/>
  <c r="M389" i="7"/>
  <c r="M383" i="7"/>
  <c r="M375" i="7"/>
  <c r="M368" i="7"/>
  <c r="M363" i="7"/>
  <c r="M356" i="7"/>
  <c r="N356" i="7" s="1"/>
  <c r="M352" i="7"/>
  <c r="M336" i="7"/>
  <c r="M325" i="7"/>
  <c r="M311" i="7"/>
  <c r="G77" i="5"/>
  <c r="G293" i="5"/>
  <c r="G89" i="5"/>
  <c r="M297" i="7"/>
  <c r="M281" i="7"/>
  <c r="M279" i="7"/>
  <c r="M278" i="7"/>
  <c r="M277" i="7"/>
  <c r="M270" i="7"/>
  <c r="M266" i="7"/>
  <c r="M263" i="7"/>
  <c r="M261" i="7"/>
  <c r="M252" i="7"/>
  <c r="L440" i="6"/>
  <c r="L434" i="6"/>
  <c r="L432" i="6"/>
  <c r="L431" i="6"/>
  <c r="L429" i="6"/>
  <c r="L426" i="6"/>
  <c r="L423" i="6"/>
  <c r="L419" i="6"/>
  <c r="L413" i="6"/>
  <c r="L412" i="6"/>
  <c r="L411" i="6"/>
  <c r="L410" i="6"/>
  <c r="L407" i="6"/>
  <c r="L404" i="6"/>
  <c r="L403" i="6"/>
  <c r="L401" i="6"/>
  <c r="L398" i="6"/>
  <c r="L397" i="6"/>
  <c r="L396" i="6"/>
  <c r="L395" i="6"/>
  <c r="L290" i="6"/>
  <c r="L289" i="6"/>
  <c r="L287" i="6"/>
  <c r="L286" i="6"/>
  <c r="L285" i="6"/>
  <c r="L283" i="6"/>
  <c r="L279" i="6"/>
  <c r="L277" i="6"/>
  <c r="L276" i="6"/>
  <c r="L273" i="6"/>
  <c r="L272" i="6"/>
  <c r="L270" i="6"/>
  <c r="L263" i="6"/>
  <c r="L259" i="6"/>
  <c r="L258" i="6"/>
  <c r="L256" i="6"/>
  <c r="L255" i="6"/>
  <c r="L254" i="6"/>
  <c r="L252" i="6"/>
  <c r="L251" i="6"/>
  <c r="L249" i="6"/>
  <c r="L248" i="6"/>
  <c r="L246" i="6"/>
  <c r="L244" i="6"/>
  <c r="L243" i="6"/>
  <c r="L242" i="6"/>
  <c r="L241" i="6"/>
  <c r="L239" i="6"/>
  <c r="L231" i="6"/>
  <c r="L230" i="6"/>
  <c r="L227" i="6"/>
  <c r="E227" i="6"/>
  <c r="Q227" i="6" s="1"/>
  <c r="E224" i="6"/>
  <c r="Q224" i="6" s="1"/>
  <c r="L222" i="6"/>
  <c r="L221" i="6"/>
  <c r="L217" i="6"/>
  <c r="L213" i="6"/>
  <c r="L212" i="6"/>
  <c r="L208" i="6"/>
  <c r="L34" i="6"/>
  <c r="L33" i="6"/>
  <c r="L29" i="6"/>
  <c r="L24" i="6"/>
  <c r="L23" i="6"/>
  <c r="G486" i="5"/>
  <c r="G466" i="5"/>
  <c r="G433" i="5"/>
  <c r="G222" i="5"/>
  <c r="G298" i="5"/>
  <c r="M464" i="5"/>
  <c r="E464" i="6" s="1"/>
  <c r="Q464" i="6" s="1"/>
  <c r="G306" i="5"/>
  <c r="G337" i="5"/>
  <c r="G96" i="5"/>
  <c r="G83" i="5"/>
  <c r="G470" i="5"/>
  <c r="G280" i="5"/>
  <c r="G215" i="5"/>
  <c r="G109" i="5"/>
  <c r="G461" i="5"/>
  <c r="G142" i="5"/>
  <c r="G381" i="5"/>
  <c r="G38" i="5"/>
  <c r="G342" i="5"/>
  <c r="G493" i="5"/>
  <c r="G407" i="5"/>
  <c r="G292" i="5"/>
  <c r="G427" i="5"/>
  <c r="G339" i="5"/>
  <c r="G430" i="5"/>
  <c r="G328" i="5"/>
  <c r="G359" i="5"/>
  <c r="G30" i="5"/>
  <c r="M418" i="5"/>
  <c r="E354" i="6" s="1"/>
  <c r="Q354" i="6" s="1"/>
  <c r="M477" i="5"/>
  <c r="G491" i="5"/>
  <c r="G40" i="5"/>
  <c r="M447" i="5"/>
  <c r="G434" i="5"/>
  <c r="G162" i="5"/>
  <c r="M212" i="5"/>
  <c r="G212" i="5"/>
  <c r="M436" i="5"/>
  <c r="G371" i="5"/>
  <c r="G451" i="5"/>
  <c r="G263" i="5"/>
  <c r="G398" i="5"/>
  <c r="M302" i="5"/>
  <c r="G389" i="5"/>
  <c r="M481" i="5"/>
  <c r="G193" i="5"/>
  <c r="M431" i="5"/>
  <c r="M334" i="5"/>
  <c r="E206" i="6" s="1"/>
  <c r="Q206" i="6" s="1"/>
  <c r="G25" i="5"/>
  <c r="G498" i="5"/>
  <c r="M127" i="5"/>
  <c r="M497" i="5"/>
  <c r="G373" i="5"/>
  <c r="G380" i="5"/>
  <c r="G284" i="5"/>
  <c r="G8" i="5"/>
  <c r="G265" i="5"/>
  <c r="G67" i="5"/>
  <c r="G343" i="5"/>
  <c r="G426" i="5"/>
  <c r="G124" i="5"/>
  <c r="G6" i="5"/>
  <c r="G226" i="5"/>
  <c r="G216" i="5"/>
  <c r="G326" i="5"/>
  <c r="M88" i="7"/>
  <c r="M87" i="7"/>
  <c r="M86" i="7"/>
  <c r="L86" i="7"/>
  <c r="M85" i="7"/>
  <c r="M84" i="7"/>
  <c r="M83" i="7"/>
  <c r="M82" i="7"/>
  <c r="M81" i="7"/>
  <c r="M80" i="7"/>
  <c r="M79" i="7"/>
  <c r="L79" i="7"/>
  <c r="M78" i="7"/>
  <c r="L78" i="7"/>
  <c r="M77" i="7"/>
  <c r="L77" i="7"/>
  <c r="M76" i="7"/>
  <c r="L76" i="7"/>
  <c r="M75" i="7"/>
  <c r="M74" i="7"/>
  <c r="M73" i="7"/>
  <c r="M72" i="7"/>
  <c r="M71" i="7"/>
  <c r="M70" i="7"/>
  <c r="M69" i="7"/>
  <c r="M68" i="7"/>
  <c r="M67" i="7"/>
  <c r="M66" i="7"/>
  <c r="M64" i="7"/>
  <c r="M62" i="7"/>
  <c r="M61" i="7"/>
  <c r="M60" i="7"/>
  <c r="M59" i="7"/>
  <c r="M58" i="7"/>
  <c r="M54" i="7"/>
  <c r="M53" i="7"/>
  <c r="M6" i="7"/>
  <c r="L462" i="6"/>
  <c r="L459" i="6"/>
  <c r="L443" i="6"/>
  <c r="L428" i="6"/>
  <c r="L425" i="6"/>
  <c r="L418" i="6"/>
  <c r="L409" i="6"/>
  <c r="G364" i="5"/>
  <c r="G121" i="5"/>
  <c r="G479" i="5"/>
  <c r="M490" i="5"/>
  <c r="G243" i="5"/>
  <c r="G492" i="5"/>
  <c r="G311" i="5"/>
  <c r="G149" i="5"/>
  <c r="G184" i="5"/>
  <c r="G97" i="5"/>
  <c r="G347" i="5"/>
  <c r="G501" i="5"/>
  <c r="L168" i="6"/>
  <c r="L167" i="6"/>
  <c r="L150" i="6"/>
  <c r="L133" i="6"/>
  <c r="L124" i="6"/>
  <c r="M412" i="7"/>
  <c r="M408" i="7"/>
  <c r="M404" i="7"/>
  <c r="M402" i="7"/>
  <c r="M394" i="7"/>
  <c r="M371" i="7"/>
  <c r="M362" i="7"/>
  <c r="M351" i="7"/>
  <c r="M347" i="7"/>
  <c r="M340" i="7"/>
  <c r="M324" i="7"/>
  <c r="M320" i="7"/>
  <c r="G411" i="5"/>
  <c r="G297" i="5"/>
  <c r="G117" i="5"/>
  <c r="G43" i="5"/>
  <c r="G5" i="5"/>
  <c r="M298" i="7"/>
  <c r="M293" i="7"/>
  <c r="M287" i="7"/>
  <c r="M272" i="7"/>
  <c r="M265" i="7"/>
  <c r="M262" i="7"/>
  <c r="M253" i="7"/>
  <c r="M242" i="7"/>
  <c r="M234" i="7"/>
  <c r="M231" i="7"/>
  <c r="M45" i="7"/>
  <c r="L45" i="7"/>
  <c r="M44" i="7"/>
  <c r="L44" i="7"/>
  <c r="M43" i="7"/>
  <c r="L43" i="7"/>
  <c r="M42" i="7"/>
  <c r="N42" i="7" s="1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N34" i="7" s="1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N18" i="7" s="1"/>
  <c r="L18" i="7"/>
  <c r="M17" i="7"/>
  <c r="N17" i="7" s="1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8" i="7"/>
  <c r="L468" i="6"/>
  <c r="G264" i="5"/>
  <c r="G230" i="5"/>
  <c r="G183" i="5"/>
  <c r="M502" i="5"/>
  <c r="M459" i="5"/>
  <c r="E299" i="6"/>
  <c r="Q299" i="6" s="1"/>
  <c r="L172" i="6"/>
  <c r="L156" i="6"/>
  <c r="L155" i="6"/>
  <c r="M415" i="7"/>
  <c r="M403" i="7"/>
  <c r="M393" i="7"/>
  <c r="M388" i="7"/>
  <c r="M387" i="7"/>
  <c r="M384" i="7"/>
  <c r="M334" i="7"/>
  <c r="M319" i="7"/>
  <c r="M301" i="7"/>
  <c r="M254" i="7"/>
  <c r="M250" i="7"/>
  <c r="M246" i="7"/>
  <c r="M243" i="7"/>
  <c r="M456" i="5"/>
  <c r="E376" i="6" s="1"/>
  <c r="Q376" i="6" s="1"/>
  <c r="M439" i="5"/>
  <c r="G391" i="5"/>
  <c r="G322" i="5"/>
  <c r="G64" i="5"/>
  <c r="G189" i="5"/>
  <c r="M220" i="5"/>
  <c r="E360" i="6" s="1"/>
  <c r="Q360" i="6" s="1"/>
  <c r="M416" i="5"/>
  <c r="G416" i="5"/>
  <c r="G477" i="5"/>
  <c r="M39" i="5"/>
  <c r="M169" i="5"/>
  <c r="G169" i="5"/>
  <c r="M56" i="5"/>
  <c r="G66" i="5"/>
  <c r="G474" i="5"/>
  <c r="M40" i="5"/>
  <c r="E40" i="6" s="1"/>
  <c r="Q40" i="6" s="1"/>
  <c r="G323" i="5"/>
  <c r="M400" i="5"/>
  <c r="M450" i="5"/>
  <c r="G450" i="5"/>
  <c r="G288" i="5"/>
  <c r="G436" i="5"/>
  <c r="G232" i="5"/>
  <c r="M244" i="5"/>
  <c r="E309" i="6" s="1"/>
  <c r="Q309" i="6" s="1"/>
  <c r="G244" i="5"/>
  <c r="M398" i="5"/>
  <c r="M495" i="5"/>
  <c r="G396" i="5"/>
  <c r="M446" i="5"/>
  <c r="G446" i="5"/>
  <c r="G413" i="5"/>
  <c r="M213" i="5"/>
  <c r="G287" i="5"/>
  <c r="G453" i="5"/>
  <c r="M229" i="5"/>
  <c r="G275" i="5"/>
  <c r="G125" i="5"/>
  <c r="G182" i="5"/>
  <c r="G422" i="5"/>
  <c r="M180" i="5"/>
  <c r="E197" i="6" s="1"/>
  <c r="Q197" i="6" s="1"/>
  <c r="G203" i="5"/>
  <c r="G95" i="5"/>
  <c r="G82" i="5"/>
  <c r="M425" i="5"/>
  <c r="E179" i="6" s="1"/>
  <c r="Q179" i="6" s="1"/>
  <c r="G252" i="5"/>
  <c r="G115" i="5"/>
  <c r="G497" i="5"/>
  <c r="G294" i="5"/>
  <c r="G143" i="5"/>
  <c r="G153" i="5"/>
  <c r="G70" i="5"/>
  <c r="G23" i="5"/>
  <c r="G78" i="5"/>
  <c r="G47" i="5"/>
  <c r="G63" i="5"/>
  <c r="G176" i="5"/>
  <c r="G18" i="5"/>
  <c r="G61" i="5"/>
  <c r="G71" i="5"/>
  <c r="G145" i="5"/>
  <c r="G295" i="5"/>
  <c r="G271" i="5"/>
  <c r="G261" i="5"/>
  <c r="G286" i="5"/>
  <c r="G99" i="5"/>
  <c r="G157" i="5"/>
  <c r="G60" i="5"/>
  <c r="G181" i="5"/>
  <c r="G285" i="5"/>
  <c r="G103" i="5"/>
  <c r="L389" i="6"/>
  <c r="L385" i="6"/>
  <c r="L383" i="6"/>
  <c r="E377" i="6"/>
  <c r="Q377" i="6" s="1"/>
  <c r="E356" i="6"/>
  <c r="Q356" i="6" s="1"/>
  <c r="L162" i="6"/>
  <c r="L154" i="6"/>
  <c r="L115" i="6"/>
  <c r="M416" i="7"/>
  <c r="M399" i="7"/>
  <c r="M392" i="7"/>
  <c r="M379" i="7"/>
  <c r="M361" i="7"/>
  <c r="N361" i="7" s="1"/>
  <c r="M345" i="7"/>
  <c r="M330" i="7"/>
  <c r="M304" i="7"/>
  <c r="M300" i="7"/>
  <c r="M291" i="7"/>
  <c r="M289" i="7"/>
  <c r="M286" i="7"/>
  <c r="M284" i="7"/>
  <c r="M267" i="7"/>
  <c r="M256" i="7"/>
  <c r="M255" i="7"/>
  <c r="M236" i="7"/>
  <c r="N236" i="7" s="1"/>
  <c r="L293" i="6"/>
  <c r="L292" i="6"/>
  <c r="L288" i="6"/>
  <c r="L284" i="6"/>
  <c r="L282" i="6"/>
  <c r="L269" i="6"/>
  <c r="L262" i="6"/>
  <c r="L238" i="6"/>
  <c r="L237" i="6"/>
  <c r="L236" i="6"/>
  <c r="L234" i="6"/>
  <c r="L233" i="6"/>
  <c r="L223" i="6"/>
  <c r="L220" i="6"/>
  <c r="L214" i="6"/>
  <c r="L25" i="6"/>
  <c r="G253" i="5"/>
  <c r="G437" i="5"/>
  <c r="G239" i="5"/>
  <c r="G467" i="5"/>
  <c r="G156" i="5"/>
  <c r="G423" i="5"/>
  <c r="G464" i="5"/>
  <c r="G394" i="5"/>
  <c r="G410" i="5"/>
  <c r="G502" i="5"/>
  <c r="G185" i="5"/>
  <c r="G385" i="5"/>
  <c r="G441" i="5"/>
  <c r="G383" i="5"/>
  <c r="G266" i="5"/>
  <c r="G237" i="5"/>
  <c r="M482" i="5"/>
  <c r="G482" i="5"/>
  <c r="G209" i="5"/>
  <c r="G173" i="5"/>
  <c r="G165" i="5"/>
  <c r="G112" i="5"/>
  <c r="G281" i="5"/>
  <c r="G267" i="5"/>
  <c r="G98" i="5"/>
  <c r="L139" i="6"/>
  <c r="M414" i="7"/>
  <c r="M409" i="7"/>
  <c r="M396" i="7"/>
  <c r="M386" i="7"/>
  <c r="M381" i="7"/>
  <c r="M377" i="7"/>
  <c r="M354" i="7"/>
  <c r="M329" i="7"/>
  <c r="M310" i="7"/>
  <c r="M309" i="7"/>
  <c r="M305" i="7"/>
  <c r="M296" i="7"/>
  <c r="M295" i="7"/>
  <c r="M268" i="7"/>
  <c r="M264" i="7"/>
  <c r="M258" i="7"/>
  <c r="M249" i="7"/>
  <c r="M248" i="7"/>
  <c r="M245" i="7"/>
  <c r="M238" i="7"/>
  <c r="M233" i="7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G255" i="5"/>
  <c r="G113" i="5"/>
  <c r="G319" i="5"/>
  <c r="M347" i="5"/>
  <c r="E404" i="6" s="1"/>
  <c r="Q404" i="6" s="1"/>
  <c r="G397" i="5"/>
  <c r="G483" i="5"/>
  <c r="G489" i="5"/>
  <c r="G488" i="5"/>
  <c r="G254" i="5"/>
  <c r="G439" i="5"/>
  <c r="G289" i="5"/>
  <c r="M291" i="5"/>
  <c r="E353" i="6" s="1"/>
  <c r="Q353" i="6" s="1"/>
  <c r="G406" i="5"/>
  <c r="G235" i="5"/>
  <c r="G395" i="5"/>
  <c r="G478" i="5"/>
  <c r="M491" i="5"/>
  <c r="G415" i="5"/>
  <c r="G336" i="5"/>
  <c r="G375" i="5"/>
  <c r="G404" i="5"/>
  <c r="G14" i="5"/>
  <c r="G197" i="5"/>
  <c r="M66" i="5"/>
  <c r="G259" i="5"/>
  <c r="G179" i="5"/>
  <c r="G400" i="5"/>
  <c r="G303" i="5"/>
  <c r="G130" i="5"/>
  <c r="G152" i="5"/>
  <c r="G419" i="5"/>
  <c r="G208" i="5"/>
  <c r="G484" i="5"/>
  <c r="G242" i="5"/>
  <c r="G481" i="5"/>
  <c r="G314" i="5"/>
  <c r="G386" i="5"/>
  <c r="G116" i="5"/>
  <c r="G227" i="5"/>
  <c r="G187" i="5"/>
  <c r="M382" i="5"/>
  <c r="E209" i="6" s="1"/>
  <c r="Q209" i="6" s="1"/>
  <c r="G431" i="5"/>
  <c r="G334" i="5"/>
  <c r="G246" i="5"/>
  <c r="M485" i="5"/>
  <c r="G127" i="5"/>
  <c r="G362" i="5"/>
  <c r="G313" i="5"/>
  <c r="G301" i="5"/>
  <c r="G258" i="5"/>
  <c r="G333" i="5"/>
  <c r="G236" i="5"/>
  <c r="G231" i="5"/>
  <c r="G429" i="5"/>
  <c r="G135" i="5"/>
  <c r="G192" i="5"/>
  <c r="G41" i="5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G352" i="5"/>
  <c r="G366" i="5"/>
  <c r="G499" i="5"/>
  <c r="G463" i="5"/>
  <c r="G348" i="5"/>
  <c r="G369" i="5"/>
  <c r="G455" i="5"/>
  <c r="G320" i="5"/>
  <c r="G330" i="5"/>
  <c r="G457" i="5"/>
  <c r="G442" i="5"/>
  <c r="G432" i="5"/>
  <c r="G105" i="5"/>
  <c r="G351" i="5"/>
  <c r="G233" i="5"/>
  <c r="G279" i="5"/>
  <c r="G388" i="5"/>
  <c r="G223" i="5"/>
  <c r="G345" i="5"/>
  <c r="G443" i="5"/>
  <c r="G269" i="5"/>
  <c r="G472" i="5"/>
  <c r="G417" i="5"/>
  <c r="G141" i="5"/>
  <c r="G308" i="5"/>
  <c r="G360" i="5"/>
  <c r="G315" i="5"/>
  <c r="G358" i="5"/>
  <c r="G327" i="5"/>
  <c r="G372" i="5"/>
  <c r="G257" i="5"/>
  <c r="G329" i="5"/>
  <c r="G277" i="5"/>
  <c r="G475" i="5"/>
  <c r="G460" i="5"/>
  <c r="G452" i="5"/>
  <c r="G11" i="5"/>
  <c r="G402" i="5"/>
  <c r="G204" i="5"/>
  <c r="G106" i="5"/>
  <c r="G164" i="5"/>
  <c r="M102" i="5"/>
  <c r="G102" i="5"/>
  <c r="G384" i="5"/>
  <c r="G122" i="5"/>
  <c r="G476" i="5"/>
  <c r="G220" i="5"/>
  <c r="G462" i="5"/>
  <c r="G250" i="5"/>
  <c r="G418" i="5"/>
  <c r="G256" i="5"/>
  <c r="G120" i="5"/>
  <c r="G39" i="5"/>
  <c r="M406" i="5"/>
  <c r="M434" i="5"/>
  <c r="G114" i="5"/>
  <c r="G136" i="5"/>
  <c r="G495" i="5"/>
  <c r="G302" i="5"/>
  <c r="G367" i="5"/>
  <c r="M275" i="5"/>
  <c r="E208" i="6" s="1"/>
  <c r="Q208" i="6" s="1"/>
  <c r="M203" i="5"/>
  <c r="G172" i="5"/>
  <c r="G144" i="5"/>
  <c r="G12" i="5"/>
  <c r="G19" i="5"/>
  <c r="G55" i="5"/>
  <c r="G234" i="5"/>
  <c r="G80" i="5"/>
  <c r="G150" i="5"/>
  <c r="G207" i="5"/>
  <c r="G22" i="5"/>
  <c r="B19" i="9"/>
  <c r="B17" i="9"/>
  <c r="M504" i="7"/>
  <c r="M500" i="7"/>
  <c r="M499" i="7"/>
  <c r="M497" i="7"/>
  <c r="M496" i="7"/>
  <c r="M495" i="7"/>
  <c r="N495" i="7" s="1"/>
  <c r="M494" i="7"/>
  <c r="M481" i="7"/>
  <c r="N481" i="7" s="1"/>
  <c r="M480" i="7"/>
  <c r="M478" i="7"/>
  <c r="M475" i="7"/>
  <c r="M474" i="7"/>
  <c r="M467" i="7"/>
  <c r="M458" i="7"/>
  <c r="M457" i="7"/>
  <c r="M451" i="7"/>
  <c r="M450" i="7"/>
  <c r="M441" i="7"/>
  <c r="N441" i="7" s="1"/>
  <c r="M438" i="7"/>
  <c r="M437" i="7"/>
  <c r="N437" i="7" s="1"/>
  <c r="M430" i="7"/>
  <c r="M429" i="7"/>
  <c r="M427" i="7"/>
  <c r="M425" i="7"/>
  <c r="M424" i="7"/>
  <c r="M423" i="7"/>
  <c r="M407" i="7"/>
  <c r="M405" i="7"/>
  <c r="M390" i="7"/>
  <c r="M382" i="7"/>
  <c r="M378" i="7"/>
  <c r="M370" i="7"/>
  <c r="M367" i="7"/>
  <c r="M365" i="7"/>
  <c r="M358" i="7"/>
  <c r="M357" i="7"/>
  <c r="M355" i="7"/>
  <c r="M348" i="7"/>
  <c r="M343" i="7"/>
  <c r="M342" i="7"/>
  <c r="M341" i="7"/>
  <c r="M339" i="7"/>
  <c r="M337" i="7"/>
  <c r="M333" i="7"/>
  <c r="M331" i="7"/>
  <c r="M327" i="7"/>
  <c r="M326" i="7"/>
  <c r="M323" i="7"/>
  <c r="M318" i="7"/>
  <c r="M316" i="7"/>
  <c r="M313" i="7"/>
  <c r="M312" i="7"/>
  <c r="M307" i="7"/>
  <c r="M303" i="7"/>
  <c r="O294" i="7"/>
  <c r="M282" i="7"/>
  <c r="M280" i="7"/>
  <c r="N280" i="7" s="1"/>
  <c r="M269" i="7"/>
  <c r="M260" i="7"/>
  <c r="M259" i="7"/>
  <c r="M257" i="7"/>
  <c r="M241" i="7"/>
  <c r="M240" i="7"/>
  <c r="N240" i="7" s="1"/>
  <c r="M237" i="7"/>
  <c r="M235" i="7"/>
  <c r="M232" i="7"/>
  <c r="N232" i="7" s="1"/>
  <c r="G167" i="5"/>
  <c r="M354" i="5"/>
  <c r="E298" i="6" s="1"/>
  <c r="Q298" i="6" s="1"/>
  <c r="G354" i="5"/>
  <c r="M139" i="5"/>
  <c r="G139" i="5"/>
  <c r="M84" i="5"/>
  <c r="G84" i="5"/>
  <c r="M65" i="5"/>
  <c r="G65" i="5"/>
  <c r="M219" i="5"/>
  <c r="E294" i="6" s="1"/>
  <c r="Q294" i="6" s="1"/>
  <c r="G219" i="5"/>
  <c r="M94" i="5"/>
  <c r="G94" i="5"/>
  <c r="G307" i="5"/>
  <c r="M15" i="5"/>
  <c r="E15" i="6" s="1"/>
  <c r="Q15" i="6" s="1"/>
  <c r="G15" i="5"/>
  <c r="M403" i="5"/>
  <c r="E403" i="6" s="1"/>
  <c r="Q403" i="6" s="1"/>
  <c r="G403" i="5"/>
  <c r="M199" i="5"/>
  <c r="G199" i="5"/>
  <c r="M290" i="5"/>
  <c r="E288" i="6" s="1"/>
  <c r="Q288" i="6" s="1"/>
  <c r="G290" i="5"/>
  <c r="M355" i="5"/>
  <c r="G355" i="5"/>
  <c r="M194" i="5"/>
  <c r="E286" i="6" s="1"/>
  <c r="Q286" i="6" s="1"/>
  <c r="G194" i="5"/>
  <c r="M31" i="5"/>
  <c r="G31" i="5"/>
  <c r="M205" i="5"/>
  <c r="G205" i="5"/>
  <c r="M312" i="5"/>
  <c r="G312" i="5"/>
  <c r="M126" i="5"/>
  <c r="G126" i="5"/>
  <c r="M88" i="5"/>
  <c r="G88" i="5"/>
  <c r="M370" i="5"/>
  <c r="G370" i="5"/>
  <c r="G202" i="5"/>
  <c r="M137" i="5"/>
  <c r="G137" i="5"/>
  <c r="M346" i="5"/>
  <c r="E277" i="6" s="1"/>
  <c r="Q277" i="6" s="1"/>
  <c r="G346" i="5"/>
  <c r="M79" i="5"/>
  <c r="G79" i="5"/>
  <c r="M177" i="5"/>
  <c r="E177" i="6" s="1"/>
  <c r="Q177" i="6" s="1"/>
  <c r="G177" i="5"/>
  <c r="M349" i="5"/>
  <c r="E349" i="6" s="1"/>
  <c r="Q349" i="6" s="1"/>
  <c r="G349" i="5"/>
  <c r="M399" i="5"/>
  <c r="E399" i="6" s="1"/>
  <c r="Q399" i="6" s="1"/>
  <c r="G399" i="5"/>
  <c r="M444" i="5"/>
  <c r="G444" i="5"/>
  <c r="M458" i="5"/>
  <c r="G458" i="5"/>
  <c r="M28" i="5"/>
  <c r="G28" i="5"/>
  <c r="M465" i="5"/>
  <c r="E269" i="6" s="1"/>
  <c r="Q269" i="6" s="1"/>
  <c r="G465" i="5"/>
  <c r="M310" i="5"/>
  <c r="G310" i="5"/>
  <c r="M274" i="5"/>
  <c r="E267" i="6" s="1"/>
  <c r="Q267" i="6" s="1"/>
  <c r="G274" i="5"/>
  <c r="M57" i="5"/>
  <c r="G57" i="5"/>
  <c r="G473" i="5"/>
  <c r="G93" i="5"/>
  <c r="M409" i="5"/>
  <c r="G409" i="5"/>
  <c r="G251" i="5"/>
  <c r="M262" i="5"/>
  <c r="G262" i="5"/>
  <c r="M118" i="5"/>
  <c r="G118" i="5"/>
  <c r="M73" i="5"/>
  <c r="G73" i="5"/>
  <c r="M58" i="5"/>
  <c r="G58" i="5"/>
  <c r="M341" i="5"/>
  <c r="E257" i="6" s="1"/>
  <c r="Q257" i="6" s="1"/>
  <c r="G341" i="5"/>
  <c r="M361" i="5"/>
  <c r="G361" i="5"/>
  <c r="G440" i="5"/>
  <c r="G438" i="5"/>
  <c r="G49" i="5"/>
  <c r="G421" i="5"/>
  <c r="M72" i="5"/>
  <c r="G72" i="5"/>
  <c r="M435" i="5"/>
  <c r="G435" i="5"/>
  <c r="G378" i="5"/>
  <c r="M175" i="5"/>
  <c r="G175" i="5"/>
  <c r="M331" i="5"/>
  <c r="E247" i="6" s="1"/>
  <c r="Q247" i="6" s="1"/>
  <c r="G331" i="5"/>
  <c r="G26" i="5"/>
  <c r="G496" i="5"/>
  <c r="M357" i="5"/>
  <c r="G357" i="5"/>
  <c r="M401" i="5"/>
  <c r="G401" i="5"/>
  <c r="M273" i="5"/>
  <c r="E242" i="6" s="1"/>
  <c r="Q242" i="6" s="1"/>
  <c r="G273" i="5"/>
  <c r="M225" i="5"/>
  <c r="G225" i="5"/>
  <c r="M365" i="5"/>
  <c r="G365" i="5"/>
  <c r="G494" i="5"/>
  <c r="G276" i="5"/>
  <c r="M454" i="5"/>
  <c r="G454" i="5"/>
  <c r="G217" i="5"/>
  <c r="M119" i="5"/>
  <c r="G119" i="5"/>
  <c r="M500" i="5"/>
  <c r="G500" i="5"/>
  <c r="M408" i="5"/>
  <c r="G408" i="5"/>
  <c r="M374" i="5"/>
  <c r="G374" i="5"/>
  <c r="G368" i="5"/>
  <c r="G340" i="5"/>
  <c r="G412" i="5"/>
  <c r="M413" i="5"/>
  <c r="G504" i="5"/>
  <c r="G309" i="5"/>
  <c r="G405" i="5"/>
  <c r="G503" i="5"/>
  <c r="G325" i="5"/>
  <c r="G299" i="5"/>
  <c r="G424" i="5"/>
  <c r="G62" i="5"/>
  <c r="G317" i="5"/>
  <c r="G100" i="5"/>
  <c r="G51" i="5"/>
  <c r="G353" i="5"/>
  <c r="G154" i="5"/>
  <c r="G16" i="5"/>
  <c r="G158" i="5"/>
  <c r="G37" i="5"/>
  <c r="G390" i="5"/>
  <c r="G196" i="5"/>
  <c r="G134" i="5"/>
  <c r="G92" i="5"/>
  <c r="G27" i="5"/>
  <c r="G151" i="5"/>
  <c r="G170" i="5"/>
  <c r="G42" i="5"/>
  <c r="G247" i="5"/>
  <c r="G272" i="5"/>
  <c r="G245" i="5"/>
  <c r="G138" i="5"/>
  <c r="G9" i="5"/>
  <c r="G101" i="5"/>
  <c r="G87" i="5"/>
  <c r="G300" i="5"/>
  <c r="G34" i="5"/>
  <c r="G69" i="5"/>
  <c r="G168" i="5"/>
  <c r="G21" i="5"/>
  <c r="G224" i="5"/>
  <c r="G54" i="5"/>
  <c r="G75" i="5"/>
  <c r="G110" i="5"/>
  <c r="G111" i="5"/>
  <c r="G324" i="5"/>
  <c r="G24" i="5"/>
  <c r="G305" i="5"/>
  <c r="G13" i="5"/>
  <c r="G133" i="5"/>
  <c r="G52" i="5"/>
  <c r="G249" i="5"/>
  <c r="G147" i="5"/>
  <c r="G448" i="5"/>
  <c r="G36" i="5"/>
  <c r="G7" i="5"/>
  <c r="G132" i="5"/>
  <c r="G10" i="5"/>
  <c r="G53" i="5"/>
  <c r="G50" i="5"/>
  <c r="G218" i="5"/>
  <c r="G29" i="5"/>
  <c r="G161" i="5"/>
  <c r="G140" i="5"/>
  <c r="G107" i="5"/>
  <c r="G20" i="5"/>
  <c r="G86" i="5"/>
  <c r="G186" i="5"/>
  <c r="G449" i="5"/>
  <c r="G471" i="5"/>
  <c r="G350" i="5"/>
  <c r="G91" i="5"/>
  <c r="G33" i="5"/>
  <c r="G174" i="5"/>
  <c r="G104" i="5"/>
  <c r="G190" i="5"/>
  <c r="G108" i="5"/>
  <c r="G148" i="5"/>
  <c r="G123" i="5"/>
  <c r="G44" i="5"/>
  <c r="B18" i="9"/>
  <c r="M493" i="7"/>
  <c r="M489" i="7"/>
  <c r="M484" i="7"/>
  <c r="M483" i="7"/>
  <c r="M482" i="7"/>
  <c r="M470" i="7"/>
  <c r="M469" i="7"/>
  <c r="M466" i="7"/>
  <c r="M465" i="7"/>
  <c r="M464" i="7"/>
  <c r="M461" i="7"/>
  <c r="M454" i="7"/>
  <c r="M452" i="7"/>
  <c r="M422" i="7"/>
  <c r="M395" i="7"/>
  <c r="M385" i="7"/>
  <c r="M373" i="7"/>
  <c r="M366" i="7"/>
  <c r="M308" i="7"/>
  <c r="M302" i="7"/>
  <c r="M285" i="7"/>
  <c r="M283" i="7"/>
  <c r="M503" i="7"/>
  <c r="M501" i="7"/>
  <c r="M498" i="7"/>
  <c r="M491" i="7"/>
  <c r="M490" i="7"/>
  <c r="M488" i="7"/>
  <c r="M486" i="7"/>
  <c r="M479" i="7"/>
  <c r="M473" i="7"/>
  <c r="M472" i="7"/>
  <c r="M471" i="7"/>
  <c r="M468" i="7"/>
  <c r="M463" i="7"/>
  <c r="M460" i="7"/>
  <c r="M459" i="7"/>
  <c r="M456" i="7"/>
  <c r="M453" i="7"/>
  <c r="M448" i="7"/>
  <c r="N448" i="7" s="1"/>
  <c r="M447" i="7"/>
  <c r="M445" i="7"/>
  <c r="M436" i="7"/>
  <c r="M434" i="7"/>
  <c r="M432" i="7"/>
  <c r="M431" i="7"/>
  <c r="M426" i="7"/>
  <c r="M421" i="7"/>
  <c r="M420" i="7"/>
  <c r="M413" i="7"/>
  <c r="M411" i="7"/>
  <c r="M410" i="7"/>
  <c r="M406" i="7"/>
  <c r="M398" i="7"/>
  <c r="M397" i="7"/>
  <c r="M391" i="7"/>
  <c r="N391" i="7" s="1"/>
  <c r="M380" i="7"/>
  <c r="N380" i="7" s="1"/>
  <c r="M372" i="7"/>
  <c r="M369" i="7"/>
  <c r="M360" i="7"/>
  <c r="M359" i="7"/>
  <c r="M353" i="7"/>
  <c r="M346" i="7"/>
  <c r="M338" i="7"/>
  <c r="M335" i="7"/>
  <c r="M332" i="7"/>
  <c r="M328" i="7"/>
  <c r="M321" i="7"/>
  <c r="M317" i="7"/>
  <c r="M315" i="7"/>
  <c r="M314" i="7"/>
  <c r="M306" i="7"/>
  <c r="G283" i="5"/>
  <c r="G321" i="5"/>
  <c r="M292" i="7"/>
  <c r="M290" i="7"/>
  <c r="M288" i="7"/>
  <c r="N288" i="7" s="1"/>
  <c r="M276" i="7"/>
  <c r="M275" i="7"/>
  <c r="M274" i="7"/>
  <c r="M273" i="7"/>
  <c r="M271" i="7"/>
  <c r="M251" i="7"/>
  <c r="M247" i="7"/>
  <c r="M244" i="7"/>
  <c r="M239" i="7"/>
  <c r="Q445" i="6" l="1"/>
  <c r="E220" i="6"/>
  <c r="Q220" i="6" s="1"/>
  <c r="Q392" i="6"/>
  <c r="Q391" i="6"/>
  <c r="Q381" i="6"/>
  <c r="Q373" i="6"/>
  <c r="Q343" i="6"/>
  <c r="Q340" i="6"/>
  <c r="Q333" i="6"/>
  <c r="Q327" i="6"/>
  <c r="Q307" i="6"/>
  <c r="Q201" i="6"/>
  <c r="Q200" i="6"/>
  <c r="Q192" i="6"/>
  <c r="E180" i="6"/>
  <c r="Q180" i="6" s="1"/>
  <c r="E382" i="6"/>
  <c r="Q382" i="6" s="1"/>
  <c r="E456" i="6"/>
  <c r="Q456" i="6" s="1"/>
  <c r="E465" i="6"/>
  <c r="Q465" i="6" s="1"/>
  <c r="E331" i="6"/>
  <c r="Q331" i="6" s="1"/>
  <c r="Q383" i="6"/>
  <c r="E291" i="6"/>
  <c r="Q291" i="6" s="1"/>
  <c r="E290" i="6"/>
  <c r="Q290" i="6" s="1"/>
  <c r="E275" i="6"/>
  <c r="Q275" i="6" s="1"/>
  <c r="E274" i="6"/>
  <c r="Q274" i="6" s="1"/>
  <c r="E273" i="6"/>
  <c r="Q273" i="6" s="1"/>
  <c r="E473" i="6"/>
  <c r="Q473" i="6" s="1"/>
  <c r="E467" i="6"/>
  <c r="Q467" i="6" s="1"/>
  <c r="E425" i="6"/>
  <c r="Q425" i="6" s="1"/>
  <c r="E363" i="6"/>
  <c r="Q363" i="6" s="1"/>
  <c r="E418" i="6"/>
  <c r="Q418" i="6" s="1"/>
  <c r="E387" i="6"/>
  <c r="Q387" i="6" s="1"/>
  <c r="E394" i="6"/>
  <c r="Q394" i="6" s="1"/>
  <c r="E402" i="6"/>
  <c r="Q402" i="6" s="1"/>
  <c r="E385" i="6"/>
  <c r="Q385" i="6" s="1"/>
  <c r="E106" i="6"/>
  <c r="Q106" i="6" s="1"/>
  <c r="E351" i="6"/>
  <c r="Q351" i="6" s="1"/>
  <c r="E477" i="6"/>
  <c r="Q477" i="6" s="1"/>
  <c r="E329" i="6"/>
  <c r="Q329" i="6" s="1"/>
  <c r="E447" i="6"/>
  <c r="Q447" i="6" s="1"/>
  <c r="E317" i="6"/>
  <c r="Q317" i="6" s="1"/>
  <c r="E212" i="6"/>
  <c r="Q212" i="6" s="1"/>
  <c r="E316" i="6"/>
  <c r="Q316" i="6" s="1"/>
  <c r="E436" i="6"/>
  <c r="Q436" i="6" s="1"/>
  <c r="E305" i="6"/>
  <c r="Q305" i="6" s="1"/>
  <c r="E302" i="6"/>
  <c r="Q302" i="6" s="1"/>
  <c r="E226" i="6"/>
  <c r="Q226" i="6" s="1"/>
  <c r="E481" i="6"/>
  <c r="Q481" i="6" s="1"/>
  <c r="E207" i="6"/>
  <c r="Q207" i="6" s="1"/>
  <c r="E431" i="6"/>
  <c r="Q431" i="6" s="1"/>
  <c r="E190" i="6"/>
  <c r="Q190" i="6" s="1"/>
  <c r="E127" i="6"/>
  <c r="Q127" i="6" s="1"/>
  <c r="E170" i="6"/>
  <c r="Q170" i="6" s="1"/>
  <c r="E497" i="6"/>
  <c r="Q497" i="6" s="1"/>
  <c r="E448" i="6"/>
  <c r="Q448" i="6" s="1"/>
  <c r="E490" i="6"/>
  <c r="Q490" i="6" s="1"/>
  <c r="E457" i="6"/>
  <c r="Q457" i="6" s="1"/>
  <c r="E502" i="6"/>
  <c r="Q502" i="6" s="1"/>
  <c r="E389" i="6"/>
  <c r="Q389" i="6" s="1"/>
  <c r="E459" i="6"/>
  <c r="Q459" i="6" s="1"/>
  <c r="E375" i="6"/>
  <c r="Q375" i="6" s="1"/>
  <c r="E439" i="6"/>
  <c r="Q439" i="6" s="1"/>
  <c r="E358" i="6"/>
  <c r="Q358" i="6" s="1"/>
  <c r="E416" i="6"/>
  <c r="Q416" i="6" s="1"/>
  <c r="E348" i="6"/>
  <c r="Q348" i="6" s="1"/>
  <c r="E39" i="6"/>
  <c r="Q39" i="6" s="1"/>
  <c r="E346" i="6"/>
  <c r="Q346" i="6" s="1"/>
  <c r="E169" i="6"/>
  <c r="Q169" i="6" s="1"/>
  <c r="E345" i="6"/>
  <c r="Q345" i="6" s="1"/>
  <c r="E56" i="6"/>
  <c r="Q56" i="6" s="1"/>
  <c r="E326" i="6"/>
  <c r="Q326" i="6" s="1"/>
  <c r="E400" i="6"/>
  <c r="Q400" i="6" s="1"/>
  <c r="E321" i="6"/>
  <c r="Q321" i="6" s="1"/>
  <c r="E450" i="6"/>
  <c r="Q450" i="6" s="1"/>
  <c r="E308" i="6"/>
  <c r="Q308" i="6" s="1"/>
  <c r="E398" i="6"/>
  <c r="Q398" i="6" s="1"/>
  <c r="E306" i="6"/>
  <c r="Q306" i="6" s="1"/>
  <c r="E495" i="6"/>
  <c r="Q495" i="6" s="1"/>
  <c r="E303" i="6"/>
  <c r="Q303" i="6" s="1"/>
  <c r="E446" i="6"/>
  <c r="Q446" i="6" s="1"/>
  <c r="E219" i="6"/>
  <c r="Q219" i="6" s="1"/>
  <c r="E213" i="6"/>
  <c r="Q213" i="6" s="1"/>
  <c r="E210" i="6"/>
  <c r="Q210" i="6" s="1"/>
  <c r="E229" i="6"/>
  <c r="Q229" i="6" s="1"/>
  <c r="E437" i="6"/>
  <c r="Q437" i="6" s="1"/>
  <c r="E482" i="6"/>
  <c r="Q482" i="6" s="1"/>
  <c r="E341" i="6"/>
  <c r="Q341" i="6" s="1"/>
  <c r="E491" i="6"/>
  <c r="Q491" i="6" s="1"/>
  <c r="E334" i="6"/>
  <c r="Q334" i="6" s="1"/>
  <c r="E66" i="6"/>
  <c r="Q66" i="6" s="1"/>
  <c r="E196" i="6"/>
  <c r="Q196" i="6" s="1"/>
  <c r="E485" i="6"/>
  <c r="Q485" i="6" s="1"/>
  <c r="E372" i="6"/>
  <c r="Q372" i="6" s="1"/>
  <c r="E102" i="6"/>
  <c r="Q102" i="6" s="1"/>
  <c r="E347" i="6"/>
  <c r="Q347" i="6" s="1"/>
  <c r="E406" i="6"/>
  <c r="Q406" i="6" s="1"/>
  <c r="E325" i="6"/>
  <c r="Q325" i="6" s="1"/>
  <c r="E434" i="6"/>
  <c r="Q434" i="6" s="1"/>
  <c r="E195" i="6"/>
  <c r="Q195" i="6" s="1"/>
  <c r="E203" i="6"/>
  <c r="Q203" i="6" s="1"/>
  <c r="E297" i="6"/>
  <c r="Q297" i="6" s="1"/>
  <c r="E139" i="6"/>
  <c r="Q139" i="6" s="1"/>
  <c r="E296" i="6"/>
  <c r="Q296" i="6" s="1"/>
  <c r="E84" i="6"/>
  <c r="Q84" i="6" s="1"/>
  <c r="E295" i="6"/>
  <c r="Q295" i="6" s="1"/>
  <c r="E65" i="6"/>
  <c r="Q65" i="6" s="1"/>
  <c r="E293" i="6"/>
  <c r="Q293" i="6" s="1"/>
  <c r="E94" i="6"/>
  <c r="Q94" i="6" s="1"/>
  <c r="E289" i="6"/>
  <c r="Q289" i="6" s="1"/>
  <c r="E199" i="6"/>
  <c r="Q199" i="6" s="1"/>
  <c r="E287" i="6"/>
  <c r="Q287" i="6" s="1"/>
  <c r="E355" i="6"/>
  <c r="Q355" i="6" s="1"/>
  <c r="E285" i="6"/>
  <c r="Q285" i="6" s="1"/>
  <c r="E31" i="6"/>
  <c r="Q31" i="6" s="1"/>
  <c r="E284" i="6"/>
  <c r="Q284" i="6" s="1"/>
  <c r="E205" i="6"/>
  <c r="Q205" i="6" s="1"/>
  <c r="E283" i="6"/>
  <c r="Q283" i="6" s="1"/>
  <c r="E312" i="6"/>
  <c r="Q312" i="6" s="1"/>
  <c r="E282" i="6"/>
  <c r="Q282" i="6" s="1"/>
  <c r="E126" i="6"/>
  <c r="Q126" i="6" s="1"/>
  <c r="E281" i="6"/>
  <c r="Q281" i="6" s="1"/>
  <c r="E88" i="6"/>
  <c r="Q88" i="6" s="1"/>
  <c r="E280" i="6"/>
  <c r="Q280" i="6" s="1"/>
  <c r="E370" i="6"/>
  <c r="Q370" i="6" s="1"/>
  <c r="E278" i="6"/>
  <c r="Q278" i="6" s="1"/>
  <c r="E137" i="6"/>
  <c r="Q137" i="6" s="1"/>
  <c r="E276" i="6"/>
  <c r="Q276" i="6" s="1"/>
  <c r="E79" i="6"/>
  <c r="Q79" i="6" s="1"/>
  <c r="E272" i="6"/>
  <c r="Q272" i="6" s="1"/>
  <c r="E444" i="6"/>
  <c r="Q444" i="6" s="1"/>
  <c r="E271" i="6"/>
  <c r="Q271" i="6" s="1"/>
  <c r="E458" i="6"/>
  <c r="Q458" i="6" s="1"/>
  <c r="E270" i="6"/>
  <c r="Q270" i="6" s="1"/>
  <c r="E28" i="6"/>
  <c r="Q28" i="6" s="1"/>
  <c r="E268" i="6"/>
  <c r="Q268" i="6" s="1"/>
  <c r="E310" i="6"/>
  <c r="Q310" i="6" s="1"/>
  <c r="E266" i="6"/>
  <c r="Q266" i="6" s="1"/>
  <c r="E57" i="6"/>
  <c r="Q57" i="6" s="1"/>
  <c r="E263" i="6"/>
  <c r="Q263" i="6" s="1"/>
  <c r="E409" i="6"/>
  <c r="Q409" i="6" s="1"/>
  <c r="E261" i="6"/>
  <c r="Q261" i="6" s="1"/>
  <c r="E262" i="6"/>
  <c r="Q262" i="6" s="1"/>
  <c r="E260" i="6"/>
  <c r="Q260" i="6" s="1"/>
  <c r="E118" i="6"/>
  <c r="Q118" i="6" s="1"/>
  <c r="E259" i="6"/>
  <c r="Q259" i="6" s="1"/>
  <c r="E73" i="6"/>
  <c r="Q73" i="6" s="1"/>
  <c r="E258" i="6"/>
  <c r="Q258" i="6" s="1"/>
  <c r="E58" i="6"/>
  <c r="Q58" i="6" s="1"/>
  <c r="E256" i="6"/>
  <c r="Q256" i="6" s="1"/>
  <c r="E361" i="6"/>
  <c r="Q361" i="6" s="1"/>
  <c r="E251" i="6"/>
  <c r="Q251" i="6" s="1"/>
  <c r="E72" i="6"/>
  <c r="Q72" i="6" s="1"/>
  <c r="E250" i="6"/>
  <c r="Q250" i="6" s="1"/>
  <c r="E435" i="6"/>
  <c r="Q435" i="6" s="1"/>
  <c r="E248" i="6"/>
  <c r="Q248" i="6" s="1"/>
  <c r="E175" i="6"/>
  <c r="Q175" i="6" s="1"/>
  <c r="E244" i="6"/>
  <c r="Q244" i="6" s="1"/>
  <c r="E357" i="6"/>
  <c r="Q357" i="6" s="1"/>
  <c r="E243" i="6"/>
  <c r="Q243" i="6" s="1"/>
  <c r="E401" i="6"/>
  <c r="Q401" i="6" s="1"/>
  <c r="E241" i="6"/>
  <c r="Q241" i="6" s="1"/>
  <c r="E225" i="6"/>
  <c r="Q225" i="6" s="1"/>
  <c r="E240" i="6"/>
  <c r="Q240" i="6" s="1"/>
  <c r="E365" i="6"/>
  <c r="Q365" i="6" s="1"/>
  <c r="E237" i="6"/>
  <c r="Q237" i="6" s="1"/>
  <c r="E454" i="6"/>
  <c r="Q454" i="6" s="1"/>
  <c r="E235" i="6"/>
  <c r="Q235" i="6" s="1"/>
  <c r="E119" i="6"/>
  <c r="Q119" i="6" s="1"/>
  <c r="E234" i="6"/>
  <c r="Q234" i="6" s="1"/>
  <c r="E500" i="6"/>
  <c r="Q500" i="6" s="1"/>
  <c r="E233" i="6"/>
  <c r="Q233" i="6" s="1"/>
  <c r="E408" i="6"/>
  <c r="Q408" i="6" s="1"/>
  <c r="E232" i="6"/>
  <c r="Q232" i="6" s="1"/>
  <c r="E374" i="6"/>
  <c r="Q374" i="6" s="1"/>
  <c r="E228" i="6"/>
  <c r="Q228" i="6" s="1"/>
  <c r="E413" i="6"/>
  <c r="Q413" i="6" s="1"/>
  <c r="O487" i="7"/>
  <c r="O462" i="7"/>
  <c r="O449" i="7"/>
  <c r="D17" i="9"/>
  <c r="O374" i="7"/>
  <c r="O433" i="7"/>
  <c r="O428" i="7"/>
  <c r="H79" i="5"/>
  <c r="H399" i="5"/>
  <c r="H458" i="5"/>
  <c r="H28" i="5"/>
  <c r="O502" i="7"/>
  <c r="D18" i="9"/>
  <c r="E5" i="9"/>
  <c r="D19" i="9"/>
  <c r="O492" i="7"/>
  <c r="N492" i="7"/>
  <c r="O485" i="7"/>
  <c r="N485" i="7"/>
  <c r="O477" i="7"/>
  <c r="N477" i="7"/>
  <c r="O476" i="7"/>
  <c r="N476" i="7"/>
  <c r="O455" i="7"/>
  <c r="N455" i="7"/>
  <c r="O446" i="7"/>
  <c r="N446" i="7"/>
  <c r="O444" i="7"/>
  <c r="N444" i="7"/>
  <c r="O443" i="7"/>
  <c r="N443" i="7"/>
  <c r="O440" i="7"/>
  <c r="N440" i="7"/>
  <c r="O439" i="7"/>
  <c r="N439" i="7"/>
  <c r="O435" i="7"/>
  <c r="N435" i="7"/>
  <c r="O418" i="7"/>
  <c r="N418" i="7"/>
  <c r="O417" i="7"/>
  <c r="N417" i="7"/>
  <c r="O400" i="7"/>
  <c r="N400" i="7"/>
  <c r="O376" i="7"/>
  <c r="N376" i="7"/>
  <c r="O344" i="7"/>
  <c r="N344" i="7"/>
  <c r="O322" i="7"/>
  <c r="N322" i="7"/>
  <c r="O350" i="7"/>
  <c r="N350" i="7"/>
  <c r="O349" i="7"/>
  <c r="N349" i="7"/>
  <c r="O230" i="7"/>
  <c r="N230" i="7"/>
  <c r="O229" i="7"/>
  <c r="N229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S9" i="7" s="1"/>
  <c r="O204" i="7"/>
  <c r="N204" i="7"/>
  <c r="O202" i="7"/>
  <c r="N202" i="7"/>
  <c r="O201" i="7"/>
  <c r="N201" i="7"/>
  <c r="O200" i="7"/>
  <c r="N200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7" i="7"/>
  <c r="N157" i="7"/>
  <c r="O156" i="7"/>
  <c r="N156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65" i="7"/>
  <c r="N65" i="7"/>
  <c r="O63" i="7"/>
  <c r="N63" i="7"/>
  <c r="O57" i="7"/>
  <c r="N57" i="7"/>
  <c r="O56" i="7"/>
  <c r="N56" i="7"/>
  <c r="O55" i="7"/>
  <c r="N55" i="7"/>
  <c r="O51" i="7"/>
  <c r="N51" i="7"/>
  <c r="O50" i="7"/>
  <c r="N50" i="7"/>
  <c r="O49" i="7"/>
  <c r="N49" i="7"/>
  <c r="O48" i="7"/>
  <c r="N48" i="7"/>
  <c r="O47" i="7"/>
  <c r="N47" i="7"/>
  <c r="O46" i="7"/>
  <c r="N46" i="7"/>
  <c r="O10" i="7"/>
  <c r="N10" i="7"/>
  <c r="O9" i="7"/>
  <c r="N9" i="7"/>
  <c r="O7" i="7"/>
  <c r="N7" i="7"/>
  <c r="O5" i="7"/>
  <c r="N5" i="7"/>
  <c r="O401" i="7"/>
  <c r="N401" i="7"/>
  <c r="O389" i="7"/>
  <c r="N389" i="7"/>
  <c r="O383" i="7"/>
  <c r="N383" i="7"/>
  <c r="O375" i="7"/>
  <c r="N375" i="7"/>
  <c r="O368" i="7"/>
  <c r="N368" i="7"/>
  <c r="O363" i="7"/>
  <c r="N363" i="7"/>
  <c r="O352" i="7"/>
  <c r="N352" i="7"/>
  <c r="O336" i="7"/>
  <c r="N336" i="7"/>
  <c r="O325" i="7"/>
  <c r="N325" i="7"/>
  <c r="O311" i="7"/>
  <c r="N311" i="7"/>
  <c r="O297" i="7"/>
  <c r="N297" i="7"/>
  <c r="O281" i="7"/>
  <c r="N281" i="7"/>
  <c r="O279" i="7"/>
  <c r="N279" i="7"/>
  <c r="O278" i="7"/>
  <c r="N278" i="7"/>
  <c r="O277" i="7"/>
  <c r="N277" i="7"/>
  <c r="O270" i="7"/>
  <c r="N270" i="7"/>
  <c r="O266" i="7"/>
  <c r="N266" i="7"/>
  <c r="O263" i="7"/>
  <c r="N263" i="7"/>
  <c r="O261" i="7"/>
  <c r="N261" i="7"/>
  <c r="O252" i="7"/>
  <c r="N252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4" i="7"/>
  <c r="N64" i="7"/>
  <c r="O62" i="7"/>
  <c r="N62" i="7"/>
  <c r="O61" i="7"/>
  <c r="N61" i="7"/>
  <c r="O60" i="7"/>
  <c r="N60" i="7"/>
  <c r="O59" i="7"/>
  <c r="N59" i="7"/>
  <c r="O58" i="7"/>
  <c r="N58" i="7"/>
  <c r="O54" i="7"/>
  <c r="N54" i="7"/>
  <c r="O53" i="7"/>
  <c r="N53" i="7"/>
  <c r="O6" i="7"/>
  <c r="N6" i="7"/>
  <c r="O412" i="7"/>
  <c r="N412" i="7"/>
  <c r="O408" i="7"/>
  <c r="N408" i="7"/>
  <c r="O404" i="7"/>
  <c r="N404" i="7"/>
  <c r="O402" i="7"/>
  <c r="N402" i="7"/>
  <c r="O394" i="7"/>
  <c r="N394" i="7"/>
  <c r="O371" i="7"/>
  <c r="N371" i="7"/>
  <c r="O362" i="7"/>
  <c r="N362" i="7"/>
  <c r="O351" i="7"/>
  <c r="N351" i="7"/>
  <c r="O347" i="7"/>
  <c r="N347" i="7"/>
  <c r="O340" i="7"/>
  <c r="N340" i="7"/>
  <c r="O324" i="7"/>
  <c r="N324" i="7"/>
  <c r="O320" i="7"/>
  <c r="N320" i="7"/>
  <c r="O298" i="7"/>
  <c r="N298" i="7"/>
  <c r="O293" i="7"/>
  <c r="N293" i="7"/>
  <c r="O287" i="7"/>
  <c r="N287" i="7"/>
  <c r="O272" i="7"/>
  <c r="N272" i="7"/>
  <c r="O265" i="7"/>
  <c r="N265" i="7"/>
  <c r="O262" i="7"/>
  <c r="N262" i="7"/>
  <c r="O253" i="7"/>
  <c r="N253" i="7"/>
  <c r="O242" i="7"/>
  <c r="N242" i="7"/>
  <c r="O234" i="7"/>
  <c r="N234" i="7"/>
  <c r="O231" i="7"/>
  <c r="N231" i="7"/>
  <c r="O45" i="7"/>
  <c r="N45" i="7"/>
  <c r="O44" i="7"/>
  <c r="N44" i="7"/>
  <c r="O43" i="7"/>
  <c r="N43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6" i="7"/>
  <c r="N16" i="7"/>
  <c r="O15" i="7"/>
  <c r="N15" i="7"/>
  <c r="O14" i="7"/>
  <c r="N14" i="7"/>
  <c r="O13" i="7"/>
  <c r="N13" i="7"/>
  <c r="O12" i="7"/>
  <c r="N12" i="7"/>
  <c r="O11" i="7"/>
  <c r="N11" i="7"/>
  <c r="O8" i="7"/>
  <c r="N8" i="7"/>
  <c r="O415" i="7"/>
  <c r="N415" i="7"/>
  <c r="O403" i="7"/>
  <c r="N403" i="7"/>
  <c r="O393" i="7"/>
  <c r="N393" i="7"/>
  <c r="O388" i="7"/>
  <c r="N388" i="7"/>
  <c r="O387" i="7"/>
  <c r="N387" i="7"/>
  <c r="O384" i="7"/>
  <c r="N384" i="7"/>
  <c r="O334" i="7"/>
  <c r="N334" i="7"/>
  <c r="O319" i="7"/>
  <c r="N319" i="7"/>
  <c r="O301" i="7"/>
  <c r="N301" i="7"/>
  <c r="O254" i="7"/>
  <c r="N254" i="7"/>
  <c r="O250" i="7"/>
  <c r="N250" i="7"/>
  <c r="O246" i="7"/>
  <c r="N246" i="7"/>
  <c r="O243" i="7"/>
  <c r="N243" i="7"/>
  <c r="O416" i="7"/>
  <c r="N416" i="7"/>
  <c r="O399" i="7"/>
  <c r="N399" i="7"/>
  <c r="O392" i="7"/>
  <c r="N392" i="7"/>
  <c r="O379" i="7"/>
  <c r="N379" i="7"/>
  <c r="O345" i="7"/>
  <c r="N345" i="7"/>
  <c r="O330" i="7"/>
  <c r="N330" i="7"/>
  <c r="O304" i="7"/>
  <c r="N304" i="7"/>
  <c r="O300" i="7"/>
  <c r="N300" i="7"/>
  <c r="O291" i="7"/>
  <c r="N291" i="7"/>
  <c r="O289" i="7"/>
  <c r="N289" i="7"/>
  <c r="O286" i="7"/>
  <c r="N286" i="7"/>
  <c r="O284" i="7"/>
  <c r="N284" i="7"/>
  <c r="O267" i="7"/>
  <c r="N267" i="7"/>
  <c r="O256" i="7"/>
  <c r="N256" i="7"/>
  <c r="O255" i="7"/>
  <c r="N255" i="7"/>
  <c r="O414" i="7"/>
  <c r="N414" i="7"/>
  <c r="O409" i="7"/>
  <c r="N409" i="7"/>
  <c r="O396" i="7"/>
  <c r="N396" i="7"/>
  <c r="O386" i="7"/>
  <c r="N386" i="7"/>
  <c r="O381" i="7"/>
  <c r="N381" i="7"/>
  <c r="O377" i="7"/>
  <c r="N377" i="7"/>
  <c r="O354" i="7"/>
  <c r="N354" i="7"/>
  <c r="O329" i="7"/>
  <c r="N329" i="7"/>
  <c r="O310" i="7"/>
  <c r="N310" i="7"/>
  <c r="O309" i="7"/>
  <c r="N309" i="7"/>
  <c r="O305" i="7"/>
  <c r="N305" i="7"/>
  <c r="O296" i="7"/>
  <c r="N296" i="7"/>
  <c r="O295" i="7"/>
  <c r="N295" i="7"/>
  <c r="O268" i="7"/>
  <c r="N268" i="7"/>
  <c r="O264" i="7"/>
  <c r="N264" i="7"/>
  <c r="O258" i="7"/>
  <c r="N258" i="7"/>
  <c r="O249" i="7"/>
  <c r="N249" i="7"/>
  <c r="O248" i="7"/>
  <c r="N248" i="7"/>
  <c r="O245" i="7"/>
  <c r="N245" i="7"/>
  <c r="O238" i="7"/>
  <c r="N238" i="7"/>
  <c r="O233" i="7"/>
  <c r="N233" i="7"/>
  <c r="O504" i="7"/>
  <c r="N504" i="7"/>
  <c r="O500" i="7"/>
  <c r="N500" i="7"/>
  <c r="O499" i="7"/>
  <c r="N499" i="7"/>
  <c r="O497" i="7"/>
  <c r="N497" i="7"/>
  <c r="O496" i="7"/>
  <c r="N496" i="7"/>
  <c r="O494" i="7"/>
  <c r="N494" i="7"/>
  <c r="O480" i="7"/>
  <c r="N480" i="7"/>
  <c r="O478" i="7"/>
  <c r="N478" i="7"/>
  <c r="O475" i="7"/>
  <c r="N475" i="7"/>
  <c r="O474" i="7"/>
  <c r="N474" i="7"/>
  <c r="O467" i="7"/>
  <c r="N467" i="7"/>
  <c r="O458" i="7"/>
  <c r="N458" i="7"/>
  <c r="O457" i="7"/>
  <c r="N457" i="7"/>
  <c r="O451" i="7"/>
  <c r="N451" i="7"/>
  <c r="O450" i="7"/>
  <c r="N450" i="7"/>
  <c r="O438" i="7"/>
  <c r="N438" i="7"/>
  <c r="O430" i="7"/>
  <c r="N430" i="7"/>
  <c r="O429" i="7"/>
  <c r="N429" i="7"/>
  <c r="O427" i="7"/>
  <c r="N427" i="7"/>
  <c r="O425" i="7"/>
  <c r="N425" i="7"/>
  <c r="O424" i="7"/>
  <c r="N424" i="7"/>
  <c r="O423" i="7"/>
  <c r="N423" i="7"/>
  <c r="O407" i="7"/>
  <c r="N407" i="7"/>
  <c r="O405" i="7"/>
  <c r="N405" i="7"/>
  <c r="O390" i="7"/>
  <c r="N390" i="7"/>
  <c r="O382" i="7"/>
  <c r="N382" i="7"/>
  <c r="O378" i="7"/>
  <c r="N378" i="7"/>
  <c r="O370" i="7"/>
  <c r="N370" i="7"/>
  <c r="O367" i="7"/>
  <c r="N367" i="7"/>
  <c r="O365" i="7"/>
  <c r="N365" i="7"/>
  <c r="O358" i="7"/>
  <c r="N358" i="7"/>
  <c r="O357" i="7"/>
  <c r="N357" i="7"/>
  <c r="O355" i="7"/>
  <c r="N355" i="7"/>
  <c r="O348" i="7"/>
  <c r="N348" i="7"/>
  <c r="O343" i="7"/>
  <c r="N343" i="7"/>
  <c r="O342" i="7"/>
  <c r="N342" i="7"/>
  <c r="O341" i="7"/>
  <c r="N341" i="7"/>
  <c r="O339" i="7"/>
  <c r="N339" i="7"/>
  <c r="O337" i="7"/>
  <c r="N337" i="7"/>
  <c r="O333" i="7"/>
  <c r="N333" i="7"/>
  <c r="O331" i="7"/>
  <c r="N331" i="7"/>
  <c r="O327" i="7"/>
  <c r="N327" i="7"/>
  <c r="O326" i="7"/>
  <c r="N326" i="7"/>
  <c r="O323" i="7"/>
  <c r="N323" i="7"/>
  <c r="O318" i="7"/>
  <c r="N318" i="7"/>
  <c r="O316" i="7"/>
  <c r="N316" i="7"/>
  <c r="O313" i="7"/>
  <c r="N313" i="7"/>
  <c r="O312" i="7"/>
  <c r="N312" i="7"/>
  <c r="O307" i="7"/>
  <c r="N307" i="7"/>
  <c r="O303" i="7"/>
  <c r="N303" i="7"/>
  <c r="O282" i="7"/>
  <c r="N282" i="7"/>
  <c r="O269" i="7"/>
  <c r="N269" i="7"/>
  <c r="O260" i="7"/>
  <c r="N260" i="7"/>
  <c r="O259" i="7"/>
  <c r="N259" i="7"/>
  <c r="O257" i="7"/>
  <c r="N257" i="7"/>
  <c r="O241" i="7"/>
  <c r="N241" i="7"/>
  <c r="O237" i="7"/>
  <c r="N237" i="7"/>
  <c r="O235" i="7"/>
  <c r="N235" i="7"/>
  <c r="H160" i="5"/>
  <c r="H206" i="5"/>
  <c r="H46" i="5"/>
  <c r="H425" i="5"/>
  <c r="H376" i="5"/>
  <c r="H48" i="5"/>
  <c r="H485" i="5"/>
  <c r="H487" i="5"/>
  <c r="H221" i="5"/>
  <c r="H129" i="5"/>
  <c r="H163" i="5"/>
  <c r="H392" i="5"/>
  <c r="H260" i="5"/>
  <c r="H198" i="5"/>
  <c r="H344" i="5"/>
  <c r="H282" i="5"/>
  <c r="H159" i="5"/>
  <c r="H180" i="5"/>
  <c r="H382" i="5"/>
  <c r="H229" i="5"/>
  <c r="H90" i="5"/>
  <c r="H213" i="5"/>
  <c r="H332" i="5"/>
  <c r="H480" i="5"/>
  <c r="H335" i="5"/>
  <c r="H377" i="5"/>
  <c r="H240" i="5"/>
  <c r="H201" i="5"/>
  <c r="H291" i="5"/>
  <c r="H318" i="5"/>
  <c r="H469" i="5"/>
  <c r="H195" i="5"/>
  <c r="H268" i="5"/>
  <c r="H296" i="5"/>
  <c r="H45" i="5"/>
  <c r="H270" i="5"/>
  <c r="H131" i="5"/>
  <c r="H74" i="5"/>
  <c r="H171" i="5"/>
  <c r="H304" i="5"/>
  <c r="H447" i="5"/>
  <c r="H56" i="5"/>
  <c r="H456" i="5"/>
  <c r="H59" i="5"/>
  <c r="H241" i="5"/>
  <c r="H188" i="5"/>
  <c r="H68" i="5"/>
  <c r="H166" i="5"/>
  <c r="H210" i="5"/>
  <c r="H363" i="5"/>
  <c r="H228" i="5"/>
  <c r="H248" i="5"/>
  <c r="H76" i="5"/>
  <c r="H445" i="5"/>
  <c r="H278" i="5"/>
  <c r="H81" i="5"/>
  <c r="H85" i="5"/>
  <c r="H32" i="5"/>
  <c r="H356" i="5"/>
  <c r="H316" i="5"/>
  <c r="H211" i="5"/>
  <c r="H420" i="5"/>
  <c r="H490" i="5"/>
  <c r="H146" i="5"/>
  <c r="H414" i="5"/>
  <c r="H200" i="5"/>
  <c r="H393" i="5"/>
  <c r="H191" i="5"/>
  <c r="H35" i="5"/>
  <c r="H155" i="5"/>
  <c r="H44" i="5"/>
  <c r="O493" i="7"/>
  <c r="N493" i="7"/>
  <c r="O489" i="7"/>
  <c r="N489" i="7"/>
  <c r="O484" i="7"/>
  <c r="N484" i="7"/>
  <c r="O483" i="7"/>
  <c r="N483" i="7"/>
  <c r="O482" i="7"/>
  <c r="N482" i="7"/>
  <c r="O470" i="7"/>
  <c r="N470" i="7"/>
  <c r="O469" i="7"/>
  <c r="N469" i="7"/>
  <c r="O466" i="7"/>
  <c r="N466" i="7"/>
  <c r="O465" i="7"/>
  <c r="N465" i="7"/>
  <c r="O464" i="7"/>
  <c r="N464" i="7"/>
  <c r="O461" i="7"/>
  <c r="N461" i="7"/>
  <c r="O454" i="7"/>
  <c r="N454" i="7"/>
  <c r="O452" i="7"/>
  <c r="N452" i="7"/>
  <c r="O422" i="7"/>
  <c r="N422" i="7"/>
  <c r="O395" i="7"/>
  <c r="N395" i="7"/>
  <c r="O385" i="7"/>
  <c r="N385" i="7"/>
  <c r="O373" i="7"/>
  <c r="N373" i="7"/>
  <c r="O366" i="7"/>
  <c r="N366" i="7"/>
  <c r="O308" i="7"/>
  <c r="N308" i="7"/>
  <c r="O302" i="7"/>
  <c r="N302" i="7"/>
  <c r="O285" i="7"/>
  <c r="N285" i="7"/>
  <c r="O283" i="7"/>
  <c r="N283" i="7"/>
  <c r="O503" i="7"/>
  <c r="N503" i="7"/>
  <c r="O501" i="7"/>
  <c r="N501" i="7"/>
  <c r="O498" i="7"/>
  <c r="N498" i="7"/>
  <c r="O491" i="7"/>
  <c r="N491" i="7"/>
  <c r="O490" i="7"/>
  <c r="N490" i="7"/>
  <c r="O488" i="7"/>
  <c r="N488" i="7"/>
  <c r="O486" i="7"/>
  <c r="N486" i="7"/>
  <c r="O479" i="7"/>
  <c r="N479" i="7"/>
  <c r="O473" i="7"/>
  <c r="N473" i="7"/>
  <c r="O472" i="7"/>
  <c r="N472" i="7"/>
  <c r="O471" i="7"/>
  <c r="N471" i="7"/>
  <c r="O468" i="7"/>
  <c r="N468" i="7"/>
  <c r="O463" i="7"/>
  <c r="N463" i="7"/>
  <c r="O460" i="7"/>
  <c r="N460" i="7"/>
  <c r="O459" i="7"/>
  <c r="N459" i="7"/>
  <c r="O456" i="7"/>
  <c r="N456" i="7"/>
  <c r="O453" i="7"/>
  <c r="N453" i="7"/>
  <c r="O447" i="7"/>
  <c r="N447" i="7"/>
  <c r="O445" i="7"/>
  <c r="N445" i="7"/>
  <c r="O436" i="7"/>
  <c r="N436" i="7"/>
  <c r="O434" i="7"/>
  <c r="N434" i="7"/>
  <c r="O432" i="7"/>
  <c r="N432" i="7"/>
  <c r="O431" i="7"/>
  <c r="N431" i="7"/>
  <c r="O426" i="7"/>
  <c r="N426" i="7"/>
  <c r="O421" i="7"/>
  <c r="N421" i="7"/>
  <c r="O420" i="7"/>
  <c r="N420" i="7"/>
  <c r="O413" i="7"/>
  <c r="N413" i="7"/>
  <c r="O411" i="7"/>
  <c r="N411" i="7"/>
  <c r="O410" i="7"/>
  <c r="N410" i="7"/>
  <c r="O406" i="7"/>
  <c r="N406" i="7"/>
  <c r="O398" i="7"/>
  <c r="N398" i="7"/>
  <c r="O397" i="7"/>
  <c r="N397" i="7"/>
  <c r="O372" i="7"/>
  <c r="N372" i="7"/>
  <c r="O369" i="7"/>
  <c r="N369" i="7"/>
  <c r="O360" i="7"/>
  <c r="N360" i="7"/>
  <c r="O359" i="7"/>
  <c r="N359" i="7"/>
  <c r="O353" i="7"/>
  <c r="N353" i="7"/>
  <c r="O346" i="7"/>
  <c r="N346" i="7"/>
  <c r="O338" i="7"/>
  <c r="N338" i="7"/>
  <c r="O335" i="7"/>
  <c r="N335" i="7"/>
  <c r="O332" i="7"/>
  <c r="N332" i="7"/>
  <c r="O328" i="7"/>
  <c r="N328" i="7"/>
  <c r="O321" i="7"/>
  <c r="N321" i="7"/>
  <c r="O317" i="7"/>
  <c r="N317" i="7"/>
  <c r="O315" i="7"/>
  <c r="N315" i="7"/>
  <c r="O314" i="7"/>
  <c r="N314" i="7"/>
  <c r="O306" i="7"/>
  <c r="N306" i="7"/>
  <c r="O292" i="7"/>
  <c r="N292" i="7"/>
  <c r="O290" i="7"/>
  <c r="N290" i="7"/>
  <c r="O276" i="7"/>
  <c r="N276" i="7"/>
  <c r="O275" i="7"/>
  <c r="N275" i="7"/>
  <c r="O274" i="7"/>
  <c r="N274" i="7"/>
  <c r="O273" i="7"/>
  <c r="N273" i="7"/>
  <c r="O271" i="7"/>
  <c r="N271" i="7"/>
  <c r="O251" i="7"/>
  <c r="N251" i="7"/>
  <c r="O247" i="7"/>
  <c r="N247" i="7"/>
  <c r="O244" i="7"/>
  <c r="N244" i="7"/>
  <c r="O239" i="7"/>
  <c r="N239" i="7"/>
  <c r="H387" i="5"/>
  <c r="H397" i="5"/>
  <c r="H14" i="5"/>
  <c r="H242" i="5"/>
  <c r="H246" i="5"/>
  <c r="H139" i="5"/>
  <c r="H312" i="5"/>
  <c r="H489" i="5"/>
  <c r="H197" i="5"/>
  <c r="H314" i="5"/>
  <c r="H94" i="5"/>
  <c r="H205" i="5"/>
  <c r="H214" i="5"/>
  <c r="H89" i="5"/>
  <c r="H255" i="5"/>
  <c r="H488" i="5"/>
  <c r="H235" i="5"/>
  <c r="H375" i="5"/>
  <c r="H400" i="5"/>
  <c r="H419" i="5"/>
  <c r="H481" i="5"/>
  <c r="H187" i="5"/>
  <c r="H84" i="5"/>
  <c r="H15" i="5"/>
  <c r="H290" i="5"/>
  <c r="H346" i="5"/>
  <c r="H444" i="5"/>
  <c r="G5" i="9"/>
  <c r="H238" i="5"/>
  <c r="H428" i="5"/>
  <c r="H77" i="5"/>
  <c r="H483" i="5"/>
  <c r="H395" i="5"/>
  <c r="H415" i="5"/>
  <c r="H259" i="5"/>
  <c r="H152" i="5"/>
  <c r="H227" i="5"/>
  <c r="H334" i="5"/>
  <c r="H403" i="5"/>
  <c r="H126" i="5"/>
  <c r="H177" i="5"/>
  <c r="H468" i="5"/>
  <c r="H459" i="5"/>
  <c r="H289" i="5"/>
  <c r="H130" i="5"/>
  <c r="H431" i="5"/>
  <c r="H65" i="5"/>
  <c r="H355" i="5"/>
  <c r="H486" i="5"/>
  <c r="H466" i="5"/>
  <c r="H433" i="5"/>
  <c r="H222" i="5"/>
  <c r="H298" i="5"/>
  <c r="H306" i="5"/>
  <c r="H337" i="5"/>
  <c r="H96" i="5"/>
  <c r="H83" i="5"/>
  <c r="H470" i="5"/>
  <c r="H280" i="5"/>
  <c r="H215" i="5"/>
  <c r="H109" i="5"/>
  <c r="H461" i="5"/>
  <c r="H142" i="5"/>
  <c r="H381" i="5"/>
  <c r="H38" i="5"/>
  <c r="H342" i="5"/>
  <c r="H493" i="5"/>
  <c r="H407" i="5"/>
  <c r="H292" i="5"/>
  <c r="H427" i="5"/>
  <c r="H339" i="5"/>
  <c r="H430" i="5"/>
  <c r="H328" i="5"/>
  <c r="H359" i="5"/>
  <c r="H30" i="5"/>
  <c r="H491" i="5"/>
  <c r="H40" i="5"/>
  <c r="H434" i="5"/>
  <c r="H162" i="5"/>
  <c r="H212" i="5"/>
  <c r="H371" i="5"/>
  <c r="H451" i="5"/>
  <c r="H263" i="5"/>
  <c r="H398" i="5"/>
  <c r="H389" i="5"/>
  <c r="H193" i="5"/>
  <c r="H25" i="5"/>
  <c r="H498" i="5"/>
  <c r="H373" i="5"/>
  <c r="H380" i="5"/>
  <c r="H284" i="5"/>
  <c r="H8" i="5"/>
  <c r="H265" i="5"/>
  <c r="H67" i="5"/>
  <c r="H343" i="5"/>
  <c r="H426" i="5"/>
  <c r="H124" i="5"/>
  <c r="H6" i="5"/>
  <c r="H226" i="5"/>
  <c r="H216" i="5"/>
  <c r="H326" i="5"/>
  <c r="H364" i="5"/>
  <c r="H121" i="5"/>
  <c r="H479" i="5"/>
  <c r="H243" i="5"/>
  <c r="H492" i="5"/>
  <c r="H311" i="5"/>
  <c r="H149" i="5"/>
  <c r="H184" i="5"/>
  <c r="H97" i="5"/>
  <c r="H347" i="5"/>
  <c r="H501" i="5"/>
  <c r="H411" i="5"/>
  <c r="H297" i="5"/>
  <c r="H117" i="5"/>
  <c r="H43" i="5"/>
  <c r="H5" i="5"/>
  <c r="H264" i="5"/>
  <c r="H230" i="5"/>
  <c r="H183" i="5"/>
  <c r="H391" i="5"/>
  <c r="H322" i="5"/>
  <c r="H64" i="5"/>
  <c r="H189" i="5"/>
  <c r="H416" i="5"/>
  <c r="H477" i="5"/>
  <c r="H169" i="5"/>
  <c r="H66" i="5"/>
  <c r="H474" i="5"/>
  <c r="H323" i="5"/>
  <c r="H450" i="5"/>
  <c r="H288" i="5"/>
  <c r="H436" i="5"/>
  <c r="H232" i="5"/>
  <c r="H244" i="5"/>
  <c r="H396" i="5"/>
  <c r="H446" i="5"/>
  <c r="H413" i="5"/>
  <c r="H287" i="5"/>
  <c r="H453" i="5"/>
  <c r="H275" i="5"/>
  <c r="H125" i="5"/>
  <c r="H182" i="5"/>
  <c r="H422" i="5"/>
  <c r="H203" i="5"/>
  <c r="H95" i="5"/>
  <c r="H82" i="5"/>
  <c r="H252" i="5"/>
  <c r="H115" i="5"/>
  <c r="H497" i="5"/>
  <c r="H294" i="5"/>
  <c r="H143" i="5"/>
  <c r="H153" i="5"/>
  <c r="H70" i="5"/>
  <c r="H23" i="5"/>
  <c r="H78" i="5"/>
  <c r="H47" i="5"/>
  <c r="H63" i="5"/>
  <c r="H176" i="5"/>
  <c r="H18" i="5"/>
  <c r="H61" i="5"/>
  <c r="H71" i="5"/>
  <c r="H145" i="5"/>
  <c r="H295" i="5"/>
  <c r="H271" i="5"/>
  <c r="H261" i="5"/>
  <c r="H286" i="5"/>
  <c r="H99" i="5"/>
  <c r="H157" i="5"/>
  <c r="H60" i="5"/>
  <c r="H181" i="5"/>
  <c r="H285" i="5"/>
  <c r="H103" i="5"/>
  <c r="H253" i="5"/>
  <c r="H437" i="5"/>
  <c r="H239" i="5"/>
  <c r="H467" i="5"/>
  <c r="H156" i="5"/>
  <c r="H423" i="5"/>
  <c r="H464" i="5"/>
  <c r="H394" i="5"/>
  <c r="H410" i="5"/>
  <c r="H502" i="5"/>
  <c r="H185" i="5"/>
  <c r="H385" i="5"/>
  <c r="H441" i="5"/>
  <c r="H383" i="5"/>
  <c r="H266" i="5"/>
  <c r="H237" i="5"/>
  <c r="H482" i="5"/>
  <c r="H209" i="5"/>
  <c r="H173" i="5"/>
  <c r="H165" i="5"/>
  <c r="H112" i="5"/>
  <c r="H281" i="5"/>
  <c r="H17" i="5"/>
  <c r="H267" i="5"/>
  <c r="H98" i="5"/>
  <c r="H113" i="5"/>
  <c r="H439" i="5"/>
  <c r="H406" i="5"/>
  <c r="H404" i="5"/>
  <c r="H303" i="5"/>
  <c r="H484" i="5"/>
  <c r="H386" i="5"/>
  <c r="H127" i="5"/>
  <c r="H219" i="5"/>
  <c r="H194" i="5"/>
  <c r="H88" i="5"/>
  <c r="H137" i="5"/>
  <c r="H349" i="5"/>
  <c r="H362" i="5"/>
  <c r="H313" i="5"/>
  <c r="H301" i="5"/>
  <c r="H258" i="5"/>
  <c r="H333" i="5"/>
  <c r="H236" i="5"/>
  <c r="H231" i="5"/>
  <c r="H429" i="5"/>
  <c r="H135" i="5"/>
  <c r="H192" i="5"/>
  <c r="H41" i="5"/>
  <c r="H379" i="5"/>
  <c r="H352" i="5"/>
  <c r="H366" i="5"/>
  <c r="H499" i="5"/>
  <c r="H463" i="5"/>
  <c r="H348" i="5"/>
  <c r="H369" i="5"/>
  <c r="H455" i="5"/>
  <c r="H320" i="5"/>
  <c r="H330" i="5"/>
  <c r="H457" i="5"/>
  <c r="H442" i="5"/>
  <c r="H432" i="5"/>
  <c r="H105" i="5"/>
  <c r="H351" i="5"/>
  <c r="H233" i="5"/>
  <c r="H279" i="5"/>
  <c r="H388" i="5"/>
  <c r="H223" i="5"/>
  <c r="H345" i="5"/>
  <c r="H443" i="5"/>
  <c r="H269" i="5"/>
  <c r="H472" i="5"/>
  <c r="H417" i="5"/>
  <c r="H141" i="5"/>
  <c r="H308" i="5"/>
  <c r="H360" i="5"/>
  <c r="H315" i="5"/>
  <c r="H358" i="5"/>
  <c r="H327" i="5"/>
  <c r="H372" i="5"/>
  <c r="H257" i="5"/>
  <c r="H329" i="5"/>
  <c r="H277" i="5"/>
  <c r="H475" i="5"/>
  <c r="H460" i="5"/>
  <c r="H452" i="5"/>
  <c r="H11" i="5"/>
  <c r="H402" i="5"/>
  <c r="H204" i="5"/>
  <c r="H106" i="5"/>
  <c r="H164" i="5"/>
  <c r="H102" i="5"/>
  <c r="H384" i="5"/>
  <c r="H122" i="5"/>
  <c r="H476" i="5"/>
  <c r="H220" i="5"/>
  <c r="H462" i="5"/>
  <c r="H250" i="5"/>
  <c r="H418" i="5"/>
  <c r="H256" i="5"/>
  <c r="H120" i="5"/>
  <c r="H39" i="5"/>
  <c r="H114" i="5"/>
  <c r="H136" i="5"/>
  <c r="H495" i="5"/>
  <c r="H302" i="5"/>
  <c r="H367" i="5"/>
  <c r="H172" i="5"/>
  <c r="H144" i="5"/>
  <c r="H12" i="5"/>
  <c r="H19" i="5"/>
  <c r="H55" i="5"/>
  <c r="H234" i="5"/>
  <c r="H80" i="5"/>
  <c r="H150" i="5"/>
  <c r="H207" i="5"/>
  <c r="H22" i="5"/>
  <c r="H167" i="5"/>
  <c r="H202" i="5"/>
  <c r="H465" i="5"/>
  <c r="H310" i="5"/>
  <c r="H274" i="5"/>
  <c r="H57" i="5"/>
  <c r="H473" i="5"/>
  <c r="H93" i="5"/>
  <c r="H409" i="5"/>
  <c r="H251" i="5"/>
  <c r="H262" i="5"/>
  <c r="H118" i="5"/>
  <c r="H73" i="5"/>
  <c r="H58" i="5"/>
  <c r="H341" i="5"/>
  <c r="H361" i="5"/>
  <c r="H440" i="5"/>
  <c r="H438" i="5"/>
  <c r="H49" i="5"/>
  <c r="H421" i="5"/>
  <c r="H72" i="5"/>
  <c r="H435" i="5"/>
  <c r="H378" i="5"/>
  <c r="H175" i="5"/>
  <c r="H331" i="5"/>
  <c r="H26" i="5"/>
  <c r="H496" i="5"/>
  <c r="H357" i="5"/>
  <c r="H401" i="5"/>
  <c r="H273" i="5"/>
  <c r="H225" i="5"/>
  <c r="H365" i="5"/>
  <c r="H494" i="5"/>
  <c r="H276" i="5"/>
  <c r="H454" i="5"/>
  <c r="H217" i="5"/>
  <c r="H119" i="5"/>
  <c r="H500" i="5"/>
  <c r="H408" i="5"/>
  <c r="H374" i="5"/>
  <c r="H368" i="5"/>
  <c r="H340" i="5"/>
  <c r="H412" i="5"/>
  <c r="H504" i="5"/>
  <c r="H309" i="5"/>
  <c r="H405" i="5"/>
  <c r="H503" i="5"/>
  <c r="H325" i="5"/>
  <c r="H299" i="5"/>
  <c r="H424" i="5"/>
  <c r="H62" i="5"/>
  <c r="H317" i="5"/>
  <c r="H100" i="5"/>
  <c r="H51" i="5"/>
  <c r="H353" i="5"/>
  <c r="H154" i="5"/>
  <c r="H16" i="5"/>
  <c r="H158" i="5"/>
  <c r="H37" i="5"/>
  <c r="H390" i="5"/>
  <c r="H196" i="5"/>
  <c r="H134" i="5"/>
  <c r="H92" i="5"/>
  <c r="H27" i="5"/>
  <c r="H151" i="5"/>
  <c r="H170" i="5"/>
  <c r="H42" i="5"/>
  <c r="H247" i="5"/>
  <c r="H272" i="5"/>
  <c r="H245" i="5"/>
  <c r="H138" i="5"/>
  <c r="H9" i="5"/>
  <c r="H101" i="5"/>
  <c r="H87" i="5"/>
  <c r="H300" i="5"/>
  <c r="H34" i="5"/>
  <c r="H69" i="5"/>
  <c r="H168" i="5"/>
  <c r="H21" i="5"/>
  <c r="H224" i="5"/>
  <c r="H54" i="5"/>
  <c r="H75" i="5"/>
  <c r="H110" i="5"/>
  <c r="H111" i="5"/>
  <c r="H324" i="5"/>
  <c r="H24" i="5"/>
  <c r="H305" i="5"/>
  <c r="H13" i="5"/>
  <c r="H133" i="5"/>
  <c r="H52" i="5"/>
  <c r="H249" i="5"/>
  <c r="H147" i="5"/>
  <c r="H448" i="5"/>
  <c r="H36" i="5"/>
  <c r="H7" i="5"/>
  <c r="H132" i="5"/>
  <c r="H10" i="5"/>
  <c r="H53" i="5"/>
  <c r="H50" i="5"/>
  <c r="H218" i="5"/>
  <c r="H29" i="5"/>
  <c r="H161" i="5"/>
  <c r="H140" i="5"/>
  <c r="H107" i="5"/>
  <c r="H20" i="5"/>
  <c r="H86" i="5"/>
  <c r="H186" i="5"/>
  <c r="H449" i="5"/>
  <c r="H471" i="5"/>
  <c r="H350" i="5"/>
  <c r="H91" i="5"/>
  <c r="H33" i="5"/>
  <c r="H174" i="5"/>
  <c r="H104" i="5"/>
  <c r="H190" i="5"/>
  <c r="H108" i="5"/>
  <c r="H148" i="5"/>
  <c r="H123" i="5"/>
  <c r="H283" i="5"/>
  <c r="H321" i="5"/>
  <c r="H338" i="5"/>
  <c r="H128" i="5"/>
  <c r="H178" i="5"/>
  <c r="H293" i="5"/>
  <c r="H319" i="5"/>
  <c r="H254" i="5"/>
  <c r="H478" i="5"/>
  <c r="H336" i="5"/>
  <c r="H179" i="5"/>
  <c r="H208" i="5"/>
  <c r="H116" i="5"/>
  <c r="H354" i="5"/>
  <c r="H307" i="5"/>
  <c r="H199" i="5"/>
  <c r="H31" i="5"/>
  <c r="H370" i="5"/>
  <c r="S14" i="7" l="1"/>
  <c r="S7" i="7"/>
  <c r="C19" i="9"/>
  <c r="S5" i="7"/>
  <c r="C5" i="9"/>
  <c r="I115" i="5"/>
  <c r="J115" i="5" s="1"/>
  <c r="K115" i="5" s="1"/>
  <c r="I373" i="5"/>
  <c r="J373" i="5" s="1"/>
  <c r="K373" i="5" s="1"/>
  <c r="I260" i="5"/>
  <c r="J260" i="5" s="1"/>
  <c r="K260" i="5" s="1"/>
  <c r="I192" i="5"/>
  <c r="J192" i="5" s="1"/>
  <c r="K192" i="5" s="1"/>
  <c r="I23" i="5"/>
  <c r="J23" i="5" s="1"/>
  <c r="K23" i="5" s="1"/>
  <c r="I8" i="5"/>
  <c r="J8" i="5" s="1"/>
  <c r="K8" i="5" s="1"/>
  <c r="I265" i="5"/>
  <c r="J265" i="5" s="1"/>
  <c r="K265" i="5" s="1"/>
  <c r="I62" i="5"/>
  <c r="J62" i="5" s="1"/>
  <c r="K62" i="5" s="1"/>
  <c r="I426" i="5"/>
  <c r="J426" i="5" s="1"/>
  <c r="K426" i="5" s="1"/>
  <c r="I59" i="5"/>
  <c r="J59" i="5" s="1"/>
  <c r="K59" i="5" s="1"/>
  <c r="I71" i="5"/>
  <c r="J71" i="5" s="1"/>
  <c r="K71" i="5" s="1"/>
  <c r="I295" i="5"/>
  <c r="J295" i="5" s="1"/>
  <c r="K295" i="5" s="1"/>
  <c r="I32" i="5"/>
  <c r="J32" i="5" s="1"/>
  <c r="K32" i="5" s="1"/>
  <c r="I261" i="5"/>
  <c r="J261" i="5" s="1"/>
  <c r="K261" i="5" s="1"/>
  <c r="I17" i="5"/>
  <c r="J17" i="5" s="1"/>
  <c r="K17" i="5" s="1"/>
  <c r="I286" i="5"/>
  <c r="J286" i="5" s="1"/>
  <c r="K286" i="5" s="1"/>
  <c r="I326" i="5"/>
  <c r="J326" i="5" s="1"/>
  <c r="K326" i="5" s="1"/>
  <c r="I129" i="5"/>
  <c r="J129" i="5" s="1"/>
  <c r="K129" i="5" s="1"/>
  <c r="I285" i="5"/>
  <c r="J285" i="5" s="1"/>
  <c r="K285" i="5" s="1"/>
  <c r="I131" i="5"/>
  <c r="J131" i="5" s="1"/>
  <c r="K131" i="5" s="1"/>
  <c r="I80" i="5"/>
  <c r="J80" i="5" s="1"/>
  <c r="K80" i="5" s="1"/>
  <c r="I270" i="5"/>
  <c r="J270" i="5" s="1"/>
  <c r="K270" i="5" s="1"/>
  <c r="I338" i="5"/>
  <c r="J338" i="5" s="1"/>
  <c r="K338" i="5" s="1"/>
  <c r="I239" i="5"/>
  <c r="J239" i="5" s="1"/>
  <c r="K239" i="5" s="1"/>
  <c r="I156" i="5"/>
  <c r="J156" i="5" s="1"/>
  <c r="K156" i="5" s="1"/>
  <c r="I479" i="5"/>
  <c r="J479" i="5" s="1"/>
  <c r="K479" i="5" s="1"/>
  <c r="I464" i="5"/>
  <c r="J464" i="5" s="1"/>
  <c r="K464" i="5" s="1"/>
  <c r="I410" i="5"/>
  <c r="J410" i="5" s="1"/>
  <c r="K410" i="5" s="1"/>
  <c r="I230" i="5"/>
  <c r="J230" i="5" s="1"/>
  <c r="K230" i="5" s="1"/>
  <c r="I183" i="5"/>
  <c r="J183" i="5" s="1"/>
  <c r="K183" i="5" s="1"/>
  <c r="I185" i="5"/>
  <c r="J185" i="5" s="1"/>
  <c r="K185" i="5" s="1"/>
  <c r="I468" i="5"/>
  <c r="J468" i="5" s="1"/>
  <c r="K468" i="5" s="1"/>
  <c r="I141" i="5"/>
  <c r="J141" i="5" s="1"/>
  <c r="K141" i="5" s="1"/>
  <c r="I385" i="5"/>
  <c r="J385" i="5" s="1"/>
  <c r="K385" i="5" s="1"/>
  <c r="I128" i="5"/>
  <c r="J128" i="5" s="1"/>
  <c r="K128" i="5" s="1"/>
  <c r="I492" i="5"/>
  <c r="J492" i="5" s="1"/>
  <c r="K492" i="5" s="1"/>
  <c r="I266" i="5"/>
  <c r="J266" i="5" s="1"/>
  <c r="K266" i="5" s="1"/>
  <c r="I482" i="5"/>
  <c r="J482" i="5" s="1"/>
  <c r="K482" i="5" s="1"/>
  <c r="I360" i="5"/>
  <c r="J360" i="5" s="1"/>
  <c r="K360" i="5" s="1"/>
  <c r="I45" i="5"/>
  <c r="J45" i="5" s="1"/>
  <c r="K45" i="5" s="1"/>
  <c r="I311" i="5"/>
  <c r="J311" i="5" s="1"/>
  <c r="K311" i="5" s="1"/>
  <c r="I149" i="5"/>
  <c r="J149" i="5" s="1"/>
  <c r="K149" i="5" s="1"/>
  <c r="I327" i="5"/>
  <c r="J327" i="5" s="1"/>
  <c r="K327" i="5" s="1"/>
  <c r="I257" i="5"/>
  <c r="J257" i="5" s="1"/>
  <c r="K257" i="5" s="1"/>
  <c r="I387" i="5"/>
  <c r="J387" i="5" s="1"/>
  <c r="K387" i="5" s="1"/>
  <c r="I255" i="5"/>
  <c r="J255" i="5" s="1"/>
  <c r="K255" i="5" s="1"/>
  <c r="I113" i="5"/>
  <c r="J113" i="5" s="1"/>
  <c r="K113" i="5" s="1"/>
  <c r="I277" i="5"/>
  <c r="J277" i="5" s="1"/>
  <c r="K277" i="5" s="1"/>
  <c r="I97" i="5"/>
  <c r="J97" i="5" s="1"/>
  <c r="K97" i="5" s="1"/>
  <c r="I475" i="5"/>
  <c r="J475" i="5" s="1"/>
  <c r="K475" i="5" s="1"/>
  <c r="I319" i="5"/>
  <c r="J319" i="5" s="1"/>
  <c r="K319" i="5" s="1"/>
  <c r="I460" i="5"/>
  <c r="J460" i="5" s="1"/>
  <c r="K460" i="5" s="1"/>
  <c r="I501" i="5"/>
  <c r="J501" i="5" s="1"/>
  <c r="K501" i="5" s="1"/>
  <c r="I397" i="5"/>
  <c r="J397" i="5" s="1"/>
  <c r="K397" i="5" s="1"/>
  <c r="I214" i="5"/>
  <c r="J214" i="5" s="1"/>
  <c r="K214" i="5" s="1"/>
  <c r="I200" i="5"/>
  <c r="J200" i="5" s="1"/>
  <c r="K200" i="5" s="1"/>
  <c r="I459" i="5"/>
  <c r="J459" i="5" s="1"/>
  <c r="K459" i="5" s="1"/>
  <c r="I483" i="5"/>
  <c r="J483" i="5" s="1"/>
  <c r="K483" i="5" s="1"/>
  <c r="I428" i="5"/>
  <c r="J428" i="5" s="1"/>
  <c r="K428" i="5" s="1"/>
  <c r="I414" i="5"/>
  <c r="J414" i="5" s="1"/>
  <c r="K414" i="5" s="1"/>
  <c r="I488" i="5"/>
  <c r="J488" i="5" s="1"/>
  <c r="K488" i="5" s="1"/>
  <c r="I456" i="5"/>
  <c r="J456" i="5" s="1"/>
  <c r="K456" i="5" s="1"/>
  <c r="I64" i="5"/>
  <c r="J64" i="5" s="1"/>
  <c r="K64" i="5" s="1"/>
  <c r="I384" i="5"/>
  <c r="J384" i="5" s="1"/>
  <c r="K384" i="5" s="1"/>
  <c r="I189" i="5"/>
  <c r="J189" i="5" s="1"/>
  <c r="K189" i="5" s="1"/>
  <c r="I476" i="5"/>
  <c r="J476" i="5" s="1"/>
  <c r="K476" i="5" s="1"/>
  <c r="I289" i="5"/>
  <c r="J289" i="5" s="1"/>
  <c r="K289" i="5" s="1"/>
  <c r="I462" i="5"/>
  <c r="J462" i="5" s="1"/>
  <c r="K462" i="5" s="1"/>
  <c r="I418" i="5"/>
  <c r="J418" i="5" s="1"/>
  <c r="K418" i="5" s="1"/>
  <c r="I477" i="5"/>
  <c r="J477" i="5" s="1"/>
  <c r="K477" i="5" s="1"/>
  <c r="I120" i="5"/>
  <c r="J120" i="5" s="1"/>
  <c r="K120" i="5" s="1"/>
  <c r="I406" i="5"/>
  <c r="J406" i="5" s="1"/>
  <c r="K406" i="5" s="1"/>
  <c r="I56" i="5"/>
  <c r="J56" i="5" s="1"/>
  <c r="K56" i="5" s="1"/>
  <c r="I395" i="5"/>
  <c r="J395" i="5" s="1"/>
  <c r="K395" i="5" s="1"/>
  <c r="I336" i="5"/>
  <c r="J336" i="5" s="1"/>
  <c r="K336" i="5" s="1"/>
  <c r="I404" i="5"/>
  <c r="J404" i="5" s="1"/>
  <c r="K404" i="5" s="1"/>
  <c r="I197" i="5"/>
  <c r="J197" i="5" s="1"/>
  <c r="K197" i="5" s="1"/>
  <c r="I240" i="5"/>
  <c r="J240" i="5" s="1"/>
  <c r="K240" i="5" s="1"/>
  <c r="I323" i="5"/>
  <c r="J323" i="5" s="1"/>
  <c r="K323" i="5" s="1"/>
  <c r="I447" i="5"/>
  <c r="J447" i="5" s="1"/>
  <c r="K447" i="5" s="1"/>
  <c r="I179" i="5"/>
  <c r="J179" i="5" s="1"/>
  <c r="K179" i="5" s="1"/>
  <c r="I304" i="5"/>
  <c r="J304" i="5" s="1"/>
  <c r="K304" i="5" s="1"/>
  <c r="I130" i="5"/>
  <c r="J130" i="5" s="1"/>
  <c r="K130" i="5" s="1"/>
  <c r="I114" i="5"/>
  <c r="J114" i="5" s="1"/>
  <c r="K114" i="5" s="1"/>
  <c r="I436" i="5"/>
  <c r="J436" i="5" s="1"/>
  <c r="K436" i="5" s="1"/>
  <c r="I232" i="5"/>
  <c r="J232" i="5" s="1"/>
  <c r="K232" i="5" s="1"/>
  <c r="I419" i="5"/>
  <c r="J419" i="5" s="1"/>
  <c r="K419" i="5" s="1"/>
  <c r="I136" i="5"/>
  <c r="J136" i="5" s="1"/>
  <c r="K136" i="5" s="1"/>
  <c r="I302" i="5"/>
  <c r="J302" i="5" s="1"/>
  <c r="K302" i="5" s="1"/>
  <c r="I446" i="5"/>
  <c r="J446" i="5" s="1"/>
  <c r="K446" i="5" s="1"/>
  <c r="I484" i="5"/>
  <c r="J484" i="5" s="1"/>
  <c r="K484" i="5" s="1"/>
  <c r="I481" i="5"/>
  <c r="J481" i="5" s="1"/>
  <c r="K481" i="5" s="1"/>
  <c r="I367" i="5"/>
  <c r="J367" i="5" s="1"/>
  <c r="K367" i="5" s="1"/>
  <c r="I287" i="5"/>
  <c r="J287" i="5" s="1"/>
  <c r="K287" i="5" s="1"/>
  <c r="I227" i="5"/>
  <c r="J227" i="5" s="1"/>
  <c r="K227" i="5" s="1"/>
  <c r="I187" i="5"/>
  <c r="J187" i="5" s="1"/>
  <c r="K187" i="5" s="1"/>
  <c r="I382" i="5"/>
  <c r="J382" i="5" s="1"/>
  <c r="K382" i="5" s="1"/>
  <c r="I334" i="5"/>
  <c r="J334" i="5" s="1"/>
  <c r="K334" i="5" s="1"/>
  <c r="I182" i="5"/>
  <c r="J182" i="5" s="1"/>
  <c r="K182" i="5" s="1"/>
  <c r="I422" i="5"/>
  <c r="J422" i="5" s="1"/>
  <c r="K422" i="5" s="1"/>
  <c r="I485" i="5"/>
  <c r="J485" i="5" s="1"/>
  <c r="K485" i="5" s="1"/>
  <c r="I172" i="5"/>
  <c r="J172" i="5" s="1"/>
  <c r="K172" i="5" s="1"/>
  <c r="I362" i="5"/>
  <c r="J362" i="5" s="1"/>
  <c r="K362" i="5" s="1"/>
  <c r="I301" i="5"/>
  <c r="J301" i="5" s="1"/>
  <c r="K301" i="5" s="1"/>
  <c r="I309" i="5"/>
  <c r="J309" i="5" s="1"/>
  <c r="K309" i="5" s="1"/>
  <c r="I258" i="5"/>
  <c r="J258" i="5" s="1"/>
  <c r="K258" i="5" s="1"/>
  <c r="I236" i="5"/>
  <c r="J236" i="5" s="1"/>
  <c r="K236" i="5" s="1"/>
  <c r="I198" i="5"/>
  <c r="J198" i="5" s="1"/>
  <c r="K198" i="5" s="1"/>
  <c r="I497" i="5"/>
  <c r="J497" i="5" s="1"/>
  <c r="K497" i="5" s="1"/>
  <c r="I429" i="5"/>
  <c r="J429" i="5" s="1"/>
  <c r="K429" i="5" s="1"/>
  <c r="I153" i="5"/>
  <c r="J153" i="5" s="1"/>
  <c r="K153" i="5" s="1"/>
  <c r="I12" i="5"/>
  <c r="J12" i="5" s="1"/>
  <c r="K12" i="5" s="1"/>
  <c r="I19" i="5"/>
  <c r="J19" i="5" s="1"/>
  <c r="K19" i="5" s="1"/>
  <c r="I55" i="5"/>
  <c r="J55" i="5" s="1"/>
  <c r="K55" i="5" s="1"/>
  <c r="I78" i="5"/>
  <c r="J78" i="5" s="1"/>
  <c r="K78" i="5" s="1"/>
  <c r="I299" i="5"/>
  <c r="J299" i="5" s="1"/>
  <c r="K299" i="5" s="1"/>
  <c r="I424" i="5"/>
  <c r="J424" i="5" s="1"/>
  <c r="K424" i="5" s="1"/>
  <c r="I63" i="5"/>
  <c r="J63" i="5" s="1"/>
  <c r="K63" i="5" s="1"/>
  <c r="I293" i="5"/>
  <c r="J293" i="5" s="1"/>
  <c r="K293" i="5" s="1"/>
  <c r="I221" i="5"/>
  <c r="J221" i="5" s="1"/>
  <c r="K221" i="5" s="1"/>
  <c r="I241" i="5"/>
  <c r="J241" i="5" s="1"/>
  <c r="K241" i="5" s="1"/>
  <c r="I173" i="5"/>
  <c r="J173" i="5" s="1"/>
  <c r="K173" i="5" s="1"/>
  <c r="I112" i="5"/>
  <c r="J112" i="5" s="1"/>
  <c r="K112" i="5" s="1"/>
  <c r="I61" i="5"/>
  <c r="J61" i="5" s="1"/>
  <c r="K61" i="5" s="1"/>
  <c r="I145" i="5"/>
  <c r="J145" i="5" s="1"/>
  <c r="K145" i="5" s="1"/>
  <c r="I271" i="5"/>
  <c r="J271" i="5" s="1"/>
  <c r="K271" i="5" s="1"/>
  <c r="I99" i="5"/>
  <c r="J99" i="5" s="1"/>
  <c r="K99" i="5" s="1"/>
  <c r="I157" i="5"/>
  <c r="J157" i="5" s="1"/>
  <c r="K157" i="5" s="1"/>
  <c r="I321" i="5"/>
  <c r="J321" i="5" s="1"/>
  <c r="K321" i="5" s="1"/>
  <c r="I160" i="5"/>
  <c r="J160" i="5" s="1"/>
  <c r="K160" i="5" s="1"/>
  <c r="I74" i="5"/>
  <c r="J74" i="5" s="1"/>
  <c r="K74" i="5" s="1"/>
  <c r="I35" i="5"/>
  <c r="J35" i="5" s="1"/>
  <c r="K35" i="5" s="1"/>
  <c r="I5" i="5"/>
  <c r="J5" i="5" s="1"/>
  <c r="K5" i="5" s="1"/>
  <c r="I253" i="5"/>
  <c r="J253" i="5" s="1"/>
  <c r="K253" i="5" s="1"/>
  <c r="I417" i="5"/>
  <c r="J417" i="5" s="1"/>
  <c r="K417" i="5" s="1"/>
  <c r="I466" i="5"/>
  <c r="J466" i="5" s="1"/>
  <c r="K466" i="5" s="1"/>
  <c r="I467" i="5"/>
  <c r="J467" i="5" s="1"/>
  <c r="K467" i="5" s="1"/>
  <c r="I433" i="5"/>
  <c r="J433" i="5" s="1"/>
  <c r="K433" i="5" s="1"/>
  <c r="I222" i="5"/>
  <c r="J222" i="5" s="1"/>
  <c r="K222" i="5" s="1"/>
  <c r="I394" i="5"/>
  <c r="J394" i="5" s="1"/>
  <c r="K394" i="5" s="1"/>
  <c r="I337" i="5"/>
  <c r="J337" i="5" s="1"/>
  <c r="K337" i="5" s="1"/>
  <c r="I502" i="5"/>
  <c r="J502" i="5" s="1"/>
  <c r="K502" i="5" s="1"/>
  <c r="I96" i="5"/>
  <c r="J96" i="5" s="1"/>
  <c r="K96" i="5" s="1"/>
  <c r="I83" i="5"/>
  <c r="J83" i="5" s="1"/>
  <c r="K83" i="5" s="1"/>
  <c r="I490" i="5"/>
  <c r="J490" i="5" s="1"/>
  <c r="K490" i="5" s="1"/>
  <c r="I441" i="5"/>
  <c r="J441" i="5" s="1"/>
  <c r="K441" i="5" s="1"/>
  <c r="I280" i="5"/>
  <c r="J280" i="5" s="1"/>
  <c r="K280" i="5" s="1"/>
  <c r="I383" i="5"/>
  <c r="J383" i="5" s="1"/>
  <c r="K383" i="5" s="1"/>
  <c r="I237" i="5"/>
  <c r="J237" i="5" s="1"/>
  <c r="K237" i="5" s="1"/>
  <c r="I215" i="5"/>
  <c r="J215" i="5" s="1"/>
  <c r="K215" i="5" s="1"/>
  <c r="I315" i="5"/>
  <c r="J315" i="5" s="1"/>
  <c r="K315" i="5" s="1"/>
  <c r="I296" i="5"/>
  <c r="J296" i="5" s="1"/>
  <c r="K296" i="5" s="1"/>
  <c r="I109" i="5"/>
  <c r="J109" i="5" s="1"/>
  <c r="K109" i="5" s="1"/>
  <c r="I268" i="5"/>
  <c r="J268" i="5" s="1"/>
  <c r="K268" i="5" s="1"/>
  <c r="I372" i="5"/>
  <c r="J372" i="5" s="1"/>
  <c r="K372" i="5" s="1"/>
  <c r="I420" i="5"/>
  <c r="J420" i="5" s="1"/>
  <c r="K420" i="5" s="1"/>
  <c r="I195" i="5"/>
  <c r="J195" i="5" s="1"/>
  <c r="K195" i="5" s="1"/>
  <c r="I142" i="5"/>
  <c r="J142" i="5" s="1"/>
  <c r="K142" i="5" s="1"/>
  <c r="I381" i="5"/>
  <c r="J381" i="5" s="1"/>
  <c r="K381" i="5" s="1"/>
  <c r="I38" i="5"/>
  <c r="J38" i="5" s="1"/>
  <c r="K38" i="5" s="1"/>
  <c r="I452" i="5"/>
  <c r="J452" i="5" s="1"/>
  <c r="K452" i="5" s="1"/>
  <c r="I11" i="5"/>
  <c r="J11" i="5" s="1"/>
  <c r="K11" i="5" s="1"/>
  <c r="I211" i="5"/>
  <c r="J211" i="5" s="1"/>
  <c r="K211" i="5" s="1"/>
  <c r="I402" i="5"/>
  <c r="J402" i="5" s="1"/>
  <c r="K402" i="5" s="1"/>
  <c r="I204" i="5"/>
  <c r="J204" i="5" s="1"/>
  <c r="K204" i="5" s="1"/>
  <c r="I407" i="5"/>
  <c r="J407" i="5" s="1"/>
  <c r="K407" i="5" s="1"/>
  <c r="I292" i="5"/>
  <c r="J292" i="5" s="1"/>
  <c r="K292" i="5" s="1"/>
  <c r="I427" i="5"/>
  <c r="J427" i="5" s="1"/>
  <c r="K427" i="5" s="1"/>
  <c r="I489" i="5"/>
  <c r="J489" i="5" s="1"/>
  <c r="K489" i="5" s="1"/>
  <c r="I254" i="5"/>
  <c r="J254" i="5" s="1"/>
  <c r="K254" i="5" s="1"/>
  <c r="I439" i="5"/>
  <c r="J439" i="5" s="1"/>
  <c r="K439" i="5" s="1"/>
  <c r="I164" i="5"/>
  <c r="J164" i="5" s="1"/>
  <c r="K164" i="5" s="1"/>
  <c r="I102" i="5"/>
  <c r="J102" i="5" s="1"/>
  <c r="K102" i="5" s="1"/>
  <c r="I430" i="5"/>
  <c r="J430" i="5" s="1"/>
  <c r="K430" i="5" s="1"/>
  <c r="I359" i="5"/>
  <c r="J359" i="5" s="1"/>
  <c r="K359" i="5" s="1"/>
  <c r="I30" i="5"/>
  <c r="J30" i="5" s="1"/>
  <c r="K30" i="5" s="1"/>
  <c r="I122" i="5"/>
  <c r="J122" i="5" s="1"/>
  <c r="K122" i="5" s="1"/>
  <c r="I220" i="5"/>
  <c r="J220" i="5" s="1"/>
  <c r="K220" i="5" s="1"/>
  <c r="I318" i="5"/>
  <c r="J318" i="5" s="1"/>
  <c r="K318" i="5" s="1"/>
  <c r="I250" i="5"/>
  <c r="J250" i="5" s="1"/>
  <c r="K250" i="5" s="1"/>
  <c r="I291" i="5"/>
  <c r="J291" i="5" s="1"/>
  <c r="K291" i="5" s="1"/>
  <c r="I256" i="5"/>
  <c r="J256" i="5" s="1"/>
  <c r="K256" i="5" s="1"/>
  <c r="I39" i="5"/>
  <c r="J39" i="5" s="1"/>
  <c r="K39" i="5" s="1"/>
  <c r="I235" i="5"/>
  <c r="J235" i="5" s="1"/>
  <c r="K235" i="5" s="1"/>
  <c r="I478" i="5"/>
  <c r="J478" i="5" s="1"/>
  <c r="K478" i="5" s="1"/>
  <c r="I415" i="5"/>
  <c r="J415" i="5" s="1"/>
  <c r="K415" i="5" s="1"/>
  <c r="I375" i="5"/>
  <c r="J375" i="5" s="1"/>
  <c r="K375" i="5" s="1"/>
  <c r="I14" i="5"/>
  <c r="J14" i="5" s="1"/>
  <c r="K14" i="5" s="1"/>
  <c r="I40" i="5"/>
  <c r="J40" i="5" s="1"/>
  <c r="K40" i="5" s="1"/>
  <c r="I259" i="5"/>
  <c r="J259" i="5" s="1"/>
  <c r="K259" i="5" s="1"/>
  <c r="I400" i="5"/>
  <c r="J400" i="5" s="1"/>
  <c r="K400" i="5" s="1"/>
  <c r="I303" i="5"/>
  <c r="J303" i="5" s="1"/>
  <c r="K303" i="5" s="1"/>
  <c r="I162" i="5"/>
  <c r="J162" i="5" s="1"/>
  <c r="K162" i="5" s="1"/>
  <c r="I212" i="5"/>
  <c r="J212" i="5" s="1"/>
  <c r="K212" i="5" s="1"/>
  <c r="I371" i="5"/>
  <c r="J371" i="5" s="1"/>
  <c r="K371" i="5" s="1"/>
  <c r="I451" i="5"/>
  <c r="J451" i="5" s="1"/>
  <c r="K451" i="5" s="1"/>
  <c r="I152" i="5"/>
  <c r="J152" i="5" s="1"/>
  <c r="K152" i="5" s="1"/>
  <c r="I398" i="5"/>
  <c r="J398" i="5" s="1"/>
  <c r="K398" i="5" s="1"/>
  <c r="I495" i="5"/>
  <c r="J495" i="5" s="1"/>
  <c r="K495" i="5" s="1"/>
  <c r="I208" i="5"/>
  <c r="J208" i="5" s="1"/>
  <c r="K208" i="5" s="1"/>
  <c r="I242" i="5"/>
  <c r="J242" i="5" s="1"/>
  <c r="K242" i="5" s="1"/>
  <c r="I389" i="5"/>
  <c r="J389" i="5" s="1"/>
  <c r="K389" i="5" s="1"/>
  <c r="I314" i="5"/>
  <c r="J314" i="5" s="1"/>
  <c r="K314" i="5" s="1"/>
  <c r="I335" i="5"/>
  <c r="J335" i="5" s="1"/>
  <c r="K335" i="5" s="1"/>
  <c r="I332" i="5"/>
  <c r="J332" i="5" s="1"/>
  <c r="K332" i="5" s="1"/>
  <c r="I213" i="5"/>
  <c r="J213" i="5" s="1"/>
  <c r="K213" i="5" s="1"/>
  <c r="I116" i="5"/>
  <c r="J116" i="5" s="1"/>
  <c r="K116" i="5" s="1"/>
  <c r="I90" i="5"/>
  <c r="J90" i="5" s="1"/>
  <c r="K90" i="5" s="1"/>
  <c r="I229" i="5"/>
  <c r="J229" i="5" s="1"/>
  <c r="K229" i="5" s="1"/>
  <c r="I431" i="5"/>
  <c r="J431" i="5" s="1"/>
  <c r="K431" i="5" s="1"/>
  <c r="I487" i="5"/>
  <c r="J487" i="5" s="1"/>
  <c r="K487" i="5" s="1"/>
  <c r="I504" i="5"/>
  <c r="J504" i="5" s="1"/>
  <c r="K504" i="5" s="1"/>
  <c r="I246" i="5"/>
  <c r="J246" i="5" s="1"/>
  <c r="K246" i="5" s="1"/>
  <c r="I180" i="5"/>
  <c r="J180" i="5" s="1"/>
  <c r="K180" i="5" s="1"/>
  <c r="I159" i="5"/>
  <c r="J159" i="5" s="1"/>
  <c r="K159" i="5" s="1"/>
  <c r="I144" i="5"/>
  <c r="J144" i="5" s="1"/>
  <c r="K144" i="5" s="1"/>
  <c r="I48" i="5"/>
  <c r="J48" i="5" s="1"/>
  <c r="K48" i="5" s="1"/>
  <c r="I313" i="5"/>
  <c r="J313" i="5" s="1"/>
  <c r="K313" i="5" s="1"/>
  <c r="I282" i="5"/>
  <c r="J282" i="5" s="1"/>
  <c r="K282" i="5" s="1"/>
  <c r="I405" i="5"/>
  <c r="J405" i="5" s="1"/>
  <c r="K405" i="5" s="1"/>
  <c r="I425" i="5"/>
  <c r="J425" i="5" s="1"/>
  <c r="K425" i="5" s="1"/>
  <c r="I333" i="5"/>
  <c r="J333" i="5" s="1"/>
  <c r="K333" i="5" s="1"/>
  <c r="I231" i="5"/>
  <c r="J231" i="5" s="1"/>
  <c r="K231" i="5" s="1"/>
  <c r="I411" i="5"/>
  <c r="J411" i="5" s="1"/>
  <c r="K411" i="5" s="1"/>
  <c r="I380" i="5"/>
  <c r="J380" i="5" s="1"/>
  <c r="K380" i="5" s="1"/>
  <c r="I135" i="5"/>
  <c r="J135" i="5" s="1"/>
  <c r="K135" i="5" s="1"/>
  <c r="I392" i="5"/>
  <c r="J392" i="5" s="1"/>
  <c r="K392" i="5" s="1"/>
  <c r="I503" i="5"/>
  <c r="J503" i="5" s="1"/>
  <c r="K503" i="5" s="1"/>
  <c r="I325" i="5"/>
  <c r="J325" i="5" s="1"/>
  <c r="K325" i="5" s="1"/>
  <c r="I284" i="5"/>
  <c r="J284" i="5" s="1"/>
  <c r="K284" i="5" s="1"/>
  <c r="I209" i="5"/>
  <c r="J209" i="5" s="1"/>
  <c r="K209" i="5" s="1"/>
  <c r="I41" i="5"/>
  <c r="J41" i="5" s="1"/>
  <c r="K41" i="5" s="1"/>
  <c r="I76" i="5"/>
  <c r="J76" i="5" s="1"/>
  <c r="K76" i="5" s="1"/>
  <c r="I67" i="5"/>
  <c r="J67" i="5" s="1"/>
  <c r="K67" i="5" s="1"/>
  <c r="I165" i="5"/>
  <c r="J165" i="5" s="1"/>
  <c r="K165" i="5" s="1"/>
  <c r="I379" i="5"/>
  <c r="J379" i="5" s="1"/>
  <c r="K379" i="5" s="1"/>
  <c r="I234" i="5"/>
  <c r="J234" i="5" s="1"/>
  <c r="K234" i="5" s="1"/>
  <c r="I226" i="5"/>
  <c r="J226" i="5" s="1"/>
  <c r="K226" i="5" s="1"/>
  <c r="I283" i="5"/>
  <c r="J283" i="5" s="1"/>
  <c r="K283" i="5" s="1"/>
  <c r="I98" i="5"/>
  <c r="J98" i="5" s="1"/>
  <c r="K98" i="5" s="1"/>
  <c r="I364" i="5"/>
  <c r="J364" i="5" s="1"/>
  <c r="K364" i="5" s="1"/>
  <c r="I121" i="5"/>
  <c r="J121" i="5" s="1"/>
  <c r="K121" i="5" s="1"/>
  <c r="I264" i="5"/>
  <c r="J264" i="5" s="1"/>
  <c r="K264" i="5" s="1"/>
  <c r="I248" i="5"/>
  <c r="J248" i="5" s="1"/>
  <c r="K248" i="5" s="1"/>
  <c r="I470" i="5"/>
  <c r="J470" i="5" s="1"/>
  <c r="K470" i="5" s="1"/>
  <c r="I308" i="5"/>
  <c r="J308" i="5" s="1"/>
  <c r="K308" i="5" s="1"/>
  <c r="I358" i="5"/>
  <c r="J358" i="5" s="1"/>
  <c r="K358" i="5" s="1"/>
  <c r="I363" i="5"/>
  <c r="J363" i="5" s="1"/>
  <c r="K363" i="5" s="1"/>
  <c r="I329" i="5"/>
  <c r="J329" i="5" s="1"/>
  <c r="K329" i="5" s="1"/>
  <c r="I47" i="5"/>
  <c r="J47" i="5" s="1"/>
  <c r="K47" i="5" s="1"/>
  <c r="I297" i="5"/>
  <c r="J297" i="5" s="1"/>
  <c r="K297" i="5" s="1"/>
  <c r="I18" i="5"/>
  <c r="J18" i="5" s="1"/>
  <c r="K18" i="5" s="1"/>
  <c r="I356" i="5"/>
  <c r="J356" i="5" s="1"/>
  <c r="K356" i="5" s="1"/>
  <c r="I124" i="5"/>
  <c r="J124" i="5" s="1"/>
  <c r="K124" i="5" s="1"/>
  <c r="I6" i="5"/>
  <c r="J6" i="5" s="1"/>
  <c r="K6" i="5" s="1"/>
  <c r="I43" i="5"/>
  <c r="J43" i="5" s="1"/>
  <c r="K43" i="5" s="1"/>
  <c r="I206" i="5"/>
  <c r="J206" i="5" s="1"/>
  <c r="K206" i="5" s="1"/>
  <c r="I191" i="5"/>
  <c r="J191" i="5" s="1"/>
  <c r="K191" i="5" s="1"/>
  <c r="I181" i="5"/>
  <c r="J181" i="5" s="1"/>
  <c r="K181" i="5" s="1"/>
  <c r="I89" i="5"/>
  <c r="J89" i="5" s="1"/>
  <c r="K89" i="5" s="1"/>
  <c r="I100" i="5"/>
  <c r="J100" i="5" s="1"/>
  <c r="K100" i="5" s="1"/>
  <c r="I393" i="5"/>
  <c r="J393" i="5" s="1"/>
  <c r="K393" i="5" s="1"/>
  <c r="I347" i="5"/>
  <c r="J347" i="5" s="1"/>
  <c r="K347" i="5" s="1"/>
  <c r="I178" i="5"/>
  <c r="J178" i="5" s="1"/>
  <c r="K178" i="5" s="1"/>
  <c r="I493" i="5"/>
  <c r="J493" i="5" s="1"/>
  <c r="K493" i="5" s="1"/>
  <c r="I106" i="5"/>
  <c r="J106" i="5" s="1"/>
  <c r="K106" i="5" s="1"/>
  <c r="I391" i="5"/>
  <c r="J391" i="5" s="1"/>
  <c r="K391" i="5" s="1"/>
  <c r="I328" i="5"/>
  <c r="J328" i="5" s="1"/>
  <c r="K328" i="5" s="1"/>
  <c r="I469" i="5"/>
  <c r="J469" i="5" s="1"/>
  <c r="K469" i="5" s="1"/>
  <c r="I416" i="5"/>
  <c r="J416" i="5" s="1"/>
  <c r="K416" i="5" s="1"/>
  <c r="I201" i="5"/>
  <c r="J201" i="5" s="1"/>
  <c r="K201" i="5" s="1"/>
  <c r="I66" i="5"/>
  <c r="J66" i="5" s="1"/>
  <c r="K66" i="5" s="1"/>
  <c r="I450" i="5"/>
  <c r="J450" i="5" s="1"/>
  <c r="K450" i="5" s="1"/>
  <c r="I244" i="5"/>
  <c r="J244" i="5" s="1"/>
  <c r="K244" i="5" s="1"/>
  <c r="I377" i="5"/>
  <c r="J377" i="5" s="1"/>
  <c r="K377" i="5" s="1"/>
  <c r="I25" i="5"/>
  <c r="J25" i="5" s="1"/>
  <c r="K25" i="5" s="1"/>
  <c r="I203" i="5"/>
  <c r="J203" i="5" s="1"/>
  <c r="K203" i="5" s="1"/>
  <c r="I82" i="5"/>
  <c r="J82" i="5" s="1"/>
  <c r="K82" i="5" s="1"/>
  <c r="I143" i="5"/>
  <c r="J143" i="5" s="1"/>
  <c r="K143" i="5" s="1"/>
  <c r="I46" i="5"/>
  <c r="J46" i="5" s="1"/>
  <c r="K46" i="5" s="1"/>
  <c r="I117" i="5"/>
  <c r="J117" i="5" s="1"/>
  <c r="K117" i="5" s="1"/>
  <c r="I155" i="5"/>
  <c r="J155" i="5" s="1"/>
  <c r="K155" i="5" s="1"/>
  <c r="I68" i="5"/>
  <c r="J68" i="5" s="1"/>
  <c r="K68" i="5" s="1"/>
  <c r="I216" i="5"/>
  <c r="J216" i="5" s="1"/>
  <c r="K216" i="5" s="1"/>
  <c r="I103" i="5"/>
  <c r="J103" i="5" s="1"/>
  <c r="K103" i="5" s="1"/>
  <c r="I352" i="5"/>
  <c r="J352" i="5" s="1"/>
  <c r="K352" i="5" s="1"/>
  <c r="I366" i="5"/>
  <c r="J366" i="5" s="1"/>
  <c r="K366" i="5" s="1"/>
  <c r="I499" i="5"/>
  <c r="J499" i="5" s="1"/>
  <c r="K499" i="5" s="1"/>
  <c r="I463" i="5"/>
  <c r="J463" i="5" s="1"/>
  <c r="K463" i="5" s="1"/>
  <c r="I348" i="5"/>
  <c r="J348" i="5" s="1"/>
  <c r="K348" i="5" s="1"/>
  <c r="I369" i="5"/>
  <c r="J369" i="5" s="1"/>
  <c r="K369" i="5" s="1"/>
  <c r="I455" i="5"/>
  <c r="J455" i="5" s="1"/>
  <c r="K455" i="5" s="1"/>
  <c r="I320" i="5"/>
  <c r="J320" i="5" s="1"/>
  <c r="K320" i="5" s="1"/>
  <c r="I330" i="5"/>
  <c r="J330" i="5" s="1"/>
  <c r="K330" i="5" s="1"/>
  <c r="I457" i="5"/>
  <c r="J457" i="5" s="1"/>
  <c r="K457" i="5" s="1"/>
  <c r="I442" i="5"/>
  <c r="J442" i="5" s="1"/>
  <c r="K442" i="5" s="1"/>
  <c r="I432" i="5"/>
  <c r="J432" i="5" s="1"/>
  <c r="K432" i="5" s="1"/>
  <c r="I105" i="5"/>
  <c r="J105" i="5" s="1"/>
  <c r="K105" i="5" s="1"/>
  <c r="I351" i="5"/>
  <c r="J351" i="5" s="1"/>
  <c r="K351" i="5" s="1"/>
  <c r="I233" i="5"/>
  <c r="J233" i="5" s="1"/>
  <c r="K233" i="5" s="1"/>
  <c r="I279" i="5"/>
  <c r="J279" i="5" s="1"/>
  <c r="K279" i="5" s="1"/>
  <c r="I388" i="5"/>
  <c r="J388" i="5" s="1"/>
  <c r="K388" i="5" s="1"/>
  <c r="I223" i="5"/>
  <c r="J223" i="5" s="1"/>
  <c r="K223" i="5" s="1"/>
  <c r="I345" i="5"/>
  <c r="J345" i="5" s="1"/>
  <c r="K345" i="5" s="1"/>
  <c r="I443" i="5"/>
  <c r="J443" i="5" s="1"/>
  <c r="K443" i="5" s="1"/>
  <c r="I269" i="5"/>
  <c r="J269" i="5" s="1"/>
  <c r="K269" i="5" s="1"/>
  <c r="I472" i="5"/>
  <c r="J472" i="5" s="1"/>
  <c r="K472" i="5" s="1"/>
  <c r="I437" i="5"/>
  <c r="J437" i="5" s="1"/>
  <c r="K437" i="5" s="1"/>
  <c r="I486" i="5"/>
  <c r="J486" i="5" s="1"/>
  <c r="K486" i="5" s="1"/>
  <c r="I423" i="5"/>
  <c r="J423" i="5" s="1"/>
  <c r="K423" i="5" s="1"/>
  <c r="I298" i="5"/>
  <c r="J298" i="5" s="1"/>
  <c r="K298" i="5" s="1"/>
  <c r="I306" i="5"/>
  <c r="J306" i="5" s="1"/>
  <c r="K306" i="5" s="1"/>
  <c r="I278" i="5"/>
  <c r="J278" i="5" s="1"/>
  <c r="K278" i="5" s="1"/>
  <c r="I238" i="5"/>
  <c r="J238" i="5" s="1"/>
  <c r="K238" i="5" s="1"/>
  <c r="I243" i="5"/>
  <c r="J243" i="5" s="1"/>
  <c r="K243" i="5" s="1"/>
  <c r="I228" i="5"/>
  <c r="J228" i="5" s="1"/>
  <c r="K228" i="5" s="1"/>
  <c r="I461" i="5"/>
  <c r="J461" i="5" s="1"/>
  <c r="K461" i="5" s="1"/>
  <c r="I184" i="5"/>
  <c r="J184" i="5" s="1"/>
  <c r="K184" i="5" s="1"/>
  <c r="I342" i="5"/>
  <c r="J342" i="5" s="1"/>
  <c r="K342" i="5" s="1"/>
  <c r="I445" i="5"/>
  <c r="J445" i="5" s="1"/>
  <c r="K445" i="5" s="1"/>
  <c r="I210" i="5"/>
  <c r="J210" i="5" s="1"/>
  <c r="K210" i="5" s="1"/>
  <c r="I339" i="5"/>
  <c r="J339" i="5" s="1"/>
  <c r="K339" i="5" s="1"/>
  <c r="I322" i="5"/>
  <c r="J322" i="5" s="1"/>
  <c r="K322" i="5" s="1"/>
  <c r="I169" i="5"/>
  <c r="J169" i="5" s="1"/>
  <c r="K169" i="5" s="1"/>
  <c r="I491" i="5"/>
  <c r="J491" i="5" s="1"/>
  <c r="K491" i="5" s="1"/>
  <c r="I474" i="5"/>
  <c r="J474" i="5" s="1"/>
  <c r="K474" i="5" s="1"/>
  <c r="I434" i="5"/>
  <c r="J434" i="5" s="1"/>
  <c r="K434" i="5" s="1"/>
  <c r="I288" i="5"/>
  <c r="J288" i="5" s="1"/>
  <c r="K288" i="5" s="1"/>
  <c r="I263" i="5"/>
  <c r="J263" i="5" s="1"/>
  <c r="K263" i="5" s="1"/>
  <c r="I396" i="5"/>
  <c r="J396" i="5" s="1"/>
  <c r="K396" i="5" s="1"/>
  <c r="I386" i="5"/>
  <c r="J386" i="5" s="1"/>
  <c r="K386" i="5" s="1"/>
  <c r="I275" i="5"/>
  <c r="J275" i="5" s="1"/>
  <c r="K275" i="5" s="1"/>
  <c r="I498" i="5"/>
  <c r="J498" i="5" s="1"/>
  <c r="K498" i="5" s="1"/>
  <c r="I127" i="5"/>
  <c r="J127" i="5" s="1"/>
  <c r="K127" i="5" s="1"/>
  <c r="I376" i="5"/>
  <c r="J376" i="5" s="1"/>
  <c r="K376" i="5" s="1"/>
  <c r="I252" i="5"/>
  <c r="J252" i="5" s="1"/>
  <c r="K252" i="5" s="1"/>
  <c r="I188" i="5"/>
  <c r="J188" i="5" s="1"/>
  <c r="K188" i="5" s="1"/>
  <c r="I176" i="5"/>
  <c r="J176" i="5" s="1"/>
  <c r="K176" i="5" s="1"/>
  <c r="I343" i="5"/>
  <c r="J343" i="5" s="1"/>
  <c r="K343" i="5" s="1"/>
  <c r="I317" i="5"/>
  <c r="J317" i="5" s="1"/>
  <c r="K317" i="5" s="1"/>
  <c r="I85" i="5"/>
  <c r="J85" i="5" s="1"/>
  <c r="K85" i="5" s="1"/>
  <c r="I60" i="5"/>
  <c r="J60" i="5" s="1"/>
  <c r="K60" i="5" s="1"/>
  <c r="I267" i="5"/>
  <c r="J267" i="5" s="1"/>
  <c r="K267" i="5" s="1"/>
  <c r="I167" i="5"/>
  <c r="J167" i="5" s="1"/>
  <c r="K167" i="5" s="1"/>
  <c r="I354" i="5"/>
  <c r="J354" i="5" s="1"/>
  <c r="K354" i="5" s="1"/>
  <c r="I139" i="5"/>
  <c r="J139" i="5" s="1"/>
  <c r="K139" i="5" s="1"/>
  <c r="I84" i="5"/>
  <c r="J84" i="5" s="1"/>
  <c r="K84" i="5" s="1"/>
  <c r="I65" i="5"/>
  <c r="J65" i="5" s="1"/>
  <c r="K65" i="5" s="1"/>
  <c r="I219" i="5"/>
  <c r="J219" i="5" s="1"/>
  <c r="K219" i="5" s="1"/>
  <c r="I94" i="5"/>
  <c r="J94" i="5" s="1"/>
  <c r="K94" i="5" s="1"/>
  <c r="I307" i="5"/>
  <c r="J307" i="5" s="1"/>
  <c r="K307" i="5" s="1"/>
  <c r="I15" i="5"/>
  <c r="J15" i="5" s="1"/>
  <c r="K15" i="5" s="1"/>
  <c r="I403" i="5"/>
  <c r="J403" i="5" s="1"/>
  <c r="K403" i="5" s="1"/>
  <c r="I199" i="5"/>
  <c r="J199" i="5" s="1"/>
  <c r="K199" i="5" s="1"/>
  <c r="I290" i="5"/>
  <c r="J290" i="5" s="1"/>
  <c r="K290" i="5" s="1"/>
  <c r="I355" i="5"/>
  <c r="J355" i="5" s="1"/>
  <c r="K355" i="5" s="1"/>
  <c r="I194" i="5"/>
  <c r="J194" i="5" s="1"/>
  <c r="K194" i="5" s="1"/>
  <c r="I31" i="5"/>
  <c r="J31" i="5" s="1"/>
  <c r="K31" i="5" s="1"/>
  <c r="I205" i="5"/>
  <c r="J205" i="5" s="1"/>
  <c r="K205" i="5" s="1"/>
  <c r="I312" i="5"/>
  <c r="J312" i="5" s="1"/>
  <c r="K312" i="5" s="1"/>
  <c r="I126" i="5"/>
  <c r="J126" i="5" s="1"/>
  <c r="K126" i="5" s="1"/>
  <c r="I88" i="5"/>
  <c r="J88" i="5" s="1"/>
  <c r="K88" i="5" s="1"/>
  <c r="I370" i="5"/>
  <c r="J370" i="5" s="1"/>
  <c r="K370" i="5" s="1"/>
  <c r="I202" i="5"/>
  <c r="J202" i="5" s="1"/>
  <c r="K202" i="5" s="1"/>
  <c r="I137" i="5"/>
  <c r="J137" i="5" s="1"/>
  <c r="K137" i="5" s="1"/>
  <c r="I346" i="5"/>
  <c r="J346" i="5" s="1"/>
  <c r="K346" i="5" s="1"/>
  <c r="I79" i="5"/>
  <c r="J79" i="5" s="1"/>
  <c r="K79" i="5" s="1"/>
  <c r="I177" i="5"/>
  <c r="J177" i="5" s="1"/>
  <c r="K177" i="5" s="1"/>
  <c r="I349" i="5"/>
  <c r="J349" i="5" s="1"/>
  <c r="K349" i="5" s="1"/>
  <c r="I399" i="5"/>
  <c r="J399" i="5" s="1"/>
  <c r="K399" i="5" s="1"/>
  <c r="I444" i="5"/>
  <c r="J444" i="5" s="1"/>
  <c r="K444" i="5" s="1"/>
  <c r="I458" i="5"/>
  <c r="J458" i="5" s="1"/>
  <c r="K458" i="5" s="1"/>
  <c r="I28" i="5"/>
  <c r="J28" i="5" s="1"/>
  <c r="K28" i="5" s="1"/>
  <c r="I465" i="5"/>
  <c r="J465" i="5" s="1"/>
  <c r="K465" i="5" s="1"/>
  <c r="I310" i="5"/>
  <c r="J310" i="5" s="1"/>
  <c r="K310" i="5" s="1"/>
  <c r="I274" i="5"/>
  <c r="J274" i="5" s="1"/>
  <c r="K274" i="5" s="1"/>
  <c r="I57" i="5"/>
  <c r="J57" i="5" s="1"/>
  <c r="K57" i="5" s="1"/>
  <c r="I473" i="5"/>
  <c r="J473" i="5" s="1"/>
  <c r="K473" i="5" s="1"/>
  <c r="I93" i="5"/>
  <c r="J93" i="5" s="1"/>
  <c r="K93" i="5" s="1"/>
  <c r="I409" i="5"/>
  <c r="J409" i="5" s="1"/>
  <c r="K409" i="5" s="1"/>
  <c r="I251" i="5"/>
  <c r="J251" i="5" s="1"/>
  <c r="K251" i="5" s="1"/>
  <c r="I262" i="5"/>
  <c r="J262" i="5" s="1"/>
  <c r="K262" i="5" s="1"/>
  <c r="I118" i="5"/>
  <c r="J118" i="5" s="1"/>
  <c r="K118" i="5" s="1"/>
  <c r="I73" i="5"/>
  <c r="J73" i="5" s="1"/>
  <c r="K73" i="5" s="1"/>
  <c r="I58" i="5"/>
  <c r="J58" i="5" s="1"/>
  <c r="K58" i="5" s="1"/>
  <c r="I341" i="5"/>
  <c r="J341" i="5" s="1"/>
  <c r="K341" i="5" s="1"/>
  <c r="I361" i="5"/>
  <c r="J361" i="5" s="1"/>
  <c r="K361" i="5" s="1"/>
  <c r="I440" i="5"/>
  <c r="J440" i="5" s="1"/>
  <c r="K440" i="5" s="1"/>
  <c r="I438" i="5"/>
  <c r="J438" i="5" s="1"/>
  <c r="K438" i="5" s="1"/>
  <c r="I49" i="5"/>
  <c r="J49" i="5" s="1"/>
  <c r="K49" i="5" s="1"/>
  <c r="I421" i="5"/>
  <c r="J421" i="5" s="1"/>
  <c r="K421" i="5" s="1"/>
  <c r="I72" i="5"/>
  <c r="J72" i="5" s="1"/>
  <c r="K72" i="5" s="1"/>
  <c r="I435" i="5"/>
  <c r="J435" i="5" s="1"/>
  <c r="K435" i="5" s="1"/>
  <c r="I378" i="5"/>
  <c r="J378" i="5" s="1"/>
  <c r="K378" i="5" s="1"/>
  <c r="I175" i="5"/>
  <c r="J175" i="5" s="1"/>
  <c r="K175" i="5" s="1"/>
  <c r="I331" i="5"/>
  <c r="J331" i="5" s="1"/>
  <c r="K331" i="5" s="1"/>
  <c r="I26" i="5"/>
  <c r="J26" i="5" s="1"/>
  <c r="K26" i="5" s="1"/>
  <c r="I496" i="5"/>
  <c r="J496" i="5" s="1"/>
  <c r="K496" i="5" s="1"/>
  <c r="I357" i="5"/>
  <c r="J357" i="5" s="1"/>
  <c r="K357" i="5" s="1"/>
  <c r="I401" i="5"/>
  <c r="J401" i="5" s="1"/>
  <c r="K401" i="5" s="1"/>
  <c r="I273" i="5"/>
  <c r="J273" i="5" s="1"/>
  <c r="K273" i="5" s="1"/>
  <c r="I225" i="5"/>
  <c r="J225" i="5" s="1"/>
  <c r="K225" i="5" s="1"/>
  <c r="I365" i="5"/>
  <c r="J365" i="5" s="1"/>
  <c r="K365" i="5" s="1"/>
  <c r="I494" i="5"/>
  <c r="J494" i="5" s="1"/>
  <c r="K494" i="5" s="1"/>
  <c r="I276" i="5"/>
  <c r="J276" i="5" s="1"/>
  <c r="K276" i="5" s="1"/>
  <c r="I454" i="5"/>
  <c r="J454" i="5" s="1"/>
  <c r="K454" i="5" s="1"/>
  <c r="I217" i="5"/>
  <c r="J217" i="5" s="1"/>
  <c r="K217" i="5" s="1"/>
  <c r="I119" i="5"/>
  <c r="J119" i="5" s="1"/>
  <c r="K119" i="5" s="1"/>
  <c r="I500" i="5"/>
  <c r="J500" i="5" s="1"/>
  <c r="K500" i="5" s="1"/>
  <c r="I408" i="5"/>
  <c r="J408" i="5" s="1"/>
  <c r="K408" i="5" s="1"/>
  <c r="I374" i="5"/>
  <c r="J374" i="5" s="1"/>
  <c r="K374" i="5" s="1"/>
  <c r="I368" i="5"/>
  <c r="J368" i="5" s="1"/>
  <c r="K368" i="5" s="1"/>
  <c r="I340" i="5"/>
  <c r="J340" i="5" s="1"/>
  <c r="K340" i="5" s="1"/>
  <c r="I412" i="5"/>
  <c r="J412" i="5" s="1"/>
  <c r="K412" i="5" s="1"/>
  <c r="I413" i="5"/>
  <c r="J413" i="5" s="1"/>
  <c r="K413" i="5" s="1"/>
  <c r="I480" i="5"/>
  <c r="J480" i="5" s="1"/>
  <c r="K480" i="5" s="1"/>
  <c r="I193" i="5"/>
  <c r="J193" i="5" s="1"/>
  <c r="K193" i="5" s="1"/>
  <c r="I453" i="5"/>
  <c r="J453" i="5" s="1"/>
  <c r="K453" i="5" s="1"/>
  <c r="I125" i="5"/>
  <c r="J125" i="5" s="1"/>
  <c r="K125" i="5" s="1"/>
  <c r="I95" i="5"/>
  <c r="J95" i="5" s="1"/>
  <c r="K95" i="5" s="1"/>
  <c r="I171" i="5"/>
  <c r="J171" i="5" s="1"/>
  <c r="K171" i="5" s="1"/>
  <c r="I344" i="5"/>
  <c r="J344" i="5" s="1"/>
  <c r="K344" i="5" s="1"/>
  <c r="I294" i="5"/>
  <c r="J294" i="5" s="1"/>
  <c r="K294" i="5" s="1"/>
  <c r="I70" i="5"/>
  <c r="J70" i="5" s="1"/>
  <c r="K70" i="5" s="1"/>
  <c r="I77" i="5"/>
  <c r="J77" i="5" s="1"/>
  <c r="K77" i="5" s="1"/>
  <c r="I316" i="5"/>
  <c r="J316" i="5" s="1"/>
  <c r="K316" i="5" s="1"/>
  <c r="I281" i="5"/>
  <c r="J281" i="5" s="1"/>
  <c r="K281" i="5" s="1"/>
  <c r="I146" i="5"/>
  <c r="J146" i="5" s="1"/>
  <c r="K146" i="5" s="1"/>
  <c r="I163" i="5"/>
  <c r="J163" i="5" s="1"/>
  <c r="K163" i="5" s="1"/>
  <c r="I81" i="5"/>
  <c r="J81" i="5" s="1"/>
  <c r="K81" i="5" s="1"/>
  <c r="I166" i="5"/>
  <c r="J166" i="5" s="1"/>
  <c r="K166" i="5" s="1"/>
  <c r="I51" i="5"/>
  <c r="J51" i="5" s="1"/>
  <c r="K51" i="5" s="1"/>
  <c r="I353" i="5"/>
  <c r="J353" i="5" s="1"/>
  <c r="K353" i="5" s="1"/>
  <c r="I154" i="5"/>
  <c r="J154" i="5" s="1"/>
  <c r="K154" i="5" s="1"/>
  <c r="I16" i="5"/>
  <c r="J16" i="5" s="1"/>
  <c r="K16" i="5" s="1"/>
  <c r="I158" i="5"/>
  <c r="J158" i="5" s="1"/>
  <c r="K158" i="5" s="1"/>
  <c r="I37" i="5"/>
  <c r="J37" i="5" s="1"/>
  <c r="K37" i="5" s="1"/>
  <c r="I390" i="5"/>
  <c r="J390" i="5" s="1"/>
  <c r="K390" i="5" s="1"/>
  <c r="I196" i="5"/>
  <c r="J196" i="5" s="1"/>
  <c r="K196" i="5" s="1"/>
  <c r="I134" i="5"/>
  <c r="J134" i="5" s="1"/>
  <c r="K134" i="5" s="1"/>
  <c r="I92" i="5"/>
  <c r="J92" i="5" s="1"/>
  <c r="K92" i="5" s="1"/>
  <c r="I27" i="5"/>
  <c r="J27" i="5" s="1"/>
  <c r="K27" i="5" s="1"/>
  <c r="I151" i="5"/>
  <c r="J151" i="5" s="1"/>
  <c r="K151" i="5" s="1"/>
  <c r="I170" i="5"/>
  <c r="J170" i="5" s="1"/>
  <c r="K170" i="5" s="1"/>
  <c r="I42" i="5"/>
  <c r="J42" i="5" s="1"/>
  <c r="K42" i="5" s="1"/>
  <c r="I247" i="5"/>
  <c r="J247" i="5" s="1"/>
  <c r="K247" i="5" s="1"/>
  <c r="I272" i="5"/>
  <c r="J272" i="5" s="1"/>
  <c r="K272" i="5" s="1"/>
  <c r="I245" i="5"/>
  <c r="J245" i="5" s="1"/>
  <c r="K245" i="5" s="1"/>
  <c r="I138" i="5"/>
  <c r="J138" i="5" s="1"/>
  <c r="K138" i="5" s="1"/>
  <c r="I9" i="5"/>
  <c r="J9" i="5" s="1"/>
  <c r="K9" i="5" s="1"/>
  <c r="I101" i="5"/>
  <c r="J101" i="5" s="1"/>
  <c r="K101" i="5" s="1"/>
  <c r="I87" i="5"/>
  <c r="J87" i="5" s="1"/>
  <c r="K87" i="5" s="1"/>
  <c r="I300" i="5"/>
  <c r="J300" i="5" s="1"/>
  <c r="K300" i="5" s="1"/>
  <c r="I34" i="5"/>
  <c r="J34" i="5" s="1"/>
  <c r="K34" i="5" s="1"/>
  <c r="I69" i="5"/>
  <c r="J69" i="5" s="1"/>
  <c r="K69" i="5" s="1"/>
  <c r="I168" i="5"/>
  <c r="J168" i="5" s="1"/>
  <c r="K168" i="5" s="1"/>
  <c r="I21" i="5"/>
  <c r="J21" i="5" s="1"/>
  <c r="K21" i="5" s="1"/>
  <c r="I224" i="5"/>
  <c r="J224" i="5" s="1"/>
  <c r="K224" i="5" s="1"/>
  <c r="I54" i="5"/>
  <c r="J54" i="5" s="1"/>
  <c r="K54" i="5" s="1"/>
  <c r="I75" i="5"/>
  <c r="J75" i="5" s="1"/>
  <c r="K75" i="5" s="1"/>
  <c r="I110" i="5"/>
  <c r="J110" i="5" s="1"/>
  <c r="K110" i="5" s="1"/>
  <c r="I111" i="5"/>
  <c r="J111" i="5" s="1"/>
  <c r="K111" i="5" s="1"/>
  <c r="I324" i="5"/>
  <c r="J324" i="5" s="1"/>
  <c r="K324" i="5" s="1"/>
  <c r="I24" i="5"/>
  <c r="J24" i="5" s="1"/>
  <c r="K24" i="5" s="1"/>
  <c r="I305" i="5"/>
  <c r="J305" i="5" s="1"/>
  <c r="K305" i="5" s="1"/>
  <c r="I13" i="5"/>
  <c r="J13" i="5" s="1"/>
  <c r="K13" i="5" s="1"/>
  <c r="I133" i="5"/>
  <c r="J133" i="5" s="1"/>
  <c r="K133" i="5" s="1"/>
  <c r="I52" i="5"/>
  <c r="J52" i="5" s="1"/>
  <c r="K52" i="5" s="1"/>
  <c r="I249" i="5"/>
  <c r="J249" i="5" s="1"/>
  <c r="K249" i="5" s="1"/>
  <c r="I147" i="5"/>
  <c r="J147" i="5" s="1"/>
  <c r="K147" i="5" s="1"/>
  <c r="I448" i="5"/>
  <c r="J448" i="5" s="1"/>
  <c r="K448" i="5" s="1"/>
  <c r="I36" i="5"/>
  <c r="J36" i="5" s="1"/>
  <c r="K36" i="5" s="1"/>
  <c r="I7" i="5"/>
  <c r="J7" i="5" s="1"/>
  <c r="K7" i="5" s="1"/>
  <c r="I132" i="5"/>
  <c r="J132" i="5" s="1"/>
  <c r="K132" i="5" s="1"/>
  <c r="I10" i="5"/>
  <c r="J10" i="5" s="1"/>
  <c r="K10" i="5" s="1"/>
  <c r="I53" i="5"/>
  <c r="J53" i="5" s="1"/>
  <c r="K53" i="5" s="1"/>
  <c r="I50" i="5"/>
  <c r="J50" i="5" s="1"/>
  <c r="K50" i="5" s="1"/>
  <c r="I218" i="5"/>
  <c r="J218" i="5" s="1"/>
  <c r="K218" i="5" s="1"/>
  <c r="I29" i="5"/>
  <c r="J29" i="5" s="1"/>
  <c r="K29" i="5" s="1"/>
  <c r="I161" i="5"/>
  <c r="J161" i="5" s="1"/>
  <c r="K161" i="5" s="1"/>
  <c r="I140" i="5"/>
  <c r="J140" i="5" s="1"/>
  <c r="K140" i="5" s="1"/>
  <c r="I107" i="5"/>
  <c r="J107" i="5" s="1"/>
  <c r="K107" i="5" s="1"/>
  <c r="I20" i="5"/>
  <c r="J20" i="5" s="1"/>
  <c r="K20" i="5" s="1"/>
  <c r="I150" i="5"/>
  <c r="J150" i="5" s="1"/>
  <c r="K150" i="5" s="1"/>
  <c r="I86" i="5"/>
  <c r="J86" i="5" s="1"/>
  <c r="K86" i="5" s="1"/>
  <c r="I186" i="5"/>
  <c r="J186" i="5" s="1"/>
  <c r="K186" i="5" s="1"/>
  <c r="I449" i="5"/>
  <c r="J449" i="5" s="1"/>
  <c r="K449" i="5" s="1"/>
  <c r="I471" i="5"/>
  <c r="J471" i="5" s="1"/>
  <c r="K471" i="5" s="1"/>
  <c r="I350" i="5"/>
  <c r="J350" i="5" s="1"/>
  <c r="K350" i="5" s="1"/>
  <c r="I91" i="5"/>
  <c r="J91" i="5" s="1"/>
  <c r="K91" i="5" s="1"/>
  <c r="I33" i="5"/>
  <c r="J33" i="5" s="1"/>
  <c r="K33" i="5" s="1"/>
  <c r="I207" i="5"/>
  <c r="J207" i="5" s="1"/>
  <c r="K207" i="5" s="1"/>
  <c r="I22" i="5"/>
  <c r="J22" i="5" s="1"/>
  <c r="K22" i="5" s="1"/>
  <c r="I174" i="5"/>
  <c r="J174" i="5" s="1"/>
  <c r="K174" i="5" s="1"/>
  <c r="I104" i="5"/>
  <c r="J104" i="5" s="1"/>
  <c r="K104" i="5" s="1"/>
  <c r="I190" i="5"/>
  <c r="J190" i="5" s="1"/>
  <c r="K190" i="5" s="1"/>
  <c r="I108" i="5"/>
  <c r="J108" i="5" s="1"/>
  <c r="K108" i="5" s="1"/>
  <c r="I148" i="5"/>
  <c r="J148" i="5" s="1"/>
  <c r="K148" i="5" s="1"/>
  <c r="I123" i="5"/>
  <c r="J123" i="5" s="1"/>
  <c r="K123" i="5" s="1"/>
  <c r="I44" i="5"/>
  <c r="J44" i="5" s="1"/>
  <c r="K44" i="5" s="1"/>
  <c r="S8" i="7"/>
  <c r="C18" i="9"/>
  <c r="S6" i="7"/>
  <c r="C17" i="9"/>
  <c r="S13" i="7"/>
  <c r="S10" i="7"/>
  <c r="S11" i="7"/>
  <c r="S12" i="7"/>
  <c r="N115" i="5" l="1"/>
  <c r="D171" i="6"/>
  <c r="P171" i="6" s="1"/>
  <c r="N373" i="5"/>
  <c r="D165" i="6"/>
  <c r="D161" i="6"/>
  <c r="P161" i="6" s="1"/>
  <c r="N260" i="5"/>
  <c r="D158" i="6"/>
  <c r="N192" i="5"/>
  <c r="N23" i="5"/>
  <c r="D153" i="6"/>
  <c r="P153" i="6" s="1"/>
  <c r="D143" i="6"/>
  <c r="P143" i="6" s="1"/>
  <c r="N8" i="5"/>
  <c r="D131" i="6"/>
  <c r="P131" i="6" s="1"/>
  <c r="N265" i="5"/>
  <c r="N62" i="5"/>
  <c r="D128" i="6"/>
  <c r="P128" i="6" s="1"/>
  <c r="N426" i="5"/>
  <c r="D123" i="6"/>
  <c r="N59" i="5"/>
  <c r="D120" i="6"/>
  <c r="P120" i="6" s="1"/>
  <c r="N71" i="5"/>
  <c r="D117" i="6"/>
  <c r="P117" i="6" s="1"/>
  <c r="N295" i="5"/>
  <c r="D110" i="6"/>
  <c r="P110" i="6" s="1"/>
  <c r="D107" i="6"/>
  <c r="P107" i="6" s="1"/>
  <c r="N32" i="5"/>
  <c r="N261" i="5"/>
  <c r="D105" i="6"/>
  <c r="P105" i="6" s="1"/>
  <c r="N17" i="5"/>
  <c r="D103" i="6"/>
  <c r="P103" i="6" s="1"/>
  <c r="N286" i="5"/>
  <c r="D100" i="6"/>
  <c r="N326" i="5"/>
  <c r="D95" i="6"/>
  <c r="P95" i="6" s="1"/>
  <c r="D91" i="6"/>
  <c r="P91" i="6" s="1"/>
  <c r="N129" i="5"/>
  <c r="N285" i="5"/>
  <c r="D85" i="6"/>
  <c r="P85" i="6" s="1"/>
  <c r="N131" i="5"/>
  <c r="D83" i="6"/>
  <c r="P83" i="6" s="1"/>
  <c r="N80" i="5"/>
  <c r="D75" i="6"/>
  <c r="P75" i="6" s="1"/>
  <c r="D482" i="6"/>
  <c r="N270" i="5"/>
  <c r="N338" i="5"/>
  <c r="D478" i="6"/>
  <c r="P478" i="6" s="1"/>
  <c r="N239" i="5"/>
  <c r="D474" i="6"/>
  <c r="P474" i="6" s="1"/>
  <c r="N156" i="5"/>
  <c r="D472" i="6"/>
  <c r="P472" i="6" s="1"/>
  <c r="N479" i="5"/>
  <c r="D468" i="6"/>
  <c r="D465" i="6"/>
  <c r="P465" i="6" s="1"/>
  <c r="N464" i="5"/>
  <c r="N410" i="5"/>
  <c r="D463" i="6"/>
  <c r="N230" i="5"/>
  <c r="D459" i="6"/>
  <c r="P459" i="6" s="1"/>
  <c r="N183" i="5"/>
  <c r="D458" i="6"/>
  <c r="P458" i="6" s="1"/>
  <c r="N185" i="5"/>
  <c r="D456" i="6"/>
  <c r="P456" i="6" s="1"/>
  <c r="N468" i="5"/>
  <c r="D452" i="6"/>
  <c r="P452" i="6" s="1"/>
  <c r="N141" i="5"/>
  <c r="D450" i="6"/>
  <c r="P450" i="6" s="1"/>
  <c r="N385" i="5"/>
  <c r="D447" i="6"/>
  <c r="N128" i="5"/>
  <c r="D444" i="6"/>
  <c r="P444" i="6" s="1"/>
  <c r="N492" i="5"/>
  <c r="D441" i="6"/>
  <c r="N266" i="5"/>
  <c r="D439" i="6"/>
  <c r="P439" i="6" s="1"/>
  <c r="D437" i="6"/>
  <c r="N482" i="5"/>
  <c r="D434" i="6"/>
  <c r="N360" i="5"/>
  <c r="N45" i="5"/>
  <c r="D432" i="6"/>
  <c r="P432" i="6" s="1"/>
  <c r="N311" i="5"/>
  <c r="D428" i="6"/>
  <c r="P428" i="6" s="1"/>
  <c r="N149" i="5"/>
  <c r="D426" i="6"/>
  <c r="P426" i="6" s="1"/>
  <c r="N327" i="5"/>
  <c r="D423" i="6"/>
  <c r="P423" i="6" s="1"/>
  <c r="N257" i="5"/>
  <c r="D421" i="6"/>
  <c r="P421" i="6" s="1"/>
  <c r="N387" i="5"/>
  <c r="D418" i="6"/>
  <c r="P418" i="6" s="1"/>
  <c r="D416" i="6"/>
  <c r="P416" i="6" s="1"/>
  <c r="N255" i="5"/>
  <c r="N113" i="5"/>
  <c r="D414" i="6"/>
  <c r="P414" i="6" s="1"/>
  <c r="D412" i="6"/>
  <c r="N277" i="5"/>
  <c r="N97" i="5"/>
  <c r="D409" i="6"/>
  <c r="P409" i="6" s="1"/>
  <c r="N475" i="5"/>
  <c r="D407" i="6"/>
  <c r="P407" i="6" s="1"/>
  <c r="N319" i="5"/>
  <c r="D405" i="6"/>
  <c r="P405" i="6" s="1"/>
  <c r="N460" i="5"/>
  <c r="D403" i="6"/>
  <c r="P403" i="6" s="1"/>
  <c r="N501" i="5"/>
  <c r="D401" i="6"/>
  <c r="N397" i="5"/>
  <c r="D397" i="6"/>
  <c r="P397" i="6" s="1"/>
  <c r="N214" i="5"/>
  <c r="D395" i="6"/>
  <c r="P395" i="6" s="1"/>
  <c r="N200" i="5"/>
  <c r="D393" i="6"/>
  <c r="P393" i="6" s="1"/>
  <c r="D389" i="6"/>
  <c r="P389" i="6" s="1"/>
  <c r="N459" i="5"/>
  <c r="N483" i="5"/>
  <c r="D386" i="6"/>
  <c r="D383" i="6"/>
  <c r="N428" i="5"/>
  <c r="N414" i="5"/>
  <c r="D381" i="6"/>
  <c r="P381" i="6" s="1"/>
  <c r="N488" i="5"/>
  <c r="D379" i="6"/>
  <c r="D376" i="6"/>
  <c r="N456" i="5"/>
  <c r="N64" i="5"/>
  <c r="D368" i="6"/>
  <c r="P368" i="6" s="1"/>
  <c r="D365" i="6"/>
  <c r="P365" i="6" s="1"/>
  <c r="N384" i="5"/>
  <c r="N189" i="5"/>
  <c r="D363" i="6"/>
  <c r="P363" i="6" s="1"/>
  <c r="N476" i="5"/>
  <c r="D361" i="6"/>
  <c r="D359" i="6"/>
  <c r="P359" i="6" s="1"/>
  <c r="N289" i="5"/>
  <c r="N462" i="5"/>
  <c r="D356" i="6"/>
  <c r="N418" i="5"/>
  <c r="D354" i="6"/>
  <c r="P354" i="6" s="1"/>
  <c r="N477" i="5"/>
  <c r="D351" i="6"/>
  <c r="P351" i="6" s="1"/>
  <c r="N120" i="5"/>
  <c r="D349" i="6"/>
  <c r="P349" i="6" s="1"/>
  <c r="D347" i="6"/>
  <c r="P347" i="6" s="1"/>
  <c r="N406" i="5"/>
  <c r="D345" i="6"/>
  <c r="P345" i="6" s="1"/>
  <c r="N56" i="5"/>
  <c r="D343" i="6"/>
  <c r="P343" i="6" s="1"/>
  <c r="N395" i="5"/>
  <c r="N336" i="5"/>
  <c r="D339" i="6"/>
  <c r="P339" i="6" s="1"/>
  <c r="N404" i="5"/>
  <c r="D337" i="6"/>
  <c r="P337" i="6" s="1"/>
  <c r="N197" i="5"/>
  <c r="D335" i="6"/>
  <c r="P335" i="6" s="1"/>
  <c r="N240" i="5"/>
  <c r="D333" i="6"/>
  <c r="N323" i="5"/>
  <c r="D330" i="6"/>
  <c r="P330" i="6" s="1"/>
  <c r="N447" i="5"/>
  <c r="D329" i="6"/>
  <c r="P329" i="6" s="1"/>
  <c r="N179" i="5"/>
  <c r="D327" i="6"/>
  <c r="P327" i="6" s="1"/>
  <c r="N304" i="5"/>
  <c r="D324" i="6"/>
  <c r="P324" i="6" s="1"/>
  <c r="N130" i="5"/>
  <c r="D322" i="6"/>
  <c r="P322" i="6" s="1"/>
  <c r="N114" i="5"/>
  <c r="D319" i="6"/>
  <c r="P319" i="6" s="1"/>
  <c r="N436" i="5"/>
  <c r="D316" i="6"/>
  <c r="P316" i="6" s="1"/>
  <c r="N232" i="5"/>
  <c r="D314" i="6"/>
  <c r="P314" i="6" s="1"/>
  <c r="D310" i="6"/>
  <c r="P310" i="6" s="1"/>
  <c r="N419" i="5"/>
  <c r="N136" i="5"/>
  <c r="D307" i="6"/>
  <c r="P307" i="6" s="1"/>
  <c r="N302" i="5"/>
  <c r="D305" i="6"/>
  <c r="P305" i="6" s="1"/>
  <c r="N446" i="5"/>
  <c r="D303" i="6"/>
  <c r="P303" i="6" s="1"/>
  <c r="D301" i="6"/>
  <c r="P301" i="6" s="1"/>
  <c r="N484" i="5"/>
  <c r="N481" i="5"/>
  <c r="D226" i="6"/>
  <c r="P226" i="6" s="1"/>
  <c r="N367" i="5"/>
  <c r="D220" i="6"/>
  <c r="N287" i="5"/>
  <c r="D216" i="6"/>
  <c r="P216" i="6" s="1"/>
  <c r="N227" i="5"/>
  <c r="D214" i="6"/>
  <c r="N187" i="5"/>
  <c r="D212" i="6"/>
  <c r="P212" i="6" s="1"/>
  <c r="N382" i="5"/>
  <c r="D209" i="6"/>
  <c r="P209" i="6" s="1"/>
  <c r="N334" i="5"/>
  <c r="D206" i="6"/>
  <c r="P206" i="6" s="1"/>
  <c r="N182" i="5"/>
  <c r="D200" i="6"/>
  <c r="P200" i="6" s="1"/>
  <c r="N422" i="5"/>
  <c r="D198" i="6"/>
  <c r="P198" i="6" s="1"/>
  <c r="N485" i="5"/>
  <c r="D196" i="6"/>
  <c r="P196" i="6" s="1"/>
  <c r="N172" i="5"/>
  <c r="D192" i="6"/>
  <c r="P192" i="6" s="1"/>
  <c r="N362" i="5"/>
  <c r="D188" i="6"/>
  <c r="P188" i="6" s="1"/>
  <c r="D185" i="6"/>
  <c r="P185" i="6" s="1"/>
  <c r="N301" i="5"/>
  <c r="N309" i="5"/>
  <c r="D182" i="6"/>
  <c r="P182" i="6" s="1"/>
  <c r="N258" i="5"/>
  <c r="D178" i="6"/>
  <c r="P178" i="6" s="1"/>
  <c r="N236" i="5"/>
  <c r="D176" i="6"/>
  <c r="P176" i="6" s="1"/>
  <c r="N198" i="5"/>
  <c r="D173" i="6"/>
  <c r="P173" i="6" s="1"/>
  <c r="N497" i="5"/>
  <c r="D170" i="6"/>
  <c r="P170" i="6" s="1"/>
  <c r="N429" i="5"/>
  <c r="D167" i="6"/>
  <c r="P167" i="6" s="1"/>
  <c r="D164" i="6"/>
  <c r="P164" i="6" s="1"/>
  <c r="N153" i="5"/>
  <c r="N12" i="5"/>
  <c r="D160" i="6"/>
  <c r="P160" i="6" s="1"/>
  <c r="N19" i="5"/>
  <c r="D156" i="6"/>
  <c r="P156" i="6" s="1"/>
  <c r="D154" i="6"/>
  <c r="P154" i="6" s="1"/>
  <c r="N55" i="5"/>
  <c r="N78" i="5"/>
  <c r="D152" i="6"/>
  <c r="P152" i="6" s="1"/>
  <c r="N299" i="5"/>
  <c r="D150" i="6"/>
  <c r="P150" i="6" s="1"/>
  <c r="N424" i="5"/>
  <c r="D146" i="6"/>
  <c r="P146" i="6" s="1"/>
  <c r="N63" i="5"/>
  <c r="D142" i="6"/>
  <c r="P142" i="6" s="1"/>
  <c r="N293" i="5"/>
  <c r="D139" i="6"/>
  <c r="P139" i="6" s="1"/>
  <c r="N221" i="5"/>
  <c r="D137" i="6"/>
  <c r="P137" i="6" s="1"/>
  <c r="N241" i="5"/>
  <c r="D134" i="6"/>
  <c r="D130" i="6"/>
  <c r="P130" i="6" s="1"/>
  <c r="N173" i="5"/>
  <c r="N112" i="5"/>
  <c r="D122" i="6"/>
  <c r="P122" i="6" s="1"/>
  <c r="N61" i="5"/>
  <c r="D118" i="6"/>
  <c r="P118" i="6" s="1"/>
  <c r="N145" i="5"/>
  <c r="D111" i="6"/>
  <c r="P111" i="6" s="1"/>
  <c r="N271" i="5"/>
  <c r="D106" i="6"/>
  <c r="P106" i="6" s="1"/>
  <c r="N99" i="5"/>
  <c r="D98" i="6"/>
  <c r="P98" i="6" s="1"/>
  <c r="N157" i="5"/>
  <c r="D94" i="6"/>
  <c r="P94" i="6" s="1"/>
  <c r="N321" i="5"/>
  <c r="D92" i="6"/>
  <c r="P92" i="6" s="1"/>
  <c r="N160" i="5"/>
  <c r="D90" i="6"/>
  <c r="P90" i="6" s="1"/>
  <c r="N74" i="5"/>
  <c r="D84" i="6"/>
  <c r="P84" i="6" s="1"/>
  <c r="D80" i="6"/>
  <c r="P80" i="6" s="1"/>
  <c r="N35" i="5"/>
  <c r="N5" i="5"/>
  <c r="D76" i="6"/>
  <c r="P76" i="6" s="1"/>
  <c r="D481" i="6"/>
  <c r="N253" i="5"/>
  <c r="N417" i="5"/>
  <c r="D477" i="6"/>
  <c r="P477" i="6" s="1"/>
  <c r="N466" i="5"/>
  <c r="D475" i="6"/>
  <c r="P475" i="6" s="1"/>
  <c r="N467" i="5"/>
  <c r="D473" i="6"/>
  <c r="P473" i="6" s="1"/>
  <c r="N433" i="5"/>
  <c r="D469" i="6"/>
  <c r="P469" i="6" s="1"/>
  <c r="N222" i="5"/>
  <c r="D467" i="6"/>
  <c r="P467" i="6" s="1"/>
  <c r="N394" i="5"/>
  <c r="D464" i="6"/>
  <c r="P464" i="6" s="1"/>
  <c r="D460" i="6"/>
  <c r="P460" i="6" s="1"/>
  <c r="N337" i="5"/>
  <c r="N502" i="5"/>
  <c r="D457" i="6"/>
  <c r="P457" i="6" s="1"/>
  <c r="N96" i="5"/>
  <c r="D453" i="6"/>
  <c r="P453" i="6" s="1"/>
  <c r="D451" i="6"/>
  <c r="P451" i="6" s="1"/>
  <c r="N83" i="5"/>
  <c r="N490" i="5"/>
  <c r="D448" i="6"/>
  <c r="P448" i="6" s="1"/>
  <c r="N441" i="5"/>
  <c r="D446" i="6"/>
  <c r="N280" i="5"/>
  <c r="D442" i="6"/>
  <c r="P442" i="6" s="1"/>
  <c r="N383" i="5"/>
  <c r="D440" i="6"/>
  <c r="P440" i="6" s="1"/>
  <c r="D438" i="6"/>
  <c r="P438" i="6" s="1"/>
  <c r="N237" i="5"/>
  <c r="D435" i="6"/>
  <c r="N215" i="5"/>
  <c r="D433" i="6"/>
  <c r="P433" i="6" s="1"/>
  <c r="N315" i="5"/>
  <c r="N296" i="5"/>
  <c r="D431" i="6"/>
  <c r="N109" i="5"/>
  <c r="D427" i="6"/>
  <c r="P427" i="6" s="1"/>
  <c r="N268" i="5"/>
  <c r="D424" i="6"/>
  <c r="P424" i="6" s="1"/>
  <c r="N372" i="5"/>
  <c r="D422" i="6"/>
  <c r="P422" i="6" s="1"/>
  <c r="N420" i="5"/>
  <c r="D417" i="6"/>
  <c r="P417" i="6" s="1"/>
  <c r="N195" i="5"/>
  <c r="D415" i="6"/>
  <c r="P415" i="6" s="1"/>
  <c r="N142" i="5"/>
  <c r="D410" i="6"/>
  <c r="P410" i="6" s="1"/>
  <c r="N381" i="5"/>
  <c r="D408" i="6"/>
  <c r="N38" i="5"/>
  <c r="D406" i="6"/>
  <c r="P406" i="6" s="1"/>
  <c r="D402" i="6"/>
  <c r="P402" i="6" s="1"/>
  <c r="N452" i="5"/>
  <c r="N11" i="5"/>
  <c r="D400" i="6"/>
  <c r="P400" i="6" s="1"/>
  <c r="N211" i="5"/>
  <c r="D398" i="6"/>
  <c r="P398" i="6" s="1"/>
  <c r="N402" i="5"/>
  <c r="D394" i="6"/>
  <c r="P394" i="6" s="1"/>
  <c r="N204" i="5"/>
  <c r="D392" i="6"/>
  <c r="N407" i="5"/>
  <c r="D388" i="6"/>
  <c r="P388" i="6" s="1"/>
  <c r="N292" i="5"/>
  <c r="D387" i="6"/>
  <c r="N427" i="5"/>
  <c r="D382" i="6"/>
  <c r="N489" i="5"/>
  <c r="D380" i="6"/>
  <c r="N254" i="5"/>
  <c r="D378" i="6"/>
  <c r="P378" i="6" s="1"/>
  <c r="N439" i="5"/>
  <c r="D375" i="6"/>
  <c r="N164" i="5"/>
  <c r="D373" i="6"/>
  <c r="P373" i="6" s="1"/>
  <c r="N102" i="5"/>
  <c r="D372" i="6"/>
  <c r="P372" i="6" s="1"/>
  <c r="D370" i="6"/>
  <c r="P370" i="6" s="1"/>
  <c r="N430" i="5"/>
  <c r="N359" i="5"/>
  <c r="D367" i="6"/>
  <c r="P367" i="6" s="1"/>
  <c r="N30" i="5"/>
  <c r="D366" i="6"/>
  <c r="P366" i="6" s="1"/>
  <c r="N122" i="5"/>
  <c r="D362" i="6"/>
  <c r="P362" i="6" s="1"/>
  <c r="N220" i="5"/>
  <c r="D360" i="6"/>
  <c r="P360" i="6" s="1"/>
  <c r="N318" i="5"/>
  <c r="D357" i="6"/>
  <c r="P357" i="6" s="1"/>
  <c r="N250" i="5"/>
  <c r="D355" i="6"/>
  <c r="P355" i="6" s="1"/>
  <c r="N291" i="5"/>
  <c r="D353" i="6"/>
  <c r="P353" i="6" s="1"/>
  <c r="N256" i="5"/>
  <c r="D350" i="6"/>
  <c r="P350" i="6" s="1"/>
  <c r="N39" i="5"/>
  <c r="D348" i="6"/>
  <c r="P348" i="6" s="1"/>
  <c r="N235" i="5"/>
  <c r="D344" i="6"/>
  <c r="P344" i="6" s="1"/>
  <c r="N478" i="5"/>
  <c r="D342" i="6"/>
  <c r="P342" i="6" s="1"/>
  <c r="N415" i="5"/>
  <c r="D340" i="6"/>
  <c r="P340" i="6" s="1"/>
  <c r="N375" i="5"/>
  <c r="D338" i="6"/>
  <c r="P338" i="6" s="1"/>
  <c r="N14" i="5"/>
  <c r="D336" i="6"/>
  <c r="P336" i="6" s="1"/>
  <c r="N40" i="5"/>
  <c r="D331" i="6"/>
  <c r="P331" i="6" s="1"/>
  <c r="N259" i="5"/>
  <c r="D328" i="6"/>
  <c r="P328" i="6" s="1"/>
  <c r="N400" i="5"/>
  <c r="D326" i="6"/>
  <c r="P326" i="6" s="1"/>
  <c r="N303" i="5"/>
  <c r="D323" i="6"/>
  <c r="P323" i="6" s="1"/>
  <c r="N162" i="5"/>
  <c r="D320" i="6"/>
  <c r="P320" i="6" s="1"/>
  <c r="N212" i="5"/>
  <c r="D317" i="6"/>
  <c r="N371" i="5"/>
  <c r="D315" i="6"/>
  <c r="P315" i="6" s="1"/>
  <c r="D313" i="6"/>
  <c r="P313" i="6" s="1"/>
  <c r="N451" i="5"/>
  <c r="D311" i="6"/>
  <c r="P311" i="6" s="1"/>
  <c r="N152" i="5"/>
  <c r="D308" i="6"/>
  <c r="P308" i="6" s="1"/>
  <c r="N398" i="5"/>
  <c r="N495" i="5"/>
  <c r="D306" i="6"/>
  <c r="P306" i="6" s="1"/>
  <c r="N208" i="5"/>
  <c r="D302" i="6"/>
  <c r="P302" i="6" s="1"/>
  <c r="N242" i="5"/>
  <c r="D300" i="6"/>
  <c r="P300" i="6" s="1"/>
  <c r="N389" i="5"/>
  <c r="D227" i="6"/>
  <c r="P227" i="6" s="1"/>
  <c r="N314" i="5"/>
  <c r="D225" i="6"/>
  <c r="P225" i="6" s="1"/>
  <c r="D223" i="6"/>
  <c r="P223" i="6" s="1"/>
  <c r="N335" i="5"/>
  <c r="N332" i="5"/>
  <c r="D221" i="6"/>
  <c r="D219" i="6"/>
  <c r="P219" i="6" s="1"/>
  <c r="N213" i="5"/>
  <c r="D215" i="6"/>
  <c r="P215" i="6" s="1"/>
  <c r="N116" i="5"/>
  <c r="N90" i="5"/>
  <c r="D213" i="6"/>
  <c r="P213" i="6" s="1"/>
  <c r="N229" i="5"/>
  <c r="D210" i="6"/>
  <c r="P210" i="6" s="1"/>
  <c r="N431" i="5"/>
  <c r="D207" i="6"/>
  <c r="P207" i="6" s="1"/>
  <c r="N487" i="5"/>
  <c r="D205" i="6"/>
  <c r="P205" i="6" s="1"/>
  <c r="D203" i="6"/>
  <c r="N504" i="5"/>
  <c r="N246" i="5"/>
  <c r="D199" i="6"/>
  <c r="P199" i="6" s="1"/>
  <c r="D197" i="6"/>
  <c r="P197" i="6" s="1"/>
  <c r="N180" i="5"/>
  <c r="N159" i="5"/>
  <c r="D193" i="6"/>
  <c r="P193" i="6" s="1"/>
  <c r="D191" i="6"/>
  <c r="P191" i="6" s="1"/>
  <c r="N144" i="5"/>
  <c r="N48" i="5"/>
  <c r="D189" i="6"/>
  <c r="P189" i="6" s="1"/>
  <c r="N313" i="5"/>
  <c r="D186" i="6"/>
  <c r="N282" i="5"/>
  <c r="D183" i="6"/>
  <c r="P183" i="6" s="1"/>
  <c r="D181" i="6"/>
  <c r="N405" i="5"/>
  <c r="D179" i="6"/>
  <c r="N425" i="5"/>
  <c r="N333" i="5"/>
  <c r="D177" i="6"/>
  <c r="P177" i="6" s="1"/>
  <c r="D174" i="6"/>
  <c r="P174" i="6" s="1"/>
  <c r="N231" i="5"/>
  <c r="D168" i="6"/>
  <c r="P168" i="6" s="1"/>
  <c r="N411" i="5"/>
  <c r="N380" i="5"/>
  <c r="D162" i="6"/>
  <c r="D159" i="6"/>
  <c r="P159" i="6" s="1"/>
  <c r="N135" i="5"/>
  <c r="N392" i="5"/>
  <c r="D157" i="6"/>
  <c r="P157" i="6" s="1"/>
  <c r="D155" i="6"/>
  <c r="N503" i="5"/>
  <c r="N325" i="5"/>
  <c r="D151" i="6"/>
  <c r="P151" i="6" s="1"/>
  <c r="D148" i="6"/>
  <c r="N284" i="5"/>
  <c r="N209" i="5"/>
  <c r="D141" i="6"/>
  <c r="P141" i="6" s="1"/>
  <c r="N41" i="5"/>
  <c r="D138" i="6"/>
  <c r="P138" i="6" s="1"/>
  <c r="D132" i="6"/>
  <c r="P132" i="6" s="1"/>
  <c r="N76" i="5"/>
  <c r="D127" i="6"/>
  <c r="P127" i="6" s="1"/>
  <c r="N67" i="5"/>
  <c r="N165" i="5"/>
  <c r="D125" i="6"/>
  <c r="P125" i="6" s="1"/>
  <c r="N379" i="5"/>
  <c r="D116" i="6"/>
  <c r="N234" i="5"/>
  <c r="D109" i="6"/>
  <c r="P109" i="6" s="1"/>
  <c r="N226" i="5"/>
  <c r="D104" i="6"/>
  <c r="P104" i="6" s="1"/>
  <c r="N283" i="5"/>
  <c r="D97" i="6"/>
  <c r="P97" i="6" s="1"/>
  <c r="D78" i="6"/>
  <c r="P78" i="6" s="1"/>
  <c r="N98" i="5"/>
  <c r="N364" i="5"/>
  <c r="D479" i="6"/>
  <c r="D470" i="6"/>
  <c r="P470" i="6" s="1"/>
  <c r="N121" i="5"/>
  <c r="N264" i="5"/>
  <c r="D462" i="6"/>
  <c r="N248" i="5"/>
  <c r="D454" i="6"/>
  <c r="N470" i="5"/>
  <c r="D445" i="6"/>
  <c r="P445" i="6" s="1"/>
  <c r="N308" i="5"/>
  <c r="D436" i="6"/>
  <c r="P436" i="6" s="1"/>
  <c r="D430" i="6"/>
  <c r="P430" i="6" s="1"/>
  <c r="N358" i="5"/>
  <c r="N363" i="5"/>
  <c r="D425" i="6"/>
  <c r="P425" i="6" s="1"/>
  <c r="N329" i="5"/>
  <c r="D420" i="6"/>
  <c r="P420" i="6" s="1"/>
  <c r="N47" i="5"/>
  <c r="D149" i="6"/>
  <c r="P149" i="6" s="1"/>
  <c r="N297" i="5"/>
  <c r="D140" i="6"/>
  <c r="D129" i="6"/>
  <c r="P129" i="6" s="1"/>
  <c r="N18" i="5"/>
  <c r="D119" i="6"/>
  <c r="N356" i="5"/>
  <c r="D112" i="6"/>
  <c r="P112" i="6" s="1"/>
  <c r="N124" i="5"/>
  <c r="N6" i="5"/>
  <c r="D108" i="6"/>
  <c r="P108" i="6" s="1"/>
  <c r="D96" i="6"/>
  <c r="P96" i="6" s="1"/>
  <c r="N43" i="5"/>
  <c r="N206" i="5"/>
  <c r="D93" i="6"/>
  <c r="N191" i="5"/>
  <c r="D89" i="6"/>
  <c r="P89" i="6" s="1"/>
  <c r="N181" i="5"/>
  <c r="D86" i="6"/>
  <c r="P86" i="6" s="1"/>
  <c r="N89" i="5"/>
  <c r="D77" i="6"/>
  <c r="P77" i="6" s="1"/>
  <c r="N100" i="5"/>
  <c r="D74" i="6"/>
  <c r="P74" i="6" s="1"/>
  <c r="N393" i="5"/>
  <c r="D413" i="6"/>
  <c r="P413" i="6" s="1"/>
  <c r="N347" i="5"/>
  <c r="D404" i="6"/>
  <c r="P404" i="6" s="1"/>
  <c r="N178" i="5"/>
  <c r="D396" i="6"/>
  <c r="P396" i="6" s="1"/>
  <c r="N493" i="5"/>
  <c r="D391" i="6"/>
  <c r="N106" i="5"/>
  <c r="D385" i="6"/>
  <c r="P385" i="6" s="1"/>
  <c r="N391" i="5"/>
  <c r="D374" i="6"/>
  <c r="N328" i="5"/>
  <c r="D369" i="6"/>
  <c r="D364" i="6"/>
  <c r="N469" i="5"/>
  <c r="D358" i="6"/>
  <c r="N416" i="5"/>
  <c r="D352" i="6"/>
  <c r="N201" i="5"/>
  <c r="D334" i="6"/>
  <c r="P334" i="6" s="1"/>
  <c r="N66" i="5"/>
  <c r="D321" i="6"/>
  <c r="P321" i="6" s="1"/>
  <c r="N450" i="5"/>
  <c r="D309" i="6"/>
  <c r="P309" i="6" s="1"/>
  <c r="N244" i="5"/>
  <c r="D224" i="6"/>
  <c r="P224" i="6" s="1"/>
  <c r="N377" i="5"/>
  <c r="N25" i="5"/>
  <c r="D204" i="6"/>
  <c r="P204" i="6" s="1"/>
  <c r="D195" i="6"/>
  <c r="P195" i="6" s="1"/>
  <c r="N203" i="5"/>
  <c r="D184" i="6"/>
  <c r="P184" i="6" s="1"/>
  <c r="N82" i="5"/>
  <c r="D166" i="6"/>
  <c r="P166" i="6" s="1"/>
  <c r="N143" i="5"/>
  <c r="N46" i="5"/>
  <c r="D147" i="6"/>
  <c r="P147" i="6" s="1"/>
  <c r="N117" i="5"/>
  <c r="D133" i="6"/>
  <c r="P133" i="6" s="1"/>
  <c r="N155" i="5"/>
  <c r="D126" i="6"/>
  <c r="P126" i="6" s="1"/>
  <c r="D113" i="6"/>
  <c r="P113" i="6" s="1"/>
  <c r="N68" i="5"/>
  <c r="N216" i="5"/>
  <c r="D101" i="6"/>
  <c r="P101" i="6" s="1"/>
  <c r="D79" i="6"/>
  <c r="P79" i="6" s="1"/>
  <c r="N103" i="5"/>
  <c r="N352" i="5"/>
  <c r="D504" i="6"/>
  <c r="P504" i="6" s="1"/>
  <c r="N366" i="5"/>
  <c r="D503" i="6"/>
  <c r="N499" i="5"/>
  <c r="D502" i="6"/>
  <c r="P502" i="6" s="1"/>
  <c r="N463" i="5"/>
  <c r="D501" i="6"/>
  <c r="P501" i="6" s="1"/>
  <c r="N348" i="5"/>
  <c r="D500" i="6"/>
  <c r="N369" i="5"/>
  <c r="D499" i="6"/>
  <c r="P499" i="6" s="1"/>
  <c r="N455" i="5"/>
  <c r="D498" i="6"/>
  <c r="P498" i="6" s="1"/>
  <c r="N320" i="5"/>
  <c r="D497" i="6"/>
  <c r="N330" i="5"/>
  <c r="D496" i="6"/>
  <c r="N457" i="5"/>
  <c r="D495" i="6"/>
  <c r="N442" i="5"/>
  <c r="D494" i="6"/>
  <c r="N432" i="5"/>
  <c r="D493" i="6"/>
  <c r="P493" i="6" s="1"/>
  <c r="N105" i="5"/>
  <c r="D492" i="6"/>
  <c r="P492" i="6" s="1"/>
  <c r="N351" i="5"/>
  <c r="D491" i="6"/>
  <c r="P491" i="6" s="1"/>
  <c r="N233" i="5"/>
  <c r="D490" i="6"/>
  <c r="N279" i="5"/>
  <c r="D489" i="6"/>
  <c r="P489" i="6" s="1"/>
  <c r="N388" i="5"/>
  <c r="D488" i="6"/>
  <c r="P488" i="6" s="1"/>
  <c r="N223" i="5"/>
  <c r="D487" i="6"/>
  <c r="P487" i="6" s="1"/>
  <c r="N345" i="5"/>
  <c r="D486" i="6"/>
  <c r="P486" i="6" s="1"/>
  <c r="N443" i="5"/>
  <c r="D485" i="6"/>
  <c r="P485" i="6" s="1"/>
  <c r="N269" i="5"/>
  <c r="D484" i="6"/>
  <c r="P484" i="6" s="1"/>
  <c r="N472" i="5"/>
  <c r="D483" i="6"/>
  <c r="P483" i="6" s="1"/>
  <c r="N437" i="5"/>
  <c r="D480" i="6"/>
  <c r="P480" i="6" s="1"/>
  <c r="N486" i="5"/>
  <c r="D476" i="6"/>
  <c r="P476" i="6" s="1"/>
  <c r="N423" i="5"/>
  <c r="D471" i="6"/>
  <c r="P471" i="6" s="1"/>
  <c r="N298" i="5"/>
  <c r="D466" i="6"/>
  <c r="N306" i="5"/>
  <c r="D461" i="6"/>
  <c r="P461" i="6" s="1"/>
  <c r="D455" i="6"/>
  <c r="P455" i="6" s="1"/>
  <c r="N278" i="5"/>
  <c r="N238" i="5"/>
  <c r="D449" i="6"/>
  <c r="P449" i="6" s="1"/>
  <c r="D443" i="6"/>
  <c r="N243" i="5"/>
  <c r="N228" i="5"/>
  <c r="D429" i="6"/>
  <c r="P429" i="6" s="1"/>
  <c r="N461" i="5"/>
  <c r="D419" i="6"/>
  <c r="P419" i="6" s="1"/>
  <c r="N184" i="5"/>
  <c r="D411" i="6"/>
  <c r="P411" i="6" s="1"/>
  <c r="N342" i="5"/>
  <c r="D399" i="6"/>
  <c r="P399" i="6" s="1"/>
  <c r="N445" i="5"/>
  <c r="D390" i="6"/>
  <c r="P390" i="6" s="1"/>
  <c r="D384" i="6"/>
  <c r="P384" i="6" s="1"/>
  <c r="N210" i="5"/>
  <c r="N339" i="5"/>
  <c r="D377" i="6"/>
  <c r="P377" i="6" s="1"/>
  <c r="N322" i="5"/>
  <c r="D371" i="6"/>
  <c r="P371" i="6" s="1"/>
  <c r="N169" i="5"/>
  <c r="D346" i="6"/>
  <c r="P346" i="6" s="1"/>
  <c r="D341" i="6"/>
  <c r="P341" i="6" s="1"/>
  <c r="N491" i="5"/>
  <c r="N474" i="5"/>
  <c r="D332" i="6"/>
  <c r="P332" i="6" s="1"/>
  <c r="N434" i="5"/>
  <c r="D325" i="6"/>
  <c r="P325" i="6" s="1"/>
  <c r="D318" i="6"/>
  <c r="N288" i="5"/>
  <c r="N263" i="5"/>
  <c r="D312" i="6"/>
  <c r="P312" i="6" s="1"/>
  <c r="N396" i="5"/>
  <c r="D304" i="6"/>
  <c r="P304" i="6" s="1"/>
  <c r="D218" i="6"/>
  <c r="P218" i="6" s="1"/>
  <c r="N386" i="5"/>
  <c r="N275" i="5"/>
  <c r="D208" i="6"/>
  <c r="P208" i="6" s="1"/>
  <c r="N498" i="5"/>
  <c r="D202" i="6"/>
  <c r="N127" i="5"/>
  <c r="D190" i="6"/>
  <c r="P190" i="6" s="1"/>
  <c r="N376" i="5"/>
  <c r="D180" i="6"/>
  <c r="P180" i="6" s="1"/>
  <c r="N252" i="5"/>
  <c r="D172" i="6"/>
  <c r="P172" i="6" s="1"/>
  <c r="D144" i="6"/>
  <c r="P144" i="6" s="1"/>
  <c r="N188" i="5"/>
  <c r="N176" i="5"/>
  <c r="D136" i="6"/>
  <c r="P136" i="6" s="1"/>
  <c r="N343" i="5"/>
  <c r="D124" i="6"/>
  <c r="N317" i="5"/>
  <c r="D115" i="6"/>
  <c r="P115" i="6" s="1"/>
  <c r="N85" i="5"/>
  <c r="D99" i="6"/>
  <c r="P99" i="6" s="1"/>
  <c r="N60" i="5"/>
  <c r="D88" i="6"/>
  <c r="P88" i="6" s="1"/>
  <c r="N267" i="5"/>
  <c r="D82" i="6"/>
  <c r="P82" i="6" s="1"/>
  <c r="N167" i="5"/>
  <c r="D299" i="6"/>
  <c r="P299" i="6" s="1"/>
  <c r="N354" i="5"/>
  <c r="D298" i="6"/>
  <c r="P298" i="6" s="1"/>
  <c r="N139" i="5"/>
  <c r="D297" i="6"/>
  <c r="P297" i="6" s="1"/>
  <c r="N84" i="5"/>
  <c r="D296" i="6"/>
  <c r="P296" i="6" s="1"/>
  <c r="N65" i="5"/>
  <c r="D295" i="6"/>
  <c r="P295" i="6" s="1"/>
  <c r="N219" i="5"/>
  <c r="D294" i="6"/>
  <c r="P294" i="6" s="1"/>
  <c r="N94" i="5"/>
  <c r="D293" i="6"/>
  <c r="P293" i="6" s="1"/>
  <c r="N307" i="5"/>
  <c r="D292" i="6"/>
  <c r="P292" i="6" s="1"/>
  <c r="N15" i="5"/>
  <c r="D291" i="6"/>
  <c r="P291" i="6" s="1"/>
  <c r="N403" i="5"/>
  <c r="D290" i="6"/>
  <c r="P290" i="6" s="1"/>
  <c r="N199" i="5"/>
  <c r="D289" i="6"/>
  <c r="P289" i="6" s="1"/>
  <c r="N290" i="5"/>
  <c r="D288" i="6"/>
  <c r="N355" i="5"/>
  <c r="D287" i="6"/>
  <c r="P287" i="6" s="1"/>
  <c r="N194" i="5"/>
  <c r="D286" i="6"/>
  <c r="P286" i="6" s="1"/>
  <c r="N31" i="5"/>
  <c r="D285" i="6"/>
  <c r="P285" i="6" s="1"/>
  <c r="N205" i="5"/>
  <c r="D284" i="6"/>
  <c r="P284" i="6" s="1"/>
  <c r="N312" i="5"/>
  <c r="D283" i="6"/>
  <c r="N126" i="5"/>
  <c r="D282" i="6"/>
  <c r="P282" i="6" s="1"/>
  <c r="N88" i="5"/>
  <c r="D281" i="6"/>
  <c r="P281" i="6" s="1"/>
  <c r="N370" i="5"/>
  <c r="D280" i="6"/>
  <c r="N202" i="5"/>
  <c r="D279" i="6"/>
  <c r="P279" i="6" s="1"/>
  <c r="N137" i="5"/>
  <c r="D278" i="6"/>
  <c r="P278" i="6" s="1"/>
  <c r="N346" i="5"/>
  <c r="D277" i="6"/>
  <c r="P277" i="6" s="1"/>
  <c r="N79" i="5"/>
  <c r="D276" i="6"/>
  <c r="P276" i="6" s="1"/>
  <c r="N177" i="5"/>
  <c r="D275" i="6"/>
  <c r="P275" i="6" s="1"/>
  <c r="N349" i="5"/>
  <c r="D274" i="6"/>
  <c r="P274" i="6" s="1"/>
  <c r="N399" i="5"/>
  <c r="D273" i="6"/>
  <c r="P273" i="6" s="1"/>
  <c r="N444" i="5"/>
  <c r="D272" i="6"/>
  <c r="N458" i="5"/>
  <c r="D271" i="6"/>
  <c r="P271" i="6" s="1"/>
  <c r="N28" i="5"/>
  <c r="D270" i="6"/>
  <c r="P270" i="6" s="1"/>
  <c r="N465" i="5"/>
  <c r="D269" i="6"/>
  <c r="P269" i="6" s="1"/>
  <c r="N310" i="5"/>
  <c r="D268" i="6"/>
  <c r="P268" i="6" s="1"/>
  <c r="N274" i="5"/>
  <c r="D267" i="6"/>
  <c r="P267" i="6" s="1"/>
  <c r="N57" i="5"/>
  <c r="D266" i="6"/>
  <c r="P266" i="6" s="1"/>
  <c r="N473" i="5"/>
  <c r="D265" i="6"/>
  <c r="P265" i="6" s="1"/>
  <c r="N93" i="5"/>
  <c r="D264" i="6"/>
  <c r="P264" i="6" s="1"/>
  <c r="N409" i="5"/>
  <c r="D263" i="6"/>
  <c r="P263" i="6" s="1"/>
  <c r="N251" i="5"/>
  <c r="D262" i="6"/>
  <c r="P262" i="6" s="1"/>
  <c r="N262" i="5"/>
  <c r="D261" i="6"/>
  <c r="N118" i="5"/>
  <c r="D260" i="6"/>
  <c r="P260" i="6" s="1"/>
  <c r="N73" i="5"/>
  <c r="D259" i="6"/>
  <c r="P259" i="6" s="1"/>
  <c r="N58" i="5"/>
  <c r="D258" i="6"/>
  <c r="P258" i="6" s="1"/>
  <c r="N341" i="5"/>
  <c r="D257" i="6"/>
  <c r="P257" i="6" s="1"/>
  <c r="N361" i="5"/>
  <c r="D256" i="6"/>
  <c r="N440" i="5"/>
  <c r="D255" i="6"/>
  <c r="N438" i="5"/>
  <c r="D254" i="6"/>
  <c r="P254" i="6" s="1"/>
  <c r="N49" i="5"/>
  <c r="D253" i="6"/>
  <c r="P253" i="6" s="1"/>
  <c r="N421" i="5"/>
  <c r="D252" i="6"/>
  <c r="P252" i="6" s="1"/>
  <c r="N72" i="5"/>
  <c r="D251" i="6"/>
  <c r="P251" i="6" s="1"/>
  <c r="N435" i="5"/>
  <c r="D250" i="6"/>
  <c r="P250" i="6" s="1"/>
  <c r="N378" i="5"/>
  <c r="D249" i="6"/>
  <c r="P249" i="6" s="1"/>
  <c r="N175" i="5"/>
  <c r="D248" i="6"/>
  <c r="P248" i="6" s="1"/>
  <c r="N331" i="5"/>
  <c r="D247" i="6"/>
  <c r="P247" i="6" s="1"/>
  <c r="N26" i="5"/>
  <c r="D246" i="6"/>
  <c r="P246" i="6" s="1"/>
  <c r="N496" i="5"/>
  <c r="D245" i="6"/>
  <c r="P245" i="6" s="1"/>
  <c r="N357" i="5"/>
  <c r="D244" i="6"/>
  <c r="P244" i="6" s="1"/>
  <c r="N401" i="5"/>
  <c r="D243" i="6"/>
  <c r="P243" i="6" s="1"/>
  <c r="N273" i="5"/>
  <c r="D242" i="6"/>
  <c r="P242" i="6" s="1"/>
  <c r="N225" i="5"/>
  <c r="D241" i="6"/>
  <c r="N365" i="5"/>
  <c r="D240" i="6"/>
  <c r="N494" i="5"/>
  <c r="D239" i="6"/>
  <c r="P239" i="6" s="1"/>
  <c r="N276" i="5"/>
  <c r="D238" i="6"/>
  <c r="P238" i="6" s="1"/>
  <c r="N454" i="5"/>
  <c r="D237" i="6"/>
  <c r="P237" i="6" s="1"/>
  <c r="N217" i="5"/>
  <c r="D236" i="6"/>
  <c r="N119" i="5"/>
  <c r="D235" i="6"/>
  <c r="P235" i="6" s="1"/>
  <c r="N500" i="5"/>
  <c r="D234" i="6"/>
  <c r="N408" i="5"/>
  <c r="D233" i="6"/>
  <c r="N374" i="5"/>
  <c r="D232" i="6"/>
  <c r="N368" i="5"/>
  <c r="D231" i="6"/>
  <c r="P231" i="6" s="1"/>
  <c r="N340" i="5"/>
  <c r="D230" i="6"/>
  <c r="P230" i="6" s="1"/>
  <c r="N412" i="5"/>
  <c r="D229" i="6"/>
  <c r="P229" i="6" s="1"/>
  <c r="D228" i="6"/>
  <c r="N413" i="5"/>
  <c r="N480" i="5"/>
  <c r="D222" i="6"/>
  <c r="N193" i="5"/>
  <c r="D217" i="6"/>
  <c r="P217" i="6" s="1"/>
  <c r="N453" i="5"/>
  <c r="D211" i="6"/>
  <c r="P211" i="6" s="1"/>
  <c r="N125" i="5"/>
  <c r="D201" i="6"/>
  <c r="P201" i="6" s="1"/>
  <c r="N95" i="5"/>
  <c r="D194" i="6"/>
  <c r="P194" i="6" s="1"/>
  <c r="N171" i="5"/>
  <c r="D187" i="6"/>
  <c r="P187" i="6" s="1"/>
  <c r="D175" i="6"/>
  <c r="P175" i="6" s="1"/>
  <c r="N344" i="5"/>
  <c r="D169" i="6"/>
  <c r="P169" i="6" s="1"/>
  <c r="N294" i="5"/>
  <c r="N70" i="5"/>
  <c r="D163" i="6"/>
  <c r="P163" i="6" s="1"/>
  <c r="D145" i="6"/>
  <c r="P145" i="6" s="1"/>
  <c r="N77" i="5"/>
  <c r="D135" i="6"/>
  <c r="P135" i="6" s="1"/>
  <c r="N316" i="5"/>
  <c r="D121" i="6"/>
  <c r="P121" i="6" s="1"/>
  <c r="N281" i="5"/>
  <c r="N146" i="5"/>
  <c r="D114" i="6"/>
  <c r="P114" i="6" s="1"/>
  <c r="D102" i="6"/>
  <c r="P102" i="6" s="1"/>
  <c r="N163" i="5"/>
  <c r="D87" i="6"/>
  <c r="P87" i="6" s="1"/>
  <c r="N81" i="5"/>
  <c r="N166" i="5"/>
  <c r="D81" i="6"/>
  <c r="P81" i="6" s="1"/>
  <c r="D73" i="6"/>
  <c r="P73" i="6" s="1"/>
  <c r="N51" i="5"/>
  <c r="N353" i="5"/>
  <c r="D72" i="6"/>
  <c r="N154" i="5"/>
  <c r="D71" i="6"/>
  <c r="P71" i="6" s="1"/>
  <c r="N16" i="5"/>
  <c r="D70" i="6"/>
  <c r="P70" i="6" s="1"/>
  <c r="N158" i="5"/>
  <c r="D69" i="6"/>
  <c r="P69" i="6" s="1"/>
  <c r="N37" i="5"/>
  <c r="D68" i="6"/>
  <c r="P68" i="6" s="1"/>
  <c r="N390" i="5"/>
  <c r="D67" i="6"/>
  <c r="P67" i="6" s="1"/>
  <c r="N196" i="5"/>
  <c r="D66" i="6"/>
  <c r="P66" i="6" s="1"/>
  <c r="N134" i="5"/>
  <c r="D65" i="6"/>
  <c r="P65" i="6" s="1"/>
  <c r="N92" i="5"/>
  <c r="D64" i="6"/>
  <c r="P64" i="6" s="1"/>
  <c r="N27" i="5"/>
  <c r="D63" i="6"/>
  <c r="P63" i="6" s="1"/>
  <c r="N151" i="5"/>
  <c r="D62" i="6"/>
  <c r="P62" i="6" s="1"/>
  <c r="N170" i="5"/>
  <c r="D61" i="6"/>
  <c r="P61" i="6" s="1"/>
  <c r="N42" i="5"/>
  <c r="D60" i="6"/>
  <c r="P60" i="6" s="1"/>
  <c r="N247" i="5"/>
  <c r="D59" i="6"/>
  <c r="P59" i="6" s="1"/>
  <c r="N272" i="5"/>
  <c r="D58" i="6"/>
  <c r="N245" i="5"/>
  <c r="D57" i="6"/>
  <c r="P57" i="6" s="1"/>
  <c r="N138" i="5"/>
  <c r="D56" i="6"/>
  <c r="P56" i="6" s="1"/>
  <c r="N9" i="5"/>
  <c r="D55" i="6"/>
  <c r="P55" i="6" s="1"/>
  <c r="N101" i="5"/>
  <c r="D54" i="6"/>
  <c r="P54" i="6" s="1"/>
  <c r="N87" i="5"/>
  <c r="D53" i="6"/>
  <c r="P53" i="6" s="1"/>
  <c r="N300" i="5"/>
  <c r="D52" i="6"/>
  <c r="P52" i="6" s="1"/>
  <c r="N34" i="5"/>
  <c r="D51" i="6"/>
  <c r="P51" i="6" s="1"/>
  <c r="N69" i="5"/>
  <c r="D50" i="6"/>
  <c r="P50" i="6" s="1"/>
  <c r="N168" i="5"/>
  <c r="D49" i="6"/>
  <c r="P49" i="6" s="1"/>
  <c r="N21" i="5"/>
  <c r="D48" i="6"/>
  <c r="P48" i="6" s="1"/>
  <c r="N224" i="5"/>
  <c r="D47" i="6"/>
  <c r="N54" i="5"/>
  <c r="D46" i="6"/>
  <c r="P46" i="6" s="1"/>
  <c r="N75" i="5"/>
  <c r="D45" i="6"/>
  <c r="P45" i="6" s="1"/>
  <c r="N110" i="5"/>
  <c r="D44" i="6"/>
  <c r="P44" i="6" s="1"/>
  <c r="N111" i="5"/>
  <c r="D43" i="6"/>
  <c r="P43" i="6" s="1"/>
  <c r="N324" i="5"/>
  <c r="D42" i="6"/>
  <c r="N24" i="5"/>
  <c r="D41" i="6"/>
  <c r="P41" i="6" s="1"/>
  <c r="N305" i="5"/>
  <c r="D40" i="6"/>
  <c r="N13" i="5"/>
  <c r="D39" i="6"/>
  <c r="P39" i="6" s="1"/>
  <c r="N133" i="5"/>
  <c r="D38" i="6"/>
  <c r="P38" i="6" s="1"/>
  <c r="N52" i="5"/>
  <c r="D37" i="6"/>
  <c r="P37" i="6" s="1"/>
  <c r="N249" i="5"/>
  <c r="D36" i="6"/>
  <c r="P36" i="6" s="1"/>
  <c r="N147" i="5"/>
  <c r="D35" i="6"/>
  <c r="P35" i="6" s="1"/>
  <c r="N448" i="5"/>
  <c r="D34" i="6"/>
  <c r="N36" i="5"/>
  <c r="D33" i="6"/>
  <c r="P33" i="6" s="1"/>
  <c r="N7" i="5"/>
  <c r="D32" i="6"/>
  <c r="P32" i="6" s="1"/>
  <c r="N132" i="5"/>
  <c r="D31" i="6"/>
  <c r="P31" i="6" s="1"/>
  <c r="N10" i="5"/>
  <c r="D30" i="6"/>
  <c r="P30" i="6" s="1"/>
  <c r="N53" i="5"/>
  <c r="D29" i="6"/>
  <c r="P29" i="6" s="1"/>
  <c r="N50" i="5"/>
  <c r="D28" i="6"/>
  <c r="P28" i="6" s="1"/>
  <c r="N218" i="5"/>
  <c r="D27" i="6"/>
  <c r="P27" i="6" s="1"/>
  <c r="N29" i="5"/>
  <c r="D26" i="6"/>
  <c r="P26" i="6" s="1"/>
  <c r="N161" i="5"/>
  <c r="D25" i="6"/>
  <c r="P25" i="6" s="1"/>
  <c r="N140" i="5"/>
  <c r="D24" i="6"/>
  <c r="P24" i="6" s="1"/>
  <c r="N107" i="5"/>
  <c r="D23" i="6"/>
  <c r="P23" i="6" s="1"/>
  <c r="N20" i="5"/>
  <c r="D22" i="6"/>
  <c r="P22" i="6" s="1"/>
  <c r="N150" i="5"/>
  <c r="D21" i="6"/>
  <c r="P21" i="6" s="1"/>
  <c r="N86" i="5"/>
  <c r="D20" i="6"/>
  <c r="P20" i="6" s="1"/>
  <c r="N186" i="5"/>
  <c r="D19" i="6"/>
  <c r="P19" i="6" s="1"/>
  <c r="N449" i="5"/>
  <c r="D18" i="6"/>
  <c r="P18" i="6" s="1"/>
  <c r="N471" i="5"/>
  <c r="D17" i="6"/>
  <c r="N350" i="5"/>
  <c r="D16" i="6"/>
  <c r="P16" i="6" s="1"/>
  <c r="N91" i="5"/>
  <c r="D15" i="6"/>
  <c r="P15" i="6" s="1"/>
  <c r="N33" i="5"/>
  <c r="D14" i="6"/>
  <c r="P14" i="6" s="1"/>
  <c r="N207" i="5"/>
  <c r="D13" i="6"/>
  <c r="P13" i="6" s="1"/>
  <c r="N22" i="5"/>
  <c r="D12" i="6"/>
  <c r="P12" i="6" s="1"/>
  <c r="N174" i="5"/>
  <c r="D11" i="6"/>
  <c r="P11" i="6" s="1"/>
  <c r="N104" i="5"/>
  <c r="D10" i="6"/>
  <c r="P10" i="6" s="1"/>
  <c r="N190" i="5"/>
  <c r="D9" i="6"/>
  <c r="P9" i="6" s="1"/>
  <c r="N108" i="5"/>
  <c r="D8" i="6"/>
  <c r="P8" i="6" s="1"/>
  <c r="N148" i="5"/>
  <c r="D7" i="6"/>
  <c r="P7" i="6" s="1"/>
  <c r="N123" i="5"/>
  <c r="D6" i="6"/>
  <c r="P6" i="6" s="1"/>
  <c r="N44" i="5"/>
  <c r="B508" i="5"/>
  <c r="C508" i="5"/>
  <c r="D508" i="5"/>
  <c r="B509" i="5"/>
  <c r="C509" i="5"/>
  <c r="D509" i="5"/>
  <c r="B510" i="5"/>
  <c r="C510" i="5"/>
  <c r="D510" i="5"/>
  <c r="D5" i="6"/>
  <c r="P5" i="6" s="1"/>
</calcChain>
</file>

<file path=xl/sharedStrings.xml><?xml version="1.0" encoding="utf-8"?>
<sst xmlns="http://schemas.openxmlformats.org/spreadsheetml/2006/main" count="4802" uniqueCount="1226">
  <si>
    <t xml:space="preserve">  NOVATECH ELECTRONICS  |  SUPPLY CHAIN ANALYTICS PROJECT</t>
  </si>
  <si>
    <t xml:space="preserve">  An end to end inventory analytics model  |  Built by Kavish Shah</t>
  </si>
  <si>
    <t>ABOUT THIS PROJECT</t>
  </si>
  <si>
    <t xml:space="preserve">   NovaTech Electronics is a fictional consumer electronics distributor created for this analysis.</t>
  </si>
  <si>
    <t xml:space="preserve">   The model covers 500 SKUs across 10 categories, 3 regional distribution centers, and 10 suppliers,</t>
  </si>
  <si>
    <t xml:space="preserve">   with 24 months of monthly demand history including holiday seasonality and year over year growth.</t>
  </si>
  <si>
    <t xml:space="preserve">   Every analytical number in this workbook is a live Excel formula. Change an input and the entire model recalculates.</t>
  </si>
  <si>
    <t>HOW THE TABS FLOW</t>
  </si>
  <si>
    <t xml:space="preserve">   1. Master Data: the 500 SKU backbone (cost, lead time, supplier, stock position).</t>
  </si>
  <si>
    <t xml:space="preserve">   2. Demand History: 24 months of demand per SKU with visible Q4 spikes.</t>
  </si>
  <si>
    <t xml:space="preserve">   3. Demand Forecast: method matched to demand pattern, MAPE backtested over 6 months.</t>
  </si>
  <si>
    <t xml:space="preserve">   4. ABC XYZ Analysis: value concentration vs predictability, with the 9 box strategy matrix.</t>
  </si>
  <si>
    <t xml:space="preserve">   5. Replenishment Model: safety stock, reorder points, EOQ and order flags for all 500 SKUs.</t>
  </si>
  <si>
    <t xml:space="preserve">   6. Inventory Health: aging, turns, and the excess capital report.</t>
  </si>
  <si>
    <t xml:space="preserve">   7. Supplier Performance: lead times, delivery reliability, spend concentration risk.</t>
  </si>
  <si>
    <t xml:space="preserve">   8. Executive Dashboard: the five KPIs, key findings, and this week's action list.</t>
  </si>
  <si>
    <t>SKILLS DEMONSTRATED</t>
  </si>
  <si>
    <t xml:space="preserve">   Demand forecasting (seasonal naive and moving average) with MAPE backtesting.</t>
  </si>
  <si>
    <t xml:space="preserve">   ABC and XYZ segmentation with cumulative value ranking.</t>
  </si>
  <si>
    <t xml:space="preserve">   Statistical safety stock, reorder point, and EOQ modeling at 95 percent service level.</t>
  </si>
  <si>
    <t xml:space="preserve">   Inventory health analytics: aging buckets, turns, months of stock, excess identification.</t>
  </si>
  <si>
    <t xml:space="preserve">   Supplier risk scoring on delivery performance, lead time, and spend concentration.</t>
  </si>
  <si>
    <t xml:space="preserve">   Advanced Excel: 25,000 plus live formulas, cross sheet models, conditional formatting, structured tables.</t>
  </si>
  <si>
    <t>DATA NOTE</t>
  </si>
  <si>
    <t xml:space="preserve">   All data is simulated and was generated for portfolio demonstration purposes.</t>
  </si>
  <si>
    <t xml:space="preserve">   The methodology, formulas, and analytical logic are exactly what I would apply to real company data.</t>
  </si>
  <si>
    <t xml:space="preserve">  MASTER DATA  |  500 SKUs</t>
  </si>
  <si>
    <t xml:space="preserve">  Single source of truth: identity, sourcing, cost, lead time, status, stock position.</t>
  </si>
  <si>
    <t>SKU</t>
  </si>
  <si>
    <t>Product Name</t>
  </si>
  <si>
    <t>Category</t>
  </si>
  <si>
    <t>DC</t>
  </si>
  <si>
    <t>Supplier</t>
  </si>
  <si>
    <t>Unit Cost</t>
  </si>
  <si>
    <t>Lead Time Days</t>
  </si>
  <si>
    <t>Status</t>
  </si>
  <si>
    <t>On Hand</t>
  </si>
  <si>
    <t>Days Since Move</t>
  </si>
  <si>
    <t>Annual Usage</t>
  </si>
  <si>
    <t>NT10001</t>
  </si>
  <si>
    <t>Nova X427 128GB</t>
  </si>
  <si>
    <t>Smartphones</t>
  </si>
  <si>
    <t>West DC</t>
  </si>
  <si>
    <t>Shenzhen Onyx Electronics</t>
  </si>
  <si>
    <t>Active</t>
  </si>
  <si>
    <t>NT10002</t>
  </si>
  <si>
    <t>Pulse 962 Dual SIM</t>
  </si>
  <si>
    <t>East DC</t>
  </si>
  <si>
    <t>Pacific Semis</t>
  </si>
  <si>
    <t>NT10003</t>
  </si>
  <si>
    <t>Nova Lite 936 64GB</t>
  </si>
  <si>
    <t>NT10004</t>
  </si>
  <si>
    <t>Nova Lite 315 64GB</t>
  </si>
  <si>
    <t>NT10005</t>
  </si>
  <si>
    <t>Pulse 753 Dual SIM</t>
  </si>
  <si>
    <t>Central DC</t>
  </si>
  <si>
    <t>NT10006</t>
  </si>
  <si>
    <t>Edge 244 5G 128GB</t>
  </si>
  <si>
    <t>NT10007</t>
  </si>
  <si>
    <t>Pulse 667 Dual SIM</t>
  </si>
  <si>
    <t>NT10008</t>
  </si>
  <si>
    <t>Edge 637 5G 128GB</t>
  </si>
  <si>
    <t>NT10009</t>
  </si>
  <si>
    <t>Nova X689 128GB</t>
  </si>
  <si>
    <t>NT10010</t>
  </si>
  <si>
    <t>Nova X834 128GB</t>
  </si>
  <si>
    <t>NT10011</t>
  </si>
  <si>
    <t>Edge 790 5G 128GB</t>
  </si>
  <si>
    <t>NT10012</t>
  </si>
  <si>
    <t>Pulse 918 Dual SIM</t>
  </si>
  <si>
    <t>NT10013</t>
  </si>
  <si>
    <t>Pulse 569 Dual SIM</t>
  </si>
  <si>
    <t>EOL</t>
  </si>
  <si>
    <t>NT10014</t>
  </si>
  <si>
    <t>Edge 927 5G 128GB</t>
  </si>
  <si>
    <t>NT10015</t>
  </si>
  <si>
    <t>Edge 805 5G 128GB</t>
  </si>
  <si>
    <t>NT10016</t>
  </si>
  <si>
    <t>Nova Lite 610 64GB</t>
  </si>
  <si>
    <t>NT10017</t>
  </si>
  <si>
    <t>Nova X194 128GB</t>
  </si>
  <si>
    <t>NT10018</t>
  </si>
  <si>
    <t>Nova X223 Pro 256GB</t>
  </si>
  <si>
    <t>NT10019</t>
  </si>
  <si>
    <t>Nova Lite 258 64GB</t>
  </si>
  <si>
    <t>NT10020</t>
  </si>
  <si>
    <t>Nova X658 Pro 256GB</t>
  </si>
  <si>
    <t>NT10021</t>
  </si>
  <si>
    <t>Pulse 397 Dual SIM</t>
  </si>
  <si>
    <t>NT10022</t>
  </si>
  <si>
    <t>Pulse 521 Dual SIM</t>
  </si>
  <si>
    <t>NT10023</t>
  </si>
  <si>
    <t>Edge 175 5G 128GB</t>
  </si>
  <si>
    <t>NT10024</t>
  </si>
  <si>
    <t>Nova Lite 799 64GB</t>
  </si>
  <si>
    <t>NT10025</t>
  </si>
  <si>
    <t>Pulse 733 Dual SIM</t>
  </si>
  <si>
    <t>NT10026</t>
  </si>
  <si>
    <t>Edge 712 5G 128GB</t>
  </si>
  <si>
    <t>NT10027</t>
  </si>
  <si>
    <t>Nova X763 128GB</t>
  </si>
  <si>
    <t>NT10028</t>
  </si>
  <si>
    <t>Nova X761 Pro 256GB</t>
  </si>
  <si>
    <t>NT10029</t>
  </si>
  <si>
    <t>Edge 379 5G 128GB</t>
  </si>
  <si>
    <t>NT10030</t>
  </si>
  <si>
    <t>Nova Lite 278 64GB</t>
  </si>
  <si>
    <t>NT10031</t>
  </si>
  <si>
    <t>Nova Lite 631 64GB</t>
  </si>
  <si>
    <t>NT10032</t>
  </si>
  <si>
    <t>Nova X968 128GB</t>
  </si>
  <si>
    <t>NT10033</t>
  </si>
  <si>
    <t>Pulse 902 Dual SIM</t>
  </si>
  <si>
    <t>NT10034</t>
  </si>
  <si>
    <t>Pulse 910 Dual SIM</t>
  </si>
  <si>
    <t>NT10035</t>
  </si>
  <si>
    <t>Nova X683 Pro 256GB</t>
  </si>
  <si>
    <t>NT10036</t>
  </si>
  <si>
    <t>Edge 275 5G 128GB</t>
  </si>
  <si>
    <t>NT10037</t>
  </si>
  <si>
    <t>Nova X618 128GB</t>
  </si>
  <si>
    <t>NT10038</t>
  </si>
  <si>
    <t>Nova X367 Pro 256GB</t>
  </si>
  <si>
    <t>NT10039</t>
  </si>
  <si>
    <t>Nova X158 128GB</t>
  </si>
  <si>
    <t>NT10040</t>
  </si>
  <si>
    <t>Nova Lite 898 64GB</t>
  </si>
  <si>
    <t>NT10041</t>
  </si>
  <si>
    <t>Nova Lite 722 64GB</t>
  </si>
  <si>
    <t>NT10042</t>
  </si>
  <si>
    <t>Nova Lite 981 64GB</t>
  </si>
  <si>
    <t>NT10043</t>
  </si>
  <si>
    <t>Edge 999 5G 128GB</t>
  </si>
  <si>
    <t>NT10044</t>
  </si>
  <si>
    <t>Nova Lite 886 64GB</t>
  </si>
  <si>
    <t>NT10045</t>
  </si>
  <si>
    <t>Nova X674 Pro 256GB</t>
  </si>
  <si>
    <t>NT10046</t>
  </si>
  <si>
    <t>Nova Lite 711 64GB</t>
  </si>
  <si>
    <t>NT10047</t>
  </si>
  <si>
    <t>Edge 345 5G 128GB</t>
  </si>
  <si>
    <t>NT10048</t>
  </si>
  <si>
    <t>Pulse 800 Dual SIM</t>
  </si>
  <si>
    <t>NT10049</t>
  </si>
  <si>
    <t>Nova Lite 422 64GB</t>
  </si>
  <si>
    <t>NT10050</t>
  </si>
  <si>
    <t>Nova Lite 448 64GB</t>
  </si>
  <si>
    <t>NT10051</t>
  </si>
  <si>
    <t>CreatorPro 982 i9 16in</t>
  </si>
  <si>
    <t>Laptops</t>
  </si>
  <si>
    <t>NT10052</t>
  </si>
  <si>
    <t>ProBook 483 i7 15in</t>
  </si>
  <si>
    <t>Taipei MicroParts</t>
  </si>
  <si>
    <t>NT10053</t>
  </si>
  <si>
    <t>CreatorPro 419 i9 16in</t>
  </si>
  <si>
    <t>NT10054</t>
  </si>
  <si>
    <t>WorkMate 914 i3 14in</t>
  </si>
  <si>
    <t>NT10055</t>
  </si>
  <si>
    <t>UltraSlim 241 Ryzen 5</t>
  </si>
  <si>
    <t>NT10056</t>
  </si>
  <si>
    <t>ProBook 502 i5 14in</t>
  </si>
  <si>
    <t>NT10057</t>
  </si>
  <si>
    <t>ProBook 187 i5 14in</t>
  </si>
  <si>
    <t>NT10058</t>
  </si>
  <si>
    <t>CreatorPro 778 i9 16in</t>
  </si>
  <si>
    <t>NT10059</t>
  </si>
  <si>
    <t>WorkMate 293 i3 14in</t>
  </si>
  <si>
    <t>NT10060</t>
  </si>
  <si>
    <t>ProBook 839 i7 15in</t>
  </si>
  <si>
    <t>NT10061</t>
  </si>
  <si>
    <t>ProBook 962 i5 14in</t>
  </si>
  <si>
    <t>NT10062</t>
  </si>
  <si>
    <t>CreatorPro 354 i9 16in</t>
  </si>
  <si>
    <t>NT10063</t>
  </si>
  <si>
    <t>UltraSlim 731 Ryzen 5</t>
  </si>
  <si>
    <t>NT10064</t>
  </si>
  <si>
    <t>ProBook 948 i7 15in</t>
  </si>
  <si>
    <t>NT10065</t>
  </si>
  <si>
    <t>ProBook 927 i5 14in</t>
  </si>
  <si>
    <t>NT10066</t>
  </si>
  <si>
    <t>UltraSlim 542 Ryzen 5</t>
  </si>
  <si>
    <t>NT10067</t>
  </si>
  <si>
    <t>UltraSlim 877 Ryzen 5</t>
  </si>
  <si>
    <t>NT10068</t>
  </si>
  <si>
    <t>ProBook 541 i7 15in</t>
  </si>
  <si>
    <t>NT10069</t>
  </si>
  <si>
    <t>CreatorPro 741 i9 16in</t>
  </si>
  <si>
    <t>NT10070</t>
  </si>
  <si>
    <t>UltraSlim 400 Ryzen 5</t>
  </si>
  <si>
    <t>NT10071</t>
  </si>
  <si>
    <t>WorkMate 444 i3 14in</t>
  </si>
  <si>
    <t>NT10072</t>
  </si>
  <si>
    <t>CreatorPro 629 i9 16in</t>
  </si>
  <si>
    <t>NT10073</t>
  </si>
  <si>
    <t>ProBook 373 i5 14in</t>
  </si>
  <si>
    <t>NT10074</t>
  </si>
  <si>
    <t>WorkMate 446 i3 14in</t>
  </si>
  <si>
    <t>NT10075</t>
  </si>
  <si>
    <t>UltraSlim 118 Ryzen 5</t>
  </si>
  <si>
    <t>NT10076</t>
  </si>
  <si>
    <t>CreatorPro 809 i9 16in</t>
  </si>
  <si>
    <t>NT10077</t>
  </si>
  <si>
    <t>ProBook 720 i7 15in</t>
  </si>
  <si>
    <t>NT10078</t>
  </si>
  <si>
    <t>CreatorPro 672 i9 16in</t>
  </si>
  <si>
    <t>NT10079</t>
  </si>
  <si>
    <t>CreatorPro 851 i9 16in</t>
  </si>
  <si>
    <t>NT10080</t>
  </si>
  <si>
    <t>UltraSlim 600 Ryzen 5</t>
  </si>
  <si>
    <t>NT10081</t>
  </si>
  <si>
    <t>UltraSlim 956 Ryzen 5</t>
  </si>
  <si>
    <t>NT10082</t>
  </si>
  <si>
    <t>CreatorPro 155 i9 16in</t>
  </si>
  <si>
    <t>NT10083</t>
  </si>
  <si>
    <t>CreatorPro 192 i9 16in</t>
  </si>
  <si>
    <t>NT10084</t>
  </si>
  <si>
    <t>CreatorPro 984 i9 16in</t>
  </si>
  <si>
    <t>NT10085</t>
  </si>
  <si>
    <t>CreatorPro 319 i9 16in</t>
  </si>
  <si>
    <t>NT10086</t>
  </si>
  <si>
    <t>ProBook 626 i7 15in</t>
  </si>
  <si>
    <t>NT10087</t>
  </si>
  <si>
    <t>UltraSlim 766 Ryzen 5</t>
  </si>
  <si>
    <t>NT10088</t>
  </si>
  <si>
    <t>ProBook 846 i7 15in</t>
  </si>
  <si>
    <t>NT10089</t>
  </si>
  <si>
    <t>UltraSlim 908 Ryzen 5</t>
  </si>
  <si>
    <t>NT10090</t>
  </si>
  <si>
    <t>ProBook 568 i7 15in</t>
  </si>
  <si>
    <t>NT10091</t>
  </si>
  <si>
    <t>CreatorPro 601 i9 16in</t>
  </si>
  <si>
    <t>NT10092</t>
  </si>
  <si>
    <t>WorkMate 258 i3 14in</t>
  </si>
  <si>
    <t>NT10093</t>
  </si>
  <si>
    <t>UltraSlim 436 Ryzen 5</t>
  </si>
  <si>
    <t>NT10094</t>
  </si>
  <si>
    <t>ProBook 953 i7 15in</t>
  </si>
  <si>
    <t>NT10095</t>
  </si>
  <si>
    <t>ProBook 648 i7 15in</t>
  </si>
  <si>
    <t>NT10096</t>
  </si>
  <si>
    <t>UltraSlim 744 Ryzen 5</t>
  </si>
  <si>
    <t>NT10097</t>
  </si>
  <si>
    <t>ProBook 462 i5 14in</t>
  </si>
  <si>
    <t>NT10098</t>
  </si>
  <si>
    <t>ProBook 660 i5 14in</t>
  </si>
  <si>
    <t>NT10099</t>
  </si>
  <si>
    <t>WorkMate 633 i3 14in</t>
  </si>
  <si>
    <t>NT10100</t>
  </si>
  <si>
    <t>ProBook 467 i7 15in</t>
  </si>
  <si>
    <t>NT10101</t>
  </si>
  <si>
    <t>VisionQ 798in QLED</t>
  </si>
  <si>
    <t>TVs</t>
  </si>
  <si>
    <t>Busan Display Tech</t>
  </si>
  <si>
    <t>NT10102</t>
  </si>
  <si>
    <t>VisionLED 933in 4K</t>
  </si>
  <si>
    <t>NT10103</t>
  </si>
  <si>
    <t>VisionLED 495in 4K</t>
  </si>
  <si>
    <t>NT10104</t>
  </si>
  <si>
    <t>VisionLED 501in 4K</t>
  </si>
  <si>
    <t>NT10105</t>
  </si>
  <si>
    <t>VisionLED 850in 4K</t>
  </si>
  <si>
    <t>NT10106</t>
  </si>
  <si>
    <t>CinemaMax 807in 8K</t>
  </si>
  <si>
    <t>NT10107</t>
  </si>
  <si>
    <t>VisionOLED 709in 4K</t>
  </si>
  <si>
    <t>NT10108</t>
  </si>
  <si>
    <t>CinemaMax 594in 8K</t>
  </si>
  <si>
    <t>NT10109</t>
  </si>
  <si>
    <t>VisionQ 346in QLED</t>
  </si>
  <si>
    <t>NT10110</t>
  </si>
  <si>
    <t>VisionOLED 643in 4K</t>
  </si>
  <si>
    <t>NT10111</t>
  </si>
  <si>
    <t>VisionOLED 568in 4K</t>
  </si>
  <si>
    <t>NT10112</t>
  </si>
  <si>
    <t>VisionOLED 301in 4K</t>
  </si>
  <si>
    <t>NT10113</t>
  </si>
  <si>
    <t>VisionLED 323in 4K</t>
  </si>
  <si>
    <t>NT10114</t>
  </si>
  <si>
    <t>CinemaMax 961in 8K</t>
  </si>
  <si>
    <t>NT10115</t>
  </si>
  <si>
    <t>VisionLED 272in 4K</t>
  </si>
  <si>
    <t>NT10116</t>
  </si>
  <si>
    <t>CinemaMax 365in 8K</t>
  </si>
  <si>
    <t>NT10117</t>
  </si>
  <si>
    <t>VisionOLED 607in 4K</t>
  </si>
  <si>
    <t>NT10118</t>
  </si>
  <si>
    <t>VisionOLED 132in 4K</t>
  </si>
  <si>
    <t>NT10119</t>
  </si>
  <si>
    <t>VisionOLED 275in 4K</t>
  </si>
  <si>
    <t>NT10120</t>
  </si>
  <si>
    <t>VisionOLED 579in 4K</t>
  </si>
  <si>
    <t>NT10121</t>
  </si>
  <si>
    <t>VisionOLED 942in 4K</t>
  </si>
  <si>
    <t>NT10122</t>
  </si>
  <si>
    <t>VisionLED 242in 4K</t>
  </si>
  <si>
    <t>NT10123</t>
  </si>
  <si>
    <t>VisionQ 624in QLED</t>
  </si>
  <si>
    <t>NT10124</t>
  </si>
  <si>
    <t>VisionLED 486in 4K</t>
  </si>
  <si>
    <t>NT10125</t>
  </si>
  <si>
    <t>VisionOLED 414in 4K</t>
  </si>
  <si>
    <t>NT10126</t>
  </si>
  <si>
    <t>VisionOLED 780in 4K</t>
  </si>
  <si>
    <t>NT10127</t>
  </si>
  <si>
    <t>CinemaMax 215in 8K</t>
  </si>
  <si>
    <t>NT10128</t>
  </si>
  <si>
    <t>VisionQ 120in QLED</t>
  </si>
  <si>
    <t>NT10129</t>
  </si>
  <si>
    <t>VisionLED 554in 4K</t>
  </si>
  <si>
    <t>NT10130</t>
  </si>
  <si>
    <t>CinemaMax 380in 8K</t>
  </si>
  <si>
    <t>NT10131</t>
  </si>
  <si>
    <t>CinemaMax 580in 8K</t>
  </si>
  <si>
    <t>NT10132</t>
  </si>
  <si>
    <t>VisionOLED 815in 4K</t>
  </si>
  <si>
    <t>NT10133</t>
  </si>
  <si>
    <t>VisionOLED 919in 4K</t>
  </si>
  <si>
    <t>NT10134</t>
  </si>
  <si>
    <t>CinemaMax 312in 8K</t>
  </si>
  <si>
    <t>NT10135</t>
  </si>
  <si>
    <t>CinemaMax 348in 8K</t>
  </si>
  <si>
    <t>NT10136</t>
  </si>
  <si>
    <t>VisionQ 273in QLED</t>
  </si>
  <si>
    <t>NT10137</t>
  </si>
  <si>
    <t>VisionLED 726in 4K</t>
  </si>
  <si>
    <t>NT10138</t>
  </si>
  <si>
    <t>VisionQ 956in QLED</t>
  </si>
  <si>
    <t>NT10139</t>
  </si>
  <si>
    <t>VisionQ 920in QLED</t>
  </si>
  <si>
    <t>NT10140</t>
  </si>
  <si>
    <t>VisionQ 974in QLED</t>
  </si>
  <si>
    <t>NT10141</t>
  </si>
  <si>
    <t>VisionLED 341in 4K</t>
  </si>
  <si>
    <t>NT10142</t>
  </si>
  <si>
    <t>CinemaMax 625in 8K</t>
  </si>
  <si>
    <t>NT10143</t>
  </si>
  <si>
    <t>VisionLED 568in 4K</t>
  </si>
  <si>
    <t>NT10144</t>
  </si>
  <si>
    <t>VisionOLED 428in 4K</t>
  </si>
  <si>
    <t>NT10145</t>
  </si>
  <si>
    <t>CinemaMax 201in 8K</t>
  </si>
  <si>
    <t>NT10146</t>
  </si>
  <si>
    <t>VisionLED 188in 4K</t>
  </si>
  <si>
    <t>NT10147</t>
  </si>
  <si>
    <t>CinemaMax 871in 8K</t>
  </si>
  <si>
    <t>NT10148</t>
  </si>
  <si>
    <t>CinemaMax 609in 8K</t>
  </si>
  <si>
    <t>NT10149</t>
  </si>
  <si>
    <t>CinemaMax 755in 8K</t>
  </si>
  <si>
    <t>NT10150</t>
  </si>
  <si>
    <t>VisionLED 977in 4K</t>
  </si>
  <si>
    <t>NT10151</t>
  </si>
  <si>
    <t>SoundCore Buds 811</t>
  </si>
  <si>
    <t>Audio</t>
  </si>
  <si>
    <t>Dongguan Audio Labs</t>
  </si>
  <si>
    <t>NT10152</t>
  </si>
  <si>
    <t>StudioPods 426 ANC</t>
  </si>
  <si>
    <t>Penang Circuits</t>
  </si>
  <si>
    <t>NT10153</t>
  </si>
  <si>
    <t>BassMax Speaker 640</t>
  </si>
  <si>
    <t>NT10154</t>
  </si>
  <si>
    <t>StudioPods 523 ANC</t>
  </si>
  <si>
    <t>NT10155</t>
  </si>
  <si>
    <t>ClipMic 416 Wireless</t>
  </si>
  <si>
    <t>NT10156</t>
  </si>
  <si>
    <t>ClipMic 445 Wireless</t>
  </si>
  <si>
    <t>NT10157</t>
  </si>
  <si>
    <t>WaveBar 726 Soundbar</t>
  </si>
  <si>
    <t>NT10158</t>
  </si>
  <si>
    <t>WaveBar 698 Soundbar</t>
  </si>
  <si>
    <t>NT10159</t>
  </si>
  <si>
    <t>StudioPods 901 ANC</t>
  </si>
  <si>
    <t>NT10160</t>
  </si>
  <si>
    <t>StudioPods 653 ANC</t>
  </si>
  <si>
    <t>NT10161</t>
  </si>
  <si>
    <t>StudioPods 102 ANC</t>
  </si>
  <si>
    <t>NT10162</t>
  </si>
  <si>
    <t>ClipMic 567 Wireless</t>
  </si>
  <si>
    <t>NT10163</t>
  </si>
  <si>
    <t>StudioPods 229 ANC</t>
  </si>
  <si>
    <t>NT10164</t>
  </si>
  <si>
    <t>ClipMic 995 Wireless</t>
  </si>
  <si>
    <t>NT10165</t>
  </si>
  <si>
    <t>WaveBar 479 Soundbar</t>
  </si>
  <si>
    <t>NT10166</t>
  </si>
  <si>
    <t>BassMax Speaker 721</t>
  </si>
  <si>
    <t>NT10167</t>
  </si>
  <si>
    <t>WaveBar 750 Soundbar</t>
  </si>
  <si>
    <t>NT10168</t>
  </si>
  <si>
    <t>StudioPods 858 ANC</t>
  </si>
  <si>
    <t>NT10169</t>
  </si>
  <si>
    <t>StudioPods 131 ANC</t>
  </si>
  <si>
    <t>NT10170</t>
  </si>
  <si>
    <t>SoundCore Buds 475</t>
  </si>
  <si>
    <t>NT10171</t>
  </si>
  <si>
    <t>StudioPods 651 ANC</t>
  </si>
  <si>
    <t>NT10172</t>
  </si>
  <si>
    <t>BassMax Speaker 274</t>
  </si>
  <si>
    <t>NT10173</t>
  </si>
  <si>
    <t>WaveBar 471 Soundbar</t>
  </si>
  <si>
    <t>NT10174</t>
  </si>
  <si>
    <t>ClipMic 238 Wireless</t>
  </si>
  <si>
    <t>NT10175</t>
  </si>
  <si>
    <t>StudioPods 585 ANC</t>
  </si>
  <si>
    <t>NT10176</t>
  </si>
  <si>
    <t>SoundCore Buds 312</t>
  </si>
  <si>
    <t>NT10177</t>
  </si>
  <si>
    <t>StudioPods 405 ANC</t>
  </si>
  <si>
    <t>NT10178</t>
  </si>
  <si>
    <t>BassMax Speaker 653</t>
  </si>
  <si>
    <t>NT10179</t>
  </si>
  <si>
    <t>SoundCore Buds 359</t>
  </si>
  <si>
    <t>NT10180</t>
  </si>
  <si>
    <t>ClipMic 324 Wireless</t>
  </si>
  <si>
    <t>NT10181</t>
  </si>
  <si>
    <t>WaveBar 806 Soundbar</t>
  </si>
  <si>
    <t>NT10182</t>
  </si>
  <si>
    <t>ClipMic 749 Wireless</t>
  </si>
  <si>
    <t>NT10183</t>
  </si>
  <si>
    <t>WaveBar 576 Soundbar</t>
  </si>
  <si>
    <t>NT10184</t>
  </si>
  <si>
    <t>SoundCore Buds 830</t>
  </si>
  <si>
    <t>NT10185</t>
  </si>
  <si>
    <t>BassMax Speaker 384</t>
  </si>
  <si>
    <t>NT10186</t>
  </si>
  <si>
    <t>StudioPods 276 ANC</t>
  </si>
  <si>
    <t>NT10187</t>
  </si>
  <si>
    <t>StudioPods 868 ANC</t>
  </si>
  <si>
    <t>NT10188</t>
  </si>
  <si>
    <t>SoundCore Buds 506</t>
  </si>
  <si>
    <t>NT10189</t>
  </si>
  <si>
    <t>ClipMic 886 Wireless</t>
  </si>
  <si>
    <t>NT10190</t>
  </si>
  <si>
    <t>StudioPods 663 ANC</t>
  </si>
  <si>
    <t>NT10191</t>
  </si>
  <si>
    <t>BassMax Speaker 416</t>
  </si>
  <si>
    <t>NT10192</t>
  </si>
  <si>
    <t>StudioPods 810 ANC</t>
  </si>
  <si>
    <t>NT10193</t>
  </si>
  <si>
    <t>SoundCore Buds 879</t>
  </si>
  <si>
    <t>NT10194</t>
  </si>
  <si>
    <t>SoundCore Buds 815</t>
  </si>
  <si>
    <t>NT10195</t>
  </si>
  <si>
    <t>ClipMic 425 Wireless</t>
  </si>
  <si>
    <t>NT10196</t>
  </si>
  <si>
    <t>ClipMic 380 Wireless</t>
  </si>
  <si>
    <t>NT10197</t>
  </si>
  <si>
    <t>ClipMic 231 Wireless</t>
  </si>
  <si>
    <t>NT10198</t>
  </si>
  <si>
    <t>StudioPods 513 ANC</t>
  </si>
  <si>
    <t>NT10199</t>
  </si>
  <si>
    <t>StudioPods 749 ANC</t>
  </si>
  <si>
    <t>NT10200</t>
  </si>
  <si>
    <t>WaveBar 886 Soundbar</t>
  </si>
  <si>
    <t>NT10201</t>
  </si>
  <si>
    <t>FitTrack Band 482</t>
  </si>
  <si>
    <t>Wearables</t>
  </si>
  <si>
    <t>NT10202</t>
  </si>
  <si>
    <t>StepOne Tracker 559</t>
  </si>
  <si>
    <t>NT10203</t>
  </si>
  <si>
    <t>PulseRing 185</t>
  </si>
  <si>
    <t>NT10204</t>
  </si>
  <si>
    <t>FitTrack Band 970</t>
  </si>
  <si>
    <t>NT10205</t>
  </si>
  <si>
    <t>StepOne Tracker 188</t>
  </si>
  <si>
    <t>NT10206</t>
  </si>
  <si>
    <t>NovaWatch 145 GPS</t>
  </si>
  <si>
    <t>NT10207</t>
  </si>
  <si>
    <t>NovaWatch 894 GPS</t>
  </si>
  <si>
    <t>NT10208</t>
  </si>
  <si>
    <t>NovaWatch 308 GPS</t>
  </si>
  <si>
    <t>NT10209</t>
  </si>
  <si>
    <t>FitTrack Band 624</t>
  </si>
  <si>
    <t>NT10210</t>
  </si>
  <si>
    <t>FitTrack Band 399</t>
  </si>
  <si>
    <t>NT10211</t>
  </si>
  <si>
    <t>PulseRing 157</t>
  </si>
  <si>
    <t>NT10212</t>
  </si>
  <si>
    <t>NovaWatch 933 GPS</t>
  </si>
  <si>
    <t>NT10213</t>
  </si>
  <si>
    <t>NovaWatch 372 GPS</t>
  </si>
  <si>
    <t>NT10214</t>
  </si>
  <si>
    <t>StepOne Tracker 927</t>
  </si>
  <si>
    <t>NT10215</t>
  </si>
  <si>
    <t>FitTrack Band 640</t>
  </si>
  <si>
    <t>NT10216</t>
  </si>
  <si>
    <t>StepOne Tracker 267</t>
  </si>
  <si>
    <t>NT10217</t>
  </si>
  <si>
    <t>PulseRing 145</t>
  </si>
  <si>
    <t>NT10218</t>
  </si>
  <si>
    <t>StepOne Tracker 111</t>
  </si>
  <si>
    <t>NT10219</t>
  </si>
  <si>
    <t>NovaWatch 336 GPS</t>
  </si>
  <si>
    <t>NT10220</t>
  </si>
  <si>
    <t>StepOne Tracker 846</t>
  </si>
  <si>
    <t>NT10221</t>
  </si>
  <si>
    <t>StepOne Tracker 811</t>
  </si>
  <si>
    <t>NT10222</t>
  </si>
  <si>
    <t>StepOne Tracker 743</t>
  </si>
  <si>
    <t>NT10223</t>
  </si>
  <si>
    <t>FitTrack Band 120</t>
  </si>
  <si>
    <t>NT10224</t>
  </si>
  <si>
    <t>PulseRing 309</t>
  </si>
  <si>
    <t>NT10225</t>
  </si>
  <si>
    <t>FitTrack Band 167</t>
  </si>
  <si>
    <t>NT10226</t>
  </si>
  <si>
    <t>StepOne Tracker 298</t>
  </si>
  <si>
    <t>NT10227</t>
  </si>
  <si>
    <t>PulseRing 331</t>
  </si>
  <si>
    <t>NT10228</t>
  </si>
  <si>
    <t>FitTrack Band 708</t>
  </si>
  <si>
    <t>NT10229</t>
  </si>
  <si>
    <t>FitTrack Band 496</t>
  </si>
  <si>
    <t>NT10230</t>
  </si>
  <si>
    <t>FitTrack Band 260</t>
  </si>
  <si>
    <t>NT10231</t>
  </si>
  <si>
    <t>NovaWatch 715 GPS</t>
  </si>
  <si>
    <t>NT10232</t>
  </si>
  <si>
    <t>FitTrack Band 981</t>
  </si>
  <si>
    <t>NT10233</t>
  </si>
  <si>
    <t>FitTrack Band 945</t>
  </si>
  <si>
    <t>NT10234</t>
  </si>
  <si>
    <t>NovaWatch 818 GPS</t>
  </si>
  <si>
    <t>NT10235</t>
  </si>
  <si>
    <t>StepOne Tracker 147</t>
  </si>
  <si>
    <t>NT10236</t>
  </si>
  <si>
    <t>PulseRing 393</t>
  </si>
  <si>
    <t>NT10237</t>
  </si>
  <si>
    <t>NovaWatch 728 GPS</t>
  </si>
  <si>
    <t>NT10238</t>
  </si>
  <si>
    <t>FitTrack Band 382</t>
  </si>
  <si>
    <t>NT10239</t>
  </si>
  <si>
    <t>PulseRing 448</t>
  </si>
  <si>
    <t>NT10240</t>
  </si>
  <si>
    <t>FitTrack Band 445</t>
  </si>
  <si>
    <t>NT10241</t>
  </si>
  <si>
    <t>NovaWatch 498 GPS</t>
  </si>
  <si>
    <t>NT10242</t>
  </si>
  <si>
    <t>NT10243</t>
  </si>
  <si>
    <t>FitTrack Band 420</t>
  </si>
  <si>
    <t>NT10244</t>
  </si>
  <si>
    <t>FitTrack Band 588</t>
  </si>
  <si>
    <t>NT10245</t>
  </si>
  <si>
    <t>StepOne Tracker 844</t>
  </si>
  <si>
    <t>NT10246</t>
  </si>
  <si>
    <t>NovaWatch 686 GPS</t>
  </si>
  <si>
    <t>NT10247</t>
  </si>
  <si>
    <t>StepOne Tracker 687</t>
  </si>
  <si>
    <t>NT10248</t>
  </si>
  <si>
    <t>StepOne Tracker 517</t>
  </si>
  <si>
    <t>NT10249</t>
  </si>
  <si>
    <t>StepOne Tracker 117</t>
  </si>
  <si>
    <t>NT10250</t>
  </si>
  <si>
    <t>PulseRing 290</t>
  </si>
  <si>
    <t>NT10251</t>
  </si>
  <si>
    <t>ProMouse G975</t>
  </si>
  <si>
    <t>Gaming</t>
  </si>
  <si>
    <t>Foxlink Components</t>
  </si>
  <si>
    <t>NT10252</t>
  </si>
  <si>
    <t>ProMouse G315</t>
  </si>
  <si>
    <t>NT10253</t>
  </si>
  <si>
    <t>ArenaHeadset H710</t>
  </si>
  <si>
    <t>NT10254</t>
  </si>
  <si>
    <t>ProMouse G406</t>
  </si>
  <si>
    <t>NT10255</t>
  </si>
  <si>
    <t>ProMouse G982</t>
  </si>
  <si>
    <t>NT10256</t>
  </si>
  <si>
    <t>RGB Keyboard K272</t>
  </si>
  <si>
    <t>NT10257</t>
  </si>
  <si>
    <t>RGB Keyboard K999</t>
  </si>
  <si>
    <t>NT10258</t>
  </si>
  <si>
    <t>StreamCam S379</t>
  </si>
  <si>
    <t>NT10259</t>
  </si>
  <si>
    <t>StreamCam S482</t>
  </si>
  <si>
    <t>NT10260</t>
  </si>
  <si>
    <t>ArenaHeadset H428</t>
  </si>
  <si>
    <t>NT10261</t>
  </si>
  <si>
    <t>ProMouse G434</t>
  </si>
  <si>
    <t>NT10262</t>
  </si>
  <si>
    <t>GameStation Controller 179</t>
  </si>
  <si>
    <t>NT10263</t>
  </si>
  <si>
    <t>StreamCam S540</t>
  </si>
  <si>
    <t>NT10264</t>
  </si>
  <si>
    <t>ArenaHeadset H746</t>
  </si>
  <si>
    <t>NT10265</t>
  </si>
  <si>
    <t>GameStation Controller 214</t>
  </si>
  <si>
    <t>NT10266</t>
  </si>
  <si>
    <t>GameStation Controller 667</t>
  </si>
  <si>
    <t>NT10267</t>
  </si>
  <si>
    <t>StreamCam S531</t>
  </si>
  <si>
    <t>NT10268</t>
  </si>
  <si>
    <t>ProMouse G369</t>
  </si>
  <si>
    <t>NT10269</t>
  </si>
  <si>
    <t>RGB Keyboard K733</t>
  </si>
  <si>
    <t>NT10270</t>
  </si>
  <si>
    <t>GameStation Controller 974</t>
  </si>
  <si>
    <t>NT10271</t>
  </si>
  <si>
    <t>GameStation Controller 390</t>
  </si>
  <si>
    <t>NT10272</t>
  </si>
  <si>
    <t>RGB Keyboard K758</t>
  </si>
  <si>
    <t>NT10273</t>
  </si>
  <si>
    <t>ArenaHeadset H637</t>
  </si>
  <si>
    <t>NT10274</t>
  </si>
  <si>
    <t>StreamCam S111</t>
  </si>
  <si>
    <t>NT10275</t>
  </si>
  <si>
    <t>ArenaHeadset H478</t>
  </si>
  <si>
    <t>NT10276</t>
  </si>
  <si>
    <t>RGB Keyboard K646</t>
  </si>
  <si>
    <t>NT10277</t>
  </si>
  <si>
    <t>RGB Keyboard K367</t>
  </si>
  <si>
    <t>NT10278</t>
  </si>
  <si>
    <t>GameStation Controller 520</t>
  </si>
  <si>
    <t>NT10279</t>
  </si>
  <si>
    <t>GameStation Controller 762</t>
  </si>
  <si>
    <t>NT10280</t>
  </si>
  <si>
    <t>ProMouse G327</t>
  </si>
  <si>
    <t>NT10281</t>
  </si>
  <si>
    <t>StreamCam S631</t>
  </si>
  <si>
    <t>NT10282</t>
  </si>
  <si>
    <t>ProMouse G176</t>
  </si>
  <si>
    <t>NT10283</t>
  </si>
  <si>
    <t>ArenaHeadset H729</t>
  </si>
  <si>
    <t>NT10284</t>
  </si>
  <si>
    <t>ProMouse G382</t>
  </si>
  <si>
    <t>NT10285</t>
  </si>
  <si>
    <t>ArenaHeadset H548</t>
  </si>
  <si>
    <t>NT10286</t>
  </si>
  <si>
    <t>ArenaHeadset H403</t>
  </si>
  <si>
    <t>NT10287</t>
  </si>
  <si>
    <t>ProMouse G661</t>
  </si>
  <si>
    <t>NT10288</t>
  </si>
  <si>
    <t>ArenaHeadset H881</t>
  </si>
  <si>
    <t>NT10289</t>
  </si>
  <si>
    <t>ArenaHeadset H623</t>
  </si>
  <si>
    <t>NT10290</t>
  </si>
  <si>
    <t>GameStation Controller 601</t>
  </si>
  <si>
    <t>NT10291</t>
  </si>
  <si>
    <t>GameStation Controller 866</t>
  </si>
  <si>
    <t>NT10292</t>
  </si>
  <si>
    <t>ArenaHeadset H600</t>
  </si>
  <si>
    <t>NT10293</t>
  </si>
  <si>
    <t>GameStation Controller 501</t>
  </si>
  <si>
    <t>NT10294</t>
  </si>
  <si>
    <t>ArenaHeadset H366</t>
  </si>
  <si>
    <t>NT10295</t>
  </si>
  <si>
    <t>StreamCam S188</t>
  </si>
  <si>
    <t>NT10296</t>
  </si>
  <si>
    <t>GameStation Controller 420</t>
  </si>
  <si>
    <t>NT10297</t>
  </si>
  <si>
    <t>ProMouse G461</t>
  </si>
  <si>
    <t>NT10298</t>
  </si>
  <si>
    <t>StreamCam S283</t>
  </si>
  <si>
    <t>NT10299</t>
  </si>
  <si>
    <t>ProMouse G421</t>
  </si>
  <si>
    <t>NT10300</t>
  </si>
  <si>
    <t>RGB Keyboard K610</t>
  </si>
  <si>
    <t>NT10301</t>
  </si>
  <si>
    <t>LumiBulb 177 RGB</t>
  </si>
  <si>
    <t>Smart Home</t>
  </si>
  <si>
    <t>Hanoi Assembly Works</t>
  </si>
  <si>
    <t>NT10302</t>
  </si>
  <si>
    <t>DoorSense 239</t>
  </si>
  <si>
    <t>NT10303</t>
  </si>
  <si>
    <t>DoorSense 328</t>
  </si>
  <si>
    <t>NT10304</t>
  </si>
  <si>
    <t>SmartPlug Duo 407</t>
  </si>
  <si>
    <t>NT10305</t>
  </si>
  <si>
    <t>ThermoSmart 203</t>
  </si>
  <si>
    <t>NT10306</t>
  </si>
  <si>
    <t>SmartPlug Duo 900</t>
  </si>
  <si>
    <t>NT10307</t>
  </si>
  <si>
    <t>DoorSense 809</t>
  </si>
  <si>
    <t>NT10308</t>
  </si>
  <si>
    <t>LumiBulb 477 RGB</t>
  </si>
  <si>
    <t>NT10309</t>
  </si>
  <si>
    <t>LumiBulb 939 RGB</t>
  </si>
  <si>
    <t>NT10310</t>
  </si>
  <si>
    <t>HomeCam 583 1080p</t>
  </si>
  <si>
    <t>NT10311</t>
  </si>
  <si>
    <t>DoorSense 858</t>
  </si>
  <si>
    <t>NT10312</t>
  </si>
  <si>
    <t>HomeCam 152 1080p</t>
  </si>
  <si>
    <t>NT10313</t>
  </si>
  <si>
    <t>DoorSense 989</t>
  </si>
  <si>
    <t>NT10314</t>
  </si>
  <si>
    <t>DoorSense 634</t>
  </si>
  <si>
    <t>NT10315</t>
  </si>
  <si>
    <t>DoorSense 727</t>
  </si>
  <si>
    <t>NT10316</t>
  </si>
  <si>
    <t>HomeCam 100 1080p</t>
  </si>
  <si>
    <t>NT10317</t>
  </si>
  <si>
    <t>ThermoSmart 230</t>
  </si>
  <si>
    <t>NT10318</t>
  </si>
  <si>
    <t>DoorSense 390</t>
  </si>
  <si>
    <t>NT10319</t>
  </si>
  <si>
    <t>DoorSense 924</t>
  </si>
  <si>
    <t>NT10320</t>
  </si>
  <si>
    <t>ThermoSmart 653</t>
  </si>
  <si>
    <t>NT10321</t>
  </si>
  <si>
    <t>HomeCam 807 1080p</t>
  </si>
  <si>
    <t>NT10322</t>
  </si>
  <si>
    <t>LumiBulb 622 RGB</t>
  </si>
  <si>
    <t>NT10323</t>
  </si>
  <si>
    <t>SmartPlug Duo 798</t>
  </si>
  <si>
    <t>NT10324</t>
  </si>
  <si>
    <t>HomeCam 916 1080p</t>
  </si>
  <si>
    <t>NT10325</t>
  </si>
  <si>
    <t>LumiBulb 296 RGB</t>
  </si>
  <si>
    <t>NT10326</t>
  </si>
  <si>
    <t>LumiBulb 578 RGB</t>
  </si>
  <si>
    <t>NT10327</t>
  </si>
  <si>
    <t>LumiBulb 401 RGB</t>
  </si>
  <si>
    <t>NT10328</t>
  </si>
  <si>
    <t>DoorSense 810</t>
  </si>
  <si>
    <t>NT10329</t>
  </si>
  <si>
    <t>HomeCam 272 1080p</t>
  </si>
  <si>
    <t>NT10330</t>
  </si>
  <si>
    <t>LumiBulb 508 RGB</t>
  </si>
  <si>
    <t>NT10331</t>
  </si>
  <si>
    <t>ThermoSmart 793</t>
  </si>
  <si>
    <t>NT10332</t>
  </si>
  <si>
    <t>HomeCam 631 1080p</t>
  </si>
  <si>
    <t>NT10333</t>
  </si>
  <si>
    <t>SmartPlug Duo 717</t>
  </si>
  <si>
    <t>NT10334</t>
  </si>
  <si>
    <t>SmartPlug Duo 222</t>
  </si>
  <si>
    <t>NT10335</t>
  </si>
  <si>
    <t>LumiBulb 708 RGB</t>
  </si>
  <si>
    <t>NT10336</t>
  </si>
  <si>
    <t>SmartPlug Duo 577</t>
  </si>
  <si>
    <t>NT10337</t>
  </si>
  <si>
    <t>LumiBulb 421 RGB</t>
  </si>
  <si>
    <t>NT10338</t>
  </si>
  <si>
    <t>LumiBulb 442 RGB</t>
  </si>
  <si>
    <t>NT10339</t>
  </si>
  <si>
    <t>HomeCam 323 1080p</t>
  </si>
  <si>
    <t>NT10340</t>
  </si>
  <si>
    <t>LumiBulb 802 RGB</t>
  </si>
  <si>
    <t>NT10341</t>
  </si>
  <si>
    <t>ThermoSmart 194</t>
  </si>
  <si>
    <t>NT10342</t>
  </si>
  <si>
    <t>SmartPlug Duo 426</t>
  </si>
  <si>
    <t>NT10343</t>
  </si>
  <si>
    <t>SmartPlug Duo 481</t>
  </si>
  <si>
    <t>NT10344</t>
  </si>
  <si>
    <t>LumiBulb 614 RGB</t>
  </si>
  <si>
    <t>NT10345</t>
  </si>
  <si>
    <t>SmartPlug Duo 565</t>
  </si>
  <si>
    <t>NT10346</t>
  </si>
  <si>
    <t>HomeCam 482 1080p</t>
  </si>
  <si>
    <t>NT10347</t>
  </si>
  <si>
    <t>SmartPlug Duo 550</t>
  </si>
  <si>
    <t>NT10348</t>
  </si>
  <si>
    <t>HomeCam 160 1080p</t>
  </si>
  <si>
    <t>NT10349</t>
  </si>
  <si>
    <t>HomeCam 528 1080p</t>
  </si>
  <si>
    <t>NT10350</t>
  </si>
  <si>
    <t>SmartPlug Duo 486</t>
  </si>
  <si>
    <t>NT10351</t>
  </si>
  <si>
    <t>MirrorlessM 131</t>
  </si>
  <si>
    <t>Cameras</t>
  </si>
  <si>
    <t>NT10352</t>
  </si>
  <si>
    <t>TravelShot 264 Compact</t>
  </si>
  <si>
    <t>NT10353</t>
  </si>
  <si>
    <t>MirrorlessM 556</t>
  </si>
  <si>
    <t>NT10354</t>
  </si>
  <si>
    <t>ActionCam 521 4K</t>
  </si>
  <si>
    <t>NT10355</t>
  </si>
  <si>
    <t>MirrorlessM 404</t>
  </si>
  <si>
    <t>NT10356</t>
  </si>
  <si>
    <t>TravelShot 546 Compact</t>
  </si>
  <si>
    <t>NT10357</t>
  </si>
  <si>
    <t>OptiZoom 396 DSLR</t>
  </si>
  <si>
    <t>NT10358</t>
  </si>
  <si>
    <t>MirrorlessM 145</t>
  </si>
  <si>
    <t>NT10359</t>
  </si>
  <si>
    <t>ActionCam 776 4K</t>
  </si>
  <si>
    <t>NT10360</t>
  </si>
  <si>
    <t>OptiZoom 562 DSLR</t>
  </si>
  <si>
    <t>NT10361</t>
  </si>
  <si>
    <t>MirrorlessM 811</t>
  </si>
  <si>
    <t>NT10362</t>
  </si>
  <si>
    <t>MirrorlessM 337</t>
  </si>
  <si>
    <t>NT10363</t>
  </si>
  <si>
    <t>OptiZoom 931 DSLR</t>
  </si>
  <si>
    <t>NT10364</t>
  </si>
  <si>
    <t>MirrorlessM 494</t>
  </si>
  <si>
    <t>NT10365</t>
  </si>
  <si>
    <t>OptiZoom 157 DSLR</t>
  </si>
  <si>
    <t>NT10366</t>
  </si>
  <si>
    <t>ActionCam 138 4K</t>
  </si>
  <si>
    <t>NT10367</t>
  </si>
  <si>
    <t>TravelShot 480 Compact</t>
  </si>
  <si>
    <t>NT10368</t>
  </si>
  <si>
    <t>OptiZoom 113 DSLR</t>
  </si>
  <si>
    <t>NT10369</t>
  </si>
  <si>
    <t>ActionCam 161 4K</t>
  </si>
  <si>
    <t>NT10370</t>
  </si>
  <si>
    <t>OptiZoom 229 DSLR</t>
  </si>
  <si>
    <t>NT10371</t>
  </si>
  <si>
    <t>ActionCam 137 4K</t>
  </si>
  <si>
    <t>NT10372</t>
  </si>
  <si>
    <t>OptiZoom 369 DSLR</t>
  </si>
  <si>
    <t>NT10373</t>
  </si>
  <si>
    <t>ActionCam 184 4K</t>
  </si>
  <si>
    <t>NT10374</t>
  </si>
  <si>
    <t>OptiZoom 250 DSLR</t>
  </si>
  <si>
    <t>NT10375</t>
  </si>
  <si>
    <t>ActionCam 660 4K</t>
  </si>
  <si>
    <t>NT10376</t>
  </si>
  <si>
    <t>TravelShot 472 Compact</t>
  </si>
  <si>
    <t>NT10377</t>
  </si>
  <si>
    <t>MirrorlessM 687</t>
  </si>
  <si>
    <t>NT10378</t>
  </si>
  <si>
    <t>TravelShot 774 Compact</t>
  </si>
  <si>
    <t>NT10379</t>
  </si>
  <si>
    <t>ActionCam 760 4K</t>
  </si>
  <si>
    <t>NT10380</t>
  </si>
  <si>
    <t>ActionCam 649 4K</t>
  </si>
  <si>
    <t>NT10381</t>
  </si>
  <si>
    <t>ActionCam 391 4K</t>
  </si>
  <si>
    <t>NT10382</t>
  </si>
  <si>
    <t>TravelShot 847 Compact</t>
  </si>
  <si>
    <t>NT10383</t>
  </si>
  <si>
    <t>MirrorlessM 561</t>
  </si>
  <si>
    <t>NT10384</t>
  </si>
  <si>
    <t>MirrorlessM 246</t>
  </si>
  <si>
    <t>NT10385</t>
  </si>
  <si>
    <t>ActionCam 664 4K</t>
  </si>
  <si>
    <t>NT10386</t>
  </si>
  <si>
    <t>TravelShot 287 Compact</t>
  </si>
  <si>
    <t>NT10387</t>
  </si>
  <si>
    <t>OptiZoom 998 DSLR</t>
  </si>
  <si>
    <t>NT10388</t>
  </si>
  <si>
    <t>MirrorlessM 748</t>
  </si>
  <si>
    <t>NT10389</t>
  </si>
  <si>
    <t>MirrorlessM 942</t>
  </si>
  <si>
    <t>NT10390</t>
  </si>
  <si>
    <t>ActionCam 753 4K</t>
  </si>
  <si>
    <t>NT10391</t>
  </si>
  <si>
    <t>OptiZoom 169 DSLR</t>
  </si>
  <si>
    <t>NT10392</t>
  </si>
  <si>
    <t>OptiZoom 988 DSLR</t>
  </si>
  <si>
    <t>NT10393</t>
  </si>
  <si>
    <t>OptiZoom 452 DSLR</t>
  </si>
  <si>
    <t>NT10394</t>
  </si>
  <si>
    <t>MirrorlessM 247</t>
  </si>
  <si>
    <t>NT10395</t>
  </si>
  <si>
    <t>ActionCam 102 4K</t>
  </si>
  <si>
    <t>NT10396</t>
  </si>
  <si>
    <t>MirrorlessM 229</t>
  </si>
  <si>
    <t>NT10397</t>
  </si>
  <si>
    <t>MirrorlessM 487</t>
  </si>
  <si>
    <t>NT10398</t>
  </si>
  <si>
    <t>MirrorlessM 330</t>
  </si>
  <si>
    <t>NT10399</t>
  </si>
  <si>
    <t>NT10400</t>
  </si>
  <si>
    <t>OptiZoom 869 DSLR</t>
  </si>
  <si>
    <t>NT10401</t>
  </si>
  <si>
    <t>DrawPad 390 12in</t>
  </si>
  <si>
    <t>Tablets</t>
  </si>
  <si>
    <t>NT10402</t>
  </si>
  <si>
    <t>NovaTab 904 10in</t>
  </si>
  <si>
    <t>NT10403</t>
  </si>
  <si>
    <t>NovaTab 537 10in</t>
  </si>
  <si>
    <t>NT10404</t>
  </si>
  <si>
    <t>NovaTab 716 Kids</t>
  </si>
  <si>
    <t>NT10405</t>
  </si>
  <si>
    <t>NovaTab 280 10in</t>
  </si>
  <si>
    <t>NT10406</t>
  </si>
  <si>
    <t>DrawPad 936 12in</t>
  </si>
  <si>
    <t>NT10407</t>
  </si>
  <si>
    <t>DrawPad 201 12in</t>
  </si>
  <si>
    <t>NT10408</t>
  </si>
  <si>
    <t>NovaTab 610 10in</t>
  </si>
  <si>
    <t>NT10409</t>
  </si>
  <si>
    <t>DrawPad 147 12in</t>
  </si>
  <si>
    <t>NT10410</t>
  </si>
  <si>
    <t>DrawPad 324 12in</t>
  </si>
  <si>
    <t>NT10411</t>
  </si>
  <si>
    <t>NovaTab 602 10in</t>
  </si>
  <si>
    <t>NT10412</t>
  </si>
  <si>
    <t>NovaTab 225 Kids</t>
  </si>
  <si>
    <t>NT10413</t>
  </si>
  <si>
    <t>NovaTab 817 Kids</t>
  </si>
  <si>
    <t>NT10414</t>
  </si>
  <si>
    <t>NovaTab 269 10in</t>
  </si>
  <si>
    <t>NT10415</t>
  </si>
  <si>
    <t>DrawPad 859 12in</t>
  </si>
  <si>
    <t>NT10416</t>
  </si>
  <si>
    <t>NovaTab 541 Kids</t>
  </si>
  <si>
    <t>NT10417</t>
  </si>
  <si>
    <t>DrawPad 569 12in</t>
  </si>
  <si>
    <t>NT10418</t>
  </si>
  <si>
    <t>NovaTab 516 10in</t>
  </si>
  <si>
    <t>NT10419</t>
  </si>
  <si>
    <t>NovaTab 191 Kids</t>
  </si>
  <si>
    <t>NT10420</t>
  </si>
  <si>
    <t>DrawPad 714 12in</t>
  </si>
  <si>
    <t>NT10421</t>
  </si>
  <si>
    <t>NovaTab 586 10in</t>
  </si>
  <si>
    <t>NT10422</t>
  </si>
  <si>
    <t>NovaTab 444 Kids</t>
  </si>
  <si>
    <t>NT10423</t>
  </si>
  <si>
    <t>NovaTab 987 Kids</t>
  </si>
  <si>
    <t>NT10424</t>
  </si>
  <si>
    <t>NovaTab 978 Kids</t>
  </si>
  <si>
    <t>NT10425</t>
  </si>
  <si>
    <t>NovaTab 147 10in</t>
  </si>
  <si>
    <t>NT10426</t>
  </si>
  <si>
    <t>NovaTab 641 Kids</t>
  </si>
  <si>
    <t>NT10427</t>
  </si>
  <si>
    <t>DrawPad 240 12in</t>
  </si>
  <si>
    <t>NT10428</t>
  </si>
  <si>
    <t>DrawPad 284 12in</t>
  </si>
  <si>
    <t>NT10429</t>
  </si>
  <si>
    <t>DrawPad 171 12in</t>
  </si>
  <si>
    <t>NT10430</t>
  </si>
  <si>
    <t>NovaTab 185 10in</t>
  </si>
  <si>
    <t>NT10431</t>
  </si>
  <si>
    <t>NovaTab 339 10in</t>
  </si>
  <si>
    <t>NT10432</t>
  </si>
  <si>
    <t>DrawPad 694 12in</t>
  </si>
  <si>
    <t>NT10433</t>
  </si>
  <si>
    <t>NovaTab 132 10in</t>
  </si>
  <si>
    <t>NT10434</t>
  </si>
  <si>
    <t>NovaTab 373 Kids</t>
  </si>
  <si>
    <t>NT10435</t>
  </si>
  <si>
    <t>NovaTab 789 Kids</t>
  </si>
  <si>
    <t>NT10436</t>
  </si>
  <si>
    <t>DrawPad 834 12in</t>
  </si>
  <si>
    <t>NT10437</t>
  </si>
  <si>
    <t>NovaTab 346 Kids</t>
  </si>
  <si>
    <t>NT10438</t>
  </si>
  <si>
    <t>NovaTab 862 Kids</t>
  </si>
  <si>
    <t>NT10439</t>
  </si>
  <si>
    <t>NovaTab 758 10in</t>
  </si>
  <si>
    <t>NT10440</t>
  </si>
  <si>
    <t>DrawPad 640 12in</t>
  </si>
  <si>
    <t>NT10441</t>
  </si>
  <si>
    <t>DrawPad 374 12in</t>
  </si>
  <si>
    <t>NT10442</t>
  </si>
  <si>
    <t>DrawPad 251 12in</t>
  </si>
  <si>
    <t>NT10443</t>
  </si>
  <si>
    <t>NovaTab 846 Kids</t>
  </si>
  <si>
    <t>NT10444</t>
  </si>
  <si>
    <t>NovaTab 111 10in</t>
  </si>
  <si>
    <t>NT10445</t>
  </si>
  <si>
    <t>DrawPad 495 12in</t>
  </si>
  <si>
    <t>NT10446</t>
  </si>
  <si>
    <t>NovaTab 935 Kids</t>
  </si>
  <si>
    <t>NT10447</t>
  </si>
  <si>
    <t>DrawPad 840 12in</t>
  </si>
  <si>
    <t>NT10448</t>
  </si>
  <si>
    <t>NovaTab 743 10in</t>
  </si>
  <si>
    <t>NT10449</t>
  </si>
  <si>
    <t>NovaTab 443 Kids</t>
  </si>
  <si>
    <t>NT10450</t>
  </si>
  <si>
    <t>DrawPad 744 12in</t>
  </si>
  <si>
    <t>NT10451</t>
  </si>
  <si>
    <t>Car Mount V755</t>
  </si>
  <si>
    <t>Accessories</t>
  </si>
  <si>
    <t>EuroParts Distribution</t>
  </si>
  <si>
    <t>NT10452</t>
  </si>
  <si>
    <t>Phone Case Clear V585</t>
  </si>
  <si>
    <t>Mumbai Cable Works</t>
  </si>
  <si>
    <t>NT10453</t>
  </si>
  <si>
    <t>Power Bank 10K V720</t>
  </si>
  <si>
    <t>NT10454</t>
  </si>
  <si>
    <t>Wall Charger 65W V714</t>
  </si>
  <si>
    <t>NT10455</t>
  </si>
  <si>
    <t>Power Bank 10K V715</t>
  </si>
  <si>
    <t>NT10456</t>
  </si>
  <si>
    <t>Phone Case Clear V184</t>
  </si>
  <si>
    <t>NT10457</t>
  </si>
  <si>
    <t>Screen Guard 244</t>
  </si>
  <si>
    <t>NT10458</t>
  </si>
  <si>
    <t>Screen Guard 376</t>
  </si>
  <si>
    <t>NT10459</t>
  </si>
  <si>
    <t>Wall Charger 65W V938</t>
  </si>
  <si>
    <t>NT10460</t>
  </si>
  <si>
    <t>Power Bank 10K V876</t>
  </si>
  <si>
    <t>NT10461</t>
  </si>
  <si>
    <t>USB C Cable 2m V317</t>
  </si>
  <si>
    <t>NT10462</t>
  </si>
  <si>
    <t>Wall Charger 65W V731</t>
  </si>
  <si>
    <t>NT10463</t>
  </si>
  <si>
    <t>HDMI Cable 4K V901</t>
  </si>
  <si>
    <t>NT10464</t>
  </si>
  <si>
    <t>Phone Case Clear V580</t>
  </si>
  <si>
    <t>NT10465</t>
  </si>
  <si>
    <t>Power Bank 10K V432</t>
  </si>
  <si>
    <t>NT10466</t>
  </si>
  <si>
    <t>USB C Cable 2m V607</t>
  </si>
  <si>
    <t>NT10467</t>
  </si>
  <si>
    <t>Screen Guard 172</t>
  </si>
  <si>
    <t>NT10468</t>
  </si>
  <si>
    <t>Car Mount V982</t>
  </si>
  <si>
    <t>NT10469</t>
  </si>
  <si>
    <t>Power Bank 10K V103</t>
  </si>
  <si>
    <t>NT10470</t>
  </si>
  <si>
    <t>Power Bank 10K V409</t>
  </si>
  <si>
    <t>NT10471</t>
  </si>
  <si>
    <t>Phone Case Clear V314</t>
  </si>
  <si>
    <t>NT10472</t>
  </si>
  <si>
    <t>Laptop Sleeve 15in V535</t>
  </si>
  <si>
    <t>NT10473</t>
  </si>
  <si>
    <t>HDMI Cable 4K V358</t>
  </si>
  <si>
    <t>NT10474</t>
  </si>
  <si>
    <t>Car Mount V739</t>
  </si>
  <si>
    <t>NT10475</t>
  </si>
  <si>
    <t>HDMI Cable 4K V959</t>
  </si>
  <si>
    <t>NT10476</t>
  </si>
  <si>
    <t>USB C Cable 2m V851</t>
  </si>
  <si>
    <t>NT10477</t>
  </si>
  <si>
    <t>Laptop Sleeve 15in V301</t>
  </si>
  <si>
    <t>NT10478</t>
  </si>
  <si>
    <t>Power Bank 10K V365</t>
  </si>
  <si>
    <t>NT10479</t>
  </si>
  <si>
    <t>USB C Cable 2m V217</t>
  </si>
  <si>
    <t>NT10480</t>
  </si>
  <si>
    <t>Wall Charger 65W V886</t>
  </si>
  <si>
    <t>NT10481</t>
  </si>
  <si>
    <t>Screen Guard 821</t>
  </si>
  <si>
    <t>NT10482</t>
  </si>
  <si>
    <t>Car Mount V587</t>
  </si>
  <si>
    <t>NT10483</t>
  </si>
  <si>
    <t>Laptop Sleeve 15in V271</t>
  </si>
  <si>
    <t>NT10484</t>
  </si>
  <si>
    <t>Screen Guard 118</t>
  </si>
  <si>
    <t>NT10485</t>
  </si>
  <si>
    <t>Power Bank 10K V686</t>
  </si>
  <si>
    <t>NT10486</t>
  </si>
  <si>
    <t>HDMI Cable 4K V465</t>
  </si>
  <si>
    <t>NT10487</t>
  </si>
  <si>
    <t>HDMI Cable 4K V201</t>
  </si>
  <si>
    <t>NT10488</t>
  </si>
  <si>
    <t>Phone Case Clear V482</t>
  </si>
  <si>
    <t>NT10489</t>
  </si>
  <si>
    <t>Phone Case Clear V901</t>
  </si>
  <si>
    <t>NT10490</t>
  </si>
  <si>
    <t>HDMI Cable 4K V488</t>
  </si>
  <si>
    <t>NT10491</t>
  </si>
  <si>
    <t>Car Mount V298</t>
  </si>
  <si>
    <t>NT10492</t>
  </si>
  <si>
    <t>Wall Charger 65W V223</t>
  </si>
  <si>
    <t>NT10493</t>
  </si>
  <si>
    <t>Wall Charger 65W V210</t>
  </si>
  <si>
    <t>NT10494</t>
  </si>
  <si>
    <t>Car Mount V201</t>
  </si>
  <si>
    <t>NT10495</t>
  </si>
  <si>
    <t>Phone Case Clear V726</t>
  </si>
  <si>
    <t>NT10496</t>
  </si>
  <si>
    <t>HDMI Cable 4K V489</t>
  </si>
  <si>
    <t>NT10497</t>
  </si>
  <si>
    <t>Phone Case Clear V257</t>
  </si>
  <si>
    <t>NT10498</t>
  </si>
  <si>
    <t>Screen Guard 259</t>
  </si>
  <si>
    <t>NT10499</t>
  </si>
  <si>
    <t>Screen Guard 771</t>
  </si>
  <si>
    <t>NT10500</t>
  </si>
  <si>
    <t>Phone Case Clear V670</t>
  </si>
  <si>
    <t xml:space="preserve">  FORMULA REFERENCE</t>
  </si>
  <si>
    <t xml:space="preserve">   Static base data. Every other sheet links here or to Demand History, so changing a value here flows through the whole model.</t>
  </si>
  <si>
    <t xml:space="preserve">   Annual Usage equals the sum of the last 12 months in Demand History (verified live on the ABC XYZ sheet).</t>
  </si>
  <si>
    <t xml:space="preserve">  DEMAND HISTORY  |  24 MONTHS</t>
  </si>
  <si>
    <t xml:space="preserve">  Monthly unit demand per SKU, Jun 2024 to May 2026. Watch the Q4 holiday spikes.</t>
  </si>
  <si>
    <t>Jun 24</t>
  </si>
  <si>
    <t>Jul 24</t>
  </si>
  <si>
    <t>Aug 24</t>
  </si>
  <si>
    <t>Sep 24</t>
  </si>
  <si>
    <t>Oct 24</t>
  </si>
  <si>
    <t>Nov 24</t>
  </si>
  <si>
    <t>Dec 24</t>
  </si>
  <si>
    <t>Jan 25</t>
  </si>
  <si>
    <t>Feb 25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</si>
  <si>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</si>
  <si>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</si>
  <si>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</si>
  <si>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</si>
  <si>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</si>
  <si>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</si>
  <si>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</si>
  <si>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</si>
  <si>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</si>
  <si>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</si>
  <si>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Jan 26</t>
  </si>
  <si>
    <t>Feb 26</t>
  </si>
  <si>
    <t>Mar 26</t>
  </si>
  <si>
    <t>Apr 26</t>
  </si>
  <si>
    <t>May 26</t>
  </si>
  <si>
    <t>Annual Last 12</t>
  </si>
  <si>
    <t>TOTAL MONTHLY DEMAND</t>
  </si>
  <si>
    <t xml:space="preserve">   Annual Last 12 = SUM of Jun 25 through May 26.</t>
  </si>
  <si>
    <t xml:space="preserve">   The totals row feeds the demand trend chart. Q4 peaks (Nov, Dec) and the Jan dip are visible: classic consumer electronics seasonality.</t>
  </si>
  <si>
    <t xml:space="preserve">  DEMAND FORECAST  |  METHOD MATCHED TO PATTERN</t>
  </si>
  <si>
    <t xml:space="preserve">  Seasonal SKUs use Seasonal Naive, stable SKUs use Moving Average. MAPE backtested over the last 6 months.</t>
  </si>
  <si>
    <t>Seasonal</t>
  </si>
  <si>
    <t>Method</t>
  </si>
  <si>
    <t>Avg Monthly</t>
  </si>
  <si>
    <t>Std Dev</t>
  </si>
  <si>
    <t>CV</t>
  </si>
  <si>
    <t>YoY Growth</t>
  </si>
  <si>
    <t>Forecast Jun 26</t>
  </si>
  <si>
    <t>MAPE</t>
  </si>
  <si>
    <t>Err Dec</t>
  </si>
  <si>
    <t>Err Jan</t>
  </si>
  <si>
    <t>Err Feb</t>
  </si>
  <si>
    <t>Err Mar</t>
  </si>
  <si>
    <t>Err Apr</t>
  </si>
  <si>
    <t>Err May</t>
  </si>
  <si>
    <t>Yes</t>
  </si>
  <si>
    <t>No</t>
  </si>
  <si>
    <t xml:space="preserve">   Method: seasonal SKUs forecast with Seasonal Naive (same month last year times YoY growth). Stable SKUs use a 3 month Moving Average.</t>
  </si>
  <si>
    <t xml:space="preserve">   Forecast Jun 26 = IF seasonal, Jun 25 demand x YoY growth, ELSE average of Mar to May 26.</t>
  </si>
  <si>
    <t xml:space="preserve">   MAPE = average of the 6 monthly backtest errors. Err month = ABS(actual minus method forecast) / actual.</t>
  </si>
  <si>
    <t xml:space="preserve">   Read: green under 10 percent is strong, amber 10 to 25 is workable, red over 25 means the part is erratic. Erratic Z items are managed with a Min Max policy instead of a forecast (see Replenishment).</t>
  </si>
  <si>
    <t xml:space="preserve">  ABC XYZ ANALYSIS</t>
  </si>
  <si>
    <t xml:space="preserve">  ABC ranks value concentration. XYZ measures demand predictability. Together they set the stocking strategy.</t>
  </si>
  <si>
    <t>ACV</t>
  </si>
  <si>
    <t>Rank</t>
  </si>
  <si>
    <t>Cum ACV</t>
  </si>
  <si>
    <t>Cum %</t>
  </si>
  <si>
    <t>ABC</t>
  </si>
  <si>
    <t>XYZ</t>
  </si>
  <si>
    <t>Class</t>
  </si>
  <si>
    <t xml:space="preserve">  THE 9 BOX MATRIX  (SKU counts and the strategy for each box)</t>
  </si>
  <si>
    <t>X stable</t>
  </si>
  <si>
    <t>Y variable</t>
  </si>
  <si>
    <t>Z erratic</t>
  </si>
  <si>
    <t>A high value</t>
  </si>
  <si>
    <t>B medium</t>
  </si>
  <si>
    <t>C low value</t>
  </si>
  <si>
    <t>AX</t>
  </si>
  <si>
    <t>Tight control, low safety stock, frequent review: predictable and valuable.</t>
  </si>
  <si>
    <t>AY</t>
  </si>
  <si>
    <t>Seasonal planning, dynamic safety stock: most revenue lives here.</t>
  </si>
  <si>
    <t>AZ</t>
  </si>
  <si>
    <t>High risk box: erratic and expensive. Manual review every order.</t>
  </si>
  <si>
    <t>CZ</t>
  </si>
  <si>
    <t>Min Max policy, bulk order, quarterly review: do not waste analyst time here.</t>
  </si>
  <si>
    <t xml:space="preserve">   ACV = Unit Cost x Annual Usage. Rank orders all 500 by ACV. Cum percent = running share of total value.</t>
  </si>
  <si>
    <t xml:space="preserve">   ABC: top 80 percent of cumulative value = A, next 15 = B, last 5 = C.</t>
  </si>
  <si>
    <t xml:space="preserve">   XYZ from CV (Std Dev / Mean of last 12 months): X under 0.25, Y to 0.60, Z above.</t>
  </si>
  <si>
    <t xml:space="preserve">   The matrix counts update live. Strategy differs by box: effort goes where value and uncertainty are highest.</t>
  </si>
  <si>
    <t xml:space="preserve">  REPLENISHMENT MODEL</t>
  </si>
  <si>
    <t xml:space="preserve">  Safety stock, reorder point, EOQ and order flags for all 500 SKUs. Service level 95 percent.</t>
  </si>
  <si>
    <t>Z (95% SL)</t>
  </si>
  <si>
    <t>Workdays/Mo</t>
  </si>
  <si>
    <t>Order Cost $</t>
  </si>
  <si>
    <t>Holding %</t>
  </si>
  <si>
    <t>Lead Time</t>
  </si>
  <si>
    <t>Avg Daily</t>
  </si>
  <si>
    <t>SD Daily</t>
  </si>
  <si>
    <t>Safety Stock</t>
  </si>
  <si>
    <t>Reorder Point</t>
  </si>
  <si>
    <t>EOQ</t>
  </si>
  <si>
    <t>Days of Supply</t>
  </si>
  <si>
    <t>Flag</t>
  </si>
  <si>
    <t>Priority</t>
  </si>
  <si>
    <t>Policy</t>
  </si>
  <si>
    <t xml:space="preserve">   Avg Daily = forecast avg monthly / 22 workdays. SD Daily = monthly std dev / SQRT(22).</t>
  </si>
  <si>
    <t xml:space="preserve">   Safety Stock = Z x SD Daily x SQRT(Lead Time). Z = 1.65 gives a 95 percent service level.</t>
  </si>
  <si>
    <t xml:space="preserve">   Reorder Point = Avg Daily x Lead Time + Safety Stock. EOQ = SQRT(2 x Annual x Order Cost / (Unit Cost x Holding Percent)).</t>
  </si>
  <si>
    <t xml:space="preserve">   Flag: at or below ROP = ORDER NOW. Within 20 percent above = ORDER SOON. Priority is ABC weighted so expensive parts surface first.</t>
  </si>
  <si>
    <t xml:space="preserve">   Z items get a Min Max policy because erratic demand defeats forecasting. Blue cells S3 to V3 are the model levers: change them and all 500 rows recalculate.</t>
  </si>
  <si>
    <t xml:space="preserve">  INVENTORY HEALTH</t>
  </si>
  <si>
    <t xml:space="preserve">  Aging, turns, and the excess capital hiding in slow movers and EOL stock.</t>
  </si>
  <si>
    <t>Tied Up Value</t>
  </si>
  <si>
    <t>Aging Bucket</t>
  </si>
  <si>
    <t>Months of Stock</t>
  </si>
  <si>
    <t>Turns</t>
  </si>
  <si>
    <t>Excess Flag</t>
  </si>
  <si>
    <t>Excess Value</t>
  </si>
  <si>
    <t>Action</t>
  </si>
  <si>
    <t>Excess $</t>
  </si>
  <si>
    <t xml:space="preserve">   Tied Up Value = Unit Cost x On Hand. Months of Stock = On Hand / forecast avg monthly demand.</t>
  </si>
  <si>
    <t xml:space="preserve">   Excess = EOL status, OR no movement in 90 plus days, OR more than 6 months of stock on hand.</t>
  </si>
  <si>
    <t xml:space="preserve">   Action chain: EOL goes to scrap or liquidation, 180 plus days to disposition review, other excess gets order reduction and monitoring.</t>
  </si>
  <si>
    <t xml:space="preserve">  SUPPLIER PERFORMANCE</t>
  </si>
  <si>
    <t xml:space="preserve">  Lead times, delivery reliability, and spend concentration across the supplier base.</t>
  </si>
  <si>
    <t>SKUs</t>
  </si>
  <si>
    <t>Avg Lead Time</t>
  </si>
  <si>
    <t>OTD %</t>
  </si>
  <si>
    <t>Annual Spend</t>
  </si>
  <si>
    <t>Spend Share</t>
  </si>
  <si>
    <t>Risk Flag</t>
  </si>
  <si>
    <t>Recommended Action</t>
  </si>
  <si>
    <t xml:space="preserve">   SKUs, Avg Lead Time, and Annual Spend all calculate live from Master Data with COUNTIF, AVERAGEIF, and SUMPRODUCT.</t>
  </si>
  <si>
    <t xml:space="preserve">   Risk: OTD under 88 percent or lead time over 35 days = HIGH RISK. OTD under 93 or lead time over 28 = WATCH.</t>
  </si>
  <si>
    <t xml:space="preserve">   The exposure to watch: when one supplier carries a large spend share AND a risk flag at the same time.</t>
  </si>
  <si>
    <t xml:space="preserve">  NOVATECH ELECTRONICS  |  SUPPLY CHAIN ANALYTICS DASHBOARD</t>
  </si>
  <si>
    <t xml:space="preserve">  500 SKUs  |  3 Distribution Centers  |  10 Suppliers  |  24 Months of Demand  |  Analysis by Kavish Shah</t>
  </si>
  <si>
    <t>TOTAL INVENTORY</t>
  </si>
  <si>
    <t>EXCESS IDENTIFIED</t>
  </si>
  <si>
    <t>SKUs AT STOCKOUT RISK</t>
  </si>
  <si>
    <t>FORECAST MAPE (X,Y)</t>
  </si>
  <si>
    <t>HIGH RISK SUPPLIERS</t>
  </si>
  <si>
    <t xml:space="preserve">  KEY FINDINGS</t>
  </si>
  <si>
    <t xml:space="preserve">   1.  $2.7M of excess capital identified across 85 SKUs: slow movers, aged stock, and $216K locked in EOL products awaiting disposition.</t>
  </si>
  <si>
    <t xml:space="preserve">   2.  30 SKUs are at or below reorder point right now, including high value A items inside their lead time window: immediate purchase orders required.</t>
  </si>
  <si>
    <t xml:space="preserve">   3.  Forecast MAPE on forecastable items is 15 percent; stable X items run under 10. Erratic Z items were moved to a Min Max policy instead of forecasting.</t>
  </si>
  <si>
    <t xml:space="preserve">   4.  Two suppliers (Pacific Semis and Busan Display Tech) carry roughly 43 percent of annual spend while flagging HIGH RISK on delivery and lead time: a concentration problem.</t>
  </si>
  <si>
    <t xml:space="preserve">   5.  Seasonality is the forecasting story: Q4 demand runs nearly double the baseline, so seasonal SKUs need seasonal methods, not moving averages.</t>
  </si>
  <si>
    <t xml:space="preserve">  NETWORK VIEW BY DC</t>
  </si>
  <si>
    <t>Inventory Value</t>
  </si>
  <si>
    <t>SKUs to Order</t>
  </si>
  <si>
    <t xml:space="preserve">  TOP 10 ACTIONS THIS WEEK</t>
  </si>
  <si>
    <t>#</t>
  </si>
  <si>
    <t>Product</t>
  </si>
  <si>
    <t>Issue</t>
  </si>
  <si>
    <t>Impact $</t>
  </si>
  <si>
    <t>Value</t>
  </si>
  <si>
    <t>At or below reorder point, 34 day lead time, A item</t>
  </si>
  <si>
    <t>URGENT</t>
  </si>
  <si>
    <t>At or below reorder point, 37 day lead time, A item</t>
  </si>
  <si>
    <t>At or below reorder point, 27 day lead time, A item</t>
  </si>
  <si>
    <t>At or below reorder point, 44 day lead time, A item</t>
  </si>
  <si>
    <t>At or below reorder point, 23 day lead time, A item</t>
  </si>
  <si>
    <t>200 days no movement, excess stock</t>
  </si>
  <si>
    <t>HIGH</t>
  </si>
  <si>
    <t>130 days no movement, excess stock</t>
  </si>
  <si>
    <t>198 days no movement, excess stock</t>
  </si>
  <si>
    <t>125 days no movement, excess stock</t>
  </si>
  <si>
    <t>97 days no movement, excess stock</t>
  </si>
  <si>
    <t>file:///Users/kavishshah/Downloads/NovaTech_Analytics_Dashboard_3.html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</si>
</sst>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8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6B7280"/>
      <name val="Arial"/>
      <charset val="1"/>
    </font>
    <font>
      <b/>
      <sz val="11"/>
      <color rgb="FFFFFFFF"/>
      <name val="Arial"/>
      <charset val="1"/>
    </font>
    <font>
      <sz val="9"/>
      <color rgb="FF111827"/>
      <name val="Arial"/>
      <charset val="1"/>
    </font>
    <font>
      <b/>
      <sz val="8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11827"/>
      <name val="Arial"/>
      <charset val="1"/>
    </font>
    <font>
      <sz val="8"/>
      <color rgb="FF6B7280"/>
      <name val="Arial"/>
      <charset val="1"/>
    </font>
    <font>
      <b/>
      <sz val="10"/>
      <color rgb="FFFFFFFF"/>
      <name val="Arial"/>
      <charset val="1"/>
    </font>
    <font>
      <b/>
      <sz val="9"/>
      <color rgb="FF0000FF"/>
      <name val="Arial"/>
      <charset val="1"/>
    </font>
    <font>
      <b/>
      <sz val="17"/>
      <color rgb="FF2563EB"/>
      <name val="Arial"/>
      <charset val="1"/>
    </font>
    <font>
      <b/>
      <sz val="17"/>
      <color rgb="FFB91C1C"/>
      <name val="Arial"/>
      <charset val="1"/>
    </font>
    <font>
      <b/>
      <sz val="17"/>
      <color rgb="FFB45309"/>
      <name val="Arial"/>
      <charset val="1"/>
    </font>
    <font>
      <b/>
      <sz val="17"/>
      <color rgb="FF1F7A4D"/>
      <name val="Arial"/>
      <charset val="1"/>
    </font>
    <font>
      <b/>
      <sz val="17"/>
      <color rgb="FF6D28D9"/>
      <name val="Arial"/>
      <charset val="1"/>
    </font>
    <font>
      <b/>
      <sz val="8"/>
      <color rgb="FFB91C1C"/>
      <name val="Arial"/>
      <charset val="1"/>
    </font>
    <font>
      <b/>
      <sz val="8"/>
      <color rgb="FFB45309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11827"/>
      </patternFill>
    </fill>
    <fill>
      <patternFill patternType="solid">
        <fgColor rgb="FFEEF3FA"/>
        <bgColor rgb="FFF9F9F9"/>
      </patternFill>
    </fill>
    <fill>
      <patternFill patternType="solid">
        <fgColor rgb="FF2563EB"/>
        <bgColor rgb="FF4672A8"/>
      </patternFill>
    </fill>
    <fill>
      <patternFill patternType="solid">
        <fgColor rgb="FFFFFFFF"/>
        <bgColor rgb="FFF8FAFD"/>
      </patternFill>
    </fill>
    <fill>
      <patternFill patternType="solid">
        <fgColor rgb="FFF8FAFD"/>
        <bgColor rgb="FFF9F9F9"/>
      </patternFill>
    </fill>
    <fill>
      <patternFill patternType="solid">
        <fgColor rgb="FF1F7A4D"/>
        <bgColor rgb="FF008000"/>
      </patternFill>
    </fill>
    <fill>
      <patternFill patternType="solid">
        <fgColor rgb="FF6D28D9"/>
        <bgColor rgb="FF800080"/>
      </patternFill>
    </fill>
    <fill>
      <patternFill patternType="solid">
        <fgColor rgb="FFB45309"/>
        <bgColor rgb="FFAB4744"/>
      </patternFill>
    </fill>
    <fill>
      <patternFill patternType="solid">
        <fgColor rgb="FFB91C1C"/>
        <bgColor rgb="FFAB4744"/>
      </patternFill>
    </fill>
    <fill>
      <patternFill patternType="solid">
        <fgColor rgb="FFFADBD8"/>
        <bgColor rgb="FFFBEFD9"/>
      </patternFill>
    </fill>
    <fill>
      <patternFill patternType="solid">
        <fgColor rgb="FFFBEFD9"/>
        <b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/>
    <xf numFmtId="0" fontId="7" fillId="3" borderId="0" xfId="0" applyFont="1" applyFill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8" fillId="0" borderId="0" xfId="0" applyFont="1"/>
    <xf numFmtId="0" fontId="10" fillId="0" borderId="0" xfId="0" applyFont="1"/>
    <xf numFmtId="164" fontId="7" fillId="0" borderId="0" xfId="0" applyNumberFormat="1" applyFont="1" applyAlignment="1">
      <alignment horizontal="center" vertical="center" wrapText="1"/>
    </xf>
    <xf numFmtId="164" fontId="8" fillId="0" borderId="0" xfId="0" applyNumberFormat="1" applyFont="1"/>
    <xf numFmtId="9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16" fillId="11" borderId="0" xfId="0" applyFont="1" applyFill="1" applyAlignment="1">
      <alignment horizontal="center" vertical="center" wrapText="1"/>
    </xf>
    <xf numFmtId="0" fontId="17" fillId="1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9" borderId="0" xfId="0" applyFont="1" applyFill="1" applyAlignment="1">
      <alignment horizontal="left" vertical="center" wrapText="1"/>
    </xf>
    <xf numFmtId="0" fontId="3" fillId="10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164" fontId="11" fillId="6" borderId="0" xfId="0" applyNumberFormat="1" applyFont="1" applyFill="1" applyAlignment="1">
      <alignment horizontal="center" vertical="center" wrapText="1"/>
    </xf>
    <xf numFmtId="164" fontId="12" fillId="6" borderId="0" xfId="0" applyNumberFormat="1" applyFont="1" applyFill="1" applyAlignment="1">
      <alignment horizontal="center" vertical="center" wrapText="1"/>
    </xf>
    <xf numFmtId="1" fontId="13" fillId="6" borderId="0" xfId="0" applyNumberFormat="1" applyFont="1" applyFill="1" applyAlignment="1">
      <alignment horizontal="center" vertical="center" wrapText="1"/>
    </xf>
    <xf numFmtId="165" fontId="14" fillId="6" borderId="0" xfId="0" applyNumberFormat="1" applyFont="1" applyFill="1" applyAlignment="1">
      <alignment horizontal="center" vertical="center" wrapText="1"/>
    </xf>
    <xf numFmtId="1" fontId="15" fillId="6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8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horizontal="left" vertical="center" wrapText="1"/>
    </xf>
  </cellXfs>
  <cellStyles count="1">
    <cellStyle name="Normal" xfId="0" builtinId="0"/>
  </cellStyles>
  <dxfs count="26">
    <dxf>
      <font>
        <b/>
        <sz val="8"/>
        <color rgb="FF1F7A4D"/>
        <name val="Arial"/>
        <charset val="1"/>
      </font>
      <fill>
        <patternFill>
          <bgColor rgb="FFE3F1E9"/>
        </patternFill>
      </fill>
    </dxf>
    <dxf>
      <font>
        <b/>
        <sz val="8"/>
        <color rgb="FFB45309"/>
        <name val="Arial"/>
        <charset val="1"/>
      </font>
      <fill>
        <patternFill>
          <bgColor rgb="FFFBEFD9"/>
        </patternFill>
      </fill>
    </dxf>
    <dxf>
      <font>
        <b/>
        <sz val="8"/>
        <color rgb="FFB91C1C"/>
        <name val="Arial"/>
        <charset val="1"/>
      </font>
      <fill>
        <patternFill>
          <bgColor rgb="FFFADBD8"/>
        </patternFill>
      </fill>
    </dxf>
    <dxf>
      <font>
        <b/>
        <sz val="8"/>
        <color rgb="FF1F7A4D"/>
        <name val="Arial"/>
        <charset val="1"/>
      </font>
      <fill>
        <patternFill>
          <bgColor rgb="FFE3F1E9"/>
        </patternFill>
      </fill>
    </dxf>
    <dxf>
      <font>
        <b/>
        <sz val="8"/>
        <color rgb="FFB91C1C"/>
        <name val="Arial"/>
        <charset val="1"/>
      </font>
      <fill>
        <patternFill>
          <bgColor rgb="FFFADBD8"/>
        </patternFill>
      </fill>
    </dxf>
    <dxf>
      <font>
        <b/>
        <sz val="8"/>
        <color rgb="FFB91C1C"/>
        <name val="Arial"/>
        <charset val="1"/>
      </font>
      <fill>
        <patternFill>
          <bgColor rgb="FFFADBD8"/>
        </patternFill>
      </fill>
    </dxf>
    <dxf>
      <font>
        <b/>
        <sz val="8"/>
        <color rgb="FFB45309"/>
        <name val="Arial"/>
        <charset val="1"/>
      </font>
      <fill>
        <patternFill>
          <bgColor rgb="FFFBEFD9"/>
        </patternFill>
      </fill>
    </dxf>
    <dxf>
      <font>
        <b/>
        <sz val="8"/>
        <color rgb="FF2563EB"/>
        <name val="Arial"/>
        <charset val="1"/>
      </font>
      <fill>
        <patternFill>
          <bgColor rgb="FFEEF3FA"/>
        </patternFill>
      </fill>
    </dxf>
    <dxf>
      <font>
        <b/>
        <sz val="8"/>
        <color rgb="FF1F7A4D"/>
        <name val="Arial"/>
        <charset val="1"/>
      </font>
      <fill>
        <patternFill>
          <bgColor rgb="FFE3F1E9"/>
        </patternFill>
      </fill>
    </dxf>
    <dxf>
      <font>
        <b/>
        <sz val="8"/>
        <color rgb="FF1F7A4D"/>
        <name val="Arial"/>
        <charset val="1"/>
      </font>
      <fill>
        <patternFill>
          <bgColor rgb="FFE3F1E9"/>
        </patternFill>
      </fill>
    </dxf>
    <dxf>
      <font>
        <b/>
        <sz val="8"/>
        <color rgb="FF2563EB"/>
        <name val="Arial"/>
        <charset val="1"/>
      </font>
      <fill>
        <patternFill>
          <bgColor rgb="FFEEF3FA"/>
        </patternFill>
      </fill>
    </dxf>
    <dxf>
      <font>
        <b/>
        <sz val="8"/>
        <color rgb="FFB45309"/>
        <name val="Arial"/>
        <charset val="1"/>
      </font>
      <fill>
        <patternFill>
          <bgColor rgb="FFFBEFD9"/>
        </patternFill>
      </fill>
    </dxf>
    <dxf>
      <font>
        <b/>
        <sz val="8"/>
        <color rgb="FFB91C1C"/>
        <name val="Arial"/>
        <charset val="1"/>
      </font>
      <fill>
        <patternFill>
          <bgColor rgb="FFFADBD8"/>
        </patternFill>
      </fill>
    </dxf>
    <dxf>
      <font>
        <b/>
        <sz val="8"/>
        <color rgb="FF1F7A4D"/>
        <name val="Arial"/>
        <charset val="1"/>
      </font>
      <fill>
        <patternFill>
          <bgColor rgb="FFE3F1E9"/>
        </patternFill>
      </fill>
    </dxf>
    <dxf>
      <font>
        <b/>
        <sz val="8"/>
        <color rgb="FFB45309"/>
        <name val="Arial"/>
        <charset val="1"/>
      </font>
      <fill>
        <patternFill>
          <bgColor rgb="FFFBEFD9"/>
        </patternFill>
      </fill>
    </dxf>
    <dxf>
      <font>
        <b/>
        <sz val="8"/>
        <color rgb="FFB91C1C"/>
        <name val="Arial"/>
        <charset val="1"/>
      </font>
      <fill>
        <patternFill>
          <bgColor rgb="FFFADBD8"/>
        </patternFill>
      </fill>
    </dxf>
    <dxf>
      <font>
        <b/>
        <sz val="8"/>
        <color rgb="FFB91C1C"/>
        <name val="Arial"/>
        <charset val="1"/>
      </font>
      <fill>
        <patternFill>
          <bgColor rgb="FFFADBD8"/>
        </patternFill>
      </fill>
    </dxf>
    <dxf>
      <font>
        <b/>
        <sz val="8"/>
        <color rgb="FFB45309"/>
        <name val="Arial"/>
        <charset val="1"/>
      </font>
      <fill>
        <patternFill>
          <bgColor rgb="FFFBEFD9"/>
        </patternFill>
      </fill>
    </dxf>
    <dxf>
      <font>
        <b/>
        <sz val="8"/>
        <color rgb="FF1F7A4D"/>
        <name val="Arial"/>
        <charset val="1"/>
      </font>
      <fill>
        <patternFill>
          <bgColor rgb="FFE3F1E9"/>
        </patternFill>
      </fill>
    </dxf>
    <dxf>
      <font>
        <b/>
        <sz val="8"/>
        <color rgb="FF6B7280"/>
        <name val="Arial"/>
        <charset val="1"/>
      </font>
      <fill>
        <patternFill>
          <bgColor rgb="FFEEF3FA"/>
        </patternFill>
      </fill>
    </dxf>
    <dxf>
      <font>
        <b/>
        <sz val="8"/>
        <color rgb="FFB45309"/>
        <name val="Arial"/>
        <charset val="1"/>
      </font>
      <fill>
        <patternFill>
          <bgColor rgb="FFFBEFD9"/>
        </patternFill>
      </fill>
    </dxf>
    <dxf>
      <font>
        <b/>
        <sz val="8"/>
        <color rgb="FF1F7A4D"/>
        <name val="Arial"/>
        <charset val="1"/>
      </font>
      <fill>
        <patternFill>
          <bgColor rgb="FFE3F1E9"/>
        </patternFill>
      </fill>
    </dxf>
    <dxf>
      <font>
        <b/>
        <sz val="9"/>
        <color rgb="FFB91C1C"/>
        <name val="Arial"/>
        <charset val="1"/>
      </font>
      <fill>
        <patternFill>
          <bgColor rgb="FFFADBD8"/>
        </patternFill>
      </fill>
    </dxf>
    <dxf>
      <font>
        <b/>
        <sz val="9"/>
        <color rgb="FFB45309"/>
        <name val="Arial"/>
        <charset val="1"/>
      </font>
      <fill>
        <patternFill>
          <bgColor rgb="FFFBEFD9"/>
        </patternFill>
      </fill>
    </dxf>
    <dxf>
      <font>
        <b/>
        <sz val="9"/>
        <color rgb="FF1F7A4D"/>
        <name val="Arial"/>
        <charset val="1"/>
      </font>
      <fill>
        <patternFill>
          <bgColor rgb="FFE3F1E9"/>
        </patternFill>
      </fill>
    </dxf>
    <dxf>
      <font>
        <b/>
        <sz val="8"/>
        <color rgb="FFB91C1C"/>
        <name val="Arial"/>
        <charset val="1"/>
      </font>
      <fill>
        <patternFill>
          <bgColor rgb="FFFADBD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1F7A4D"/>
      <rgbColor rgb="FFB8CD97"/>
      <rgbColor rgb="FF878787"/>
      <rgbColor rgb="FF93A9CE"/>
      <rgbColor rgb="FFAB4744"/>
      <rgbColor rgb="FFFBEFD9"/>
      <rgbColor rgb="FFE3F1E9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EF3FA"/>
      <rgbColor rgb="FFF9F9F9"/>
      <rgbColor rgb="FFF8FAFD"/>
      <rgbColor rgb="FF99CCFF"/>
      <rgbColor rgb="FFD09493"/>
      <rgbColor rgb="FFCC99FF"/>
      <rgbColor rgb="FFFADBD8"/>
      <rgbColor rgb="FF2563EB"/>
      <rgbColor rgb="FF33CCCC"/>
      <rgbColor rgb="FF99CC00"/>
      <rgbColor rgb="FFFFCC00"/>
      <rgbColor rgb="FFC0504D"/>
      <rgbColor rgb="FFB45309"/>
      <rgbColor rgb="FF725990"/>
      <rgbColor rgb="FFA99BBD"/>
      <rgbColor rgb="FF1F3864"/>
      <rgbColor rgb="FF4299B0"/>
      <rgbColor rgb="FF111827"/>
      <rgbColor rgb="FF333300"/>
      <rgbColor rgb="FFB91C1C"/>
      <rgbColor rgb="FFBE4B48"/>
      <rgbColor rgb="FF6D28D9"/>
      <rgbColor rgb="FF6B728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Total Monthly Demand (all 500 SKUs)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Demand History'!$C$4:$Z$4</c:f>
              <c:strCache>
                <c:ptCount val="24"/>
                <c:pt idx="0">
                  <c:v>Jun 24</c:v>
                </c:pt>
                <c:pt idx="1">
                  <c:v>Jul 24</c:v>
                </c:pt>
                <c:pt idx="2">
                  <c:v>Aug 24</c:v>
                </c:pt>
                <c:pt idx="3">
                  <c:v>Sep 24</c:v>
                </c:pt>
                <c:pt idx="4">
                  <c:v>Oct 24</c:v>
                </c:pt>
                <c:pt idx="5">
                  <c:v>Nov 24</c:v>
                </c:pt>
                <c:pt idx="6">
                  <c:v>Dec 24</c:v>
                </c:pt>
                <c:pt idx="7">
                  <c:v>Jan 25</c:v>
                </c:pt>
                <c:pt idx="8">
                  <c:v>Feb 25</c:v>
                </c:pt>
                <c:pt idx="9">
                  <c:v>Mar 25</c:v>
                </c:pt>
                <c:pt idx="10">
                  <c:v>Apr 25</c:v>
                </c:pt>
                <c:pt idx="11">
                  <c:v>May 25</c:v>
                </c:pt>
                <c:pt idx="12">
                  <c:v>Jun 25</c:v>
                </c:pt>
                <c:pt idx="13">
                  <c:v>Jul 25</c:v>
                </c:pt>
                <c:pt idx="14">
                  <c:v>Aug 25</c:v>
                </c:pt>
                <c:pt idx="15">
                  <c:v>Sep 25</c:v>
                </c:pt>
                <c:pt idx="16">
                  <c:v>Oct 25</c:v>
                </c:pt>
                <c:pt idx="17">
                  <c:v>Nov 25</c:v>
                </c:pt>
                <c:pt idx="18">
                  <c:v>Dec 25</c:v>
                </c:pt>
                <c:pt idx="19">
                  <c:v>Jan 26</c:v>
                </c:pt>
                <c:pt idx="20">
                  <c:v>Feb 26</c:v>
                </c:pt>
                <c:pt idx="21">
                  <c:v>Mar 26</c:v>
                </c:pt>
                <c:pt idx="22">
                  <c:v>Apr 26</c:v>
                </c:pt>
                <c:pt idx="23">
                  <c:v>May 26</c:v>
                </c:pt>
              </c:strCache>
            </c:strRef>
          </c:cat>
          <c:val>
            <c:numRef>
              <c:f>'2. Demand History'!$C$505:$Z$505</c:f>
              <c:numCache>
                <c:formatCode>General</c:formatCode>
                <c:ptCount val="24"/>
                <c:pt idx="0">
                  <c:v>65396</c:v>
                </c:pt>
                <c:pt idx="1">
                  <c:v>63137</c:v>
                </c:pt>
                <c:pt idx="2">
                  <c:v>60661</c:v>
                </c:pt>
                <c:pt idx="3">
                  <c:v>62809</c:v>
                </c:pt>
                <c:pt idx="4">
                  <c:v>68866</c:v>
                </c:pt>
                <c:pt idx="5">
                  <c:v>81077</c:v>
                </c:pt>
                <c:pt idx="6">
                  <c:v>91895</c:v>
                </c:pt>
                <c:pt idx="7">
                  <c:v>56009</c:v>
                </c:pt>
                <c:pt idx="8">
                  <c:v>58756</c:v>
                </c:pt>
                <c:pt idx="9">
                  <c:v>64086</c:v>
                </c:pt>
                <c:pt idx="10">
                  <c:v>65237</c:v>
                </c:pt>
                <c:pt idx="11">
                  <c:v>67666</c:v>
                </c:pt>
                <c:pt idx="12">
                  <c:v>65706</c:v>
                </c:pt>
                <c:pt idx="13">
                  <c:v>66150</c:v>
                </c:pt>
                <c:pt idx="14">
                  <c:v>65814</c:v>
                </c:pt>
                <c:pt idx="15">
                  <c:v>66128</c:v>
                </c:pt>
                <c:pt idx="16">
                  <c:v>73576</c:v>
                </c:pt>
                <c:pt idx="17">
                  <c:v>83105</c:v>
                </c:pt>
                <c:pt idx="18">
                  <c:v>96910</c:v>
                </c:pt>
                <c:pt idx="19">
                  <c:v>58453</c:v>
                </c:pt>
                <c:pt idx="20">
                  <c:v>62674</c:v>
                </c:pt>
                <c:pt idx="21">
                  <c:v>66632</c:v>
                </c:pt>
                <c:pt idx="22">
                  <c:v>70034</c:v>
                </c:pt>
                <c:pt idx="23">
                  <c:v>71104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37-D443-8677-1C5E0C6AB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1475202"/>
        <c:axId val="70050766"/>
      </c:lineChart>
      <c:catAx>
        <c:axId val="214752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050766"/>
        <c:crosses val="autoZero"/>
        <c:auto val="1"/>
        <c:lblAlgn val="ctr"/>
        <c:lblOffset val="100"/>
        <c:noMultiLvlLbl val="0"/>
      </c:catAx>
      <c:valAx>
        <c:axId val="700507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4752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Excess Capital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'6. Inventory Health'!$S$4</c:f>
              <c:strCache>
                <c:ptCount val="1"/>
                <c:pt idx="0">
                  <c:v>Excess $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Inventory Health'!$R$5:$R$14</c:f>
              <c:strCache>
                <c:ptCount val="10"/>
                <c:pt idx="0">
                  <c:v>Smartphones</c:v>
                </c:pt>
                <c:pt idx="1">
                  <c:v>Laptops</c:v>
                </c:pt>
                <c:pt idx="2">
                  <c:v>TVs</c:v>
                </c:pt>
                <c:pt idx="3">
                  <c:v>Audio</c:v>
                </c:pt>
                <c:pt idx="4">
                  <c:v>Wearables</c:v>
                </c:pt>
                <c:pt idx="5">
                  <c:v>Gaming</c:v>
                </c:pt>
                <c:pt idx="6">
                  <c:v>Smart Home</c:v>
                </c:pt>
                <c:pt idx="7">
                  <c:v>Cameras</c:v>
                </c:pt>
                <c:pt idx="8">
                  <c:v>Tablets</c:v>
                </c:pt>
                <c:pt idx="9">
                  <c:v>Accessories</c:v>
                </c:pt>
              </c:strCache>
            </c:strRef>
          </c:cat>
          <c:val>
            <c:numRef>
              <c:f>'6. Inventory Health'!$S$5:$S$14</c:f>
              <c:numCache>
                <c:formatCode>\$#,##0</c:formatCode>
                <c:ptCount val="10"/>
                <c:pt idx="0">
                  <c:v>204696</c:v>
                </c:pt>
                <c:pt idx="1">
                  <c:v>161382</c:v>
                </c:pt>
                <c:pt idx="2">
                  <c:v>160608</c:v>
                </c:pt>
                <c:pt idx="3">
                  <c:v>213003</c:v>
                </c:pt>
                <c:pt idx="4">
                  <c:v>353306</c:v>
                </c:pt>
                <c:pt idx="5">
                  <c:v>223320</c:v>
                </c:pt>
                <c:pt idx="6">
                  <c:v>246695</c:v>
                </c:pt>
                <c:pt idx="7">
                  <c:v>250872</c:v>
                </c:pt>
                <c:pt idx="8">
                  <c:v>381816</c:v>
                </c:pt>
                <c:pt idx="9">
                  <c:v>477262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C-4948-9554-8AB940AE7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630135"/>
        <c:axId val="21561943"/>
      </c:barChart>
      <c:catAx>
        <c:axId val="7563013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561943"/>
        <c:crosses val="autoZero"/>
        <c:auto val="1"/>
        <c:lblAlgn val="ctr"/>
        <c:lblOffset val="100"/>
        <c:noMultiLvlLbl val="0"/>
      </c:catAx>
      <c:valAx>
        <c:axId val="2156194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6301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Annual Spend by Supplier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'7. Supplier Performance'!$E$4</c:f>
              <c:strCache>
                <c:ptCount val="1"/>
                <c:pt idx="0">
                  <c:v>Annual Spend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 Supplier Performance'!$A$5:$A$14</c:f>
              <c:strCache>
                <c:ptCount val="10"/>
                <c:pt idx="0">
                  <c:v>Shenzhen Onyx Electronics</c:v>
                </c:pt>
                <c:pt idx="1">
                  <c:v>Pacific Semis</c:v>
                </c:pt>
                <c:pt idx="2">
                  <c:v>Taipei MicroParts</c:v>
                </c:pt>
                <c:pt idx="3">
                  <c:v>Foxlink Components</c:v>
                </c:pt>
                <c:pt idx="4">
                  <c:v>Hanoi Assembly Works</c:v>
                </c:pt>
                <c:pt idx="5">
                  <c:v>Busan Display Tech</c:v>
                </c:pt>
                <c:pt idx="6">
                  <c:v>Mumbai Cable Works</c:v>
                </c:pt>
                <c:pt idx="7">
                  <c:v>Dongguan Audio Labs</c:v>
                </c:pt>
                <c:pt idx="8">
                  <c:v>Penang Circuits</c:v>
                </c:pt>
                <c:pt idx="9">
                  <c:v>EuroParts Distribution</c:v>
                </c:pt>
              </c:strCache>
            </c:strRef>
          </c:cat>
          <c:val>
            <c:numRef>
              <c:f>'7. Supplier Performance'!$E$5:$E$14</c:f>
              <c:numCache>
                <c:formatCode>\$#,##0</c:formatCode>
                <c:ptCount val="10"/>
                <c:pt idx="0">
                  <c:v>22888171</c:v>
                </c:pt>
                <c:pt idx="1">
                  <c:v>39266161</c:v>
                </c:pt>
                <c:pt idx="2">
                  <c:v>24412633</c:v>
                </c:pt>
                <c:pt idx="3">
                  <c:v>17578472</c:v>
                </c:pt>
                <c:pt idx="4">
                  <c:v>6413469</c:v>
                </c:pt>
                <c:pt idx="5">
                  <c:v>31133068</c:v>
                </c:pt>
                <c:pt idx="6">
                  <c:v>2423196</c:v>
                </c:pt>
                <c:pt idx="7">
                  <c:v>6049393</c:v>
                </c:pt>
                <c:pt idx="8">
                  <c:v>13907032</c:v>
                </c:pt>
                <c:pt idx="9">
                  <c:v>1270151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F-5940-9D11-0147B306C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60544"/>
        <c:axId val="80325718"/>
      </c:barChart>
      <c:catAx>
        <c:axId val="4086054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325718"/>
        <c:crosses val="autoZero"/>
        <c:auto val="1"/>
        <c:lblAlgn val="ctr"/>
        <c:lblOffset val="100"/>
        <c:noMultiLvlLbl val="0"/>
      </c:catAx>
      <c:valAx>
        <c:axId val="8032571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8605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Inventory Value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'8. Executive Dashboard'!$S$22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BA9-BB49-96D6-A335388BA975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BA9-BB49-96D6-A335388BA975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BA9-BB49-96D6-A335388BA975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BA9-BB49-96D6-A335388BA975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BA9-BB49-96D6-A335388BA975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7BA9-BB49-96D6-A335388BA975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7BA9-BB49-96D6-A335388BA975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7BA9-BB49-96D6-A335388BA975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7BA9-BB49-96D6-A335388BA975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7BA9-BB49-96D6-A335388BA97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A9-BB49-96D6-A335388BA97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A9-BB49-96D6-A335388BA97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A9-BB49-96D6-A335388BA97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BA9-BB49-96D6-A335388BA97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BA9-BB49-96D6-A335388BA975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BA9-BB49-96D6-A335388BA975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BA9-BB49-96D6-A335388BA975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BA9-BB49-96D6-A335388BA975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BA9-BB49-96D6-A335388BA975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BA9-BB49-96D6-A335388BA9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 Executive Dashboard'!$R$23:$R$32</c:f>
              <c:strCache>
                <c:ptCount val="10"/>
                <c:pt idx="0">
                  <c:v>Smartphones</c:v>
                </c:pt>
                <c:pt idx="1">
                  <c:v>Laptops</c:v>
                </c:pt>
                <c:pt idx="2">
                  <c:v>TVs</c:v>
                </c:pt>
                <c:pt idx="3">
                  <c:v>Audio</c:v>
                </c:pt>
                <c:pt idx="4">
                  <c:v>Wearables</c:v>
                </c:pt>
                <c:pt idx="5">
                  <c:v>Gaming</c:v>
                </c:pt>
                <c:pt idx="6">
                  <c:v>Smart Home</c:v>
                </c:pt>
                <c:pt idx="7">
                  <c:v>Cameras</c:v>
                </c:pt>
                <c:pt idx="8">
                  <c:v>Tablets</c:v>
                </c:pt>
                <c:pt idx="9">
                  <c:v>Accessories</c:v>
                </c:pt>
              </c:strCache>
            </c:strRef>
          </c:cat>
          <c:val>
            <c:numRef>
              <c:f>'8. Executive Dashboard'!$S$23:$S$32</c:f>
              <c:numCache>
                <c:formatCode>\$#,##0</c:formatCode>
                <c:ptCount val="10"/>
                <c:pt idx="0">
                  <c:v>5390767</c:v>
                </c:pt>
                <c:pt idx="1">
                  <c:v>5114799</c:v>
                </c:pt>
                <c:pt idx="2">
                  <c:v>5280777</c:v>
                </c:pt>
                <c:pt idx="3">
                  <c:v>1883120</c:v>
                </c:pt>
                <c:pt idx="4">
                  <c:v>1233929</c:v>
                </c:pt>
                <c:pt idx="5">
                  <c:v>1746839</c:v>
                </c:pt>
                <c:pt idx="6">
                  <c:v>933765</c:v>
                </c:pt>
                <c:pt idx="7">
                  <c:v>1591026</c:v>
                </c:pt>
                <c:pt idx="8">
                  <c:v>1954147</c:v>
                </c:pt>
                <c:pt idx="9">
                  <c:v>722938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BA9-BB49-96D6-A335388BA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Inventory vs Excess by DC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 Executive Dashboard'!$B$16</c:f>
              <c:strCache>
                <c:ptCount val="1"/>
                <c:pt idx="0">
                  <c:v>Inventory 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Executive Dashboard'!$A$17:$A$19</c:f>
              <c:strCache>
                <c:ptCount val="3"/>
                <c:pt idx="0">
                  <c:v>East DC</c:v>
                </c:pt>
                <c:pt idx="1">
                  <c:v>Central DC</c:v>
                </c:pt>
                <c:pt idx="2">
                  <c:v>West DC</c:v>
                </c:pt>
              </c:strCache>
            </c:strRef>
          </c:cat>
          <c:val>
            <c:numRef>
              <c:f>'8. Executive Dashboard'!$B$17:$B$19</c:f>
              <c:numCache>
                <c:formatCode>\$#,##0</c:formatCode>
                <c:ptCount val="3"/>
                <c:pt idx="0">
                  <c:v>8925451</c:v>
                </c:pt>
                <c:pt idx="1">
                  <c:v>8508650</c:v>
                </c:pt>
                <c:pt idx="2">
                  <c:v>8418006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C-9A41-A356-6B273281B6C0}"/>
            </c:ext>
          </c:extLst>
        </c:ser>
        <c:ser>
          <c:idx val="1"/>
          <c:order val="1"/>
          <c:tx>
            <c:strRef>
              <c:f>'8. Executive Dashboard'!$C$16</c:f>
              <c:strCache>
                <c:ptCount val="1"/>
                <c:pt idx="0">
                  <c:v>Excess Value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Executive Dashboard'!$A$17:$A$19</c:f>
              <c:strCache>
                <c:ptCount val="3"/>
                <c:pt idx="0">
                  <c:v>East DC</c:v>
                </c:pt>
                <c:pt idx="1">
                  <c:v>Central DC</c:v>
                </c:pt>
                <c:pt idx="2">
                  <c:v>West DC</c:v>
                </c:pt>
              </c:strCache>
            </c:strRef>
          </c:cat>
          <c:val>
            <c:numRef>
              <c:f>'8. Executive Dashboard'!$C$17:$C$19</c:f>
              <c:numCache>
                <c:formatCode>\$#,##0</c:formatCode>
                <c:ptCount val="3"/>
                <c:pt idx="0">
                  <c:v>972673</c:v>
                </c:pt>
                <c:pt idx="1">
                  <c:v>1178378</c:v>
                </c:pt>
                <c:pt idx="2">
                  <c:v>521909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5C-9A41-A356-6B273281B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066535"/>
        <c:axId val="84915650"/>
      </c:barChart>
      <c:catAx>
        <c:axId val="830665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915650"/>
        <c:crosses val="autoZero"/>
        <c:auto val="1"/>
        <c:lblAlgn val="ctr"/>
        <c:lblOffset val="100"/>
        <c:noMultiLvlLbl val="0"/>
      </c:catAx>
      <c:valAx>
        <c:axId val="849156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0665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507</xdr:row>
      <xdr:rowOff>0</xdr:rowOff>
    </xdr:from>
    <xdr:to>
      <xdr:col>14</xdr:col>
      <xdr:colOff>412251</xdr:colOff>
      <xdr:row>523</xdr:row>
      <xdr:rowOff>11160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649111</xdr:colOff>
      <xdr:row>511</xdr:row>
      <xdr:rowOff>84667</xdr:rowOff>
    </xdr:from>
    <xdr:to>
      <xdr:col>7</xdr:col>
      <xdr:colOff>628600</xdr:colOff>
      <xdr:row>527</xdr:row>
      <xdr:rowOff>95827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3600</xdr:rowOff>
    </xdr:from>
    <xdr:to>
      <xdr:col>5</xdr:col>
      <xdr:colOff>874851</xdr:colOff>
      <xdr:row>31</xdr:row>
      <xdr:rowOff>15120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34</xdr:row>
      <xdr:rowOff>15860</xdr:rowOff>
    </xdr:from>
    <xdr:to>
      <xdr:col>3</xdr:col>
      <xdr:colOff>850960</xdr:colOff>
      <xdr:row>51</xdr:row>
      <xdr:rowOff>16580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1219200</xdr:colOff>
      <xdr:row>34</xdr:row>
      <xdr:rowOff>28560</xdr:rowOff>
    </xdr:from>
    <xdr:to>
      <xdr:col>7</xdr:col>
      <xdr:colOff>140777</xdr:colOff>
      <xdr:row>51</xdr:row>
      <xdr:rowOff>29280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MasterData" displayName="MasterData" ref="A4:K504" totalsRowShown="0">
  <autoFilter ref="A4:K504" xr:uid="{00000000-0009-0000-0100-000005000000}"/>
  <tableColumns count="11">
    <tableColumn id="1" xr3:uid="{00000000-0010-0000-0000-000001000000}" name="SKU"/>
    <tableColumn id="2" xr3:uid="{00000000-0010-0000-0000-000002000000}" name="Product Name"/>
    <tableColumn id="3" xr3:uid="{00000000-0010-0000-0000-000003000000}" name="Category"/>
    <tableColumn id="4" xr3:uid="{00000000-0010-0000-0000-000004000000}" name="DC"/>
    <tableColumn id="5" xr3:uid="{00000000-0010-0000-0000-000005000000}" name="Supplier"/>
    <tableColumn id="6" xr3:uid="{00000000-0010-0000-0000-000006000000}" name="Unit Cost"/>
    <tableColumn id="7" xr3:uid="{00000000-0010-0000-0000-000007000000}" name="Lead Time Days"/>
    <tableColumn id="8" xr3:uid="{00000000-0010-0000-0000-000008000000}" name="Status"/>
    <tableColumn id="9" xr3:uid="{00000000-0010-0000-0000-000009000000}" name="On Hand"/>
    <tableColumn id="10" xr3:uid="{00000000-0010-0000-0000-00000A000000}" name="Days Since Move"/>
    <tableColumn id="11" xr3:uid="{00000000-0010-0000-0000-00000B000000}" name="Annual Usag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DemandHistory" displayName="DemandHistory" ref="A4:AA504" totalsRowShown="0">
  <autoFilter ref="A4:AA504" xr:uid="{00000000-0009-0000-0100-000003000000}"/>
  <tableColumns count="27">
    <tableColumn id="1" xr3:uid="{00000000-0010-0000-0100-000001000000}" name="SKU"/>
    <tableColumn id="2" xr3:uid="{00000000-0010-0000-0100-000002000000}" name="Product Name"/>
    <tableColumn id="3" xr3:uid="{00000000-0010-0000-0100-000003000000}" name="Jun 24"/>
    <tableColumn id="4" xr3:uid="{00000000-0010-0000-0100-000004000000}" name="Jul 24"/>
    <tableColumn id="5" xr3:uid="{00000000-0010-0000-0100-000005000000}" name="Aug 24"/>
    <tableColumn id="6" xr3:uid="{00000000-0010-0000-0100-000006000000}" name="Sep 24"/>
    <tableColumn id="7" xr3:uid="{00000000-0010-0000-0100-000007000000}" name="Oct 24"/>
    <tableColumn id="8" xr3:uid="{00000000-0010-0000-0100-000008000000}" name="Nov 24"/>
    <tableColumn id="9" xr3:uid="{00000000-0010-0000-0100-000009000000}" name="Dec 24"/>
    <tableColumn id="10" xr3:uid="{00000000-0010-0000-0100-00000A000000}" name="Jan 25"/>
    <tableColumn id="11" xr3:uid="{00000000-0010-0000-0100-00000B000000}" name="Feb 25"/>
    <tableColumn id="12" xr3:uid="{00000000-0010-0000-0100-00000C000000}" name="Mar 25"/>
    <tableColumn id="13" xr3:uid="{00000000-0010-0000-0100-00000D000000}" name="Apr 25"/>
    <tableColumn id="14" xr3:uid="{00000000-0010-0000-0100-00000E000000}" name="May 25"/>
    <tableColumn id="15" xr3:uid="{00000000-0010-0000-0100-00000F000000}" name="Jun 25"/>
    <tableColumn id="16" xr3:uid="{00000000-0010-0000-0100-000010000000}" name="Jul 25"/>
    <tableColumn id="17" xr3:uid="{00000000-0010-0000-0100-000011000000}" name="Aug 25"/>
    <tableColumn id="18" xr3:uid="{00000000-0010-0000-0100-000012000000}" name="Sep 25"/>
    <tableColumn id="19" xr3:uid="{00000000-0010-0000-0100-000013000000}" name="Oct 25"/>
    <tableColumn id="20" xr3:uid="{00000000-0010-0000-0100-000014000000}" name="Nov 25"/>
    <tableColumn id="21" xr3:uid="{00000000-0010-0000-0100-000015000000}" name="Dec 25"/>
    <tableColumn id="22" xr3:uid="{00000000-0010-0000-0100-000016000000}" name="Jan 26"/>
    <tableColumn id="23" xr3:uid="{00000000-0010-0000-0100-000017000000}" name="Feb 26"/>
    <tableColumn id="24" xr3:uid="{00000000-0010-0000-0100-000018000000}" name="Mar 26"/>
    <tableColumn id="25" xr3:uid="{00000000-0010-0000-0100-000019000000}" name="Apr 26"/>
    <tableColumn id="26" xr3:uid="{00000000-0010-0000-0100-00001A000000}" name="May 26"/>
    <tableColumn id="27" xr3:uid="{00000000-0010-0000-0100-00001B000000}" name="Annual Last 1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emandForecast" displayName="DemandForecast" ref="A4:Q504" totalsRowShown="0">
  <autoFilter ref="A4:Q504" xr:uid="{00000000-0009-0000-0100-000002000000}"/>
  <tableColumns count="17">
    <tableColumn id="1" xr3:uid="{00000000-0010-0000-0200-000001000000}" name="SKU"/>
    <tableColumn id="2" xr3:uid="{00000000-0010-0000-0200-000002000000}" name="Product Name"/>
    <tableColumn id="3" xr3:uid="{00000000-0010-0000-0200-000003000000}" name="Category"/>
    <tableColumn id="4" xr3:uid="{00000000-0010-0000-0200-000004000000}" name="Seasonal"/>
    <tableColumn id="5" xr3:uid="{00000000-0010-0000-0200-000005000000}" name="Method"/>
    <tableColumn id="6" xr3:uid="{00000000-0010-0000-0200-000006000000}" name="Avg Monthly"/>
    <tableColumn id="7" xr3:uid="{00000000-0010-0000-0200-000007000000}" name="Std Dev"/>
    <tableColumn id="8" xr3:uid="{00000000-0010-0000-0200-000008000000}" name="CV"/>
    <tableColumn id="9" xr3:uid="{00000000-0010-0000-0200-000009000000}" name="YoY Growth"/>
    <tableColumn id="10" xr3:uid="{00000000-0010-0000-0200-00000A000000}" name="Forecast Jun 26"/>
    <tableColumn id="11" xr3:uid="{00000000-0010-0000-0200-00000B000000}" name="MAPE"/>
    <tableColumn id="12" xr3:uid="{00000000-0010-0000-0200-00000C000000}" name="Err Dec"/>
    <tableColumn id="13" xr3:uid="{00000000-0010-0000-0200-00000D000000}" name="Err Jan"/>
    <tableColumn id="14" xr3:uid="{00000000-0010-0000-0200-00000E000000}" name="Err Feb"/>
    <tableColumn id="15" xr3:uid="{00000000-0010-0000-0200-00000F000000}" name="Err Mar"/>
    <tableColumn id="16" xr3:uid="{00000000-0010-0000-0200-000010000000}" name="Err Apr"/>
    <tableColumn id="17" xr3:uid="{00000000-0010-0000-0200-000011000000}" name="Err May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ABCXYZ" displayName="ABCXYZ" ref="A4:N504" totalsRowShown="0">
  <autoFilter ref="A4:N504" xr:uid="{00000000-0009-0000-0100-000001000000}"/>
  <sortState xmlns:xlrd2="http://schemas.microsoft.com/office/spreadsheetml/2017/richdata2" ref="A5:N504">
    <sortCondition descending="1" ref="G4:G504"/>
  </sortState>
  <tableColumns count="14">
    <tableColumn id="1" xr3:uid="{00000000-0010-0000-0300-000001000000}" name="SKU"/>
    <tableColumn id="2" xr3:uid="{00000000-0010-0000-0300-000002000000}" name="Product Name"/>
    <tableColumn id="3" xr3:uid="{00000000-0010-0000-0300-000003000000}" name="Category"/>
    <tableColumn id="4" xr3:uid="{00000000-0010-0000-0300-000004000000}" name="DC"/>
    <tableColumn id="5" xr3:uid="{00000000-0010-0000-0300-000005000000}" name="Unit Cost"/>
    <tableColumn id="6" xr3:uid="{00000000-0010-0000-0300-000006000000}" name="Annual Usage"/>
    <tableColumn id="7" xr3:uid="{00000000-0010-0000-0300-000007000000}" name="ACV"/>
    <tableColumn id="8" xr3:uid="{00000000-0010-0000-0300-000008000000}" name="Rank"/>
    <tableColumn id="9" xr3:uid="{00000000-0010-0000-0300-000009000000}" name="Cum ACV"/>
    <tableColumn id="10" xr3:uid="{00000000-0010-0000-0300-00000A000000}" name="Cum %"/>
    <tableColumn id="11" xr3:uid="{00000000-0010-0000-0300-00000B000000}" name="ABC"/>
    <tableColumn id="12" xr3:uid="{00000000-0010-0000-0300-00000C000000}" name="CV"/>
    <tableColumn id="13" xr3:uid="{00000000-0010-0000-0300-00000D000000}" name="XYZ"/>
    <tableColumn id="14" xr3:uid="{00000000-0010-0000-0300-00000E000000}" name="Clas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Replenishment" displayName="Replenishment" ref="A4:Q504" totalsRowShown="0">
  <autoFilter ref="A4:Q504" xr:uid="{00000000-0009-0000-0100-000006000000}"/>
  <tableColumns count="17">
    <tableColumn id="1" xr3:uid="{00000000-0010-0000-0400-000001000000}" name="SKU"/>
    <tableColumn id="2" xr3:uid="{00000000-0010-0000-0400-000002000000}" name="Product Name"/>
    <tableColumn id="3" xr3:uid="{00000000-0010-0000-0400-000003000000}" name="DC"/>
    <tableColumn id="4" xr3:uid="{00000000-0010-0000-0400-000004000000}" name="ABC"/>
    <tableColumn id="5" xr3:uid="{00000000-0010-0000-0400-000005000000}" name="XYZ"/>
    <tableColumn id="6" xr3:uid="{00000000-0010-0000-0400-000006000000}" name="Unit Cost"/>
    <tableColumn id="7" xr3:uid="{00000000-0010-0000-0400-000007000000}" name="Lead Time"/>
    <tableColumn id="8" xr3:uid="{00000000-0010-0000-0400-000008000000}" name="Avg Daily"/>
    <tableColumn id="9" xr3:uid="{00000000-0010-0000-0400-000009000000}" name="SD Daily"/>
    <tableColumn id="10" xr3:uid="{00000000-0010-0000-0400-00000A000000}" name="Safety Stock"/>
    <tableColumn id="11" xr3:uid="{00000000-0010-0000-0400-00000B000000}" name="Reorder Point"/>
    <tableColumn id="12" xr3:uid="{00000000-0010-0000-0400-00000C000000}" name="EOQ"/>
    <tableColumn id="13" xr3:uid="{00000000-0010-0000-0400-00000D000000}" name="On Hand"/>
    <tableColumn id="14" xr3:uid="{00000000-0010-0000-0400-00000E000000}" name="Days of Supply"/>
    <tableColumn id="15" xr3:uid="{00000000-0010-0000-0400-00000F000000}" name="Flag"/>
    <tableColumn id="16" xr3:uid="{00000000-0010-0000-0400-000010000000}" name="Priority"/>
    <tableColumn id="17" xr3:uid="{00000000-0010-0000-0400-000011000000}" name="Policy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InventoryHealth" displayName="InventoryHealth" ref="A4:O504" totalsRowShown="0">
  <autoFilter ref="A4:O504" xr:uid="{00000000-0009-0000-0100-000004000000}"/>
  <tableColumns count="15">
    <tableColumn id="1" xr3:uid="{00000000-0010-0000-0500-000001000000}" name="SKU"/>
    <tableColumn id="2" xr3:uid="{00000000-0010-0000-0500-000002000000}" name="Product Name"/>
    <tableColumn id="3" xr3:uid="{00000000-0010-0000-0500-000003000000}" name="Category"/>
    <tableColumn id="4" xr3:uid="{00000000-0010-0000-0500-000004000000}" name="DC"/>
    <tableColumn id="5" xr3:uid="{00000000-0010-0000-0500-000005000000}" name="Status"/>
    <tableColumn id="6" xr3:uid="{00000000-0010-0000-0500-000006000000}" name="Unit Cost"/>
    <tableColumn id="7" xr3:uid="{00000000-0010-0000-0500-000007000000}" name="On Hand"/>
    <tableColumn id="8" xr3:uid="{00000000-0010-0000-0500-000008000000}" name="Tied Up Value"/>
    <tableColumn id="9" xr3:uid="{00000000-0010-0000-0500-000009000000}" name="Days Since Move"/>
    <tableColumn id="10" xr3:uid="{00000000-0010-0000-0500-00000A000000}" name="Aging Bucket"/>
    <tableColumn id="11" xr3:uid="{00000000-0010-0000-0500-00000B000000}" name="Months of Stock"/>
    <tableColumn id="12" xr3:uid="{00000000-0010-0000-0500-00000C000000}" name="Turns"/>
    <tableColumn id="13" xr3:uid="{00000000-0010-0000-0500-00000D000000}" name="Excess Flag"/>
    <tableColumn id="14" xr3:uid="{00000000-0010-0000-0500-00000E000000}" name="Excess Value"/>
    <tableColumn id="15" xr3:uid="{00000000-0010-0000-0500-00000F000000}" name="Action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upplierPerf" displayName="SupplierPerf" ref="A4:H14" totalsRowShown="0">
  <autoFilter ref="A4:H14" xr:uid="{00000000-0009-0000-0100-000007000000}"/>
  <tableColumns count="8">
    <tableColumn id="1" xr3:uid="{00000000-0010-0000-0600-000001000000}" name="Supplier"/>
    <tableColumn id="2" xr3:uid="{00000000-0010-0000-0600-000002000000}" name="SKUs"/>
    <tableColumn id="3" xr3:uid="{00000000-0010-0000-0600-000003000000}" name="Avg Lead Time"/>
    <tableColumn id="4" xr3:uid="{00000000-0010-0000-0600-000004000000}" name="OTD %"/>
    <tableColumn id="5" xr3:uid="{00000000-0010-0000-0600-000005000000}" name="Annual Spend"/>
    <tableColumn id="6" xr3:uid="{00000000-0010-0000-0600-000006000000}" name="Spend Share"/>
    <tableColumn id="7" xr3:uid="{00000000-0010-0000-0600-000007000000}" name="Risk Flag"/>
    <tableColumn id="8" xr3:uid="{00000000-0010-0000-0600-000008000000}" name="Recommended Ac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showGridLines="0" zoomScale="200" zoomScaleNormal="200" workbookViewId="0">
      <selection activeCell="B21" sqref="B21:I26"/>
    </sheetView>
  </sheetViews>
  <sheetFormatPr baseColWidth="10" defaultColWidth="8.6640625" defaultRowHeight="15" x14ac:dyDescent="0.2"/>
  <cols>
    <col min="1" max="1" width="3" customWidth="1"/>
    <col min="2" max="9" width="15" customWidth="1"/>
  </cols>
  <sheetData>
    <row r="1" spans="1:9" ht="36" customHeight="1" x14ac:dyDescent="0.2">
      <c r="A1" s="31" t="s">
        <v>0</v>
      </c>
      <c r="B1" s="31"/>
      <c r="C1" s="31"/>
      <c r="D1" s="31"/>
      <c r="E1" s="31"/>
      <c r="F1" s="31"/>
      <c r="G1" s="31"/>
      <c r="H1" s="31"/>
      <c r="I1" s="31"/>
    </row>
    <row r="2" spans="1:9" ht="15" customHeight="1" x14ac:dyDescent="0.2">
      <c r="A2" s="32" t="s">
        <v>1</v>
      </c>
      <c r="B2" s="32"/>
      <c r="C2" s="32"/>
      <c r="D2" s="32"/>
      <c r="E2" s="32"/>
      <c r="F2" s="32"/>
      <c r="G2" s="32"/>
      <c r="H2" s="32"/>
      <c r="I2" s="32"/>
    </row>
    <row r="4" spans="1:9" ht="19.5" customHeight="1" x14ac:dyDescent="0.2">
      <c r="B4" s="22" t="s">
        <v>2</v>
      </c>
      <c r="C4" s="22"/>
      <c r="D4" s="22"/>
      <c r="E4" s="22"/>
      <c r="F4" s="22"/>
      <c r="G4" s="22"/>
      <c r="H4" s="22"/>
      <c r="I4" s="22"/>
    </row>
    <row r="5" spans="1:9" ht="15" customHeight="1" x14ac:dyDescent="0.2">
      <c r="B5" s="21" t="s">
        <v>3</v>
      </c>
      <c r="C5" s="21"/>
      <c r="D5" s="21"/>
      <c r="E5" s="21"/>
      <c r="F5" s="21"/>
      <c r="G5" s="21"/>
      <c r="H5" s="21"/>
      <c r="I5" s="21"/>
    </row>
    <row r="6" spans="1:9" ht="15" customHeight="1" x14ac:dyDescent="0.2">
      <c r="B6" s="25" t="s">
        <v>4</v>
      </c>
      <c r="C6" s="25"/>
      <c r="D6" s="25"/>
      <c r="E6" s="25"/>
      <c r="F6" s="25"/>
      <c r="G6" s="25"/>
      <c r="H6" s="25"/>
      <c r="I6" s="25"/>
    </row>
    <row r="7" spans="1:9" ht="15" customHeight="1" x14ac:dyDescent="0.2">
      <c r="B7" s="21" t="s">
        <v>5</v>
      </c>
      <c r="C7" s="21"/>
      <c r="D7" s="21"/>
      <c r="E7" s="21"/>
      <c r="F7" s="21"/>
      <c r="G7" s="21"/>
      <c r="H7" s="21"/>
      <c r="I7" s="21"/>
    </row>
    <row r="8" spans="1:9" ht="15" customHeight="1" x14ac:dyDescent="0.2">
      <c r="B8" s="25" t="s">
        <v>6</v>
      </c>
      <c r="C8" s="25"/>
      <c r="D8" s="25"/>
      <c r="E8" s="25"/>
      <c r="F8" s="25"/>
      <c r="G8" s="25"/>
      <c r="H8" s="25"/>
      <c r="I8" s="25"/>
    </row>
    <row r="10" spans="1:9" ht="19.5" customHeight="1" x14ac:dyDescent="0.2">
      <c r="B10" s="39" t="s">
        <v>7</v>
      </c>
      <c r="C10" s="39"/>
      <c r="D10" s="39"/>
      <c r="E10" s="39"/>
      <c r="F10" s="39"/>
      <c r="G10" s="39"/>
      <c r="H10" s="39"/>
      <c r="I10" s="39"/>
    </row>
    <row r="11" spans="1:9" ht="15" customHeight="1" x14ac:dyDescent="0.2">
      <c r="B11" s="21" t="s">
        <v>8</v>
      </c>
      <c r="C11" s="21"/>
      <c r="D11" s="21"/>
      <c r="E11" s="21"/>
      <c r="F11" s="21"/>
      <c r="G11" s="21"/>
      <c r="H11" s="21"/>
      <c r="I11" s="21"/>
    </row>
    <row r="12" spans="1:9" ht="15" customHeight="1" x14ac:dyDescent="0.2">
      <c r="B12" s="25" t="s">
        <v>9</v>
      </c>
      <c r="C12" s="25"/>
      <c r="D12" s="25"/>
      <c r="E12" s="25"/>
      <c r="F12" s="25"/>
      <c r="G12" s="25"/>
      <c r="H12" s="25"/>
      <c r="I12" s="25"/>
    </row>
    <row r="13" spans="1:9" ht="15" customHeight="1" x14ac:dyDescent="0.2">
      <c r="B13" s="21" t="s">
        <v>10</v>
      </c>
      <c r="C13" s="21"/>
      <c r="D13" s="21"/>
      <c r="E13" s="21"/>
      <c r="F13" s="21"/>
      <c r="G13" s="21"/>
      <c r="H13" s="21"/>
      <c r="I13" s="21"/>
    </row>
    <row r="14" spans="1:9" ht="15" customHeight="1" x14ac:dyDescent="0.2">
      <c r="B14" s="25" t="s">
        <v>11</v>
      </c>
      <c r="C14" s="25"/>
      <c r="D14" s="25"/>
      <c r="E14" s="25"/>
      <c r="F14" s="25"/>
      <c r="G14" s="25"/>
      <c r="H14" s="25"/>
      <c r="I14" s="25"/>
    </row>
    <row r="15" spans="1:9" ht="15" customHeight="1" x14ac:dyDescent="0.2">
      <c r="B15" s="21" t="s">
        <v>12</v>
      </c>
      <c r="C15" s="21"/>
      <c r="D15" s="21"/>
      <c r="E15" s="21"/>
      <c r="F15" s="21"/>
      <c r="G15" s="21"/>
      <c r="H15" s="21"/>
      <c r="I15" s="21"/>
    </row>
    <row r="16" spans="1:9" ht="15" customHeight="1" x14ac:dyDescent="0.2">
      <c r="B16" s="25" t="s">
        <v>13</v>
      </c>
      <c r="C16" s="25"/>
      <c r="D16" s="25"/>
      <c r="E16" s="25"/>
      <c r="F16" s="25"/>
      <c r="G16" s="25"/>
      <c r="H16" s="25"/>
      <c r="I16" s="25"/>
    </row>
    <row r="17" spans="2:9" ht="15" customHeight="1" x14ac:dyDescent="0.2">
      <c r="B17" s="21" t="s">
        <v>14</v>
      </c>
      <c r="C17" s="21"/>
      <c r="D17" s="21"/>
      <c r="E17" s="21"/>
      <c r="F17" s="21"/>
      <c r="G17" s="21"/>
      <c r="H17" s="21"/>
      <c r="I17" s="21"/>
    </row>
    <row r="18" spans="2:9" ht="15" customHeight="1" x14ac:dyDescent="0.2">
      <c r="B18" s="25" t="s">
        <v>15</v>
      </c>
      <c r="C18" s="25"/>
      <c r="D18" s="25"/>
      <c r="E18" s="25"/>
      <c r="F18" s="25"/>
      <c r="G18" s="25"/>
      <c r="H18" s="25"/>
      <c r="I18" s="25"/>
    </row>
    <row r="20" spans="2:9" ht="19.5" customHeight="1" x14ac:dyDescent="0.2">
      <c r="B20" s="38" t="s">
        <v>16</v>
      </c>
      <c r="C20" s="38"/>
      <c r="D20" s="38"/>
      <c r="E20" s="38"/>
      <c r="F20" s="38"/>
      <c r="G20" s="38"/>
      <c r="H20" s="38"/>
      <c r="I20" s="38"/>
    </row>
    <row r="21" spans="2:9" ht="15" customHeight="1" x14ac:dyDescent="0.2">
      <c r="B21" s="21" t="s">
        <v>17</v>
      </c>
      <c r="C21" s="21"/>
      <c r="D21" s="21"/>
      <c r="E21" s="21"/>
      <c r="F21" s="21"/>
      <c r="G21" s="21"/>
      <c r="H21" s="21"/>
      <c r="I21" s="21"/>
    </row>
    <row r="22" spans="2:9" ht="15" customHeight="1" x14ac:dyDescent="0.2">
      <c r="B22" s="25" t="s">
        <v>18</v>
      </c>
      <c r="C22" s="25"/>
      <c r="D22" s="25"/>
      <c r="E22" s="25"/>
      <c r="F22" s="25"/>
      <c r="G22" s="25"/>
      <c r="H22" s="25"/>
      <c r="I22" s="25"/>
    </row>
    <row r="23" spans="2:9" ht="15" customHeight="1" x14ac:dyDescent="0.2">
      <c r="B23" s="21" t="s">
        <v>19</v>
      </c>
      <c r="C23" s="21"/>
      <c r="D23" s="21"/>
      <c r="E23" s="21"/>
      <c r="F23" s="21"/>
      <c r="G23" s="21"/>
      <c r="H23" s="21"/>
      <c r="I23" s="21"/>
    </row>
    <row r="24" spans="2:9" ht="15" customHeight="1" x14ac:dyDescent="0.2">
      <c r="B24" s="25" t="s">
        <v>20</v>
      </c>
      <c r="C24" s="25"/>
      <c r="D24" s="25"/>
      <c r="E24" s="25"/>
      <c r="F24" s="25"/>
      <c r="G24" s="25"/>
      <c r="H24" s="25"/>
      <c r="I24" s="25"/>
    </row>
    <row r="25" spans="2:9" ht="15" customHeight="1" x14ac:dyDescent="0.2">
      <c r="B25" s="21" t="s">
        <v>21</v>
      </c>
      <c r="C25" s="21"/>
      <c r="D25" s="21"/>
      <c r="E25" s="21"/>
      <c r="F25" s="21"/>
      <c r="G25" s="21"/>
      <c r="H25" s="21"/>
      <c r="I25" s="21"/>
    </row>
    <row r="26" spans="2:9" ht="15" customHeight="1" x14ac:dyDescent="0.2">
      <c r="B26" s="25" t="s">
        <v>22</v>
      </c>
      <c r="C26" s="25"/>
      <c r="D26" s="25"/>
      <c r="E26" s="25"/>
      <c r="F26" s="25"/>
      <c r="G26" s="25"/>
      <c r="H26" s="25"/>
      <c r="I26" s="25"/>
    </row>
    <row r="28" spans="2:9" ht="19.5" customHeight="1" x14ac:dyDescent="0.2">
      <c r="B28" s="23" t="s">
        <v>23</v>
      </c>
      <c r="C28" s="23"/>
      <c r="D28" s="23"/>
      <c r="E28" s="23"/>
      <c r="F28" s="23"/>
      <c r="G28" s="23"/>
      <c r="H28" s="23"/>
      <c r="I28" s="23"/>
    </row>
    <row r="29" spans="2:9" ht="15" customHeight="1" x14ac:dyDescent="0.2">
      <c r="B29" s="21" t="s">
        <v>24</v>
      </c>
      <c r="C29" s="21"/>
      <c r="D29" s="21"/>
      <c r="E29" s="21"/>
      <c r="F29" s="21"/>
      <c r="G29" s="21"/>
      <c r="H29" s="21"/>
      <c r="I29" s="21"/>
    </row>
    <row r="30" spans="2:9" ht="15" customHeight="1" x14ac:dyDescent="0.2">
      <c r="B30" s="25" t="s">
        <v>25</v>
      </c>
      <c r="C30" s="25"/>
      <c r="D30" s="25"/>
      <c r="E30" s="25"/>
      <c r="F30" s="25"/>
      <c r="G30" s="25"/>
      <c r="H30" s="25"/>
      <c r="I30" s="25"/>
    </row>
  </sheetData>
  <mergeCells count="26">
    <mergeCell ref="A1:I1"/>
    <mergeCell ref="A2:I2"/>
    <mergeCell ref="B4:I4"/>
    <mergeCell ref="B5:I5"/>
    <mergeCell ref="B6:I6"/>
    <mergeCell ref="B7:I7"/>
    <mergeCell ref="B8:I8"/>
    <mergeCell ref="B10:I10"/>
    <mergeCell ref="B11:I11"/>
    <mergeCell ref="B12:I12"/>
    <mergeCell ref="B13:I13"/>
    <mergeCell ref="B14:I14"/>
    <mergeCell ref="B15:I15"/>
    <mergeCell ref="B16:I16"/>
    <mergeCell ref="B17:I17"/>
    <mergeCell ref="B18:I18"/>
    <mergeCell ref="B20:I20"/>
    <mergeCell ref="B21:I21"/>
    <mergeCell ref="B22:I22"/>
    <mergeCell ref="B23:I23"/>
    <mergeCell ref="B30:I30"/>
    <mergeCell ref="B24:I24"/>
    <mergeCell ref="B25:I25"/>
    <mergeCell ref="B26:I26"/>
    <mergeCell ref="B28:I28"/>
    <mergeCell ref="B29:I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8"/>
  <sheetViews>
    <sheetView showGridLines="0" zoomScale="160" zoomScaleNormal="16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5" sqref="G5"/>
    </sheetView>
  </sheetViews>
  <sheetFormatPr baseColWidth="10" defaultColWidth="8.6640625" defaultRowHeight="15" x14ac:dyDescent="0.2"/>
  <cols>
    <col min="1" max="1" width="9" customWidth="1"/>
    <col min="2" max="2" width="26" customWidth="1"/>
    <col min="3" max="3" width="12" customWidth="1"/>
    <col min="4" max="4" width="11" customWidth="1"/>
    <col min="5" max="5" width="24" customWidth="1"/>
    <col min="6" max="6" width="9" customWidth="1"/>
    <col min="7" max="7" width="14.33203125" customWidth="1"/>
    <col min="8" max="9" width="8" customWidth="1"/>
    <col min="10" max="10" width="15.5" customWidth="1"/>
    <col min="11" max="11" width="10" customWidth="1"/>
  </cols>
  <sheetData>
    <row r="1" spans="1:11" ht="31.5" customHeight="1" x14ac:dyDescent="0.2">
      <c r="A1" s="31" t="s">
        <v>26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18" customHeight="1" x14ac:dyDescent="0.2">
      <c r="A2" s="32" t="s">
        <v>27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4" spans="1:11" ht="24" customHeight="1" x14ac:dyDescent="0.2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</row>
    <row r="5" spans="1:11" ht="15" customHeight="1" x14ac:dyDescent="0.2">
      <c r="A5" s="3" t="s">
        <v>39</v>
      </c>
      <c r="B5" s="1" t="s">
        <v>40</v>
      </c>
      <c r="C5" s="3" t="s">
        <v>41</v>
      </c>
      <c r="D5" s="3" t="s">
        <v>42</v>
      </c>
      <c r="E5" s="1" t="s">
        <v>43</v>
      </c>
      <c r="F5" s="4">
        <v>865</v>
      </c>
      <c r="G5" s="3">
        <v>17</v>
      </c>
      <c r="H5" s="3" t="s">
        <v>44</v>
      </c>
      <c r="I5" s="3">
        <v>124</v>
      </c>
      <c r="J5" s="3">
        <v>53</v>
      </c>
      <c r="K5" s="3">
        <v>1141</v>
      </c>
    </row>
    <row r="6" spans="1:11" ht="15" customHeight="1" x14ac:dyDescent="0.2">
      <c r="A6" s="3" t="s">
        <v>45</v>
      </c>
      <c r="B6" s="1" t="s">
        <v>46</v>
      </c>
      <c r="C6" s="3" t="s">
        <v>41</v>
      </c>
      <c r="D6" s="3" t="s">
        <v>47</v>
      </c>
      <c r="E6" s="1" t="s">
        <v>48</v>
      </c>
      <c r="F6" s="4">
        <v>701</v>
      </c>
      <c r="G6" s="3">
        <v>44</v>
      </c>
      <c r="H6" s="3" t="s">
        <v>44</v>
      </c>
      <c r="I6" s="3">
        <v>146</v>
      </c>
      <c r="J6" s="3">
        <v>48</v>
      </c>
      <c r="K6" s="3">
        <v>634</v>
      </c>
    </row>
    <row r="7" spans="1:11" ht="15" customHeight="1" x14ac:dyDescent="0.2">
      <c r="A7" s="3" t="s">
        <v>49</v>
      </c>
      <c r="B7" s="1" t="s">
        <v>50</v>
      </c>
      <c r="C7" s="3" t="s">
        <v>41</v>
      </c>
      <c r="D7" s="3" t="s">
        <v>42</v>
      </c>
      <c r="E7" s="1" t="s">
        <v>43</v>
      </c>
      <c r="F7" s="4">
        <v>261</v>
      </c>
      <c r="G7" s="3">
        <v>21</v>
      </c>
      <c r="H7" s="3" t="s">
        <v>44</v>
      </c>
      <c r="I7" s="3">
        <v>181</v>
      </c>
      <c r="J7" s="3">
        <v>25</v>
      </c>
      <c r="K7" s="3">
        <v>1450</v>
      </c>
    </row>
    <row r="8" spans="1:11" ht="15" customHeight="1" x14ac:dyDescent="0.2">
      <c r="A8" s="3" t="s">
        <v>51</v>
      </c>
      <c r="B8" s="1" t="s">
        <v>52</v>
      </c>
      <c r="C8" s="3" t="s">
        <v>41</v>
      </c>
      <c r="D8" s="3" t="s">
        <v>42</v>
      </c>
      <c r="E8" s="1" t="s">
        <v>48</v>
      </c>
      <c r="F8" s="4">
        <v>606</v>
      </c>
      <c r="G8" s="3">
        <v>39</v>
      </c>
      <c r="H8" s="3" t="s">
        <v>44</v>
      </c>
      <c r="I8" s="3">
        <v>177</v>
      </c>
      <c r="J8" s="3">
        <v>29</v>
      </c>
      <c r="K8" s="3">
        <v>804</v>
      </c>
    </row>
    <row r="9" spans="1:11" ht="15" customHeight="1" x14ac:dyDescent="0.2">
      <c r="A9" s="3" t="s">
        <v>53</v>
      </c>
      <c r="B9" s="1" t="s">
        <v>54</v>
      </c>
      <c r="C9" s="3" t="s">
        <v>41</v>
      </c>
      <c r="D9" s="3" t="s">
        <v>55</v>
      </c>
      <c r="E9" s="1" t="s">
        <v>43</v>
      </c>
      <c r="F9" s="4">
        <v>598</v>
      </c>
      <c r="G9" s="3">
        <v>25</v>
      </c>
      <c r="H9" s="3" t="s">
        <v>44</v>
      </c>
      <c r="I9" s="3">
        <v>61</v>
      </c>
      <c r="J9" s="3">
        <v>43</v>
      </c>
      <c r="K9" s="3">
        <v>422</v>
      </c>
    </row>
    <row r="10" spans="1:11" ht="15" customHeight="1" x14ac:dyDescent="0.2">
      <c r="A10" s="3" t="s">
        <v>56</v>
      </c>
      <c r="B10" s="1" t="s">
        <v>57</v>
      </c>
      <c r="C10" s="3" t="s">
        <v>41</v>
      </c>
      <c r="D10" s="3" t="s">
        <v>55</v>
      </c>
      <c r="E10" s="1" t="s">
        <v>48</v>
      </c>
      <c r="F10" s="4">
        <v>627</v>
      </c>
      <c r="G10" s="3">
        <v>35</v>
      </c>
      <c r="H10" s="3" t="s">
        <v>44</v>
      </c>
      <c r="I10" s="3">
        <v>150</v>
      </c>
      <c r="J10" s="3">
        <v>68</v>
      </c>
      <c r="K10" s="3">
        <v>794</v>
      </c>
    </row>
    <row r="11" spans="1:11" ht="15" customHeight="1" x14ac:dyDescent="0.2">
      <c r="A11" s="3" t="s">
        <v>58</v>
      </c>
      <c r="B11" s="1" t="s">
        <v>59</v>
      </c>
      <c r="C11" s="3" t="s">
        <v>41</v>
      </c>
      <c r="D11" s="3" t="s">
        <v>55</v>
      </c>
      <c r="E11" s="1" t="s">
        <v>48</v>
      </c>
      <c r="F11" s="4">
        <v>685</v>
      </c>
      <c r="G11" s="3">
        <v>36</v>
      </c>
      <c r="H11" s="3" t="s">
        <v>44</v>
      </c>
      <c r="I11" s="3">
        <v>86</v>
      </c>
      <c r="J11" s="3">
        <v>16</v>
      </c>
      <c r="K11" s="3">
        <v>413</v>
      </c>
    </row>
    <row r="12" spans="1:11" ht="15" customHeight="1" x14ac:dyDescent="0.2">
      <c r="A12" s="3" t="s">
        <v>60</v>
      </c>
      <c r="B12" s="1" t="s">
        <v>61</v>
      </c>
      <c r="C12" s="3" t="s">
        <v>41</v>
      </c>
      <c r="D12" s="3" t="s">
        <v>42</v>
      </c>
      <c r="E12" s="1" t="s">
        <v>48</v>
      </c>
      <c r="F12" s="4">
        <v>827</v>
      </c>
      <c r="G12" s="3">
        <v>41</v>
      </c>
      <c r="H12" s="3" t="s">
        <v>44</v>
      </c>
      <c r="I12" s="3">
        <v>370</v>
      </c>
      <c r="J12" s="3">
        <v>69</v>
      </c>
      <c r="K12" s="3">
        <v>1629</v>
      </c>
    </row>
    <row r="13" spans="1:11" ht="15" customHeight="1" x14ac:dyDescent="0.2">
      <c r="A13" s="3" t="s">
        <v>62</v>
      </c>
      <c r="B13" s="1" t="s">
        <v>63</v>
      </c>
      <c r="C13" s="3" t="s">
        <v>41</v>
      </c>
      <c r="D13" s="3" t="s">
        <v>42</v>
      </c>
      <c r="E13" s="1" t="s">
        <v>43</v>
      </c>
      <c r="F13" s="4">
        <v>382</v>
      </c>
      <c r="G13" s="3">
        <v>26</v>
      </c>
      <c r="H13" s="3" t="s">
        <v>44</v>
      </c>
      <c r="I13" s="3">
        <v>86</v>
      </c>
      <c r="J13" s="3">
        <v>53</v>
      </c>
      <c r="K13" s="3">
        <v>593</v>
      </c>
    </row>
    <row r="14" spans="1:11" ht="15" customHeight="1" x14ac:dyDescent="0.2">
      <c r="A14" s="3" t="s">
        <v>64</v>
      </c>
      <c r="B14" s="1" t="s">
        <v>65</v>
      </c>
      <c r="C14" s="3" t="s">
        <v>41</v>
      </c>
      <c r="D14" s="3" t="s">
        <v>42</v>
      </c>
      <c r="E14" s="1" t="s">
        <v>48</v>
      </c>
      <c r="F14" s="4">
        <v>395</v>
      </c>
      <c r="G14" s="3">
        <v>42</v>
      </c>
      <c r="H14" s="3" t="s">
        <v>44</v>
      </c>
      <c r="I14" s="3">
        <v>608</v>
      </c>
      <c r="J14" s="3">
        <v>30</v>
      </c>
      <c r="K14" s="3">
        <v>2758</v>
      </c>
    </row>
    <row r="15" spans="1:11" ht="15" customHeight="1" x14ac:dyDescent="0.2">
      <c r="A15" s="3" t="s">
        <v>66</v>
      </c>
      <c r="B15" s="1" t="s">
        <v>67</v>
      </c>
      <c r="C15" s="3" t="s">
        <v>41</v>
      </c>
      <c r="D15" s="3" t="s">
        <v>55</v>
      </c>
      <c r="E15" s="1" t="s">
        <v>48</v>
      </c>
      <c r="F15" s="4">
        <v>507</v>
      </c>
      <c r="G15" s="3">
        <v>43</v>
      </c>
      <c r="H15" s="3" t="s">
        <v>44</v>
      </c>
      <c r="I15" s="3">
        <v>251</v>
      </c>
      <c r="J15" s="3">
        <v>53</v>
      </c>
      <c r="K15" s="3">
        <v>1094</v>
      </c>
    </row>
    <row r="16" spans="1:11" ht="15" customHeight="1" x14ac:dyDescent="0.2">
      <c r="A16" s="3" t="s">
        <v>68</v>
      </c>
      <c r="B16" s="1" t="s">
        <v>69</v>
      </c>
      <c r="C16" s="3" t="s">
        <v>41</v>
      </c>
      <c r="D16" s="3" t="s">
        <v>47</v>
      </c>
      <c r="E16" s="1" t="s">
        <v>48</v>
      </c>
      <c r="F16" s="4">
        <v>693</v>
      </c>
      <c r="G16" s="3">
        <v>41</v>
      </c>
      <c r="H16" s="3" t="s">
        <v>44</v>
      </c>
      <c r="I16" s="3">
        <v>29</v>
      </c>
      <c r="J16" s="3">
        <v>6</v>
      </c>
      <c r="K16" s="3">
        <v>121</v>
      </c>
    </row>
    <row r="17" spans="1:11" ht="15" customHeight="1" x14ac:dyDescent="0.2">
      <c r="A17" s="3" t="s">
        <v>70</v>
      </c>
      <c r="B17" s="1" t="s">
        <v>71</v>
      </c>
      <c r="C17" s="3" t="s">
        <v>41</v>
      </c>
      <c r="D17" s="3" t="s">
        <v>42</v>
      </c>
      <c r="E17" s="1" t="s">
        <v>48</v>
      </c>
      <c r="F17" s="4">
        <v>454</v>
      </c>
      <c r="G17" s="3">
        <v>40</v>
      </c>
      <c r="H17" s="3" t="s">
        <v>72</v>
      </c>
      <c r="I17" s="3">
        <v>24</v>
      </c>
      <c r="J17" s="3">
        <v>202</v>
      </c>
      <c r="K17" s="3">
        <v>49</v>
      </c>
    </row>
    <row r="18" spans="1:11" ht="15" customHeight="1" x14ac:dyDescent="0.2">
      <c r="A18" s="3" t="s">
        <v>73</v>
      </c>
      <c r="B18" s="1" t="s">
        <v>74</v>
      </c>
      <c r="C18" s="3" t="s">
        <v>41</v>
      </c>
      <c r="D18" s="3" t="s">
        <v>47</v>
      </c>
      <c r="E18" s="1" t="s">
        <v>48</v>
      </c>
      <c r="F18" s="4">
        <v>284</v>
      </c>
      <c r="G18" s="3">
        <v>43</v>
      </c>
      <c r="H18" s="3" t="s">
        <v>72</v>
      </c>
      <c r="I18" s="3">
        <v>38</v>
      </c>
      <c r="J18" s="3">
        <v>184</v>
      </c>
      <c r="K18" s="3">
        <v>111</v>
      </c>
    </row>
    <row r="19" spans="1:11" ht="15" customHeight="1" x14ac:dyDescent="0.2">
      <c r="A19" s="3" t="s">
        <v>75</v>
      </c>
      <c r="B19" s="1" t="s">
        <v>76</v>
      </c>
      <c r="C19" s="3" t="s">
        <v>41</v>
      </c>
      <c r="D19" s="3" t="s">
        <v>47</v>
      </c>
      <c r="E19" s="1" t="s">
        <v>48</v>
      </c>
      <c r="F19" s="4">
        <v>437</v>
      </c>
      <c r="G19" s="3">
        <v>42</v>
      </c>
      <c r="H19" s="3" t="s">
        <v>44</v>
      </c>
      <c r="I19" s="3">
        <v>133</v>
      </c>
      <c r="J19" s="3">
        <v>26</v>
      </c>
      <c r="K19" s="3">
        <v>600</v>
      </c>
    </row>
    <row r="20" spans="1:11" ht="15" customHeight="1" x14ac:dyDescent="0.2">
      <c r="A20" s="3" t="s">
        <v>77</v>
      </c>
      <c r="B20" s="1" t="s">
        <v>78</v>
      </c>
      <c r="C20" s="3" t="s">
        <v>41</v>
      </c>
      <c r="D20" s="3" t="s">
        <v>55</v>
      </c>
      <c r="E20" s="1" t="s">
        <v>48</v>
      </c>
      <c r="F20" s="4">
        <v>449</v>
      </c>
      <c r="G20" s="3">
        <v>36</v>
      </c>
      <c r="H20" s="3" t="s">
        <v>44</v>
      </c>
      <c r="I20" s="3">
        <v>238</v>
      </c>
      <c r="J20" s="3">
        <v>49</v>
      </c>
      <c r="K20" s="3">
        <v>1314</v>
      </c>
    </row>
    <row r="21" spans="1:11" ht="15" customHeight="1" x14ac:dyDescent="0.2">
      <c r="A21" s="3" t="s">
        <v>79</v>
      </c>
      <c r="B21" s="1" t="s">
        <v>80</v>
      </c>
      <c r="C21" s="3" t="s">
        <v>41</v>
      </c>
      <c r="D21" s="3" t="s">
        <v>47</v>
      </c>
      <c r="E21" s="1" t="s">
        <v>43</v>
      </c>
      <c r="F21" s="4">
        <v>844</v>
      </c>
      <c r="G21" s="3">
        <v>21</v>
      </c>
      <c r="H21" s="3" t="s">
        <v>44</v>
      </c>
      <c r="I21" s="3">
        <v>61</v>
      </c>
      <c r="J21" s="3">
        <v>37</v>
      </c>
      <c r="K21" s="3">
        <v>430</v>
      </c>
    </row>
    <row r="22" spans="1:11" ht="15" customHeight="1" x14ac:dyDescent="0.2">
      <c r="A22" s="3" t="s">
        <v>81</v>
      </c>
      <c r="B22" s="1" t="s">
        <v>82</v>
      </c>
      <c r="C22" s="3" t="s">
        <v>41</v>
      </c>
      <c r="D22" s="3" t="s">
        <v>42</v>
      </c>
      <c r="E22" s="1" t="s">
        <v>43</v>
      </c>
      <c r="F22" s="4">
        <v>809</v>
      </c>
      <c r="G22" s="3">
        <v>26</v>
      </c>
      <c r="H22" s="3" t="s">
        <v>44</v>
      </c>
      <c r="I22" s="3">
        <v>202</v>
      </c>
      <c r="J22" s="3">
        <v>6</v>
      </c>
      <c r="K22" s="3">
        <v>1739</v>
      </c>
    </row>
    <row r="23" spans="1:11" ht="15" customHeight="1" x14ac:dyDescent="0.2">
      <c r="A23" s="3" t="s">
        <v>83</v>
      </c>
      <c r="B23" s="1" t="s">
        <v>84</v>
      </c>
      <c r="C23" s="3" t="s">
        <v>41</v>
      </c>
      <c r="D23" s="3" t="s">
        <v>42</v>
      </c>
      <c r="E23" s="1" t="s">
        <v>43</v>
      </c>
      <c r="F23" s="4">
        <v>847</v>
      </c>
      <c r="G23" s="3">
        <v>19</v>
      </c>
      <c r="H23" s="3" t="s">
        <v>44</v>
      </c>
      <c r="I23" s="3">
        <v>71</v>
      </c>
      <c r="J23" s="3">
        <v>42</v>
      </c>
      <c r="K23" s="3">
        <v>577</v>
      </c>
    </row>
    <row r="24" spans="1:11" ht="15" customHeight="1" x14ac:dyDescent="0.2">
      <c r="A24" s="3" t="s">
        <v>85</v>
      </c>
      <c r="B24" s="1" t="s">
        <v>86</v>
      </c>
      <c r="C24" s="3" t="s">
        <v>41</v>
      </c>
      <c r="D24" s="3" t="s">
        <v>42</v>
      </c>
      <c r="E24" s="1" t="s">
        <v>43</v>
      </c>
      <c r="F24" s="4">
        <v>852</v>
      </c>
      <c r="G24" s="3">
        <v>21</v>
      </c>
      <c r="H24" s="3" t="s">
        <v>44</v>
      </c>
      <c r="I24" s="3">
        <v>64</v>
      </c>
      <c r="J24" s="3">
        <v>48</v>
      </c>
      <c r="K24" s="3">
        <v>472</v>
      </c>
    </row>
    <row r="25" spans="1:11" ht="15" customHeight="1" x14ac:dyDescent="0.2">
      <c r="A25" s="3" t="s">
        <v>87</v>
      </c>
      <c r="B25" s="1" t="s">
        <v>88</v>
      </c>
      <c r="C25" s="3" t="s">
        <v>41</v>
      </c>
      <c r="D25" s="3" t="s">
        <v>55</v>
      </c>
      <c r="E25" s="1" t="s">
        <v>43</v>
      </c>
      <c r="F25" s="4">
        <v>413</v>
      </c>
      <c r="G25" s="3">
        <v>20</v>
      </c>
      <c r="H25" s="3" t="s">
        <v>44</v>
      </c>
      <c r="I25" s="3">
        <v>100</v>
      </c>
      <c r="J25" s="3">
        <v>4</v>
      </c>
      <c r="K25" s="3">
        <v>813</v>
      </c>
    </row>
    <row r="26" spans="1:11" ht="15" customHeight="1" x14ac:dyDescent="0.2">
      <c r="A26" s="3" t="s">
        <v>89</v>
      </c>
      <c r="B26" s="1" t="s">
        <v>90</v>
      </c>
      <c r="C26" s="3" t="s">
        <v>41</v>
      </c>
      <c r="D26" s="3" t="s">
        <v>47</v>
      </c>
      <c r="E26" s="1" t="s">
        <v>48</v>
      </c>
      <c r="F26" s="4">
        <v>782</v>
      </c>
      <c r="G26" s="3">
        <v>37</v>
      </c>
      <c r="H26" s="3" t="s">
        <v>44</v>
      </c>
      <c r="I26" s="3">
        <v>281</v>
      </c>
      <c r="J26" s="3">
        <v>49</v>
      </c>
      <c r="K26" s="3">
        <v>1417</v>
      </c>
    </row>
    <row r="27" spans="1:11" ht="15" customHeight="1" x14ac:dyDescent="0.2">
      <c r="A27" s="3" t="s">
        <v>91</v>
      </c>
      <c r="B27" s="1" t="s">
        <v>92</v>
      </c>
      <c r="C27" s="3" t="s">
        <v>41</v>
      </c>
      <c r="D27" s="3" t="s">
        <v>55</v>
      </c>
      <c r="E27" s="1" t="s">
        <v>43</v>
      </c>
      <c r="F27" s="4">
        <v>611</v>
      </c>
      <c r="G27" s="3">
        <v>19</v>
      </c>
      <c r="H27" s="3" t="s">
        <v>44</v>
      </c>
      <c r="I27" s="3">
        <v>44</v>
      </c>
      <c r="J27" s="3">
        <v>23</v>
      </c>
      <c r="K27" s="3">
        <v>350</v>
      </c>
    </row>
    <row r="28" spans="1:11" ht="15" customHeight="1" x14ac:dyDescent="0.2">
      <c r="A28" s="3" t="s">
        <v>93</v>
      </c>
      <c r="B28" s="1" t="s">
        <v>94</v>
      </c>
      <c r="C28" s="3" t="s">
        <v>41</v>
      </c>
      <c r="D28" s="3" t="s">
        <v>55</v>
      </c>
      <c r="E28" s="1" t="s">
        <v>48</v>
      </c>
      <c r="F28" s="4">
        <v>583</v>
      </c>
      <c r="G28" s="3">
        <v>42</v>
      </c>
      <c r="H28" s="3" t="s">
        <v>44</v>
      </c>
      <c r="I28" s="3">
        <v>347</v>
      </c>
      <c r="J28" s="3">
        <v>25</v>
      </c>
      <c r="K28" s="3">
        <v>1588</v>
      </c>
    </row>
    <row r="29" spans="1:11" ht="15" customHeight="1" x14ac:dyDescent="0.2">
      <c r="A29" s="3" t="s">
        <v>95</v>
      </c>
      <c r="B29" s="1" t="s">
        <v>96</v>
      </c>
      <c r="C29" s="3" t="s">
        <v>41</v>
      </c>
      <c r="D29" s="3" t="s">
        <v>55</v>
      </c>
      <c r="E29" s="1" t="s">
        <v>43</v>
      </c>
      <c r="F29" s="4">
        <v>855</v>
      </c>
      <c r="G29" s="3">
        <v>16</v>
      </c>
      <c r="H29" s="3" t="s">
        <v>44</v>
      </c>
      <c r="I29" s="3">
        <v>101</v>
      </c>
      <c r="J29" s="3">
        <v>5</v>
      </c>
      <c r="K29" s="3">
        <v>1065</v>
      </c>
    </row>
    <row r="30" spans="1:11" ht="15" customHeight="1" x14ac:dyDescent="0.2">
      <c r="A30" s="3" t="s">
        <v>97</v>
      </c>
      <c r="B30" s="1" t="s">
        <v>98</v>
      </c>
      <c r="C30" s="3" t="s">
        <v>41</v>
      </c>
      <c r="D30" s="3" t="s">
        <v>47</v>
      </c>
      <c r="E30" s="1" t="s">
        <v>43</v>
      </c>
      <c r="F30" s="4">
        <v>321</v>
      </c>
      <c r="G30" s="3">
        <v>24</v>
      </c>
      <c r="H30" s="3" t="s">
        <v>44</v>
      </c>
      <c r="I30" s="3">
        <v>928</v>
      </c>
      <c r="J30" s="3">
        <v>15</v>
      </c>
      <c r="K30" s="3">
        <v>6808</v>
      </c>
    </row>
    <row r="31" spans="1:11" ht="15" customHeight="1" x14ac:dyDescent="0.2">
      <c r="A31" s="3" t="s">
        <v>99</v>
      </c>
      <c r="B31" s="1" t="s">
        <v>100</v>
      </c>
      <c r="C31" s="3" t="s">
        <v>41</v>
      </c>
      <c r="D31" s="3" t="s">
        <v>47</v>
      </c>
      <c r="E31" s="1" t="s">
        <v>43</v>
      </c>
      <c r="F31" s="4">
        <v>443</v>
      </c>
      <c r="G31" s="3">
        <v>21</v>
      </c>
      <c r="H31" s="3" t="s">
        <v>44</v>
      </c>
      <c r="I31" s="3">
        <v>122</v>
      </c>
      <c r="J31" s="3">
        <v>27</v>
      </c>
      <c r="K31" s="3">
        <v>953</v>
      </c>
    </row>
    <row r="32" spans="1:11" ht="15" customHeight="1" x14ac:dyDescent="0.2">
      <c r="A32" s="3" t="s">
        <v>101</v>
      </c>
      <c r="B32" s="1" t="s">
        <v>102</v>
      </c>
      <c r="C32" s="3" t="s">
        <v>41</v>
      </c>
      <c r="D32" s="3" t="s">
        <v>47</v>
      </c>
      <c r="E32" s="1" t="s">
        <v>43</v>
      </c>
      <c r="F32" s="4">
        <v>779</v>
      </c>
      <c r="G32" s="3">
        <v>26</v>
      </c>
      <c r="H32" s="3" t="s">
        <v>44</v>
      </c>
      <c r="I32" s="3">
        <v>597</v>
      </c>
      <c r="J32" s="3">
        <v>19</v>
      </c>
      <c r="K32" s="3">
        <v>3921</v>
      </c>
    </row>
    <row r="33" spans="1:11" ht="15" customHeight="1" x14ac:dyDescent="0.2">
      <c r="A33" s="3" t="s">
        <v>103</v>
      </c>
      <c r="B33" s="1" t="s">
        <v>104</v>
      </c>
      <c r="C33" s="3" t="s">
        <v>41</v>
      </c>
      <c r="D33" s="3" t="s">
        <v>47</v>
      </c>
      <c r="E33" s="1" t="s">
        <v>48</v>
      </c>
      <c r="F33" s="4">
        <v>674</v>
      </c>
      <c r="G33" s="3">
        <v>43</v>
      </c>
      <c r="H33" s="3" t="s">
        <v>44</v>
      </c>
      <c r="I33" s="3">
        <v>234</v>
      </c>
      <c r="J33" s="3">
        <v>12</v>
      </c>
      <c r="K33" s="3">
        <v>1560</v>
      </c>
    </row>
    <row r="34" spans="1:11" ht="15" customHeight="1" x14ac:dyDescent="0.2">
      <c r="A34" s="3" t="s">
        <v>105</v>
      </c>
      <c r="B34" s="1" t="s">
        <v>106</v>
      </c>
      <c r="C34" s="3" t="s">
        <v>41</v>
      </c>
      <c r="D34" s="3" t="s">
        <v>47</v>
      </c>
      <c r="E34" s="1" t="s">
        <v>48</v>
      </c>
      <c r="F34" s="4">
        <v>759</v>
      </c>
      <c r="G34" s="3">
        <v>42</v>
      </c>
      <c r="H34" s="3" t="s">
        <v>72</v>
      </c>
      <c r="I34" s="3">
        <v>16</v>
      </c>
      <c r="J34" s="3">
        <v>267</v>
      </c>
      <c r="K34" s="3">
        <v>42</v>
      </c>
    </row>
    <row r="35" spans="1:11" ht="15" customHeight="1" x14ac:dyDescent="0.2">
      <c r="A35" s="3" t="s">
        <v>107</v>
      </c>
      <c r="B35" s="1" t="s">
        <v>108</v>
      </c>
      <c r="C35" s="3" t="s">
        <v>41</v>
      </c>
      <c r="D35" s="3" t="s">
        <v>55</v>
      </c>
      <c r="E35" s="1" t="s">
        <v>48</v>
      </c>
      <c r="F35" s="4">
        <v>372</v>
      </c>
      <c r="G35" s="3">
        <v>42</v>
      </c>
      <c r="H35" s="3" t="s">
        <v>44</v>
      </c>
      <c r="I35" s="3">
        <v>222</v>
      </c>
      <c r="J35" s="3">
        <v>60</v>
      </c>
      <c r="K35" s="3">
        <v>1026</v>
      </c>
    </row>
    <row r="36" spans="1:11" ht="15" customHeight="1" x14ac:dyDescent="0.2">
      <c r="A36" s="3" t="s">
        <v>109</v>
      </c>
      <c r="B36" s="1" t="s">
        <v>110</v>
      </c>
      <c r="C36" s="3" t="s">
        <v>41</v>
      </c>
      <c r="D36" s="3" t="s">
        <v>55</v>
      </c>
      <c r="E36" s="1" t="s">
        <v>43</v>
      </c>
      <c r="F36" s="4">
        <v>255</v>
      </c>
      <c r="G36" s="3">
        <v>17</v>
      </c>
      <c r="H36" s="3" t="s">
        <v>44</v>
      </c>
      <c r="I36" s="3">
        <v>74</v>
      </c>
      <c r="J36" s="3">
        <v>12</v>
      </c>
      <c r="K36" s="3">
        <v>675</v>
      </c>
    </row>
    <row r="37" spans="1:11" ht="15" customHeight="1" x14ac:dyDescent="0.2">
      <c r="A37" s="3" t="s">
        <v>111</v>
      </c>
      <c r="B37" s="1" t="s">
        <v>112</v>
      </c>
      <c r="C37" s="3" t="s">
        <v>41</v>
      </c>
      <c r="D37" s="3" t="s">
        <v>42</v>
      </c>
      <c r="E37" s="1" t="s">
        <v>43</v>
      </c>
      <c r="F37" s="4">
        <v>610</v>
      </c>
      <c r="G37" s="3">
        <v>14</v>
      </c>
      <c r="H37" s="3" t="s">
        <v>44</v>
      </c>
      <c r="I37" s="3">
        <v>134</v>
      </c>
      <c r="J37" s="3">
        <v>65</v>
      </c>
      <c r="K37" s="3">
        <v>1496</v>
      </c>
    </row>
    <row r="38" spans="1:11" ht="15" customHeight="1" x14ac:dyDescent="0.2">
      <c r="A38" s="3" t="s">
        <v>113</v>
      </c>
      <c r="B38" s="1" t="s">
        <v>114</v>
      </c>
      <c r="C38" s="3" t="s">
        <v>41</v>
      </c>
      <c r="D38" s="3" t="s">
        <v>42</v>
      </c>
      <c r="E38" s="1" t="s">
        <v>43</v>
      </c>
      <c r="F38" s="4">
        <v>885</v>
      </c>
      <c r="G38" s="3">
        <v>15</v>
      </c>
      <c r="H38" s="3" t="s">
        <v>44</v>
      </c>
      <c r="I38" s="3">
        <v>80</v>
      </c>
      <c r="J38" s="3">
        <v>24</v>
      </c>
      <c r="K38" s="3">
        <v>475</v>
      </c>
    </row>
    <row r="39" spans="1:11" ht="15" customHeight="1" x14ac:dyDescent="0.2">
      <c r="A39" s="3" t="s">
        <v>115</v>
      </c>
      <c r="B39" s="1" t="s">
        <v>116</v>
      </c>
      <c r="C39" s="3" t="s">
        <v>41</v>
      </c>
      <c r="D39" s="3" t="s">
        <v>47</v>
      </c>
      <c r="E39" s="1" t="s">
        <v>48</v>
      </c>
      <c r="F39" s="4">
        <v>524</v>
      </c>
      <c r="G39" s="3">
        <v>44</v>
      </c>
      <c r="H39" s="3" t="s">
        <v>44</v>
      </c>
      <c r="I39" s="3">
        <v>446</v>
      </c>
      <c r="J39" s="3">
        <v>8</v>
      </c>
      <c r="K39" s="3">
        <v>3400</v>
      </c>
    </row>
    <row r="40" spans="1:11" ht="15" customHeight="1" x14ac:dyDescent="0.2">
      <c r="A40" s="3" t="s">
        <v>117</v>
      </c>
      <c r="B40" s="1" t="s">
        <v>118</v>
      </c>
      <c r="C40" s="3" t="s">
        <v>41</v>
      </c>
      <c r="D40" s="3" t="s">
        <v>42</v>
      </c>
      <c r="E40" s="1" t="s">
        <v>43</v>
      </c>
      <c r="F40" s="4">
        <v>311</v>
      </c>
      <c r="G40" s="3">
        <v>24</v>
      </c>
      <c r="H40" s="3" t="s">
        <v>44</v>
      </c>
      <c r="I40" s="3">
        <v>110</v>
      </c>
      <c r="J40" s="3">
        <v>98</v>
      </c>
      <c r="K40" s="3">
        <v>377</v>
      </c>
    </row>
    <row r="41" spans="1:11" ht="15" customHeight="1" x14ac:dyDescent="0.2">
      <c r="A41" s="3" t="s">
        <v>119</v>
      </c>
      <c r="B41" s="1" t="s">
        <v>120</v>
      </c>
      <c r="C41" s="3" t="s">
        <v>41</v>
      </c>
      <c r="D41" s="3" t="s">
        <v>55</v>
      </c>
      <c r="E41" s="1" t="s">
        <v>48</v>
      </c>
      <c r="F41" s="4">
        <v>852</v>
      </c>
      <c r="G41" s="3">
        <v>39</v>
      </c>
      <c r="H41" s="3" t="s">
        <v>44</v>
      </c>
      <c r="I41" s="3">
        <v>224</v>
      </c>
      <c r="J41" s="3">
        <v>11</v>
      </c>
      <c r="K41" s="3">
        <v>1489</v>
      </c>
    </row>
    <row r="42" spans="1:11" ht="15" customHeight="1" x14ac:dyDescent="0.2">
      <c r="A42" s="3" t="s">
        <v>121</v>
      </c>
      <c r="B42" s="1" t="s">
        <v>122</v>
      </c>
      <c r="C42" s="3" t="s">
        <v>41</v>
      </c>
      <c r="D42" s="3" t="s">
        <v>55</v>
      </c>
      <c r="E42" s="1" t="s">
        <v>48</v>
      </c>
      <c r="F42" s="4">
        <v>264</v>
      </c>
      <c r="G42" s="3">
        <v>36</v>
      </c>
      <c r="H42" s="3" t="s">
        <v>44</v>
      </c>
      <c r="I42" s="3">
        <v>142</v>
      </c>
      <c r="J42" s="3">
        <v>198</v>
      </c>
      <c r="K42" s="3">
        <v>390</v>
      </c>
    </row>
    <row r="43" spans="1:11" ht="15" customHeight="1" x14ac:dyDescent="0.2">
      <c r="A43" s="3" t="s">
        <v>123</v>
      </c>
      <c r="B43" s="1" t="s">
        <v>124</v>
      </c>
      <c r="C43" s="3" t="s">
        <v>41</v>
      </c>
      <c r="D43" s="3" t="s">
        <v>55</v>
      </c>
      <c r="E43" s="1" t="s">
        <v>43</v>
      </c>
      <c r="F43" s="4">
        <v>273</v>
      </c>
      <c r="G43" s="3">
        <v>17</v>
      </c>
      <c r="H43" s="3" t="s">
        <v>44</v>
      </c>
      <c r="I43" s="3">
        <v>179</v>
      </c>
      <c r="J43" s="3">
        <v>10</v>
      </c>
      <c r="K43" s="3">
        <v>1715</v>
      </c>
    </row>
    <row r="44" spans="1:11" ht="15" customHeight="1" x14ac:dyDescent="0.2">
      <c r="A44" s="3" t="s">
        <v>125</v>
      </c>
      <c r="B44" s="1" t="s">
        <v>126</v>
      </c>
      <c r="C44" s="3" t="s">
        <v>41</v>
      </c>
      <c r="D44" s="3" t="s">
        <v>55</v>
      </c>
      <c r="E44" s="1" t="s">
        <v>48</v>
      </c>
      <c r="F44" s="4">
        <v>890</v>
      </c>
      <c r="G44" s="3">
        <v>44</v>
      </c>
      <c r="H44" s="3" t="s">
        <v>44</v>
      </c>
      <c r="I44" s="3">
        <v>171</v>
      </c>
      <c r="J44" s="3">
        <v>44</v>
      </c>
      <c r="K44" s="3">
        <v>531</v>
      </c>
    </row>
    <row r="45" spans="1:11" ht="15" customHeight="1" x14ac:dyDescent="0.2">
      <c r="A45" s="3" t="s">
        <v>127</v>
      </c>
      <c r="B45" s="1" t="s">
        <v>128</v>
      </c>
      <c r="C45" s="3" t="s">
        <v>41</v>
      </c>
      <c r="D45" s="3" t="s">
        <v>47</v>
      </c>
      <c r="E45" s="1" t="s">
        <v>43</v>
      </c>
      <c r="F45" s="4">
        <v>723</v>
      </c>
      <c r="G45" s="3">
        <v>23</v>
      </c>
      <c r="H45" s="3" t="s">
        <v>44</v>
      </c>
      <c r="I45" s="3">
        <v>89</v>
      </c>
      <c r="J45" s="3">
        <v>6</v>
      </c>
      <c r="K45" s="3">
        <v>892</v>
      </c>
    </row>
    <row r="46" spans="1:11" ht="15" customHeight="1" x14ac:dyDescent="0.2">
      <c r="A46" s="3" t="s">
        <v>129</v>
      </c>
      <c r="B46" s="1" t="s">
        <v>130</v>
      </c>
      <c r="C46" s="3" t="s">
        <v>41</v>
      </c>
      <c r="D46" s="3" t="s">
        <v>42</v>
      </c>
      <c r="E46" s="1" t="s">
        <v>48</v>
      </c>
      <c r="F46" s="4">
        <v>548</v>
      </c>
      <c r="G46" s="3">
        <v>41</v>
      </c>
      <c r="H46" s="3" t="s">
        <v>44</v>
      </c>
      <c r="I46" s="3">
        <v>380</v>
      </c>
      <c r="J46" s="3">
        <v>61</v>
      </c>
      <c r="K46" s="3">
        <v>1626</v>
      </c>
    </row>
    <row r="47" spans="1:11" ht="15" customHeight="1" x14ac:dyDescent="0.2">
      <c r="A47" s="3" t="s">
        <v>131</v>
      </c>
      <c r="B47" s="1" t="s">
        <v>132</v>
      </c>
      <c r="C47" s="3" t="s">
        <v>41</v>
      </c>
      <c r="D47" s="3" t="s">
        <v>47</v>
      </c>
      <c r="E47" s="1" t="s">
        <v>43</v>
      </c>
      <c r="F47" s="4">
        <v>588</v>
      </c>
      <c r="G47" s="3">
        <v>18</v>
      </c>
      <c r="H47" s="3" t="s">
        <v>44</v>
      </c>
      <c r="I47" s="3">
        <v>110</v>
      </c>
      <c r="J47" s="3">
        <v>134</v>
      </c>
      <c r="K47" s="3">
        <v>337</v>
      </c>
    </row>
    <row r="48" spans="1:11" ht="15" customHeight="1" x14ac:dyDescent="0.2">
      <c r="A48" s="3" t="s">
        <v>133</v>
      </c>
      <c r="B48" s="1" t="s">
        <v>134</v>
      </c>
      <c r="C48" s="3" t="s">
        <v>41</v>
      </c>
      <c r="D48" s="3" t="s">
        <v>55</v>
      </c>
      <c r="E48" s="1" t="s">
        <v>48</v>
      </c>
      <c r="F48" s="4">
        <v>849</v>
      </c>
      <c r="G48" s="3">
        <v>40</v>
      </c>
      <c r="H48" s="3" t="s">
        <v>44</v>
      </c>
      <c r="I48" s="3">
        <v>126</v>
      </c>
      <c r="J48" s="3">
        <v>5</v>
      </c>
      <c r="K48" s="3">
        <v>1607</v>
      </c>
    </row>
    <row r="49" spans="1:11" ht="15" customHeight="1" x14ac:dyDescent="0.2">
      <c r="A49" s="3" t="s">
        <v>135</v>
      </c>
      <c r="B49" s="1" t="s">
        <v>136</v>
      </c>
      <c r="C49" s="3" t="s">
        <v>41</v>
      </c>
      <c r="D49" s="3" t="s">
        <v>42</v>
      </c>
      <c r="E49" s="1" t="s">
        <v>43</v>
      </c>
      <c r="F49" s="4">
        <v>365</v>
      </c>
      <c r="G49" s="3">
        <v>25</v>
      </c>
      <c r="H49" s="3" t="s">
        <v>44</v>
      </c>
      <c r="I49" s="3">
        <v>113</v>
      </c>
      <c r="J49" s="3">
        <v>24</v>
      </c>
      <c r="K49" s="3">
        <v>828</v>
      </c>
    </row>
    <row r="50" spans="1:11" ht="15" customHeight="1" x14ac:dyDescent="0.2">
      <c r="A50" s="3" t="s">
        <v>137</v>
      </c>
      <c r="B50" s="1" t="s">
        <v>138</v>
      </c>
      <c r="C50" s="3" t="s">
        <v>41</v>
      </c>
      <c r="D50" s="3" t="s">
        <v>55</v>
      </c>
      <c r="E50" s="1" t="s">
        <v>48</v>
      </c>
      <c r="F50" s="4">
        <v>684</v>
      </c>
      <c r="G50" s="3">
        <v>35</v>
      </c>
      <c r="H50" s="3" t="s">
        <v>44</v>
      </c>
      <c r="I50" s="3">
        <v>207</v>
      </c>
      <c r="J50" s="3">
        <v>54</v>
      </c>
      <c r="K50" s="3">
        <v>1072</v>
      </c>
    </row>
    <row r="51" spans="1:11" ht="15" customHeight="1" x14ac:dyDescent="0.2">
      <c r="A51" s="3" t="s">
        <v>139</v>
      </c>
      <c r="B51" s="1" t="s">
        <v>140</v>
      </c>
      <c r="C51" s="3" t="s">
        <v>41</v>
      </c>
      <c r="D51" s="3" t="s">
        <v>42</v>
      </c>
      <c r="E51" s="1" t="s">
        <v>48</v>
      </c>
      <c r="F51" s="4">
        <v>474</v>
      </c>
      <c r="G51" s="3">
        <v>45</v>
      </c>
      <c r="H51" s="3" t="s">
        <v>44</v>
      </c>
      <c r="I51" s="3">
        <v>526</v>
      </c>
      <c r="J51" s="3">
        <v>41</v>
      </c>
      <c r="K51" s="3">
        <v>2282</v>
      </c>
    </row>
    <row r="52" spans="1:11" ht="15" customHeight="1" x14ac:dyDescent="0.2">
      <c r="A52" s="3" t="s">
        <v>141</v>
      </c>
      <c r="B52" s="1" t="s">
        <v>142</v>
      </c>
      <c r="C52" s="3" t="s">
        <v>41</v>
      </c>
      <c r="D52" s="3" t="s">
        <v>55</v>
      </c>
      <c r="E52" s="1" t="s">
        <v>48</v>
      </c>
      <c r="F52" s="4">
        <v>401</v>
      </c>
      <c r="G52" s="3">
        <v>39</v>
      </c>
      <c r="H52" s="3" t="s">
        <v>72</v>
      </c>
      <c r="I52" s="3">
        <v>86</v>
      </c>
      <c r="J52" s="3">
        <v>185</v>
      </c>
      <c r="K52" s="3">
        <v>300</v>
      </c>
    </row>
    <row r="53" spans="1:11" ht="15" customHeight="1" x14ac:dyDescent="0.2">
      <c r="A53" s="3" t="s">
        <v>143</v>
      </c>
      <c r="B53" s="1" t="s">
        <v>144</v>
      </c>
      <c r="C53" s="3" t="s">
        <v>41</v>
      </c>
      <c r="D53" s="3" t="s">
        <v>42</v>
      </c>
      <c r="E53" s="1" t="s">
        <v>43</v>
      </c>
      <c r="F53" s="4">
        <v>857</v>
      </c>
      <c r="G53" s="3">
        <v>24</v>
      </c>
      <c r="H53" s="3" t="s">
        <v>44</v>
      </c>
      <c r="I53" s="3">
        <v>90</v>
      </c>
      <c r="J53" s="3">
        <v>57</v>
      </c>
      <c r="K53" s="3">
        <v>680</v>
      </c>
    </row>
    <row r="54" spans="1:11" ht="15" customHeight="1" x14ac:dyDescent="0.2">
      <c r="A54" s="3" t="s">
        <v>145</v>
      </c>
      <c r="B54" s="1" t="s">
        <v>146</v>
      </c>
      <c r="C54" s="3" t="s">
        <v>41</v>
      </c>
      <c r="D54" s="3" t="s">
        <v>47</v>
      </c>
      <c r="E54" s="1" t="s">
        <v>48</v>
      </c>
      <c r="F54" s="4">
        <v>261</v>
      </c>
      <c r="G54" s="3">
        <v>35</v>
      </c>
      <c r="H54" s="3" t="s">
        <v>44</v>
      </c>
      <c r="I54" s="3">
        <v>352</v>
      </c>
      <c r="J54" s="3">
        <v>14</v>
      </c>
      <c r="K54" s="3">
        <v>1978</v>
      </c>
    </row>
    <row r="55" spans="1:11" ht="15" customHeight="1" x14ac:dyDescent="0.2">
      <c r="A55" s="3" t="s">
        <v>147</v>
      </c>
      <c r="B55" s="1" t="s">
        <v>148</v>
      </c>
      <c r="C55" s="3" t="s">
        <v>149</v>
      </c>
      <c r="D55" s="3" t="s">
        <v>55</v>
      </c>
      <c r="E55" s="1" t="s">
        <v>48</v>
      </c>
      <c r="F55" s="4">
        <v>1137</v>
      </c>
      <c r="G55" s="3">
        <v>41</v>
      </c>
      <c r="H55" s="3" t="s">
        <v>44</v>
      </c>
      <c r="I55" s="3">
        <v>471</v>
      </c>
      <c r="J55" s="3">
        <v>62</v>
      </c>
      <c r="K55" s="3">
        <v>2197</v>
      </c>
    </row>
    <row r="56" spans="1:11" ht="15" customHeight="1" x14ac:dyDescent="0.2">
      <c r="A56" s="3" t="s">
        <v>150</v>
      </c>
      <c r="B56" s="1" t="s">
        <v>151</v>
      </c>
      <c r="C56" s="3" t="s">
        <v>149</v>
      </c>
      <c r="D56" s="3" t="s">
        <v>42</v>
      </c>
      <c r="E56" s="1" t="s">
        <v>152</v>
      </c>
      <c r="F56" s="4">
        <v>1337</v>
      </c>
      <c r="G56" s="3">
        <v>25</v>
      </c>
      <c r="H56" s="3" t="s">
        <v>44</v>
      </c>
      <c r="I56" s="3">
        <v>76</v>
      </c>
      <c r="J56" s="3">
        <v>12</v>
      </c>
      <c r="K56" s="3">
        <v>302</v>
      </c>
    </row>
    <row r="57" spans="1:11" ht="15" customHeight="1" x14ac:dyDescent="0.2">
      <c r="A57" s="3" t="s">
        <v>153</v>
      </c>
      <c r="B57" s="1" t="s">
        <v>154</v>
      </c>
      <c r="C57" s="3" t="s">
        <v>149</v>
      </c>
      <c r="D57" s="3" t="s">
        <v>42</v>
      </c>
      <c r="E57" s="1" t="s">
        <v>48</v>
      </c>
      <c r="F57" s="4">
        <v>1240</v>
      </c>
      <c r="G57" s="3">
        <v>37</v>
      </c>
      <c r="H57" s="3" t="s">
        <v>44</v>
      </c>
      <c r="I57" s="3">
        <v>31</v>
      </c>
      <c r="J57" s="3">
        <v>63</v>
      </c>
      <c r="K57" s="3">
        <v>140</v>
      </c>
    </row>
    <row r="58" spans="1:11" ht="15" customHeight="1" x14ac:dyDescent="0.2">
      <c r="A58" s="3" t="s">
        <v>155</v>
      </c>
      <c r="B58" s="1" t="s">
        <v>156</v>
      </c>
      <c r="C58" s="3" t="s">
        <v>149</v>
      </c>
      <c r="D58" s="3" t="s">
        <v>42</v>
      </c>
      <c r="E58" s="1" t="s">
        <v>48</v>
      </c>
      <c r="F58" s="4">
        <v>753</v>
      </c>
      <c r="G58" s="3">
        <v>45</v>
      </c>
      <c r="H58" s="3" t="s">
        <v>44</v>
      </c>
      <c r="I58" s="3">
        <v>79</v>
      </c>
      <c r="J58" s="3">
        <v>111</v>
      </c>
      <c r="K58" s="3">
        <v>194</v>
      </c>
    </row>
    <row r="59" spans="1:11" ht="15" customHeight="1" x14ac:dyDescent="0.2">
      <c r="A59" s="3" t="s">
        <v>157</v>
      </c>
      <c r="B59" s="1" t="s">
        <v>158</v>
      </c>
      <c r="C59" s="3" t="s">
        <v>149</v>
      </c>
      <c r="D59" s="3" t="s">
        <v>42</v>
      </c>
      <c r="E59" s="1" t="s">
        <v>48</v>
      </c>
      <c r="F59" s="4">
        <v>1492</v>
      </c>
      <c r="G59" s="3">
        <v>35</v>
      </c>
      <c r="H59" s="3" t="s">
        <v>44</v>
      </c>
      <c r="I59" s="3">
        <v>25</v>
      </c>
      <c r="J59" s="3">
        <v>31</v>
      </c>
      <c r="K59" s="3">
        <v>116</v>
      </c>
    </row>
    <row r="60" spans="1:11" ht="15" customHeight="1" x14ac:dyDescent="0.2">
      <c r="A60" s="3" t="s">
        <v>159</v>
      </c>
      <c r="B60" s="1" t="s">
        <v>160</v>
      </c>
      <c r="C60" s="3" t="s">
        <v>149</v>
      </c>
      <c r="D60" s="3" t="s">
        <v>42</v>
      </c>
      <c r="E60" s="1" t="s">
        <v>152</v>
      </c>
      <c r="F60" s="4">
        <v>1457</v>
      </c>
      <c r="G60" s="3">
        <v>26</v>
      </c>
      <c r="H60" s="3" t="s">
        <v>44</v>
      </c>
      <c r="I60" s="3">
        <v>101</v>
      </c>
      <c r="J60" s="3">
        <v>66</v>
      </c>
      <c r="K60" s="3">
        <v>686</v>
      </c>
    </row>
    <row r="61" spans="1:11" ht="15" customHeight="1" x14ac:dyDescent="0.2">
      <c r="A61" s="3" t="s">
        <v>161</v>
      </c>
      <c r="B61" s="1" t="s">
        <v>162</v>
      </c>
      <c r="C61" s="3" t="s">
        <v>149</v>
      </c>
      <c r="D61" s="3" t="s">
        <v>42</v>
      </c>
      <c r="E61" s="1" t="s">
        <v>48</v>
      </c>
      <c r="F61" s="4">
        <v>1083</v>
      </c>
      <c r="G61" s="3">
        <v>41</v>
      </c>
      <c r="H61" s="3" t="s">
        <v>44</v>
      </c>
      <c r="I61" s="3">
        <v>94</v>
      </c>
      <c r="J61" s="3">
        <v>45</v>
      </c>
      <c r="K61" s="3">
        <v>274</v>
      </c>
    </row>
    <row r="62" spans="1:11" ht="15" customHeight="1" x14ac:dyDescent="0.2">
      <c r="A62" s="3" t="s">
        <v>163</v>
      </c>
      <c r="B62" s="1" t="s">
        <v>164</v>
      </c>
      <c r="C62" s="3" t="s">
        <v>149</v>
      </c>
      <c r="D62" s="3" t="s">
        <v>47</v>
      </c>
      <c r="E62" s="1" t="s">
        <v>48</v>
      </c>
      <c r="F62" s="4">
        <v>999</v>
      </c>
      <c r="G62" s="3">
        <v>37</v>
      </c>
      <c r="H62" s="3" t="s">
        <v>44</v>
      </c>
      <c r="I62" s="3">
        <v>77</v>
      </c>
      <c r="J62" s="3">
        <v>55</v>
      </c>
      <c r="K62" s="3">
        <v>360</v>
      </c>
    </row>
    <row r="63" spans="1:11" ht="15" customHeight="1" x14ac:dyDescent="0.2">
      <c r="A63" s="3" t="s">
        <v>165</v>
      </c>
      <c r="B63" s="1" t="s">
        <v>166</v>
      </c>
      <c r="C63" s="3" t="s">
        <v>149</v>
      </c>
      <c r="D63" s="3" t="s">
        <v>42</v>
      </c>
      <c r="E63" s="1" t="s">
        <v>48</v>
      </c>
      <c r="F63" s="4">
        <v>1383</v>
      </c>
      <c r="G63" s="3">
        <v>44</v>
      </c>
      <c r="H63" s="3" t="s">
        <v>44</v>
      </c>
      <c r="I63" s="3">
        <v>191</v>
      </c>
      <c r="J63" s="3">
        <v>37</v>
      </c>
      <c r="K63" s="3">
        <v>822</v>
      </c>
    </row>
    <row r="64" spans="1:11" ht="15" customHeight="1" x14ac:dyDescent="0.2">
      <c r="A64" s="3" t="s">
        <v>167</v>
      </c>
      <c r="B64" s="1" t="s">
        <v>168</v>
      </c>
      <c r="C64" s="3" t="s">
        <v>149</v>
      </c>
      <c r="D64" s="3" t="s">
        <v>42</v>
      </c>
      <c r="E64" s="1" t="s">
        <v>48</v>
      </c>
      <c r="F64" s="4">
        <v>1044</v>
      </c>
      <c r="G64" s="3">
        <v>37</v>
      </c>
      <c r="H64" s="3" t="s">
        <v>44</v>
      </c>
      <c r="I64" s="3">
        <v>175</v>
      </c>
      <c r="J64" s="3">
        <v>47</v>
      </c>
      <c r="K64" s="3">
        <v>526</v>
      </c>
    </row>
    <row r="65" spans="1:11" ht="15" customHeight="1" x14ac:dyDescent="0.2">
      <c r="A65" s="3" t="s">
        <v>169</v>
      </c>
      <c r="B65" s="1" t="s">
        <v>170</v>
      </c>
      <c r="C65" s="3" t="s">
        <v>149</v>
      </c>
      <c r="D65" s="3" t="s">
        <v>42</v>
      </c>
      <c r="E65" s="1" t="s">
        <v>152</v>
      </c>
      <c r="F65" s="4">
        <v>1153</v>
      </c>
      <c r="G65" s="3">
        <v>19</v>
      </c>
      <c r="H65" s="3" t="s">
        <v>44</v>
      </c>
      <c r="I65" s="3">
        <v>46</v>
      </c>
      <c r="J65" s="3">
        <v>35</v>
      </c>
      <c r="K65" s="3">
        <v>360</v>
      </c>
    </row>
    <row r="66" spans="1:11" ht="15" customHeight="1" x14ac:dyDescent="0.2">
      <c r="A66" s="3" t="s">
        <v>171</v>
      </c>
      <c r="B66" s="1" t="s">
        <v>172</v>
      </c>
      <c r="C66" s="3" t="s">
        <v>149</v>
      </c>
      <c r="D66" s="3" t="s">
        <v>55</v>
      </c>
      <c r="E66" s="1" t="s">
        <v>48</v>
      </c>
      <c r="F66" s="4">
        <v>1068</v>
      </c>
      <c r="G66" s="3">
        <v>36</v>
      </c>
      <c r="H66" s="3" t="s">
        <v>44</v>
      </c>
      <c r="I66" s="3">
        <v>46</v>
      </c>
      <c r="J66" s="3">
        <v>51</v>
      </c>
      <c r="K66" s="3">
        <v>223</v>
      </c>
    </row>
    <row r="67" spans="1:11" ht="15" customHeight="1" x14ac:dyDescent="0.2">
      <c r="A67" s="3" t="s">
        <v>173</v>
      </c>
      <c r="B67" s="1" t="s">
        <v>174</v>
      </c>
      <c r="C67" s="3" t="s">
        <v>149</v>
      </c>
      <c r="D67" s="3" t="s">
        <v>42</v>
      </c>
      <c r="E67" s="1" t="s">
        <v>152</v>
      </c>
      <c r="F67" s="4">
        <v>640</v>
      </c>
      <c r="G67" s="3">
        <v>28</v>
      </c>
      <c r="H67" s="3" t="s">
        <v>44</v>
      </c>
      <c r="I67" s="3">
        <v>19</v>
      </c>
      <c r="J67" s="3">
        <v>4</v>
      </c>
      <c r="K67" s="3">
        <v>90</v>
      </c>
    </row>
    <row r="68" spans="1:11" ht="15" customHeight="1" x14ac:dyDescent="0.2">
      <c r="A68" s="3" t="s">
        <v>175</v>
      </c>
      <c r="B68" s="1" t="s">
        <v>176</v>
      </c>
      <c r="C68" s="3" t="s">
        <v>149</v>
      </c>
      <c r="D68" s="3" t="s">
        <v>47</v>
      </c>
      <c r="E68" s="1" t="s">
        <v>152</v>
      </c>
      <c r="F68" s="4">
        <v>1333</v>
      </c>
      <c r="G68" s="3">
        <v>28</v>
      </c>
      <c r="H68" s="3" t="s">
        <v>44</v>
      </c>
      <c r="I68" s="3">
        <v>87</v>
      </c>
      <c r="J68" s="3">
        <v>6</v>
      </c>
      <c r="K68" s="3">
        <v>788</v>
      </c>
    </row>
    <row r="69" spans="1:11" ht="15" customHeight="1" x14ac:dyDescent="0.2">
      <c r="A69" s="3" t="s">
        <v>177</v>
      </c>
      <c r="B69" s="1" t="s">
        <v>178</v>
      </c>
      <c r="C69" s="3" t="s">
        <v>149</v>
      </c>
      <c r="D69" s="3" t="s">
        <v>47</v>
      </c>
      <c r="E69" s="1" t="s">
        <v>152</v>
      </c>
      <c r="F69" s="4">
        <v>1039</v>
      </c>
      <c r="G69" s="3">
        <v>30</v>
      </c>
      <c r="H69" s="3" t="s">
        <v>44</v>
      </c>
      <c r="I69" s="3">
        <v>58</v>
      </c>
      <c r="J69" s="3">
        <v>9</v>
      </c>
      <c r="K69" s="3">
        <v>330</v>
      </c>
    </row>
    <row r="70" spans="1:11" ht="15" customHeight="1" x14ac:dyDescent="0.2">
      <c r="A70" s="3" t="s">
        <v>179</v>
      </c>
      <c r="B70" s="1" t="s">
        <v>180</v>
      </c>
      <c r="C70" s="3" t="s">
        <v>149</v>
      </c>
      <c r="D70" s="3" t="s">
        <v>47</v>
      </c>
      <c r="E70" s="1" t="s">
        <v>152</v>
      </c>
      <c r="F70" s="4">
        <v>1410</v>
      </c>
      <c r="G70" s="3">
        <v>23</v>
      </c>
      <c r="H70" s="3" t="s">
        <v>44</v>
      </c>
      <c r="I70" s="3">
        <v>69</v>
      </c>
      <c r="J70" s="3">
        <v>12</v>
      </c>
      <c r="K70" s="3">
        <v>1134</v>
      </c>
    </row>
    <row r="71" spans="1:11" ht="15" customHeight="1" x14ac:dyDescent="0.2">
      <c r="A71" s="3" t="s">
        <v>181</v>
      </c>
      <c r="B71" s="1" t="s">
        <v>182</v>
      </c>
      <c r="C71" s="3" t="s">
        <v>149</v>
      </c>
      <c r="D71" s="3" t="s">
        <v>42</v>
      </c>
      <c r="E71" s="1" t="s">
        <v>152</v>
      </c>
      <c r="F71" s="4">
        <v>1181</v>
      </c>
      <c r="G71" s="3">
        <v>24</v>
      </c>
      <c r="H71" s="3" t="s">
        <v>44</v>
      </c>
      <c r="I71" s="3">
        <v>42</v>
      </c>
      <c r="J71" s="3">
        <v>25</v>
      </c>
      <c r="K71" s="3">
        <v>293</v>
      </c>
    </row>
    <row r="72" spans="1:11" ht="15" customHeight="1" x14ac:dyDescent="0.2">
      <c r="A72" s="3" t="s">
        <v>183</v>
      </c>
      <c r="B72" s="1" t="s">
        <v>184</v>
      </c>
      <c r="C72" s="3" t="s">
        <v>149</v>
      </c>
      <c r="D72" s="3" t="s">
        <v>47</v>
      </c>
      <c r="E72" s="1" t="s">
        <v>152</v>
      </c>
      <c r="F72" s="4">
        <v>641</v>
      </c>
      <c r="G72" s="3">
        <v>23</v>
      </c>
      <c r="H72" s="3" t="s">
        <v>44</v>
      </c>
      <c r="I72" s="3">
        <v>35</v>
      </c>
      <c r="J72" s="3">
        <v>169</v>
      </c>
      <c r="K72" s="3">
        <v>129</v>
      </c>
    </row>
    <row r="73" spans="1:11" ht="15" customHeight="1" x14ac:dyDescent="0.2">
      <c r="A73" s="3" t="s">
        <v>185</v>
      </c>
      <c r="B73" s="1" t="s">
        <v>186</v>
      </c>
      <c r="C73" s="3" t="s">
        <v>149</v>
      </c>
      <c r="D73" s="3" t="s">
        <v>47</v>
      </c>
      <c r="E73" s="1" t="s">
        <v>152</v>
      </c>
      <c r="F73" s="4">
        <v>1079</v>
      </c>
      <c r="G73" s="3">
        <v>21</v>
      </c>
      <c r="H73" s="3" t="s">
        <v>44</v>
      </c>
      <c r="I73" s="3">
        <v>102</v>
      </c>
      <c r="J73" s="3">
        <v>50</v>
      </c>
      <c r="K73" s="3">
        <v>846</v>
      </c>
    </row>
    <row r="74" spans="1:11" ht="15" customHeight="1" x14ac:dyDescent="0.2">
      <c r="A74" s="3" t="s">
        <v>187</v>
      </c>
      <c r="B74" s="1" t="s">
        <v>188</v>
      </c>
      <c r="C74" s="3" t="s">
        <v>149</v>
      </c>
      <c r="D74" s="3" t="s">
        <v>55</v>
      </c>
      <c r="E74" s="1" t="s">
        <v>152</v>
      </c>
      <c r="F74" s="4">
        <v>1221</v>
      </c>
      <c r="G74" s="3">
        <v>28</v>
      </c>
      <c r="H74" s="3" t="s">
        <v>44</v>
      </c>
      <c r="I74" s="3">
        <v>67</v>
      </c>
      <c r="J74" s="3">
        <v>33</v>
      </c>
      <c r="K74" s="3">
        <v>426</v>
      </c>
    </row>
    <row r="75" spans="1:11" ht="15" customHeight="1" x14ac:dyDescent="0.2">
      <c r="A75" s="3" t="s">
        <v>189</v>
      </c>
      <c r="B75" s="1" t="s">
        <v>190</v>
      </c>
      <c r="C75" s="3" t="s">
        <v>149</v>
      </c>
      <c r="D75" s="3" t="s">
        <v>42</v>
      </c>
      <c r="E75" s="1" t="s">
        <v>48</v>
      </c>
      <c r="F75" s="4">
        <v>1413</v>
      </c>
      <c r="G75" s="3">
        <v>45</v>
      </c>
      <c r="H75" s="3" t="s">
        <v>44</v>
      </c>
      <c r="I75" s="3">
        <v>78</v>
      </c>
      <c r="J75" s="3">
        <v>11</v>
      </c>
      <c r="K75" s="3">
        <v>438</v>
      </c>
    </row>
    <row r="76" spans="1:11" ht="15" customHeight="1" x14ac:dyDescent="0.2">
      <c r="A76" s="3" t="s">
        <v>191</v>
      </c>
      <c r="B76" s="1" t="s">
        <v>192</v>
      </c>
      <c r="C76" s="3" t="s">
        <v>149</v>
      </c>
      <c r="D76" s="3" t="s">
        <v>47</v>
      </c>
      <c r="E76" s="1" t="s">
        <v>48</v>
      </c>
      <c r="F76" s="4">
        <v>1121</v>
      </c>
      <c r="G76" s="3">
        <v>41</v>
      </c>
      <c r="H76" s="3" t="s">
        <v>44</v>
      </c>
      <c r="I76" s="3">
        <v>663</v>
      </c>
      <c r="J76" s="3">
        <v>37</v>
      </c>
      <c r="K76" s="3">
        <v>3089</v>
      </c>
    </row>
    <row r="77" spans="1:11" ht="15" customHeight="1" x14ac:dyDescent="0.2">
      <c r="A77" s="3" t="s">
        <v>193</v>
      </c>
      <c r="B77" s="1" t="s">
        <v>194</v>
      </c>
      <c r="C77" s="3" t="s">
        <v>149</v>
      </c>
      <c r="D77" s="3" t="s">
        <v>55</v>
      </c>
      <c r="E77" s="1" t="s">
        <v>152</v>
      </c>
      <c r="F77" s="4">
        <v>1084</v>
      </c>
      <c r="G77" s="3">
        <v>20</v>
      </c>
      <c r="H77" s="3" t="s">
        <v>44</v>
      </c>
      <c r="I77" s="3">
        <v>62</v>
      </c>
      <c r="J77" s="3">
        <v>28</v>
      </c>
      <c r="K77" s="3">
        <v>525</v>
      </c>
    </row>
    <row r="78" spans="1:11" ht="15" customHeight="1" x14ac:dyDescent="0.2">
      <c r="A78" s="3" t="s">
        <v>195</v>
      </c>
      <c r="B78" s="1" t="s">
        <v>196</v>
      </c>
      <c r="C78" s="3" t="s">
        <v>149</v>
      </c>
      <c r="D78" s="3" t="s">
        <v>55</v>
      </c>
      <c r="E78" s="1" t="s">
        <v>48</v>
      </c>
      <c r="F78" s="4">
        <v>850</v>
      </c>
      <c r="G78" s="3">
        <v>35</v>
      </c>
      <c r="H78" s="3" t="s">
        <v>44</v>
      </c>
      <c r="I78" s="3">
        <v>117</v>
      </c>
      <c r="J78" s="3">
        <v>63</v>
      </c>
      <c r="K78" s="3">
        <v>618</v>
      </c>
    </row>
    <row r="79" spans="1:11" ht="15" customHeight="1" x14ac:dyDescent="0.2">
      <c r="A79" s="3" t="s">
        <v>197</v>
      </c>
      <c r="B79" s="1" t="s">
        <v>198</v>
      </c>
      <c r="C79" s="3" t="s">
        <v>149</v>
      </c>
      <c r="D79" s="3" t="s">
        <v>47</v>
      </c>
      <c r="E79" s="1" t="s">
        <v>48</v>
      </c>
      <c r="F79" s="4">
        <v>1454</v>
      </c>
      <c r="G79" s="3">
        <v>42</v>
      </c>
      <c r="H79" s="3" t="s">
        <v>44</v>
      </c>
      <c r="I79" s="3">
        <v>26</v>
      </c>
      <c r="J79" s="3">
        <v>5</v>
      </c>
      <c r="K79" s="3">
        <v>350</v>
      </c>
    </row>
    <row r="80" spans="1:11" ht="15" customHeight="1" x14ac:dyDescent="0.2">
      <c r="A80" s="3" t="s">
        <v>199</v>
      </c>
      <c r="B80" s="1" t="s">
        <v>200</v>
      </c>
      <c r="C80" s="3" t="s">
        <v>149</v>
      </c>
      <c r="D80" s="3" t="s">
        <v>55</v>
      </c>
      <c r="E80" s="1" t="s">
        <v>48</v>
      </c>
      <c r="F80" s="4">
        <v>423</v>
      </c>
      <c r="G80" s="3">
        <v>43</v>
      </c>
      <c r="H80" s="3" t="s">
        <v>44</v>
      </c>
      <c r="I80" s="3">
        <v>363</v>
      </c>
      <c r="J80" s="3">
        <v>4</v>
      </c>
      <c r="K80" s="3">
        <v>2543</v>
      </c>
    </row>
    <row r="81" spans="1:11" ht="15" customHeight="1" x14ac:dyDescent="0.2">
      <c r="A81" s="3" t="s">
        <v>201</v>
      </c>
      <c r="B81" s="1" t="s">
        <v>202</v>
      </c>
      <c r="C81" s="3" t="s">
        <v>149</v>
      </c>
      <c r="D81" s="3" t="s">
        <v>42</v>
      </c>
      <c r="E81" s="1" t="s">
        <v>48</v>
      </c>
      <c r="F81" s="4">
        <v>572</v>
      </c>
      <c r="G81" s="3">
        <v>39</v>
      </c>
      <c r="H81" s="3" t="s">
        <v>44</v>
      </c>
      <c r="I81" s="3">
        <v>116</v>
      </c>
      <c r="J81" s="3">
        <v>15</v>
      </c>
      <c r="K81" s="3">
        <v>561</v>
      </c>
    </row>
    <row r="82" spans="1:11" ht="15" customHeight="1" x14ac:dyDescent="0.2">
      <c r="A82" s="3" t="s">
        <v>203</v>
      </c>
      <c r="B82" s="1" t="s">
        <v>204</v>
      </c>
      <c r="C82" s="3" t="s">
        <v>149</v>
      </c>
      <c r="D82" s="3" t="s">
        <v>47</v>
      </c>
      <c r="E82" s="1" t="s">
        <v>48</v>
      </c>
      <c r="F82" s="4">
        <v>457</v>
      </c>
      <c r="G82" s="3">
        <v>36</v>
      </c>
      <c r="H82" s="3" t="s">
        <v>44</v>
      </c>
      <c r="I82" s="3">
        <v>67</v>
      </c>
      <c r="J82" s="3">
        <v>31</v>
      </c>
      <c r="K82" s="3">
        <v>328</v>
      </c>
    </row>
    <row r="83" spans="1:11" ht="15" customHeight="1" x14ac:dyDescent="0.2">
      <c r="A83" s="3" t="s">
        <v>205</v>
      </c>
      <c r="B83" s="1" t="s">
        <v>206</v>
      </c>
      <c r="C83" s="3" t="s">
        <v>149</v>
      </c>
      <c r="D83" s="3" t="s">
        <v>55</v>
      </c>
      <c r="E83" s="1" t="s">
        <v>48</v>
      </c>
      <c r="F83" s="4">
        <v>1098</v>
      </c>
      <c r="G83" s="3">
        <v>42</v>
      </c>
      <c r="H83" s="3" t="s">
        <v>44</v>
      </c>
      <c r="I83" s="3">
        <v>89</v>
      </c>
      <c r="J83" s="3">
        <v>5</v>
      </c>
      <c r="K83" s="3">
        <v>386</v>
      </c>
    </row>
    <row r="84" spans="1:11" ht="15" customHeight="1" x14ac:dyDescent="0.2">
      <c r="A84" s="3" t="s">
        <v>207</v>
      </c>
      <c r="B84" s="1" t="s">
        <v>208</v>
      </c>
      <c r="C84" s="3" t="s">
        <v>149</v>
      </c>
      <c r="D84" s="3" t="s">
        <v>55</v>
      </c>
      <c r="E84" s="1" t="s">
        <v>152</v>
      </c>
      <c r="F84" s="4">
        <v>475</v>
      </c>
      <c r="G84" s="3">
        <v>22</v>
      </c>
      <c r="H84" s="3" t="s">
        <v>44</v>
      </c>
      <c r="I84" s="3">
        <v>198</v>
      </c>
      <c r="J84" s="3">
        <v>21</v>
      </c>
      <c r="K84" s="3">
        <v>1409</v>
      </c>
    </row>
    <row r="85" spans="1:11" ht="15" customHeight="1" x14ac:dyDescent="0.2">
      <c r="A85" s="3" t="s">
        <v>209</v>
      </c>
      <c r="B85" s="1" t="s">
        <v>210</v>
      </c>
      <c r="C85" s="3" t="s">
        <v>149</v>
      </c>
      <c r="D85" s="3" t="s">
        <v>47</v>
      </c>
      <c r="E85" s="1" t="s">
        <v>152</v>
      </c>
      <c r="F85" s="4">
        <v>1152</v>
      </c>
      <c r="G85" s="3">
        <v>21</v>
      </c>
      <c r="H85" s="3" t="s">
        <v>44</v>
      </c>
      <c r="I85" s="3">
        <v>17</v>
      </c>
      <c r="J85" s="3">
        <v>4</v>
      </c>
      <c r="K85" s="3">
        <v>114</v>
      </c>
    </row>
    <row r="86" spans="1:11" ht="15" customHeight="1" x14ac:dyDescent="0.2">
      <c r="A86" s="3" t="s">
        <v>211</v>
      </c>
      <c r="B86" s="1" t="s">
        <v>212</v>
      </c>
      <c r="C86" s="3" t="s">
        <v>149</v>
      </c>
      <c r="D86" s="3" t="s">
        <v>55</v>
      </c>
      <c r="E86" s="1" t="s">
        <v>152</v>
      </c>
      <c r="F86" s="4">
        <v>1442</v>
      </c>
      <c r="G86" s="3">
        <v>19</v>
      </c>
      <c r="H86" s="3" t="s">
        <v>44</v>
      </c>
      <c r="I86" s="3">
        <v>24</v>
      </c>
      <c r="J86" s="3">
        <v>29</v>
      </c>
      <c r="K86" s="3">
        <v>188</v>
      </c>
    </row>
    <row r="87" spans="1:11" ht="15" customHeight="1" x14ac:dyDescent="0.2">
      <c r="A87" s="3" t="s">
        <v>213</v>
      </c>
      <c r="B87" s="1" t="s">
        <v>214</v>
      </c>
      <c r="C87" s="3" t="s">
        <v>149</v>
      </c>
      <c r="D87" s="3" t="s">
        <v>47</v>
      </c>
      <c r="E87" s="1" t="s">
        <v>152</v>
      </c>
      <c r="F87" s="4">
        <v>1051</v>
      </c>
      <c r="G87" s="3">
        <v>25</v>
      </c>
      <c r="H87" s="3" t="s">
        <v>44</v>
      </c>
      <c r="I87" s="3">
        <v>26</v>
      </c>
      <c r="J87" s="3">
        <v>2</v>
      </c>
      <c r="K87" s="3">
        <v>581</v>
      </c>
    </row>
    <row r="88" spans="1:11" ht="15" customHeight="1" x14ac:dyDescent="0.2">
      <c r="A88" s="3" t="s">
        <v>215</v>
      </c>
      <c r="B88" s="1" t="s">
        <v>216</v>
      </c>
      <c r="C88" s="3" t="s">
        <v>149</v>
      </c>
      <c r="D88" s="3" t="s">
        <v>47</v>
      </c>
      <c r="E88" s="1" t="s">
        <v>48</v>
      </c>
      <c r="F88" s="4">
        <v>1481</v>
      </c>
      <c r="G88" s="3">
        <v>39</v>
      </c>
      <c r="H88" s="3" t="s">
        <v>44</v>
      </c>
      <c r="I88" s="3">
        <v>116</v>
      </c>
      <c r="J88" s="3">
        <v>16</v>
      </c>
      <c r="K88" s="3">
        <v>547</v>
      </c>
    </row>
    <row r="89" spans="1:11" ht="15" customHeight="1" x14ac:dyDescent="0.2">
      <c r="A89" s="3" t="s">
        <v>217</v>
      </c>
      <c r="B89" s="1" t="s">
        <v>218</v>
      </c>
      <c r="C89" s="3" t="s">
        <v>149</v>
      </c>
      <c r="D89" s="3" t="s">
        <v>42</v>
      </c>
      <c r="E89" s="1" t="s">
        <v>48</v>
      </c>
      <c r="F89" s="4">
        <v>893</v>
      </c>
      <c r="G89" s="3">
        <v>42</v>
      </c>
      <c r="H89" s="3" t="s">
        <v>44</v>
      </c>
      <c r="I89" s="3">
        <v>66</v>
      </c>
      <c r="J89" s="3">
        <v>45</v>
      </c>
      <c r="K89" s="3">
        <v>280</v>
      </c>
    </row>
    <row r="90" spans="1:11" ht="15" customHeight="1" x14ac:dyDescent="0.2">
      <c r="A90" s="3" t="s">
        <v>219</v>
      </c>
      <c r="B90" s="1" t="s">
        <v>220</v>
      </c>
      <c r="C90" s="3" t="s">
        <v>149</v>
      </c>
      <c r="D90" s="3" t="s">
        <v>55</v>
      </c>
      <c r="E90" s="1" t="s">
        <v>48</v>
      </c>
      <c r="F90" s="4">
        <v>1400</v>
      </c>
      <c r="G90" s="3">
        <v>39</v>
      </c>
      <c r="H90" s="3" t="s">
        <v>44</v>
      </c>
      <c r="I90" s="3">
        <v>54</v>
      </c>
      <c r="J90" s="3">
        <v>15</v>
      </c>
      <c r="K90" s="3">
        <v>242</v>
      </c>
    </row>
    <row r="91" spans="1:11" ht="15" customHeight="1" x14ac:dyDescent="0.2">
      <c r="A91" s="3" t="s">
        <v>221</v>
      </c>
      <c r="B91" s="1" t="s">
        <v>222</v>
      </c>
      <c r="C91" s="3" t="s">
        <v>149</v>
      </c>
      <c r="D91" s="3" t="s">
        <v>42</v>
      </c>
      <c r="E91" s="1" t="s">
        <v>152</v>
      </c>
      <c r="F91" s="4">
        <v>1504</v>
      </c>
      <c r="G91" s="3">
        <v>26</v>
      </c>
      <c r="H91" s="3" t="s">
        <v>44</v>
      </c>
      <c r="I91" s="3">
        <v>46</v>
      </c>
      <c r="J91" s="3">
        <v>42</v>
      </c>
      <c r="K91" s="3">
        <v>286</v>
      </c>
    </row>
    <row r="92" spans="1:11" ht="15" customHeight="1" x14ac:dyDescent="0.2">
      <c r="A92" s="3" t="s">
        <v>223</v>
      </c>
      <c r="B92" s="1" t="s">
        <v>224</v>
      </c>
      <c r="C92" s="3" t="s">
        <v>149</v>
      </c>
      <c r="D92" s="3" t="s">
        <v>47</v>
      </c>
      <c r="E92" s="1" t="s">
        <v>48</v>
      </c>
      <c r="F92" s="4">
        <v>1573</v>
      </c>
      <c r="G92" s="3">
        <v>37</v>
      </c>
      <c r="H92" s="3" t="s">
        <v>44</v>
      </c>
      <c r="I92" s="3">
        <v>24</v>
      </c>
      <c r="J92" s="3">
        <v>42</v>
      </c>
      <c r="K92" s="3">
        <v>66</v>
      </c>
    </row>
    <row r="93" spans="1:11" ht="15" customHeight="1" x14ac:dyDescent="0.2">
      <c r="A93" s="3" t="s">
        <v>225</v>
      </c>
      <c r="B93" s="1" t="s">
        <v>226</v>
      </c>
      <c r="C93" s="3" t="s">
        <v>149</v>
      </c>
      <c r="D93" s="3" t="s">
        <v>55</v>
      </c>
      <c r="E93" s="1" t="s">
        <v>152</v>
      </c>
      <c r="F93" s="4">
        <v>685</v>
      </c>
      <c r="G93" s="3">
        <v>20</v>
      </c>
      <c r="H93" s="3" t="s">
        <v>44</v>
      </c>
      <c r="I93" s="3">
        <v>116</v>
      </c>
      <c r="J93" s="3">
        <v>130</v>
      </c>
      <c r="K93" s="3">
        <v>331</v>
      </c>
    </row>
    <row r="94" spans="1:11" ht="15" customHeight="1" x14ac:dyDescent="0.2">
      <c r="A94" s="3" t="s">
        <v>227</v>
      </c>
      <c r="B94" s="1" t="s">
        <v>228</v>
      </c>
      <c r="C94" s="3" t="s">
        <v>149</v>
      </c>
      <c r="D94" s="3" t="s">
        <v>55</v>
      </c>
      <c r="E94" s="1" t="s">
        <v>48</v>
      </c>
      <c r="F94" s="4">
        <v>509</v>
      </c>
      <c r="G94" s="3">
        <v>37</v>
      </c>
      <c r="H94" s="3" t="s">
        <v>44</v>
      </c>
      <c r="I94" s="3">
        <v>123</v>
      </c>
      <c r="J94" s="3">
        <v>57</v>
      </c>
      <c r="K94" s="3">
        <v>675</v>
      </c>
    </row>
    <row r="95" spans="1:11" ht="15" customHeight="1" x14ac:dyDescent="0.2">
      <c r="A95" s="3" t="s">
        <v>229</v>
      </c>
      <c r="B95" s="1" t="s">
        <v>230</v>
      </c>
      <c r="C95" s="3" t="s">
        <v>149</v>
      </c>
      <c r="D95" s="3" t="s">
        <v>42</v>
      </c>
      <c r="E95" s="1" t="s">
        <v>48</v>
      </c>
      <c r="F95" s="4">
        <v>852</v>
      </c>
      <c r="G95" s="3">
        <v>39</v>
      </c>
      <c r="H95" s="3" t="s">
        <v>44</v>
      </c>
      <c r="I95" s="3">
        <v>28</v>
      </c>
      <c r="J95" s="3">
        <v>23</v>
      </c>
      <c r="K95" s="3">
        <v>120</v>
      </c>
    </row>
    <row r="96" spans="1:11" ht="15" customHeight="1" x14ac:dyDescent="0.2">
      <c r="A96" s="3" t="s">
        <v>231</v>
      </c>
      <c r="B96" s="1" t="s">
        <v>232</v>
      </c>
      <c r="C96" s="3" t="s">
        <v>149</v>
      </c>
      <c r="D96" s="3" t="s">
        <v>42</v>
      </c>
      <c r="E96" s="1" t="s">
        <v>152</v>
      </c>
      <c r="F96" s="4">
        <v>1440</v>
      </c>
      <c r="G96" s="3">
        <v>20</v>
      </c>
      <c r="H96" s="3" t="s">
        <v>44</v>
      </c>
      <c r="I96" s="3">
        <v>82</v>
      </c>
      <c r="J96" s="3">
        <v>9</v>
      </c>
      <c r="K96" s="3">
        <v>690</v>
      </c>
    </row>
    <row r="97" spans="1:11" ht="15" customHeight="1" x14ac:dyDescent="0.2">
      <c r="A97" s="3" t="s">
        <v>233</v>
      </c>
      <c r="B97" s="1" t="s">
        <v>234</v>
      </c>
      <c r="C97" s="3" t="s">
        <v>149</v>
      </c>
      <c r="D97" s="3" t="s">
        <v>55</v>
      </c>
      <c r="E97" s="1" t="s">
        <v>48</v>
      </c>
      <c r="F97" s="4">
        <v>1430</v>
      </c>
      <c r="G97" s="3">
        <v>37</v>
      </c>
      <c r="H97" s="3" t="s">
        <v>44</v>
      </c>
      <c r="I97" s="3">
        <v>22</v>
      </c>
      <c r="J97" s="3">
        <v>24</v>
      </c>
      <c r="K97" s="3">
        <v>93</v>
      </c>
    </row>
    <row r="98" spans="1:11" ht="15" customHeight="1" x14ac:dyDescent="0.2">
      <c r="A98" s="3" t="s">
        <v>235</v>
      </c>
      <c r="B98" s="1" t="s">
        <v>236</v>
      </c>
      <c r="C98" s="3" t="s">
        <v>149</v>
      </c>
      <c r="D98" s="3" t="s">
        <v>55</v>
      </c>
      <c r="E98" s="1" t="s">
        <v>48</v>
      </c>
      <c r="F98" s="4">
        <v>860</v>
      </c>
      <c r="G98" s="3">
        <v>38</v>
      </c>
      <c r="H98" s="3" t="s">
        <v>44</v>
      </c>
      <c r="I98" s="3">
        <v>122</v>
      </c>
      <c r="J98" s="3">
        <v>2</v>
      </c>
      <c r="K98" s="3">
        <v>610</v>
      </c>
    </row>
    <row r="99" spans="1:11" ht="15" customHeight="1" x14ac:dyDescent="0.2">
      <c r="A99" s="3" t="s">
        <v>237</v>
      </c>
      <c r="B99" s="1" t="s">
        <v>238</v>
      </c>
      <c r="C99" s="3" t="s">
        <v>149</v>
      </c>
      <c r="D99" s="3" t="s">
        <v>47</v>
      </c>
      <c r="E99" s="1" t="s">
        <v>152</v>
      </c>
      <c r="F99" s="4">
        <v>1266</v>
      </c>
      <c r="G99" s="3">
        <v>29</v>
      </c>
      <c r="H99" s="3" t="s">
        <v>44</v>
      </c>
      <c r="I99" s="3">
        <v>82</v>
      </c>
      <c r="J99" s="3">
        <v>19</v>
      </c>
      <c r="K99" s="3">
        <v>467</v>
      </c>
    </row>
    <row r="100" spans="1:11" ht="15" customHeight="1" x14ac:dyDescent="0.2">
      <c r="A100" s="3" t="s">
        <v>239</v>
      </c>
      <c r="B100" s="1" t="s">
        <v>240</v>
      </c>
      <c r="C100" s="3" t="s">
        <v>149</v>
      </c>
      <c r="D100" s="3" t="s">
        <v>47</v>
      </c>
      <c r="E100" s="1" t="s">
        <v>152</v>
      </c>
      <c r="F100" s="4">
        <v>1386</v>
      </c>
      <c r="G100" s="3">
        <v>26</v>
      </c>
      <c r="H100" s="3" t="s">
        <v>44</v>
      </c>
      <c r="I100" s="3">
        <v>17</v>
      </c>
      <c r="J100" s="3">
        <v>64</v>
      </c>
      <c r="K100" s="3">
        <v>94</v>
      </c>
    </row>
    <row r="101" spans="1:11" ht="15" customHeight="1" x14ac:dyDescent="0.2">
      <c r="A101" s="3" t="s">
        <v>241</v>
      </c>
      <c r="B101" s="1" t="s">
        <v>242</v>
      </c>
      <c r="C101" s="3" t="s">
        <v>149</v>
      </c>
      <c r="D101" s="3" t="s">
        <v>55</v>
      </c>
      <c r="E101" s="1" t="s">
        <v>48</v>
      </c>
      <c r="F101" s="4">
        <v>752</v>
      </c>
      <c r="G101" s="3">
        <v>36</v>
      </c>
      <c r="H101" s="3" t="s">
        <v>44</v>
      </c>
      <c r="I101" s="3">
        <v>62</v>
      </c>
      <c r="J101" s="3">
        <v>1</v>
      </c>
      <c r="K101" s="3">
        <v>287</v>
      </c>
    </row>
    <row r="102" spans="1:11" ht="15" customHeight="1" x14ac:dyDescent="0.2">
      <c r="A102" s="3" t="s">
        <v>243</v>
      </c>
      <c r="B102" s="1" t="s">
        <v>244</v>
      </c>
      <c r="C102" s="3" t="s">
        <v>149</v>
      </c>
      <c r="D102" s="3" t="s">
        <v>47</v>
      </c>
      <c r="E102" s="1" t="s">
        <v>48</v>
      </c>
      <c r="F102" s="4">
        <v>950</v>
      </c>
      <c r="G102" s="3">
        <v>45</v>
      </c>
      <c r="H102" s="3" t="s">
        <v>44</v>
      </c>
      <c r="I102" s="3">
        <v>87</v>
      </c>
      <c r="J102" s="3">
        <v>11</v>
      </c>
      <c r="K102" s="3">
        <v>347</v>
      </c>
    </row>
    <row r="103" spans="1:11" ht="15" customHeight="1" x14ac:dyDescent="0.2">
      <c r="A103" s="3" t="s">
        <v>245</v>
      </c>
      <c r="B103" s="1" t="s">
        <v>246</v>
      </c>
      <c r="C103" s="3" t="s">
        <v>149</v>
      </c>
      <c r="D103" s="3" t="s">
        <v>42</v>
      </c>
      <c r="E103" s="1" t="s">
        <v>152</v>
      </c>
      <c r="F103" s="4">
        <v>1125</v>
      </c>
      <c r="G103" s="3">
        <v>22</v>
      </c>
      <c r="H103" s="3" t="s">
        <v>44</v>
      </c>
      <c r="I103" s="3">
        <v>177</v>
      </c>
      <c r="J103" s="3">
        <v>37</v>
      </c>
      <c r="K103" s="3">
        <v>1339</v>
      </c>
    </row>
    <row r="104" spans="1:11" ht="15" customHeight="1" x14ac:dyDescent="0.2">
      <c r="A104" s="3" t="s">
        <v>247</v>
      </c>
      <c r="B104" s="1" t="s">
        <v>248</v>
      </c>
      <c r="C104" s="3" t="s">
        <v>149</v>
      </c>
      <c r="D104" s="3" t="s">
        <v>55</v>
      </c>
      <c r="E104" s="1" t="s">
        <v>152</v>
      </c>
      <c r="F104" s="4">
        <v>498</v>
      </c>
      <c r="G104" s="3">
        <v>24</v>
      </c>
      <c r="H104" s="3" t="s">
        <v>44</v>
      </c>
      <c r="I104" s="3">
        <v>94</v>
      </c>
      <c r="J104" s="3">
        <v>58</v>
      </c>
      <c r="K104" s="3">
        <v>393</v>
      </c>
    </row>
    <row r="105" spans="1:11" ht="15" customHeight="1" x14ac:dyDescent="0.2">
      <c r="A105" s="3" t="s">
        <v>249</v>
      </c>
      <c r="B105" s="1" t="s">
        <v>250</v>
      </c>
      <c r="C105" s="3" t="s">
        <v>251</v>
      </c>
      <c r="D105" s="3" t="s">
        <v>42</v>
      </c>
      <c r="E105" s="1" t="s">
        <v>252</v>
      </c>
      <c r="F105" s="4">
        <v>1259</v>
      </c>
      <c r="G105" s="3">
        <v>39</v>
      </c>
      <c r="H105" s="3" t="s">
        <v>44</v>
      </c>
      <c r="I105" s="3">
        <v>31</v>
      </c>
      <c r="J105" s="3">
        <v>69</v>
      </c>
      <c r="K105" s="3">
        <v>122</v>
      </c>
    </row>
    <row r="106" spans="1:11" ht="15" customHeight="1" x14ac:dyDescent="0.2">
      <c r="A106" s="3" t="s">
        <v>253</v>
      </c>
      <c r="B106" s="1" t="s">
        <v>254</v>
      </c>
      <c r="C106" s="3" t="s">
        <v>251</v>
      </c>
      <c r="D106" s="3" t="s">
        <v>55</v>
      </c>
      <c r="E106" s="1" t="s">
        <v>252</v>
      </c>
      <c r="F106" s="4">
        <v>376</v>
      </c>
      <c r="G106" s="3">
        <v>36</v>
      </c>
      <c r="H106" s="3" t="s">
        <v>44</v>
      </c>
      <c r="I106" s="3">
        <v>113</v>
      </c>
      <c r="J106" s="3">
        <v>57</v>
      </c>
      <c r="K106" s="3">
        <v>391</v>
      </c>
    </row>
    <row r="107" spans="1:11" ht="15" customHeight="1" x14ac:dyDescent="0.2">
      <c r="A107" s="3" t="s">
        <v>255</v>
      </c>
      <c r="B107" s="1" t="s">
        <v>256</v>
      </c>
      <c r="C107" s="3" t="s">
        <v>251</v>
      </c>
      <c r="D107" s="3" t="s">
        <v>47</v>
      </c>
      <c r="E107" s="1" t="s">
        <v>252</v>
      </c>
      <c r="F107" s="4">
        <v>1280</v>
      </c>
      <c r="G107" s="3">
        <v>41</v>
      </c>
      <c r="H107" s="3" t="s">
        <v>44</v>
      </c>
      <c r="I107" s="3">
        <v>190</v>
      </c>
      <c r="J107" s="3">
        <v>8</v>
      </c>
      <c r="K107" s="3">
        <v>855</v>
      </c>
    </row>
    <row r="108" spans="1:11" ht="15" customHeight="1" x14ac:dyDescent="0.2">
      <c r="A108" s="3" t="s">
        <v>257</v>
      </c>
      <c r="B108" s="1" t="s">
        <v>258</v>
      </c>
      <c r="C108" s="3" t="s">
        <v>251</v>
      </c>
      <c r="D108" s="3" t="s">
        <v>47</v>
      </c>
      <c r="E108" s="1" t="s">
        <v>252</v>
      </c>
      <c r="F108" s="4">
        <v>1395</v>
      </c>
      <c r="G108" s="3">
        <v>34</v>
      </c>
      <c r="H108" s="3" t="s">
        <v>44</v>
      </c>
      <c r="I108" s="3">
        <v>271</v>
      </c>
      <c r="J108" s="3">
        <v>15</v>
      </c>
      <c r="K108" s="3">
        <v>2259</v>
      </c>
    </row>
    <row r="109" spans="1:11" ht="15" customHeight="1" x14ac:dyDescent="0.2">
      <c r="A109" s="3" t="s">
        <v>259</v>
      </c>
      <c r="B109" s="1" t="s">
        <v>260</v>
      </c>
      <c r="C109" s="3" t="s">
        <v>251</v>
      </c>
      <c r="D109" s="3" t="s">
        <v>55</v>
      </c>
      <c r="E109" s="1" t="s">
        <v>252</v>
      </c>
      <c r="F109" s="4">
        <v>613</v>
      </c>
      <c r="G109" s="3">
        <v>43</v>
      </c>
      <c r="H109" s="3" t="s">
        <v>44</v>
      </c>
      <c r="I109" s="3">
        <v>71</v>
      </c>
      <c r="J109" s="3">
        <v>52</v>
      </c>
      <c r="K109" s="3">
        <v>309</v>
      </c>
    </row>
    <row r="110" spans="1:11" ht="15" customHeight="1" x14ac:dyDescent="0.2">
      <c r="A110" s="3" t="s">
        <v>261</v>
      </c>
      <c r="B110" s="1" t="s">
        <v>262</v>
      </c>
      <c r="C110" s="3" t="s">
        <v>251</v>
      </c>
      <c r="D110" s="3" t="s">
        <v>55</v>
      </c>
      <c r="E110" s="1" t="s">
        <v>252</v>
      </c>
      <c r="F110" s="4">
        <v>788</v>
      </c>
      <c r="G110" s="3">
        <v>38</v>
      </c>
      <c r="H110" s="3" t="s">
        <v>44</v>
      </c>
      <c r="I110" s="3">
        <v>36</v>
      </c>
      <c r="J110" s="3">
        <v>50</v>
      </c>
      <c r="K110" s="3">
        <v>156</v>
      </c>
    </row>
    <row r="111" spans="1:11" ht="15" customHeight="1" x14ac:dyDescent="0.2">
      <c r="A111" s="3" t="s">
        <v>263</v>
      </c>
      <c r="B111" s="1" t="s">
        <v>264</v>
      </c>
      <c r="C111" s="3" t="s">
        <v>251</v>
      </c>
      <c r="D111" s="3" t="s">
        <v>42</v>
      </c>
      <c r="E111" s="1" t="s">
        <v>252</v>
      </c>
      <c r="F111" s="4">
        <v>686</v>
      </c>
      <c r="G111" s="3">
        <v>39</v>
      </c>
      <c r="H111" s="3" t="s">
        <v>44</v>
      </c>
      <c r="I111" s="3">
        <v>119</v>
      </c>
      <c r="J111" s="3">
        <v>66</v>
      </c>
      <c r="K111" s="3">
        <v>571</v>
      </c>
    </row>
    <row r="112" spans="1:11" ht="15" customHeight="1" x14ac:dyDescent="0.2">
      <c r="A112" s="3" t="s">
        <v>265</v>
      </c>
      <c r="B112" s="1" t="s">
        <v>266</v>
      </c>
      <c r="C112" s="3" t="s">
        <v>251</v>
      </c>
      <c r="D112" s="3" t="s">
        <v>47</v>
      </c>
      <c r="E112" s="1" t="s">
        <v>252</v>
      </c>
      <c r="F112" s="4">
        <v>747</v>
      </c>
      <c r="G112" s="3">
        <v>39</v>
      </c>
      <c r="H112" s="3" t="s">
        <v>44</v>
      </c>
      <c r="I112" s="3">
        <v>181</v>
      </c>
      <c r="J112" s="3">
        <v>59</v>
      </c>
      <c r="K112" s="3">
        <v>585</v>
      </c>
    </row>
    <row r="113" spans="1:11" ht="15" customHeight="1" x14ac:dyDescent="0.2">
      <c r="A113" s="3" t="s">
        <v>267</v>
      </c>
      <c r="B113" s="1" t="s">
        <v>268</v>
      </c>
      <c r="C113" s="3" t="s">
        <v>251</v>
      </c>
      <c r="D113" s="3" t="s">
        <v>55</v>
      </c>
      <c r="E113" s="1" t="s">
        <v>252</v>
      </c>
      <c r="F113" s="4">
        <v>1184</v>
      </c>
      <c r="G113" s="3">
        <v>36</v>
      </c>
      <c r="H113" s="3" t="s">
        <v>44</v>
      </c>
      <c r="I113" s="3">
        <v>123</v>
      </c>
      <c r="J113" s="3">
        <v>56</v>
      </c>
      <c r="K113" s="3">
        <v>643</v>
      </c>
    </row>
    <row r="114" spans="1:11" ht="15" customHeight="1" x14ac:dyDescent="0.2">
      <c r="A114" s="3" t="s">
        <v>269</v>
      </c>
      <c r="B114" s="1" t="s">
        <v>270</v>
      </c>
      <c r="C114" s="3" t="s">
        <v>251</v>
      </c>
      <c r="D114" s="3" t="s">
        <v>42</v>
      </c>
      <c r="E114" s="1" t="s">
        <v>252</v>
      </c>
      <c r="F114" s="4">
        <v>1054</v>
      </c>
      <c r="G114" s="3">
        <v>41</v>
      </c>
      <c r="H114" s="3" t="s">
        <v>44</v>
      </c>
      <c r="I114" s="3">
        <v>114</v>
      </c>
      <c r="J114" s="3">
        <v>29</v>
      </c>
      <c r="K114" s="3">
        <v>368</v>
      </c>
    </row>
    <row r="115" spans="1:11" ht="15" customHeight="1" x14ac:dyDescent="0.2">
      <c r="A115" s="3" t="s">
        <v>271</v>
      </c>
      <c r="B115" s="1" t="s">
        <v>272</v>
      </c>
      <c r="C115" s="3" t="s">
        <v>251</v>
      </c>
      <c r="D115" s="3" t="s">
        <v>47</v>
      </c>
      <c r="E115" s="1" t="s">
        <v>252</v>
      </c>
      <c r="F115" s="4">
        <v>527</v>
      </c>
      <c r="G115" s="3">
        <v>44</v>
      </c>
      <c r="H115" s="3" t="s">
        <v>44</v>
      </c>
      <c r="I115" s="3">
        <v>49</v>
      </c>
      <c r="J115" s="3">
        <v>64</v>
      </c>
      <c r="K115" s="3">
        <v>205</v>
      </c>
    </row>
    <row r="116" spans="1:11" ht="15" customHeight="1" x14ac:dyDescent="0.2">
      <c r="A116" s="3" t="s">
        <v>273</v>
      </c>
      <c r="B116" s="1" t="s">
        <v>274</v>
      </c>
      <c r="C116" s="3" t="s">
        <v>251</v>
      </c>
      <c r="D116" s="3" t="s">
        <v>47</v>
      </c>
      <c r="E116" s="1" t="s">
        <v>252</v>
      </c>
      <c r="F116" s="4">
        <v>646</v>
      </c>
      <c r="G116" s="3">
        <v>36</v>
      </c>
      <c r="H116" s="3" t="s">
        <v>44</v>
      </c>
      <c r="I116" s="3">
        <v>26</v>
      </c>
      <c r="J116" s="3">
        <v>110</v>
      </c>
      <c r="K116" s="3">
        <v>98</v>
      </c>
    </row>
    <row r="117" spans="1:11" ht="15" customHeight="1" x14ac:dyDescent="0.2">
      <c r="A117" s="3" t="s">
        <v>275</v>
      </c>
      <c r="B117" s="1" t="s">
        <v>276</v>
      </c>
      <c r="C117" s="3" t="s">
        <v>251</v>
      </c>
      <c r="D117" s="3" t="s">
        <v>42</v>
      </c>
      <c r="E117" s="1" t="s">
        <v>252</v>
      </c>
      <c r="F117" s="4">
        <v>1425</v>
      </c>
      <c r="G117" s="3">
        <v>39</v>
      </c>
      <c r="H117" s="3" t="s">
        <v>44</v>
      </c>
      <c r="I117" s="3">
        <v>106</v>
      </c>
      <c r="J117" s="3">
        <v>49</v>
      </c>
      <c r="K117" s="3">
        <v>505</v>
      </c>
    </row>
    <row r="118" spans="1:11" ht="15" customHeight="1" x14ac:dyDescent="0.2">
      <c r="A118" s="3" t="s">
        <v>277</v>
      </c>
      <c r="B118" s="1" t="s">
        <v>278</v>
      </c>
      <c r="C118" s="3" t="s">
        <v>251</v>
      </c>
      <c r="D118" s="3" t="s">
        <v>55</v>
      </c>
      <c r="E118" s="1" t="s">
        <v>252</v>
      </c>
      <c r="F118" s="4">
        <v>1632</v>
      </c>
      <c r="G118" s="3">
        <v>35</v>
      </c>
      <c r="H118" s="3" t="s">
        <v>44</v>
      </c>
      <c r="I118" s="3">
        <v>49</v>
      </c>
      <c r="J118" s="3">
        <v>2</v>
      </c>
      <c r="K118" s="3">
        <v>496</v>
      </c>
    </row>
    <row r="119" spans="1:11" ht="15" customHeight="1" x14ac:dyDescent="0.2">
      <c r="A119" s="3" t="s">
        <v>279</v>
      </c>
      <c r="B119" s="1" t="s">
        <v>280</v>
      </c>
      <c r="C119" s="3" t="s">
        <v>251</v>
      </c>
      <c r="D119" s="3" t="s">
        <v>47</v>
      </c>
      <c r="E119" s="1" t="s">
        <v>252</v>
      </c>
      <c r="F119" s="4">
        <v>719</v>
      </c>
      <c r="G119" s="3">
        <v>36</v>
      </c>
      <c r="H119" s="3" t="s">
        <v>44</v>
      </c>
      <c r="I119" s="3">
        <v>44</v>
      </c>
      <c r="J119" s="3">
        <v>163</v>
      </c>
      <c r="K119" s="3">
        <v>113</v>
      </c>
    </row>
    <row r="120" spans="1:11" ht="15" customHeight="1" x14ac:dyDescent="0.2">
      <c r="A120" s="3" t="s">
        <v>281</v>
      </c>
      <c r="B120" s="1" t="s">
        <v>282</v>
      </c>
      <c r="C120" s="3" t="s">
        <v>251</v>
      </c>
      <c r="D120" s="3" t="s">
        <v>42</v>
      </c>
      <c r="E120" s="1" t="s">
        <v>252</v>
      </c>
      <c r="F120" s="4">
        <v>1790</v>
      </c>
      <c r="G120" s="3">
        <v>43</v>
      </c>
      <c r="H120" s="3" t="s">
        <v>44</v>
      </c>
      <c r="I120" s="3">
        <v>103</v>
      </c>
      <c r="J120" s="3">
        <v>29</v>
      </c>
      <c r="K120" s="3">
        <v>454</v>
      </c>
    </row>
    <row r="121" spans="1:11" ht="15" customHeight="1" x14ac:dyDescent="0.2">
      <c r="A121" s="3" t="s">
        <v>283</v>
      </c>
      <c r="B121" s="1" t="s">
        <v>284</v>
      </c>
      <c r="C121" s="3" t="s">
        <v>251</v>
      </c>
      <c r="D121" s="3" t="s">
        <v>47</v>
      </c>
      <c r="E121" s="1" t="s">
        <v>252</v>
      </c>
      <c r="F121" s="4">
        <v>1020</v>
      </c>
      <c r="G121" s="3">
        <v>40</v>
      </c>
      <c r="H121" s="3" t="s">
        <v>44</v>
      </c>
      <c r="I121" s="3">
        <v>51</v>
      </c>
      <c r="J121" s="3">
        <v>44</v>
      </c>
      <c r="K121" s="3">
        <v>132</v>
      </c>
    </row>
    <row r="122" spans="1:11" ht="15" customHeight="1" x14ac:dyDescent="0.2">
      <c r="A122" s="3" t="s">
        <v>285</v>
      </c>
      <c r="B122" s="1" t="s">
        <v>286</v>
      </c>
      <c r="C122" s="3" t="s">
        <v>251</v>
      </c>
      <c r="D122" s="3" t="s">
        <v>42</v>
      </c>
      <c r="E122" s="1" t="s">
        <v>252</v>
      </c>
      <c r="F122" s="4">
        <v>1090</v>
      </c>
      <c r="G122" s="3">
        <v>38</v>
      </c>
      <c r="H122" s="3" t="s">
        <v>44</v>
      </c>
      <c r="I122" s="3">
        <v>89</v>
      </c>
      <c r="J122" s="3">
        <v>8</v>
      </c>
      <c r="K122" s="3">
        <v>427</v>
      </c>
    </row>
    <row r="123" spans="1:11" ht="15" customHeight="1" x14ac:dyDescent="0.2">
      <c r="A123" s="3" t="s">
        <v>287</v>
      </c>
      <c r="B123" s="1" t="s">
        <v>288</v>
      </c>
      <c r="C123" s="3" t="s">
        <v>251</v>
      </c>
      <c r="D123" s="3" t="s">
        <v>42</v>
      </c>
      <c r="E123" s="1" t="s">
        <v>252</v>
      </c>
      <c r="F123" s="4">
        <v>1445</v>
      </c>
      <c r="G123" s="3">
        <v>34</v>
      </c>
      <c r="H123" s="3" t="s">
        <v>44</v>
      </c>
      <c r="I123" s="3">
        <v>12</v>
      </c>
      <c r="J123" s="3">
        <v>21</v>
      </c>
      <c r="K123" s="3">
        <v>27</v>
      </c>
    </row>
    <row r="124" spans="1:11" ht="15" customHeight="1" x14ac:dyDescent="0.2">
      <c r="A124" s="3" t="s">
        <v>289</v>
      </c>
      <c r="B124" s="1" t="s">
        <v>290</v>
      </c>
      <c r="C124" s="3" t="s">
        <v>251</v>
      </c>
      <c r="D124" s="3" t="s">
        <v>42</v>
      </c>
      <c r="E124" s="1" t="s">
        <v>252</v>
      </c>
      <c r="F124" s="4">
        <v>1005</v>
      </c>
      <c r="G124" s="3">
        <v>32</v>
      </c>
      <c r="H124" s="3" t="s">
        <v>44</v>
      </c>
      <c r="I124" s="3">
        <v>24</v>
      </c>
      <c r="J124" s="3">
        <v>142</v>
      </c>
      <c r="K124" s="3">
        <v>87</v>
      </c>
    </row>
    <row r="125" spans="1:11" ht="15" customHeight="1" x14ac:dyDescent="0.2">
      <c r="A125" s="3" t="s">
        <v>291</v>
      </c>
      <c r="B125" s="1" t="s">
        <v>292</v>
      </c>
      <c r="C125" s="3" t="s">
        <v>251</v>
      </c>
      <c r="D125" s="3" t="s">
        <v>55</v>
      </c>
      <c r="E125" s="1" t="s">
        <v>252</v>
      </c>
      <c r="F125" s="4">
        <v>605</v>
      </c>
      <c r="G125" s="3">
        <v>43</v>
      </c>
      <c r="H125" s="3" t="s">
        <v>44</v>
      </c>
      <c r="I125" s="3">
        <v>123</v>
      </c>
      <c r="J125" s="3">
        <v>3</v>
      </c>
      <c r="K125" s="3">
        <v>535</v>
      </c>
    </row>
    <row r="126" spans="1:11" ht="15" customHeight="1" x14ac:dyDescent="0.2">
      <c r="A126" s="3" t="s">
        <v>293</v>
      </c>
      <c r="B126" s="1" t="s">
        <v>294</v>
      </c>
      <c r="C126" s="3" t="s">
        <v>251</v>
      </c>
      <c r="D126" s="3" t="s">
        <v>55</v>
      </c>
      <c r="E126" s="1" t="s">
        <v>252</v>
      </c>
      <c r="F126" s="4">
        <v>483</v>
      </c>
      <c r="G126" s="3">
        <v>38</v>
      </c>
      <c r="H126" s="3" t="s">
        <v>44</v>
      </c>
      <c r="I126" s="3">
        <v>145</v>
      </c>
      <c r="J126" s="3">
        <v>61</v>
      </c>
      <c r="K126" s="3">
        <v>714</v>
      </c>
    </row>
    <row r="127" spans="1:11" ht="15" customHeight="1" x14ac:dyDescent="0.2">
      <c r="A127" s="3" t="s">
        <v>295</v>
      </c>
      <c r="B127" s="1" t="s">
        <v>296</v>
      </c>
      <c r="C127" s="3" t="s">
        <v>251</v>
      </c>
      <c r="D127" s="3" t="s">
        <v>47</v>
      </c>
      <c r="E127" s="1" t="s">
        <v>252</v>
      </c>
      <c r="F127" s="4">
        <v>1696</v>
      </c>
      <c r="G127" s="3">
        <v>33</v>
      </c>
      <c r="H127" s="3" t="s">
        <v>44</v>
      </c>
      <c r="I127" s="3">
        <v>87</v>
      </c>
      <c r="J127" s="3">
        <v>38</v>
      </c>
      <c r="K127" s="3">
        <v>454</v>
      </c>
    </row>
    <row r="128" spans="1:11" ht="15" customHeight="1" x14ac:dyDescent="0.2">
      <c r="A128" s="3" t="s">
        <v>297</v>
      </c>
      <c r="B128" s="1" t="s">
        <v>298</v>
      </c>
      <c r="C128" s="3" t="s">
        <v>251</v>
      </c>
      <c r="D128" s="3" t="s">
        <v>42</v>
      </c>
      <c r="E128" s="1" t="s">
        <v>252</v>
      </c>
      <c r="F128" s="4">
        <v>1517</v>
      </c>
      <c r="G128" s="3">
        <v>36</v>
      </c>
      <c r="H128" s="3" t="s">
        <v>44</v>
      </c>
      <c r="I128" s="3">
        <v>106</v>
      </c>
      <c r="J128" s="3">
        <v>42</v>
      </c>
      <c r="K128" s="3">
        <v>533</v>
      </c>
    </row>
    <row r="129" spans="1:11" ht="15" customHeight="1" x14ac:dyDescent="0.2">
      <c r="A129" s="3" t="s">
        <v>299</v>
      </c>
      <c r="B129" s="1" t="s">
        <v>300</v>
      </c>
      <c r="C129" s="3" t="s">
        <v>251</v>
      </c>
      <c r="D129" s="3" t="s">
        <v>47</v>
      </c>
      <c r="E129" s="1" t="s">
        <v>252</v>
      </c>
      <c r="F129" s="4">
        <v>1001</v>
      </c>
      <c r="G129" s="3">
        <v>32</v>
      </c>
      <c r="H129" s="3" t="s">
        <v>44</v>
      </c>
      <c r="I129" s="3">
        <v>250</v>
      </c>
      <c r="J129" s="3">
        <v>22</v>
      </c>
      <c r="K129" s="3">
        <v>1453</v>
      </c>
    </row>
    <row r="130" spans="1:11" ht="15" customHeight="1" x14ac:dyDescent="0.2">
      <c r="A130" s="3" t="s">
        <v>301</v>
      </c>
      <c r="B130" s="1" t="s">
        <v>302</v>
      </c>
      <c r="C130" s="3" t="s">
        <v>251</v>
      </c>
      <c r="D130" s="3" t="s">
        <v>42</v>
      </c>
      <c r="E130" s="1" t="s">
        <v>252</v>
      </c>
      <c r="F130" s="4">
        <v>625</v>
      </c>
      <c r="G130" s="3">
        <v>44</v>
      </c>
      <c r="H130" s="3" t="s">
        <v>44</v>
      </c>
      <c r="I130" s="3">
        <v>110</v>
      </c>
      <c r="J130" s="3">
        <v>7</v>
      </c>
      <c r="K130" s="3">
        <v>467</v>
      </c>
    </row>
    <row r="131" spans="1:11" ht="15" customHeight="1" x14ac:dyDescent="0.2">
      <c r="A131" s="3" t="s">
        <v>303</v>
      </c>
      <c r="B131" s="1" t="s">
        <v>304</v>
      </c>
      <c r="C131" s="3" t="s">
        <v>251</v>
      </c>
      <c r="D131" s="3" t="s">
        <v>55</v>
      </c>
      <c r="E131" s="1" t="s">
        <v>252</v>
      </c>
      <c r="F131" s="4">
        <v>308</v>
      </c>
      <c r="G131" s="3">
        <v>34</v>
      </c>
      <c r="H131" s="3" t="s">
        <v>44</v>
      </c>
      <c r="I131" s="3">
        <v>91</v>
      </c>
      <c r="J131" s="3">
        <v>1</v>
      </c>
      <c r="K131" s="3">
        <v>493</v>
      </c>
    </row>
    <row r="132" spans="1:11" ht="15" customHeight="1" x14ac:dyDescent="0.2">
      <c r="A132" s="3" t="s">
        <v>305</v>
      </c>
      <c r="B132" s="1" t="s">
        <v>306</v>
      </c>
      <c r="C132" s="3" t="s">
        <v>251</v>
      </c>
      <c r="D132" s="3" t="s">
        <v>42</v>
      </c>
      <c r="E132" s="1" t="s">
        <v>252</v>
      </c>
      <c r="F132" s="4">
        <v>905</v>
      </c>
      <c r="G132" s="3">
        <v>41</v>
      </c>
      <c r="H132" s="3" t="s">
        <v>44</v>
      </c>
      <c r="I132" s="3">
        <v>153</v>
      </c>
      <c r="J132" s="3">
        <v>9</v>
      </c>
      <c r="K132" s="3">
        <v>699</v>
      </c>
    </row>
    <row r="133" spans="1:11" ht="15" customHeight="1" x14ac:dyDescent="0.2">
      <c r="A133" s="3" t="s">
        <v>307</v>
      </c>
      <c r="B133" s="1" t="s">
        <v>308</v>
      </c>
      <c r="C133" s="3" t="s">
        <v>251</v>
      </c>
      <c r="D133" s="3" t="s">
        <v>47</v>
      </c>
      <c r="E133" s="1" t="s">
        <v>252</v>
      </c>
      <c r="F133" s="4">
        <v>765</v>
      </c>
      <c r="G133" s="3">
        <v>33</v>
      </c>
      <c r="H133" s="3" t="s">
        <v>44</v>
      </c>
      <c r="I133" s="3">
        <v>106</v>
      </c>
      <c r="J133" s="3">
        <v>61</v>
      </c>
      <c r="K133" s="3">
        <v>598</v>
      </c>
    </row>
    <row r="134" spans="1:11" ht="15" customHeight="1" x14ac:dyDescent="0.2">
      <c r="A134" s="3" t="s">
        <v>309</v>
      </c>
      <c r="B134" s="1" t="s">
        <v>310</v>
      </c>
      <c r="C134" s="3" t="s">
        <v>251</v>
      </c>
      <c r="D134" s="3" t="s">
        <v>42</v>
      </c>
      <c r="E134" s="1" t="s">
        <v>252</v>
      </c>
      <c r="F134" s="4">
        <v>1209</v>
      </c>
      <c r="G134" s="3">
        <v>44</v>
      </c>
      <c r="H134" s="3" t="s">
        <v>44</v>
      </c>
      <c r="I134" s="3">
        <v>44</v>
      </c>
      <c r="J134" s="3">
        <v>159</v>
      </c>
      <c r="K134" s="3">
        <v>152</v>
      </c>
    </row>
    <row r="135" spans="1:11" ht="15" customHeight="1" x14ac:dyDescent="0.2">
      <c r="A135" s="3" t="s">
        <v>311</v>
      </c>
      <c r="B135" s="1" t="s">
        <v>312</v>
      </c>
      <c r="C135" s="3" t="s">
        <v>251</v>
      </c>
      <c r="D135" s="3" t="s">
        <v>47</v>
      </c>
      <c r="E135" s="1" t="s">
        <v>252</v>
      </c>
      <c r="F135" s="4">
        <v>644</v>
      </c>
      <c r="G135" s="3">
        <v>37</v>
      </c>
      <c r="H135" s="3" t="s">
        <v>44</v>
      </c>
      <c r="I135" s="3">
        <v>38</v>
      </c>
      <c r="J135" s="3">
        <v>6</v>
      </c>
      <c r="K135" s="3">
        <v>172</v>
      </c>
    </row>
    <row r="136" spans="1:11" ht="15" customHeight="1" x14ac:dyDescent="0.2">
      <c r="A136" s="3" t="s">
        <v>313</v>
      </c>
      <c r="B136" s="1" t="s">
        <v>314</v>
      </c>
      <c r="C136" s="3" t="s">
        <v>251</v>
      </c>
      <c r="D136" s="3" t="s">
        <v>55</v>
      </c>
      <c r="E136" s="1" t="s">
        <v>252</v>
      </c>
      <c r="F136" s="4">
        <v>1126</v>
      </c>
      <c r="G136" s="3">
        <v>43</v>
      </c>
      <c r="H136" s="3" t="s">
        <v>44</v>
      </c>
      <c r="I136" s="3">
        <v>61</v>
      </c>
      <c r="J136" s="3">
        <v>15</v>
      </c>
      <c r="K136" s="3">
        <v>248</v>
      </c>
    </row>
    <row r="137" spans="1:11" ht="15" customHeight="1" x14ac:dyDescent="0.2">
      <c r="A137" s="3" t="s">
        <v>315</v>
      </c>
      <c r="B137" s="1" t="s">
        <v>316</v>
      </c>
      <c r="C137" s="3" t="s">
        <v>251</v>
      </c>
      <c r="D137" s="3" t="s">
        <v>42</v>
      </c>
      <c r="E137" s="1" t="s">
        <v>252</v>
      </c>
      <c r="F137" s="4">
        <v>1088</v>
      </c>
      <c r="G137" s="3">
        <v>35</v>
      </c>
      <c r="H137" s="3" t="s">
        <v>44</v>
      </c>
      <c r="I137" s="3">
        <v>39</v>
      </c>
      <c r="J137" s="3">
        <v>8</v>
      </c>
      <c r="K137" s="3">
        <v>189</v>
      </c>
    </row>
    <row r="138" spans="1:11" ht="15" customHeight="1" x14ac:dyDescent="0.2">
      <c r="A138" s="3" t="s">
        <v>317</v>
      </c>
      <c r="B138" s="1" t="s">
        <v>318</v>
      </c>
      <c r="C138" s="3" t="s">
        <v>251</v>
      </c>
      <c r="D138" s="3" t="s">
        <v>55</v>
      </c>
      <c r="E138" s="1" t="s">
        <v>252</v>
      </c>
      <c r="F138" s="4">
        <v>1402</v>
      </c>
      <c r="G138" s="3">
        <v>40</v>
      </c>
      <c r="H138" s="3" t="s">
        <v>44</v>
      </c>
      <c r="I138" s="3">
        <v>153</v>
      </c>
      <c r="J138" s="3">
        <v>37</v>
      </c>
      <c r="K138" s="3">
        <v>715</v>
      </c>
    </row>
    <row r="139" spans="1:11" ht="15" customHeight="1" x14ac:dyDescent="0.2">
      <c r="A139" s="3" t="s">
        <v>319</v>
      </c>
      <c r="B139" s="1" t="s">
        <v>320</v>
      </c>
      <c r="C139" s="3" t="s">
        <v>251</v>
      </c>
      <c r="D139" s="3" t="s">
        <v>47</v>
      </c>
      <c r="E139" s="1" t="s">
        <v>252</v>
      </c>
      <c r="F139" s="4">
        <v>918</v>
      </c>
      <c r="G139" s="3">
        <v>40</v>
      </c>
      <c r="H139" s="3" t="s">
        <v>44</v>
      </c>
      <c r="I139" s="3">
        <v>30</v>
      </c>
      <c r="J139" s="3">
        <v>65</v>
      </c>
      <c r="K139" s="3">
        <v>137</v>
      </c>
    </row>
    <row r="140" spans="1:11" ht="15" customHeight="1" x14ac:dyDescent="0.2">
      <c r="A140" s="3" t="s">
        <v>321</v>
      </c>
      <c r="B140" s="1" t="s">
        <v>322</v>
      </c>
      <c r="C140" s="3" t="s">
        <v>251</v>
      </c>
      <c r="D140" s="3" t="s">
        <v>42</v>
      </c>
      <c r="E140" s="1" t="s">
        <v>252</v>
      </c>
      <c r="F140" s="4">
        <v>1488</v>
      </c>
      <c r="G140" s="3">
        <v>42</v>
      </c>
      <c r="H140" s="3" t="s">
        <v>44</v>
      </c>
      <c r="I140" s="3">
        <v>23</v>
      </c>
      <c r="J140" s="3">
        <v>63</v>
      </c>
      <c r="K140" s="3">
        <v>82</v>
      </c>
    </row>
    <row r="141" spans="1:11" ht="15" customHeight="1" x14ac:dyDescent="0.2">
      <c r="A141" s="3" t="s">
        <v>323</v>
      </c>
      <c r="B141" s="1" t="s">
        <v>324</v>
      </c>
      <c r="C141" s="3" t="s">
        <v>251</v>
      </c>
      <c r="D141" s="3" t="s">
        <v>42</v>
      </c>
      <c r="E141" s="1" t="s">
        <v>252</v>
      </c>
      <c r="F141" s="4">
        <v>374</v>
      </c>
      <c r="G141" s="3">
        <v>43</v>
      </c>
      <c r="H141" s="3" t="s">
        <v>44</v>
      </c>
      <c r="I141" s="3">
        <v>137</v>
      </c>
      <c r="J141" s="3">
        <v>52</v>
      </c>
      <c r="K141" s="3">
        <v>597</v>
      </c>
    </row>
    <row r="142" spans="1:11" ht="15" customHeight="1" x14ac:dyDescent="0.2">
      <c r="A142" s="3" t="s">
        <v>325</v>
      </c>
      <c r="B142" s="1" t="s">
        <v>326</v>
      </c>
      <c r="C142" s="3" t="s">
        <v>251</v>
      </c>
      <c r="D142" s="3" t="s">
        <v>42</v>
      </c>
      <c r="E142" s="1" t="s">
        <v>252</v>
      </c>
      <c r="F142" s="4">
        <v>1715</v>
      </c>
      <c r="G142" s="3">
        <v>35</v>
      </c>
      <c r="H142" s="3" t="s">
        <v>44</v>
      </c>
      <c r="I142" s="3">
        <v>72</v>
      </c>
      <c r="J142" s="3">
        <v>6</v>
      </c>
      <c r="K142" s="3">
        <v>469</v>
      </c>
    </row>
    <row r="143" spans="1:11" ht="15" customHeight="1" x14ac:dyDescent="0.2">
      <c r="A143" s="3" t="s">
        <v>327</v>
      </c>
      <c r="B143" s="1" t="s">
        <v>328</v>
      </c>
      <c r="C143" s="3" t="s">
        <v>251</v>
      </c>
      <c r="D143" s="3" t="s">
        <v>55</v>
      </c>
      <c r="E143" s="1" t="s">
        <v>252</v>
      </c>
      <c r="F143" s="4">
        <v>1097</v>
      </c>
      <c r="G143" s="3">
        <v>37</v>
      </c>
      <c r="H143" s="3" t="s">
        <v>44</v>
      </c>
      <c r="I143" s="3">
        <v>390</v>
      </c>
      <c r="J143" s="3">
        <v>1</v>
      </c>
      <c r="K143" s="3">
        <v>2627</v>
      </c>
    </row>
    <row r="144" spans="1:11" ht="15" customHeight="1" x14ac:dyDescent="0.2">
      <c r="A144" s="3" t="s">
        <v>329</v>
      </c>
      <c r="B144" s="1" t="s">
        <v>330</v>
      </c>
      <c r="C144" s="3" t="s">
        <v>251</v>
      </c>
      <c r="D144" s="3" t="s">
        <v>47</v>
      </c>
      <c r="E144" s="1" t="s">
        <v>252</v>
      </c>
      <c r="F144" s="4">
        <v>1497</v>
      </c>
      <c r="G144" s="3">
        <v>40</v>
      </c>
      <c r="H144" s="3" t="s">
        <v>44</v>
      </c>
      <c r="I144" s="3">
        <v>40</v>
      </c>
      <c r="J144" s="3">
        <v>31</v>
      </c>
      <c r="K144" s="3">
        <v>174</v>
      </c>
    </row>
    <row r="145" spans="1:11" ht="15" customHeight="1" x14ac:dyDescent="0.2">
      <c r="A145" s="3" t="s">
        <v>331</v>
      </c>
      <c r="B145" s="1" t="s">
        <v>332</v>
      </c>
      <c r="C145" s="3" t="s">
        <v>251</v>
      </c>
      <c r="D145" s="3" t="s">
        <v>47</v>
      </c>
      <c r="E145" s="1" t="s">
        <v>252</v>
      </c>
      <c r="F145" s="4">
        <v>1304</v>
      </c>
      <c r="G145" s="3">
        <v>34</v>
      </c>
      <c r="H145" s="3" t="s">
        <v>44</v>
      </c>
      <c r="I145" s="3">
        <v>98</v>
      </c>
      <c r="J145" s="3">
        <v>10</v>
      </c>
      <c r="K145" s="3">
        <v>485</v>
      </c>
    </row>
    <row r="146" spans="1:11" ht="15" customHeight="1" x14ac:dyDescent="0.2">
      <c r="A146" s="3" t="s">
        <v>333</v>
      </c>
      <c r="B146" s="1" t="s">
        <v>334</v>
      </c>
      <c r="C146" s="3" t="s">
        <v>251</v>
      </c>
      <c r="D146" s="3" t="s">
        <v>55</v>
      </c>
      <c r="E146" s="1" t="s">
        <v>252</v>
      </c>
      <c r="F146" s="4">
        <v>363</v>
      </c>
      <c r="G146" s="3">
        <v>37</v>
      </c>
      <c r="H146" s="3" t="s">
        <v>44</v>
      </c>
      <c r="I146" s="3">
        <v>25</v>
      </c>
      <c r="J146" s="3">
        <v>45</v>
      </c>
      <c r="K146" s="3">
        <v>111</v>
      </c>
    </row>
    <row r="147" spans="1:11" ht="15" customHeight="1" x14ac:dyDescent="0.2">
      <c r="A147" s="3" t="s">
        <v>335</v>
      </c>
      <c r="B147" s="1" t="s">
        <v>336</v>
      </c>
      <c r="C147" s="3" t="s">
        <v>251</v>
      </c>
      <c r="D147" s="3" t="s">
        <v>55</v>
      </c>
      <c r="E147" s="1" t="s">
        <v>252</v>
      </c>
      <c r="F147" s="4">
        <v>1356</v>
      </c>
      <c r="G147" s="3">
        <v>42</v>
      </c>
      <c r="H147" s="3" t="s">
        <v>44</v>
      </c>
      <c r="I147" s="3">
        <v>159</v>
      </c>
      <c r="J147" s="3">
        <v>57</v>
      </c>
      <c r="K147" s="3">
        <v>705</v>
      </c>
    </row>
    <row r="148" spans="1:11" ht="15" customHeight="1" x14ac:dyDescent="0.2">
      <c r="A148" s="3" t="s">
        <v>337</v>
      </c>
      <c r="B148" s="1" t="s">
        <v>338</v>
      </c>
      <c r="C148" s="3" t="s">
        <v>251</v>
      </c>
      <c r="D148" s="3" t="s">
        <v>55</v>
      </c>
      <c r="E148" s="1" t="s">
        <v>252</v>
      </c>
      <c r="F148" s="4">
        <v>498</v>
      </c>
      <c r="G148" s="3">
        <v>32</v>
      </c>
      <c r="H148" s="3" t="s">
        <v>44</v>
      </c>
      <c r="I148" s="3">
        <v>70</v>
      </c>
      <c r="J148" s="3">
        <v>163</v>
      </c>
      <c r="K148" s="3">
        <v>266</v>
      </c>
    </row>
    <row r="149" spans="1:11" ht="15" customHeight="1" x14ac:dyDescent="0.2">
      <c r="A149" s="3" t="s">
        <v>339</v>
      </c>
      <c r="B149" s="1" t="s">
        <v>340</v>
      </c>
      <c r="C149" s="3" t="s">
        <v>251</v>
      </c>
      <c r="D149" s="3" t="s">
        <v>47</v>
      </c>
      <c r="E149" s="1" t="s">
        <v>252</v>
      </c>
      <c r="F149" s="4">
        <v>1435</v>
      </c>
      <c r="G149" s="3">
        <v>35</v>
      </c>
      <c r="H149" s="3" t="s">
        <v>44</v>
      </c>
      <c r="I149" s="3">
        <v>127</v>
      </c>
      <c r="J149" s="3">
        <v>13</v>
      </c>
      <c r="K149" s="3">
        <v>664</v>
      </c>
    </row>
    <row r="150" spans="1:11" ht="15" customHeight="1" x14ac:dyDescent="0.2">
      <c r="A150" s="3" t="s">
        <v>341</v>
      </c>
      <c r="B150" s="1" t="s">
        <v>342</v>
      </c>
      <c r="C150" s="3" t="s">
        <v>251</v>
      </c>
      <c r="D150" s="3" t="s">
        <v>42</v>
      </c>
      <c r="E150" s="1" t="s">
        <v>252</v>
      </c>
      <c r="F150" s="4">
        <v>605</v>
      </c>
      <c r="G150" s="3">
        <v>35</v>
      </c>
      <c r="H150" s="3" t="s">
        <v>44</v>
      </c>
      <c r="I150" s="3">
        <v>41</v>
      </c>
      <c r="J150" s="3">
        <v>59</v>
      </c>
      <c r="K150" s="3">
        <v>199</v>
      </c>
    </row>
    <row r="151" spans="1:11" ht="15" customHeight="1" x14ac:dyDescent="0.2">
      <c r="A151" s="3" t="s">
        <v>343</v>
      </c>
      <c r="B151" s="1" t="s">
        <v>344</v>
      </c>
      <c r="C151" s="3" t="s">
        <v>251</v>
      </c>
      <c r="D151" s="3" t="s">
        <v>47</v>
      </c>
      <c r="E151" s="1" t="s">
        <v>252</v>
      </c>
      <c r="F151" s="4">
        <v>342</v>
      </c>
      <c r="G151" s="3">
        <v>33</v>
      </c>
      <c r="H151" s="3" t="s">
        <v>44</v>
      </c>
      <c r="I151" s="3">
        <v>95</v>
      </c>
      <c r="J151" s="3">
        <v>28</v>
      </c>
      <c r="K151" s="3">
        <v>299</v>
      </c>
    </row>
    <row r="152" spans="1:11" ht="15" customHeight="1" x14ac:dyDescent="0.2">
      <c r="A152" s="3" t="s">
        <v>345</v>
      </c>
      <c r="B152" s="1" t="s">
        <v>346</v>
      </c>
      <c r="C152" s="3" t="s">
        <v>251</v>
      </c>
      <c r="D152" s="3" t="s">
        <v>47</v>
      </c>
      <c r="E152" s="1" t="s">
        <v>252</v>
      </c>
      <c r="F152" s="4">
        <v>1273</v>
      </c>
      <c r="G152" s="3">
        <v>39</v>
      </c>
      <c r="H152" s="3" t="s">
        <v>44</v>
      </c>
      <c r="I152" s="3">
        <v>97</v>
      </c>
      <c r="J152" s="3">
        <v>36</v>
      </c>
      <c r="K152" s="3">
        <v>488</v>
      </c>
    </row>
    <row r="153" spans="1:11" ht="15" customHeight="1" x14ac:dyDescent="0.2">
      <c r="A153" s="3" t="s">
        <v>347</v>
      </c>
      <c r="B153" s="1" t="s">
        <v>348</v>
      </c>
      <c r="C153" s="3" t="s">
        <v>251</v>
      </c>
      <c r="D153" s="3" t="s">
        <v>47</v>
      </c>
      <c r="E153" s="1" t="s">
        <v>252</v>
      </c>
      <c r="F153" s="4">
        <v>1759</v>
      </c>
      <c r="G153" s="3">
        <v>36</v>
      </c>
      <c r="H153" s="3" t="s">
        <v>44</v>
      </c>
      <c r="I153" s="3">
        <v>145</v>
      </c>
      <c r="J153" s="3">
        <v>34</v>
      </c>
      <c r="K153" s="3">
        <v>763</v>
      </c>
    </row>
    <row r="154" spans="1:11" ht="15" customHeight="1" x14ac:dyDescent="0.2">
      <c r="A154" s="3" t="s">
        <v>349</v>
      </c>
      <c r="B154" s="1" t="s">
        <v>350</v>
      </c>
      <c r="C154" s="3" t="s">
        <v>251</v>
      </c>
      <c r="D154" s="3" t="s">
        <v>55</v>
      </c>
      <c r="E154" s="1" t="s">
        <v>252</v>
      </c>
      <c r="F154" s="4">
        <v>1541</v>
      </c>
      <c r="G154" s="3">
        <v>41</v>
      </c>
      <c r="H154" s="3" t="s">
        <v>44</v>
      </c>
      <c r="I154" s="3">
        <v>124</v>
      </c>
      <c r="J154" s="3">
        <v>39</v>
      </c>
      <c r="K154" s="3">
        <v>572</v>
      </c>
    </row>
    <row r="155" spans="1:11" ht="15" customHeight="1" x14ac:dyDescent="0.2">
      <c r="A155" s="3" t="s">
        <v>351</v>
      </c>
      <c r="B155" s="1" t="s">
        <v>352</v>
      </c>
      <c r="C155" s="3" t="s">
        <v>353</v>
      </c>
      <c r="D155" s="3" t="s">
        <v>42</v>
      </c>
      <c r="E155" s="1" t="s">
        <v>354</v>
      </c>
      <c r="F155" s="4">
        <v>207</v>
      </c>
      <c r="G155" s="3">
        <v>20</v>
      </c>
      <c r="H155" s="3" t="s">
        <v>72</v>
      </c>
      <c r="I155" s="3">
        <v>16</v>
      </c>
      <c r="J155" s="3">
        <v>145</v>
      </c>
      <c r="K155" s="3">
        <v>17</v>
      </c>
    </row>
    <row r="156" spans="1:11" ht="15" customHeight="1" x14ac:dyDescent="0.2">
      <c r="A156" s="3" t="s">
        <v>355</v>
      </c>
      <c r="B156" s="1" t="s">
        <v>356</v>
      </c>
      <c r="C156" s="3" t="s">
        <v>353</v>
      </c>
      <c r="D156" s="3" t="s">
        <v>42</v>
      </c>
      <c r="E156" s="1" t="s">
        <v>357</v>
      </c>
      <c r="F156" s="4">
        <v>236</v>
      </c>
      <c r="G156" s="3">
        <v>25</v>
      </c>
      <c r="H156" s="3" t="s">
        <v>44</v>
      </c>
      <c r="I156" s="3">
        <v>826</v>
      </c>
      <c r="J156" s="3">
        <v>70</v>
      </c>
      <c r="K156" s="3">
        <v>6116</v>
      </c>
    </row>
    <row r="157" spans="1:11" ht="15" customHeight="1" x14ac:dyDescent="0.2">
      <c r="A157" s="3" t="s">
        <v>358</v>
      </c>
      <c r="B157" s="1" t="s">
        <v>359</v>
      </c>
      <c r="C157" s="3" t="s">
        <v>353</v>
      </c>
      <c r="D157" s="3" t="s">
        <v>55</v>
      </c>
      <c r="E157" s="1" t="s">
        <v>357</v>
      </c>
      <c r="F157" s="4">
        <v>23</v>
      </c>
      <c r="G157" s="3">
        <v>20</v>
      </c>
      <c r="H157" s="3" t="s">
        <v>44</v>
      </c>
      <c r="I157" s="3">
        <v>291</v>
      </c>
      <c r="J157" s="3">
        <v>50</v>
      </c>
      <c r="K157" s="3">
        <v>2364</v>
      </c>
    </row>
    <row r="158" spans="1:11" ht="15" customHeight="1" x14ac:dyDescent="0.2">
      <c r="A158" s="3" t="s">
        <v>360</v>
      </c>
      <c r="B158" s="1" t="s">
        <v>361</v>
      </c>
      <c r="C158" s="3" t="s">
        <v>353</v>
      </c>
      <c r="D158" s="3" t="s">
        <v>55</v>
      </c>
      <c r="E158" s="1" t="s">
        <v>357</v>
      </c>
      <c r="F158" s="4">
        <v>196</v>
      </c>
      <c r="G158" s="3">
        <v>19</v>
      </c>
      <c r="H158" s="3" t="s">
        <v>44</v>
      </c>
      <c r="I158" s="3">
        <v>398</v>
      </c>
      <c r="J158" s="3">
        <v>198</v>
      </c>
      <c r="K158" s="3">
        <v>1274</v>
      </c>
    </row>
    <row r="159" spans="1:11" ht="15" customHeight="1" x14ac:dyDescent="0.2">
      <c r="A159" s="3" t="s">
        <v>362</v>
      </c>
      <c r="B159" s="1" t="s">
        <v>363</v>
      </c>
      <c r="C159" s="3" t="s">
        <v>353</v>
      </c>
      <c r="D159" s="3" t="s">
        <v>42</v>
      </c>
      <c r="E159" s="1" t="s">
        <v>357</v>
      </c>
      <c r="F159" s="4">
        <v>43</v>
      </c>
      <c r="G159" s="3">
        <v>20</v>
      </c>
      <c r="H159" s="3" t="s">
        <v>44</v>
      </c>
      <c r="I159" s="3">
        <v>1099</v>
      </c>
      <c r="J159" s="3">
        <v>2</v>
      </c>
      <c r="K159" s="3">
        <v>9491</v>
      </c>
    </row>
    <row r="160" spans="1:11" ht="15" customHeight="1" x14ac:dyDescent="0.2">
      <c r="A160" s="3" t="s">
        <v>364</v>
      </c>
      <c r="B160" s="1" t="s">
        <v>365</v>
      </c>
      <c r="C160" s="3" t="s">
        <v>353</v>
      </c>
      <c r="D160" s="3" t="s">
        <v>42</v>
      </c>
      <c r="E160" s="1" t="s">
        <v>357</v>
      </c>
      <c r="F160" s="4">
        <v>250</v>
      </c>
      <c r="G160" s="3">
        <v>27</v>
      </c>
      <c r="H160" s="3" t="s">
        <v>44</v>
      </c>
      <c r="I160" s="3">
        <v>1034</v>
      </c>
      <c r="J160" s="3">
        <v>9</v>
      </c>
      <c r="K160" s="3">
        <v>7215</v>
      </c>
    </row>
    <row r="161" spans="1:11" ht="15" customHeight="1" x14ac:dyDescent="0.2">
      <c r="A161" s="3" t="s">
        <v>366</v>
      </c>
      <c r="B161" s="1" t="s">
        <v>367</v>
      </c>
      <c r="C161" s="3" t="s">
        <v>353</v>
      </c>
      <c r="D161" s="3" t="s">
        <v>55</v>
      </c>
      <c r="E161" s="1" t="s">
        <v>357</v>
      </c>
      <c r="F161" s="4">
        <v>111</v>
      </c>
      <c r="G161" s="3">
        <v>25</v>
      </c>
      <c r="H161" s="3" t="s">
        <v>44</v>
      </c>
      <c r="I161" s="3">
        <v>205</v>
      </c>
      <c r="J161" s="3">
        <v>46</v>
      </c>
      <c r="K161" s="3">
        <v>1384</v>
      </c>
    </row>
    <row r="162" spans="1:11" ht="15" customHeight="1" x14ac:dyDescent="0.2">
      <c r="A162" s="3" t="s">
        <v>368</v>
      </c>
      <c r="B162" s="1" t="s">
        <v>369</v>
      </c>
      <c r="C162" s="3" t="s">
        <v>353</v>
      </c>
      <c r="D162" s="3" t="s">
        <v>55</v>
      </c>
      <c r="E162" s="1" t="s">
        <v>357</v>
      </c>
      <c r="F162" s="4">
        <v>111</v>
      </c>
      <c r="G162" s="3">
        <v>25</v>
      </c>
      <c r="H162" s="3" t="s">
        <v>44</v>
      </c>
      <c r="I162" s="3">
        <v>167</v>
      </c>
      <c r="J162" s="3">
        <v>153</v>
      </c>
      <c r="K162" s="3">
        <v>570</v>
      </c>
    </row>
    <row r="163" spans="1:11" ht="15" customHeight="1" x14ac:dyDescent="0.2">
      <c r="A163" s="3" t="s">
        <v>370</v>
      </c>
      <c r="B163" s="1" t="s">
        <v>371</v>
      </c>
      <c r="C163" s="3" t="s">
        <v>353</v>
      </c>
      <c r="D163" s="3" t="s">
        <v>42</v>
      </c>
      <c r="E163" s="1" t="s">
        <v>357</v>
      </c>
      <c r="F163" s="4">
        <v>107</v>
      </c>
      <c r="G163" s="3">
        <v>16</v>
      </c>
      <c r="H163" s="3" t="s">
        <v>44</v>
      </c>
      <c r="I163" s="3">
        <v>584</v>
      </c>
      <c r="J163" s="3">
        <v>1</v>
      </c>
      <c r="K163" s="3">
        <v>6750</v>
      </c>
    </row>
    <row r="164" spans="1:11" ht="15" customHeight="1" x14ac:dyDescent="0.2">
      <c r="A164" s="3" t="s">
        <v>372</v>
      </c>
      <c r="B164" s="1" t="s">
        <v>373</v>
      </c>
      <c r="C164" s="3" t="s">
        <v>353</v>
      </c>
      <c r="D164" s="3" t="s">
        <v>55</v>
      </c>
      <c r="E164" s="1" t="s">
        <v>354</v>
      </c>
      <c r="F164" s="4">
        <v>212</v>
      </c>
      <c r="G164" s="3">
        <v>16</v>
      </c>
      <c r="H164" s="3" t="s">
        <v>44</v>
      </c>
      <c r="I164" s="3">
        <v>162</v>
      </c>
      <c r="J164" s="3">
        <v>61</v>
      </c>
      <c r="K164" s="3">
        <v>1651</v>
      </c>
    </row>
    <row r="165" spans="1:11" ht="15" customHeight="1" x14ac:dyDescent="0.2">
      <c r="A165" s="3" t="s">
        <v>374</v>
      </c>
      <c r="B165" s="1" t="s">
        <v>375</v>
      </c>
      <c r="C165" s="3" t="s">
        <v>353</v>
      </c>
      <c r="D165" s="3" t="s">
        <v>42</v>
      </c>
      <c r="E165" s="1" t="s">
        <v>354</v>
      </c>
      <c r="F165" s="4">
        <v>29</v>
      </c>
      <c r="G165" s="3">
        <v>18</v>
      </c>
      <c r="H165" s="3" t="s">
        <v>44</v>
      </c>
      <c r="I165" s="3">
        <v>765</v>
      </c>
      <c r="J165" s="3">
        <v>166</v>
      </c>
      <c r="K165" s="3">
        <v>2288</v>
      </c>
    </row>
    <row r="166" spans="1:11" ht="15" customHeight="1" x14ac:dyDescent="0.2">
      <c r="A166" s="3" t="s">
        <v>376</v>
      </c>
      <c r="B166" s="1" t="s">
        <v>377</v>
      </c>
      <c r="C166" s="3" t="s">
        <v>353</v>
      </c>
      <c r="D166" s="3" t="s">
        <v>47</v>
      </c>
      <c r="E166" s="1" t="s">
        <v>354</v>
      </c>
      <c r="F166" s="4">
        <v>171</v>
      </c>
      <c r="G166" s="3">
        <v>25</v>
      </c>
      <c r="H166" s="3" t="s">
        <v>44</v>
      </c>
      <c r="I166" s="3">
        <v>326</v>
      </c>
      <c r="J166" s="3">
        <v>51</v>
      </c>
      <c r="K166" s="3">
        <v>2315</v>
      </c>
    </row>
    <row r="167" spans="1:11" ht="15" customHeight="1" x14ac:dyDescent="0.2">
      <c r="A167" s="3" t="s">
        <v>378</v>
      </c>
      <c r="B167" s="1" t="s">
        <v>379</v>
      </c>
      <c r="C167" s="3" t="s">
        <v>353</v>
      </c>
      <c r="D167" s="3" t="s">
        <v>47</v>
      </c>
      <c r="E167" s="1" t="s">
        <v>354</v>
      </c>
      <c r="F167" s="4">
        <v>73</v>
      </c>
      <c r="G167" s="3">
        <v>21</v>
      </c>
      <c r="H167" s="3" t="s">
        <v>44</v>
      </c>
      <c r="I167" s="3">
        <v>65</v>
      </c>
      <c r="J167" s="3">
        <v>22</v>
      </c>
      <c r="K167" s="3">
        <v>501</v>
      </c>
    </row>
    <row r="168" spans="1:11" ht="15" customHeight="1" x14ac:dyDescent="0.2">
      <c r="A168" s="3" t="s">
        <v>380</v>
      </c>
      <c r="B168" s="1" t="s">
        <v>381</v>
      </c>
      <c r="C168" s="3" t="s">
        <v>353</v>
      </c>
      <c r="D168" s="3" t="s">
        <v>55</v>
      </c>
      <c r="E168" s="1" t="s">
        <v>357</v>
      </c>
      <c r="F168" s="4">
        <v>50</v>
      </c>
      <c r="G168" s="3">
        <v>16</v>
      </c>
      <c r="H168" s="3" t="s">
        <v>44</v>
      </c>
      <c r="I168" s="3">
        <v>98</v>
      </c>
      <c r="J168" s="3">
        <v>19</v>
      </c>
      <c r="K168" s="3">
        <v>928</v>
      </c>
    </row>
    <row r="169" spans="1:11" ht="15" customHeight="1" x14ac:dyDescent="0.2">
      <c r="A169" s="3" t="s">
        <v>382</v>
      </c>
      <c r="B169" s="1" t="s">
        <v>383</v>
      </c>
      <c r="C169" s="3" t="s">
        <v>353</v>
      </c>
      <c r="D169" s="3" t="s">
        <v>42</v>
      </c>
      <c r="E169" s="1" t="s">
        <v>357</v>
      </c>
      <c r="F169" s="4">
        <v>28</v>
      </c>
      <c r="G169" s="3">
        <v>19</v>
      </c>
      <c r="H169" s="3" t="s">
        <v>44</v>
      </c>
      <c r="I169" s="3">
        <v>470</v>
      </c>
      <c r="J169" s="3">
        <v>9</v>
      </c>
      <c r="K169" s="3">
        <v>4439</v>
      </c>
    </row>
    <row r="170" spans="1:11" ht="15" customHeight="1" x14ac:dyDescent="0.2">
      <c r="A170" s="3" t="s">
        <v>384</v>
      </c>
      <c r="B170" s="1" t="s">
        <v>385</v>
      </c>
      <c r="C170" s="3" t="s">
        <v>353</v>
      </c>
      <c r="D170" s="3" t="s">
        <v>55</v>
      </c>
      <c r="E170" s="1" t="s">
        <v>357</v>
      </c>
      <c r="F170" s="4">
        <v>27</v>
      </c>
      <c r="G170" s="3">
        <v>27</v>
      </c>
      <c r="H170" s="3" t="s">
        <v>44</v>
      </c>
      <c r="I170" s="3">
        <v>47</v>
      </c>
      <c r="J170" s="3">
        <v>60</v>
      </c>
      <c r="K170" s="3">
        <v>288</v>
      </c>
    </row>
    <row r="171" spans="1:11" ht="15" customHeight="1" x14ac:dyDescent="0.2">
      <c r="A171" s="3" t="s">
        <v>386</v>
      </c>
      <c r="B171" s="1" t="s">
        <v>387</v>
      </c>
      <c r="C171" s="3" t="s">
        <v>353</v>
      </c>
      <c r="D171" s="3" t="s">
        <v>47</v>
      </c>
      <c r="E171" s="1" t="s">
        <v>354</v>
      </c>
      <c r="F171" s="4">
        <v>88</v>
      </c>
      <c r="G171" s="3">
        <v>15</v>
      </c>
      <c r="H171" s="3" t="s">
        <v>44</v>
      </c>
      <c r="I171" s="3">
        <v>465</v>
      </c>
      <c r="J171" s="3">
        <v>26</v>
      </c>
      <c r="K171" s="3">
        <v>5267</v>
      </c>
    </row>
    <row r="172" spans="1:11" ht="15" customHeight="1" x14ac:dyDescent="0.2">
      <c r="A172" s="3" t="s">
        <v>388</v>
      </c>
      <c r="B172" s="1" t="s">
        <v>389</v>
      </c>
      <c r="C172" s="3" t="s">
        <v>353</v>
      </c>
      <c r="D172" s="3" t="s">
        <v>42</v>
      </c>
      <c r="E172" s="1" t="s">
        <v>357</v>
      </c>
      <c r="F172" s="4">
        <v>174</v>
      </c>
      <c r="G172" s="3">
        <v>24</v>
      </c>
      <c r="H172" s="3" t="s">
        <v>44</v>
      </c>
      <c r="I172" s="3">
        <v>137</v>
      </c>
      <c r="J172" s="3">
        <v>20</v>
      </c>
      <c r="K172" s="3">
        <v>977</v>
      </c>
    </row>
    <row r="173" spans="1:11" ht="15" customHeight="1" x14ac:dyDescent="0.2">
      <c r="A173" s="3" t="s">
        <v>390</v>
      </c>
      <c r="B173" s="1" t="s">
        <v>391</v>
      </c>
      <c r="C173" s="3" t="s">
        <v>353</v>
      </c>
      <c r="D173" s="3" t="s">
        <v>47</v>
      </c>
      <c r="E173" s="1" t="s">
        <v>354</v>
      </c>
      <c r="F173" s="4">
        <v>134</v>
      </c>
      <c r="G173" s="3">
        <v>18</v>
      </c>
      <c r="H173" s="3" t="s">
        <v>44</v>
      </c>
      <c r="I173" s="3">
        <v>188</v>
      </c>
      <c r="J173" s="3">
        <v>2</v>
      </c>
      <c r="K173" s="3">
        <v>1746</v>
      </c>
    </row>
    <row r="174" spans="1:11" ht="15" customHeight="1" x14ac:dyDescent="0.2">
      <c r="A174" s="3" t="s">
        <v>392</v>
      </c>
      <c r="B174" s="1" t="s">
        <v>393</v>
      </c>
      <c r="C174" s="3" t="s">
        <v>353</v>
      </c>
      <c r="D174" s="3" t="s">
        <v>47</v>
      </c>
      <c r="E174" s="1" t="s">
        <v>354</v>
      </c>
      <c r="F174" s="4">
        <v>156</v>
      </c>
      <c r="G174" s="3">
        <v>19</v>
      </c>
      <c r="H174" s="3" t="s">
        <v>44</v>
      </c>
      <c r="I174" s="3">
        <v>150</v>
      </c>
      <c r="J174" s="3">
        <v>21</v>
      </c>
      <c r="K174" s="3">
        <v>1223</v>
      </c>
    </row>
    <row r="175" spans="1:11" ht="15" customHeight="1" x14ac:dyDescent="0.2">
      <c r="A175" s="3" t="s">
        <v>394</v>
      </c>
      <c r="B175" s="1" t="s">
        <v>395</v>
      </c>
      <c r="C175" s="3" t="s">
        <v>353</v>
      </c>
      <c r="D175" s="3" t="s">
        <v>55</v>
      </c>
      <c r="E175" s="1" t="s">
        <v>354</v>
      </c>
      <c r="F175" s="4">
        <v>33</v>
      </c>
      <c r="G175" s="3">
        <v>23</v>
      </c>
      <c r="H175" s="3" t="s">
        <v>44</v>
      </c>
      <c r="I175" s="3">
        <v>336</v>
      </c>
      <c r="J175" s="3">
        <v>59</v>
      </c>
      <c r="K175" s="3">
        <v>2640</v>
      </c>
    </row>
    <row r="176" spans="1:11" ht="15" customHeight="1" x14ac:dyDescent="0.2">
      <c r="A176" s="3" t="s">
        <v>396</v>
      </c>
      <c r="B176" s="1" t="s">
        <v>397</v>
      </c>
      <c r="C176" s="3" t="s">
        <v>353</v>
      </c>
      <c r="D176" s="3" t="s">
        <v>42</v>
      </c>
      <c r="E176" s="1" t="s">
        <v>354</v>
      </c>
      <c r="F176" s="4">
        <v>156</v>
      </c>
      <c r="G176" s="3">
        <v>18</v>
      </c>
      <c r="H176" s="3" t="s">
        <v>44</v>
      </c>
      <c r="I176" s="3">
        <v>255</v>
      </c>
      <c r="J176" s="3">
        <v>68</v>
      </c>
      <c r="K176" s="3">
        <v>1204</v>
      </c>
    </row>
    <row r="177" spans="1:11" ht="15" customHeight="1" x14ac:dyDescent="0.2">
      <c r="A177" s="3" t="s">
        <v>398</v>
      </c>
      <c r="B177" s="1" t="s">
        <v>399</v>
      </c>
      <c r="C177" s="3" t="s">
        <v>353</v>
      </c>
      <c r="D177" s="3" t="s">
        <v>47</v>
      </c>
      <c r="E177" s="1" t="s">
        <v>354</v>
      </c>
      <c r="F177" s="4">
        <v>209</v>
      </c>
      <c r="G177" s="3">
        <v>18</v>
      </c>
      <c r="H177" s="3" t="s">
        <v>44</v>
      </c>
      <c r="I177" s="3">
        <v>87</v>
      </c>
      <c r="J177" s="3">
        <v>57</v>
      </c>
      <c r="K177" s="3">
        <v>464</v>
      </c>
    </row>
    <row r="178" spans="1:11" ht="15" customHeight="1" x14ac:dyDescent="0.2">
      <c r="A178" s="3" t="s">
        <v>400</v>
      </c>
      <c r="B178" s="1" t="s">
        <v>401</v>
      </c>
      <c r="C178" s="3" t="s">
        <v>353</v>
      </c>
      <c r="D178" s="3" t="s">
        <v>47</v>
      </c>
      <c r="E178" s="1" t="s">
        <v>357</v>
      </c>
      <c r="F178" s="4">
        <v>219</v>
      </c>
      <c r="G178" s="3">
        <v>28</v>
      </c>
      <c r="H178" s="3" t="s">
        <v>44</v>
      </c>
      <c r="I178" s="3">
        <v>113</v>
      </c>
      <c r="J178" s="3">
        <v>1</v>
      </c>
      <c r="K178" s="3">
        <v>714</v>
      </c>
    </row>
    <row r="179" spans="1:11" ht="15" customHeight="1" x14ac:dyDescent="0.2">
      <c r="A179" s="3" t="s">
        <v>402</v>
      </c>
      <c r="B179" s="1" t="s">
        <v>403</v>
      </c>
      <c r="C179" s="3" t="s">
        <v>353</v>
      </c>
      <c r="D179" s="3" t="s">
        <v>42</v>
      </c>
      <c r="E179" s="1" t="s">
        <v>354</v>
      </c>
      <c r="F179" s="4">
        <v>53</v>
      </c>
      <c r="G179" s="3">
        <v>19</v>
      </c>
      <c r="H179" s="3" t="s">
        <v>44</v>
      </c>
      <c r="I179" s="3">
        <v>208</v>
      </c>
      <c r="J179" s="3">
        <v>145</v>
      </c>
      <c r="K179" s="3">
        <v>737</v>
      </c>
    </row>
    <row r="180" spans="1:11" ht="15" customHeight="1" x14ac:dyDescent="0.2">
      <c r="A180" s="3" t="s">
        <v>404</v>
      </c>
      <c r="B180" s="1" t="s">
        <v>405</v>
      </c>
      <c r="C180" s="3" t="s">
        <v>353</v>
      </c>
      <c r="D180" s="3" t="s">
        <v>55</v>
      </c>
      <c r="E180" s="1" t="s">
        <v>357</v>
      </c>
      <c r="F180" s="4">
        <v>81</v>
      </c>
      <c r="G180" s="3">
        <v>17</v>
      </c>
      <c r="H180" s="3" t="s">
        <v>44</v>
      </c>
      <c r="I180" s="3">
        <v>84</v>
      </c>
      <c r="J180" s="3">
        <v>22</v>
      </c>
      <c r="K180" s="3">
        <v>794</v>
      </c>
    </row>
    <row r="181" spans="1:11" ht="15" customHeight="1" x14ac:dyDescent="0.2">
      <c r="A181" s="3" t="s">
        <v>406</v>
      </c>
      <c r="B181" s="1" t="s">
        <v>407</v>
      </c>
      <c r="C181" s="3" t="s">
        <v>353</v>
      </c>
      <c r="D181" s="3" t="s">
        <v>47</v>
      </c>
      <c r="E181" s="1" t="s">
        <v>354</v>
      </c>
      <c r="F181" s="4">
        <v>32</v>
      </c>
      <c r="G181" s="3">
        <v>15</v>
      </c>
      <c r="H181" s="3" t="s">
        <v>44</v>
      </c>
      <c r="I181" s="3">
        <v>474</v>
      </c>
      <c r="J181" s="3">
        <v>98</v>
      </c>
      <c r="K181" s="3">
        <v>1531</v>
      </c>
    </row>
    <row r="182" spans="1:11" ht="15" customHeight="1" x14ac:dyDescent="0.2">
      <c r="A182" s="3" t="s">
        <v>408</v>
      </c>
      <c r="B182" s="1" t="s">
        <v>409</v>
      </c>
      <c r="C182" s="3" t="s">
        <v>353</v>
      </c>
      <c r="D182" s="3" t="s">
        <v>55</v>
      </c>
      <c r="E182" s="1" t="s">
        <v>354</v>
      </c>
      <c r="F182" s="4">
        <v>95</v>
      </c>
      <c r="G182" s="3">
        <v>15</v>
      </c>
      <c r="H182" s="3" t="s">
        <v>44</v>
      </c>
      <c r="I182" s="3">
        <v>121</v>
      </c>
      <c r="J182" s="3">
        <v>49</v>
      </c>
      <c r="K182" s="3">
        <v>1209</v>
      </c>
    </row>
    <row r="183" spans="1:11" ht="15" customHeight="1" x14ac:dyDescent="0.2">
      <c r="A183" s="3" t="s">
        <v>410</v>
      </c>
      <c r="B183" s="1" t="s">
        <v>411</v>
      </c>
      <c r="C183" s="3" t="s">
        <v>353</v>
      </c>
      <c r="D183" s="3" t="s">
        <v>42</v>
      </c>
      <c r="E183" s="1" t="s">
        <v>357</v>
      </c>
      <c r="F183" s="4">
        <v>229</v>
      </c>
      <c r="G183" s="3">
        <v>24</v>
      </c>
      <c r="H183" s="3" t="s">
        <v>44</v>
      </c>
      <c r="I183" s="3">
        <v>111</v>
      </c>
      <c r="J183" s="3">
        <v>42</v>
      </c>
      <c r="K183" s="3">
        <v>582</v>
      </c>
    </row>
    <row r="184" spans="1:11" ht="15" customHeight="1" x14ac:dyDescent="0.2">
      <c r="A184" s="3" t="s">
        <v>412</v>
      </c>
      <c r="B184" s="1" t="s">
        <v>413</v>
      </c>
      <c r="C184" s="3" t="s">
        <v>353</v>
      </c>
      <c r="D184" s="3" t="s">
        <v>42</v>
      </c>
      <c r="E184" s="1" t="s">
        <v>354</v>
      </c>
      <c r="F184" s="4">
        <v>230</v>
      </c>
      <c r="G184" s="3">
        <v>20</v>
      </c>
      <c r="H184" s="3" t="s">
        <v>44</v>
      </c>
      <c r="I184" s="3">
        <v>309</v>
      </c>
      <c r="J184" s="3">
        <v>30</v>
      </c>
      <c r="K184" s="3">
        <v>2607</v>
      </c>
    </row>
    <row r="185" spans="1:11" ht="15" customHeight="1" x14ac:dyDescent="0.2">
      <c r="A185" s="3" t="s">
        <v>414</v>
      </c>
      <c r="B185" s="1" t="s">
        <v>415</v>
      </c>
      <c r="C185" s="3" t="s">
        <v>353</v>
      </c>
      <c r="D185" s="3" t="s">
        <v>55</v>
      </c>
      <c r="E185" s="1" t="s">
        <v>357</v>
      </c>
      <c r="F185" s="4">
        <v>175</v>
      </c>
      <c r="G185" s="3">
        <v>16</v>
      </c>
      <c r="H185" s="3" t="s">
        <v>44</v>
      </c>
      <c r="I185" s="3">
        <v>70</v>
      </c>
      <c r="J185" s="3">
        <v>45</v>
      </c>
      <c r="K185" s="3">
        <v>683</v>
      </c>
    </row>
    <row r="186" spans="1:11" ht="15" customHeight="1" x14ac:dyDescent="0.2">
      <c r="A186" s="3" t="s">
        <v>416</v>
      </c>
      <c r="B186" s="1" t="s">
        <v>417</v>
      </c>
      <c r="C186" s="3" t="s">
        <v>353</v>
      </c>
      <c r="D186" s="3" t="s">
        <v>47</v>
      </c>
      <c r="E186" s="1" t="s">
        <v>357</v>
      </c>
      <c r="F186" s="4">
        <v>118</v>
      </c>
      <c r="G186" s="3">
        <v>28</v>
      </c>
      <c r="H186" s="3" t="s">
        <v>44</v>
      </c>
      <c r="I186" s="3">
        <v>289</v>
      </c>
      <c r="J186" s="3">
        <v>138</v>
      </c>
      <c r="K186" s="3">
        <v>957</v>
      </c>
    </row>
    <row r="187" spans="1:11" ht="15" customHeight="1" x14ac:dyDescent="0.2">
      <c r="A187" s="3" t="s">
        <v>418</v>
      </c>
      <c r="B187" s="1" t="s">
        <v>419</v>
      </c>
      <c r="C187" s="3" t="s">
        <v>353</v>
      </c>
      <c r="D187" s="3" t="s">
        <v>55</v>
      </c>
      <c r="E187" s="1" t="s">
        <v>354</v>
      </c>
      <c r="F187" s="4">
        <v>168</v>
      </c>
      <c r="G187" s="3">
        <v>25</v>
      </c>
      <c r="H187" s="3" t="s">
        <v>44</v>
      </c>
      <c r="I187" s="3">
        <v>226</v>
      </c>
      <c r="J187" s="3">
        <v>7</v>
      </c>
      <c r="K187" s="3">
        <v>1754</v>
      </c>
    </row>
    <row r="188" spans="1:11" ht="15" customHeight="1" x14ac:dyDescent="0.2">
      <c r="A188" s="3" t="s">
        <v>420</v>
      </c>
      <c r="B188" s="1" t="s">
        <v>421</v>
      </c>
      <c r="C188" s="3" t="s">
        <v>353</v>
      </c>
      <c r="D188" s="3" t="s">
        <v>42</v>
      </c>
      <c r="E188" s="1" t="s">
        <v>357</v>
      </c>
      <c r="F188" s="4">
        <v>82</v>
      </c>
      <c r="G188" s="3">
        <v>17</v>
      </c>
      <c r="H188" s="3" t="s">
        <v>44</v>
      </c>
      <c r="I188" s="3">
        <v>100</v>
      </c>
      <c r="J188" s="3">
        <v>57</v>
      </c>
      <c r="K188" s="3">
        <v>923</v>
      </c>
    </row>
    <row r="189" spans="1:11" ht="15" customHeight="1" x14ac:dyDescent="0.2">
      <c r="A189" s="3" t="s">
        <v>422</v>
      </c>
      <c r="B189" s="1" t="s">
        <v>423</v>
      </c>
      <c r="C189" s="3" t="s">
        <v>353</v>
      </c>
      <c r="D189" s="3" t="s">
        <v>55</v>
      </c>
      <c r="E189" s="1" t="s">
        <v>354</v>
      </c>
      <c r="F189" s="4">
        <v>190</v>
      </c>
      <c r="G189" s="3">
        <v>22</v>
      </c>
      <c r="H189" s="3" t="s">
        <v>44</v>
      </c>
      <c r="I189" s="3">
        <v>321</v>
      </c>
      <c r="J189" s="3">
        <v>8</v>
      </c>
      <c r="K189" s="3">
        <v>4975</v>
      </c>
    </row>
    <row r="190" spans="1:11" ht="15" customHeight="1" x14ac:dyDescent="0.2">
      <c r="A190" s="3" t="s">
        <v>424</v>
      </c>
      <c r="B190" s="1" t="s">
        <v>425</v>
      </c>
      <c r="C190" s="3" t="s">
        <v>353</v>
      </c>
      <c r="D190" s="3" t="s">
        <v>47</v>
      </c>
      <c r="E190" s="1" t="s">
        <v>357</v>
      </c>
      <c r="F190" s="4">
        <v>179</v>
      </c>
      <c r="G190" s="3">
        <v>28</v>
      </c>
      <c r="H190" s="3" t="s">
        <v>44</v>
      </c>
      <c r="I190" s="3">
        <v>371</v>
      </c>
      <c r="J190" s="3">
        <v>10</v>
      </c>
      <c r="K190" s="3">
        <v>2420</v>
      </c>
    </row>
    <row r="191" spans="1:11" ht="15" customHeight="1" x14ac:dyDescent="0.2">
      <c r="A191" s="3" t="s">
        <v>426</v>
      </c>
      <c r="B191" s="1" t="s">
        <v>427</v>
      </c>
      <c r="C191" s="3" t="s">
        <v>353</v>
      </c>
      <c r="D191" s="3" t="s">
        <v>47</v>
      </c>
      <c r="E191" s="1" t="s">
        <v>357</v>
      </c>
      <c r="F191" s="4">
        <v>123</v>
      </c>
      <c r="G191" s="3">
        <v>20</v>
      </c>
      <c r="H191" s="3" t="s">
        <v>44</v>
      </c>
      <c r="I191" s="3">
        <v>359</v>
      </c>
      <c r="J191" s="3">
        <v>65</v>
      </c>
      <c r="K191" s="3">
        <v>3190</v>
      </c>
    </row>
    <row r="192" spans="1:11" ht="15" customHeight="1" x14ac:dyDescent="0.2">
      <c r="A192" s="3" t="s">
        <v>428</v>
      </c>
      <c r="B192" s="1" t="s">
        <v>429</v>
      </c>
      <c r="C192" s="3" t="s">
        <v>353</v>
      </c>
      <c r="D192" s="3" t="s">
        <v>42</v>
      </c>
      <c r="E192" s="1" t="s">
        <v>357</v>
      </c>
      <c r="F192" s="4">
        <v>238</v>
      </c>
      <c r="G192" s="3">
        <v>21</v>
      </c>
      <c r="H192" s="3" t="s">
        <v>44</v>
      </c>
      <c r="I192" s="3">
        <v>142</v>
      </c>
      <c r="J192" s="3">
        <v>18</v>
      </c>
      <c r="K192" s="3">
        <v>1227</v>
      </c>
    </row>
    <row r="193" spans="1:11" ht="15" customHeight="1" x14ac:dyDescent="0.2">
      <c r="A193" s="3" t="s">
        <v>430</v>
      </c>
      <c r="B193" s="1" t="s">
        <v>431</v>
      </c>
      <c r="C193" s="3" t="s">
        <v>353</v>
      </c>
      <c r="D193" s="3" t="s">
        <v>42</v>
      </c>
      <c r="E193" s="1" t="s">
        <v>357</v>
      </c>
      <c r="F193" s="4">
        <v>212</v>
      </c>
      <c r="G193" s="3">
        <v>20</v>
      </c>
      <c r="H193" s="3" t="s">
        <v>44</v>
      </c>
      <c r="I193" s="3">
        <v>188</v>
      </c>
      <c r="J193" s="3">
        <v>52</v>
      </c>
      <c r="K193" s="3">
        <v>1617</v>
      </c>
    </row>
    <row r="194" spans="1:11" ht="15" customHeight="1" x14ac:dyDescent="0.2">
      <c r="A194" s="3" t="s">
        <v>432</v>
      </c>
      <c r="B194" s="1" t="s">
        <v>433</v>
      </c>
      <c r="C194" s="3" t="s">
        <v>353</v>
      </c>
      <c r="D194" s="3" t="s">
        <v>42</v>
      </c>
      <c r="E194" s="1" t="s">
        <v>354</v>
      </c>
      <c r="F194" s="4">
        <v>204</v>
      </c>
      <c r="G194" s="3">
        <v>18</v>
      </c>
      <c r="H194" s="3" t="s">
        <v>44</v>
      </c>
      <c r="I194" s="3">
        <v>233</v>
      </c>
      <c r="J194" s="3">
        <v>13</v>
      </c>
      <c r="K194" s="3">
        <v>2646</v>
      </c>
    </row>
    <row r="195" spans="1:11" ht="15" customHeight="1" x14ac:dyDescent="0.2">
      <c r="A195" s="3" t="s">
        <v>434</v>
      </c>
      <c r="B195" s="1" t="s">
        <v>435</v>
      </c>
      <c r="C195" s="3" t="s">
        <v>353</v>
      </c>
      <c r="D195" s="3" t="s">
        <v>42</v>
      </c>
      <c r="E195" s="1" t="s">
        <v>357</v>
      </c>
      <c r="F195" s="4">
        <v>230</v>
      </c>
      <c r="G195" s="3">
        <v>23</v>
      </c>
      <c r="H195" s="3" t="s">
        <v>44</v>
      </c>
      <c r="I195" s="3">
        <v>130</v>
      </c>
      <c r="J195" s="3">
        <v>19</v>
      </c>
      <c r="K195" s="3">
        <v>992</v>
      </c>
    </row>
    <row r="196" spans="1:11" ht="15" customHeight="1" x14ac:dyDescent="0.2">
      <c r="A196" s="3" t="s">
        <v>436</v>
      </c>
      <c r="B196" s="1" t="s">
        <v>437</v>
      </c>
      <c r="C196" s="3" t="s">
        <v>353</v>
      </c>
      <c r="D196" s="3" t="s">
        <v>42</v>
      </c>
      <c r="E196" s="1" t="s">
        <v>354</v>
      </c>
      <c r="F196" s="4">
        <v>26</v>
      </c>
      <c r="G196" s="3">
        <v>25</v>
      </c>
      <c r="H196" s="3" t="s">
        <v>44</v>
      </c>
      <c r="I196" s="3">
        <v>70</v>
      </c>
      <c r="J196" s="3">
        <v>52</v>
      </c>
      <c r="K196" s="3">
        <v>511</v>
      </c>
    </row>
    <row r="197" spans="1:11" ht="15" customHeight="1" x14ac:dyDescent="0.2">
      <c r="A197" s="3" t="s">
        <v>438</v>
      </c>
      <c r="B197" s="1" t="s">
        <v>439</v>
      </c>
      <c r="C197" s="3" t="s">
        <v>353</v>
      </c>
      <c r="D197" s="3" t="s">
        <v>47</v>
      </c>
      <c r="E197" s="1" t="s">
        <v>357</v>
      </c>
      <c r="F197" s="4">
        <v>145</v>
      </c>
      <c r="G197" s="3">
        <v>24</v>
      </c>
      <c r="H197" s="3" t="s">
        <v>44</v>
      </c>
      <c r="I197" s="3">
        <v>254</v>
      </c>
      <c r="J197" s="3">
        <v>38</v>
      </c>
      <c r="K197" s="3">
        <v>1875</v>
      </c>
    </row>
    <row r="198" spans="1:11" ht="15" customHeight="1" x14ac:dyDescent="0.2">
      <c r="A198" s="3" t="s">
        <v>440</v>
      </c>
      <c r="B198" s="1" t="s">
        <v>441</v>
      </c>
      <c r="C198" s="3" t="s">
        <v>353</v>
      </c>
      <c r="D198" s="3" t="s">
        <v>55</v>
      </c>
      <c r="E198" s="1" t="s">
        <v>357</v>
      </c>
      <c r="F198" s="4">
        <v>195</v>
      </c>
      <c r="G198" s="3">
        <v>17</v>
      </c>
      <c r="H198" s="3" t="s">
        <v>44</v>
      </c>
      <c r="I198" s="3">
        <v>26</v>
      </c>
      <c r="J198" s="3">
        <v>18</v>
      </c>
      <c r="K198" s="3">
        <v>209</v>
      </c>
    </row>
    <row r="199" spans="1:11" ht="15" customHeight="1" x14ac:dyDescent="0.2">
      <c r="A199" s="3" t="s">
        <v>442</v>
      </c>
      <c r="B199" s="1" t="s">
        <v>443</v>
      </c>
      <c r="C199" s="3" t="s">
        <v>353</v>
      </c>
      <c r="D199" s="3" t="s">
        <v>47</v>
      </c>
      <c r="E199" s="1" t="s">
        <v>354</v>
      </c>
      <c r="F199" s="4">
        <v>172</v>
      </c>
      <c r="G199" s="3">
        <v>19</v>
      </c>
      <c r="H199" s="3" t="s">
        <v>72</v>
      </c>
      <c r="I199" s="3">
        <v>166</v>
      </c>
      <c r="J199" s="3">
        <v>189</v>
      </c>
      <c r="K199" s="3">
        <v>1008</v>
      </c>
    </row>
    <row r="200" spans="1:11" ht="15" customHeight="1" x14ac:dyDescent="0.2">
      <c r="A200" s="3" t="s">
        <v>444</v>
      </c>
      <c r="B200" s="1" t="s">
        <v>445</v>
      </c>
      <c r="C200" s="3" t="s">
        <v>353</v>
      </c>
      <c r="D200" s="3" t="s">
        <v>47</v>
      </c>
      <c r="E200" s="1" t="s">
        <v>357</v>
      </c>
      <c r="F200" s="4">
        <v>132</v>
      </c>
      <c r="G200" s="3">
        <v>20</v>
      </c>
      <c r="H200" s="3" t="s">
        <v>44</v>
      </c>
      <c r="I200" s="3">
        <v>233</v>
      </c>
      <c r="J200" s="3">
        <v>55</v>
      </c>
      <c r="K200" s="3">
        <v>2016</v>
      </c>
    </row>
    <row r="201" spans="1:11" ht="15" customHeight="1" x14ac:dyDescent="0.2">
      <c r="A201" s="3" t="s">
        <v>446</v>
      </c>
      <c r="B201" s="1" t="s">
        <v>447</v>
      </c>
      <c r="C201" s="3" t="s">
        <v>353</v>
      </c>
      <c r="D201" s="3" t="s">
        <v>42</v>
      </c>
      <c r="E201" s="1" t="s">
        <v>357</v>
      </c>
      <c r="F201" s="4">
        <v>83</v>
      </c>
      <c r="G201" s="3">
        <v>28</v>
      </c>
      <c r="H201" s="3" t="s">
        <v>44</v>
      </c>
      <c r="I201" s="3">
        <v>875</v>
      </c>
      <c r="J201" s="3">
        <v>5</v>
      </c>
      <c r="K201" s="3">
        <v>5251</v>
      </c>
    </row>
    <row r="202" spans="1:11" ht="15" customHeight="1" x14ac:dyDescent="0.2">
      <c r="A202" s="3" t="s">
        <v>448</v>
      </c>
      <c r="B202" s="1" t="s">
        <v>449</v>
      </c>
      <c r="C202" s="3" t="s">
        <v>353</v>
      </c>
      <c r="D202" s="3" t="s">
        <v>47</v>
      </c>
      <c r="E202" s="1" t="s">
        <v>354</v>
      </c>
      <c r="F202" s="4">
        <v>15</v>
      </c>
      <c r="G202" s="3">
        <v>23</v>
      </c>
      <c r="H202" s="3" t="s">
        <v>44</v>
      </c>
      <c r="I202" s="3">
        <v>125</v>
      </c>
      <c r="J202" s="3">
        <v>143</v>
      </c>
      <c r="K202" s="3">
        <v>442</v>
      </c>
    </row>
    <row r="203" spans="1:11" ht="15" customHeight="1" x14ac:dyDescent="0.2">
      <c r="A203" s="3" t="s">
        <v>450</v>
      </c>
      <c r="B203" s="1" t="s">
        <v>451</v>
      </c>
      <c r="C203" s="3" t="s">
        <v>353</v>
      </c>
      <c r="D203" s="3" t="s">
        <v>47</v>
      </c>
      <c r="E203" s="1" t="s">
        <v>354</v>
      </c>
      <c r="F203" s="4">
        <v>20</v>
      </c>
      <c r="G203" s="3">
        <v>15</v>
      </c>
      <c r="H203" s="3" t="s">
        <v>72</v>
      </c>
      <c r="I203" s="3">
        <v>12</v>
      </c>
      <c r="J203" s="3">
        <v>167</v>
      </c>
      <c r="K203" s="3">
        <v>68</v>
      </c>
    </row>
    <row r="204" spans="1:11" ht="15" customHeight="1" x14ac:dyDescent="0.2">
      <c r="A204" s="3" t="s">
        <v>452</v>
      </c>
      <c r="B204" s="1" t="s">
        <v>453</v>
      </c>
      <c r="C204" s="3" t="s">
        <v>353</v>
      </c>
      <c r="D204" s="3" t="s">
        <v>47</v>
      </c>
      <c r="E204" s="1" t="s">
        <v>354</v>
      </c>
      <c r="F204" s="4">
        <v>207</v>
      </c>
      <c r="G204" s="3">
        <v>18</v>
      </c>
      <c r="H204" s="3" t="s">
        <v>44</v>
      </c>
      <c r="I204" s="3">
        <v>547</v>
      </c>
      <c r="J204" s="3">
        <v>42</v>
      </c>
      <c r="K204" s="3">
        <v>5604</v>
      </c>
    </row>
    <row r="205" spans="1:11" ht="15" customHeight="1" x14ac:dyDescent="0.2">
      <c r="A205" s="3" t="s">
        <v>454</v>
      </c>
      <c r="B205" s="1" t="s">
        <v>455</v>
      </c>
      <c r="C205" s="3" t="s">
        <v>456</v>
      </c>
      <c r="D205" s="3" t="s">
        <v>42</v>
      </c>
      <c r="E205" s="1" t="s">
        <v>357</v>
      </c>
      <c r="F205" s="4">
        <v>76</v>
      </c>
      <c r="G205" s="3">
        <v>16</v>
      </c>
      <c r="H205" s="3" t="s">
        <v>44</v>
      </c>
      <c r="I205" s="3">
        <v>30</v>
      </c>
      <c r="J205" s="3">
        <v>53</v>
      </c>
      <c r="K205" s="3">
        <v>172</v>
      </c>
    </row>
    <row r="206" spans="1:11" ht="15" customHeight="1" x14ac:dyDescent="0.2">
      <c r="A206" s="3" t="s">
        <v>457</v>
      </c>
      <c r="B206" s="1" t="s">
        <v>458</v>
      </c>
      <c r="C206" s="3" t="s">
        <v>456</v>
      </c>
      <c r="D206" s="3" t="s">
        <v>47</v>
      </c>
      <c r="E206" s="1" t="s">
        <v>43</v>
      </c>
      <c r="F206" s="4">
        <v>127</v>
      </c>
      <c r="G206" s="3">
        <v>20</v>
      </c>
      <c r="H206" s="3" t="s">
        <v>44</v>
      </c>
      <c r="I206" s="3">
        <v>91</v>
      </c>
      <c r="J206" s="3">
        <v>69</v>
      </c>
      <c r="K206" s="3">
        <v>760</v>
      </c>
    </row>
    <row r="207" spans="1:11" ht="15" customHeight="1" x14ac:dyDescent="0.2">
      <c r="A207" s="3" t="s">
        <v>459</v>
      </c>
      <c r="B207" s="1" t="s">
        <v>460</v>
      </c>
      <c r="C207" s="3" t="s">
        <v>456</v>
      </c>
      <c r="D207" s="3" t="s">
        <v>47</v>
      </c>
      <c r="E207" s="1" t="s">
        <v>43</v>
      </c>
      <c r="F207" s="4">
        <v>72</v>
      </c>
      <c r="G207" s="3">
        <v>14</v>
      </c>
      <c r="H207" s="3" t="s">
        <v>44</v>
      </c>
      <c r="I207" s="3">
        <v>48</v>
      </c>
      <c r="J207" s="3">
        <v>4</v>
      </c>
      <c r="K207" s="3">
        <v>501</v>
      </c>
    </row>
    <row r="208" spans="1:11" ht="15" customHeight="1" x14ac:dyDescent="0.2">
      <c r="A208" s="3" t="s">
        <v>461</v>
      </c>
      <c r="B208" s="1" t="s">
        <v>462</v>
      </c>
      <c r="C208" s="3" t="s">
        <v>456</v>
      </c>
      <c r="D208" s="3" t="s">
        <v>47</v>
      </c>
      <c r="E208" s="1" t="s">
        <v>357</v>
      </c>
      <c r="F208" s="4">
        <v>77</v>
      </c>
      <c r="G208" s="3">
        <v>16</v>
      </c>
      <c r="H208" s="3" t="s">
        <v>44</v>
      </c>
      <c r="I208" s="3">
        <v>182</v>
      </c>
      <c r="J208" s="3">
        <v>46</v>
      </c>
      <c r="K208" s="3">
        <v>1843</v>
      </c>
    </row>
    <row r="209" spans="1:11" ht="15" customHeight="1" x14ac:dyDescent="0.2">
      <c r="A209" s="3" t="s">
        <v>463</v>
      </c>
      <c r="B209" s="1" t="s">
        <v>464</v>
      </c>
      <c r="C209" s="3" t="s">
        <v>456</v>
      </c>
      <c r="D209" s="3" t="s">
        <v>42</v>
      </c>
      <c r="E209" s="1" t="s">
        <v>357</v>
      </c>
      <c r="F209" s="4">
        <v>50</v>
      </c>
      <c r="G209" s="3">
        <v>23</v>
      </c>
      <c r="H209" s="3" t="s">
        <v>44</v>
      </c>
      <c r="I209" s="3">
        <v>163</v>
      </c>
      <c r="J209" s="3">
        <v>3</v>
      </c>
      <c r="K209" s="3">
        <v>1260</v>
      </c>
    </row>
    <row r="210" spans="1:11" ht="15" customHeight="1" x14ac:dyDescent="0.2">
      <c r="A210" s="3" t="s">
        <v>465</v>
      </c>
      <c r="B210" s="1" t="s">
        <v>466</v>
      </c>
      <c r="C210" s="3" t="s">
        <v>456</v>
      </c>
      <c r="D210" s="3" t="s">
        <v>47</v>
      </c>
      <c r="E210" s="1" t="s">
        <v>43</v>
      </c>
      <c r="F210" s="4">
        <v>132</v>
      </c>
      <c r="G210" s="3">
        <v>16</v>
      </c>
      <c r="H210" s="3" t="s">
        <v>44</v>
      </c>
      <c r="I210" s="3">
        <v>136</v>
      </c>
      <c r="J210" s="3">
        <v>64</v>
      </c>
      <c r="K210" s="3">
        <v>1471</v>
      </c>
    </row>
    <row r="211" spans="1:11" ht="15" customHeight="1" x14ac:dyDescent="0.2">
      <c r="A211" s="3" t="s">
        <v>467</v>
      </c>
      <c r="B211" s="1" t="s">
        <v>468</v>
      </c>
      <c r="C211" s="3" t="s">
        <v>456</v>
      </c>
      <c r="D211" s="3" t="s">
        <v>47</v>
      </c>
      <c r="E211" s="1" t="s">
        <v>357</v>
      </c>
      <c r="F211" s="4">
        <v>30</v>
      </c>
      <c r="G211" s="3">
        <v>23</v>
      </c>
      <c r="H211" s="3" t="s">
        <v>44</v>
      </c>
      <c r="I211" s="3">
        <v>134</v>
      </c>
      <c r="J211" s="3">
        <v>58</v>
      </c>
      <c r="K211" s="3">
        <v>1041</v>
      </c>
    </row>
    <row r="212" spans="1:11" ht="15" customHeight="1" x14ac:dyDescent="0.2">
      <c r="A212" s="3" t="s">
        <v>469</v>
      </c>
      <c r="B212" s="1" t="s">
        <v>470</v>
      </c>
      <c r="C212" s="3" t="s">
        <v>456</v>
      </c>
      <c r="D212" s="3" t="s">
        <v>55</v>
      </c>
      <c r="E212" s="1" t="s">
        <v>43</v>
      </c>
      <c r="F212" s="4">
        <v>73</v>
      </c>
      <c r="G212" s="3">
        <v>25</v>
      </c>
      <c r="H212" s="3" t="s">
        <v>44</v>
      </c>
      <c r="I212" s="3">
        <v>494</v>
      </c>
      <c r="J212" s="3">
        <v>41</v>
      </c>
      <c r="K212" s="3">
        <v>3579</v>
      </c>
    </row>
    <row r="213" spans="1:11" ht="15" customHeight="1" x14ac:dyDescent="0.2">
      <c r="A213" s="3" t="s">
        <v>471</v>
      </c>
      <c r="B213" s="1" t="s">
        <v>472</v>
      </c>
      <c r="C213" s="3" t="s">
        <v>456</v>
      </c>
      <c r="D213" s="3" t="s">
        <v>42</v>
      </c>
      <c r="E213" s="1" t="s">
        <v>357</v>
      </c>
      <c r="F213" s="4">
        <v>119</v>
      </c>
      <c r="G213" s="3">
        <v>17</v>
      </c>
      <c r="H213" s="3" t="s">
        <v>44</v>
      </c>
      <c r="I213" s="3">
        <v>370</v>
      </c>
      <c r="J213" s="3">
        <v>15</v>
      </c>
      <c r="K213" s="3">
        <v>4697</v>
      </c>
    </row>
    <row r="214" spans="1:11" ht="15" customHeight="1" x14ac:dyDescent="0.2">
      <c r="A214" s="3" t="s">
        <v>473</v>
      </c>
      <c r="B214" s="1" t="s">
        <v>474</v>
      </c>
      <c r="C214" s="3" t="s">
        <v>456</v>
      </c>
      <c r="D214" s="3" t="s">
        <v>55</v>
      </c>
      <c r="E214" s="1" t="s">
        <v>357</v>
      </c>
      <c r="F214" s="4">
        <v>128</v>
      </c>
      <c r="G214" s="3">
        <v>16</v>
      </c>
      <c r="H214" s="3" t="s">
        <v>44</v>
      </c>
      <c r="I214" s="3">
        <v>463</v>
      </c>
      <c r="J214" s="3">
        <v>154</v>
      </c>
      <c r="K214" s="3">
        <v>1528</v>
      </c>
    </row>
    <row r="215" spans="1:11" ht="15" customHeight="1" x14ac:dyDescent="0.2">
      <c r="A215" s="3" t="s">
        <v>475</v>
      </c>
      <c r="B215" s="1" t="s">
        <v>476</v>
      </c>
      <c r="C215" s="3" t="s">
        <v>456</v>
      </c>
      <c r="D215" s="3" t="s">
        <v>42</v>
      </c>
      <c r="E215" s="1" t="s">
        <v>357</v>
      </c>
      <c r="F215" s="4">
        <v>83</v>
      </c>
      <c r="G215" s="3">
        <v>22</v>
      </c>
      <c r="H215" s="3" t="s">
        <v>44</v>
      </c>
      <c r="I215" s="3">
        <v>732</v>
      </c>
      <c r="J215" s="3">
        <v>6</v>
      </c>
      <c r="K215" s="3">
        <v>5578</v>
      </c>
    </row>
    <row r="216" spans="1:11" ht="15" customHeight="1" x14ac:dyDescent="0.2">
      <c r="A216" s="3" t="s">
        <v>477</v>
      </c>
      <c r="B216" s="1" t="s">
        <v>478</v>
      </c>
      <c r="C216" s="3" t="s">
        <v>456</v>
      </c>
      <c r="D216" s="3" t="s">
        <v>47</v>
      </c>
      <c r="E216" s="1" t="s">
        <v>357</v>
      </c>
      <c r="F216" s="4">
        <v>143</v>
      </c>
      <c r="G216" s="3">
        <v>25</v>
      </c>
      <c r="H216" s="3" t="s">
        <v>44</v>
      </c>
      <c r="I216" s="3">
        <v>126</v>
      </c>
      <c r="J216" s="3">
        <v>30</v>
      </c>
      <c r="K216" s="3">
        <v>905</v>
      </c>
    </row>
    <row r="217" spans="1:11" ht="15" customHeight="1" x14ac:dyDescent="0.2">
      <c r="A217" s="3" t="s">
        <v>479</v>
      </c>
      <c r="B217" s="1" t="s">
        <v>480</v>
      </c>
      <c r="C217" s="3" t="s">
        <v>456</v>
      </c>
      <c r="D217" s="3" t="s">
        <v>55</v>
      </c>
      <c r="E217" s="1" t="s">
        <v>43</v>
      </c>
      <c r="F217" s="4">
        <v>66</v>
      </c>
      <c r="G217" s="3">
        <v>21</v>
      </c>
      <c r="H217" s="3" t="s">
        <v>44</v>
      </c>
      <c r="I217" s="3">
        <v>467</v>
      </c>
      <c r="J217" s="3">
        <v>16</v>
      </c>
      <c r="K217" s="3">
        <v>3751</v>
      </c>
    </row>
    <row r="218" spans="1:11" ht="15" customHeight="1" x14ac:dyDescent="0.2">
      <c r="A218" s="3" t="s">
        <v>481</v>
      </c>
      <c r="B218" s="1" t="s">
        <v>482</v>
      </c>
      <c r="C218" s="3" t="s">
        <v>456</v>
      </c>
      <c r="D218" s="3" t="s">
        <v>47</v>
      </c>
      <c r="E218" s="1" t="s">
        <v>43</v>
      </c>
      <c r="F218" s="4">
        <v>68</v>
      </c>
      <c r="G218" s="3">
        <v>22</v>
      </c>
      <c r="H218" s="3" t="s">
        <v>44</v>
      </c>
      <c r="I218" s="3">
        <v>121</v>
      </c>
      <c r="J218" s="3">
        <v>70</v>
      </c>
      <c r="K218" s="3">
        <v>900</v>
      </c>
    </row>
    <row r="219" spans="1:11" ht="15" customHeight="1" x14ac:dyDescent="0.2">
      <c r="A219" s="3" t="s">
        <v>483</v>
      </c>
      <c r="B219" s="1" t="s">
        <v>484</v>
      </c>
      <c r="C219" s="3" t="s">
        <v>456</v>
      </c>
      <c r="D219" s="3" t="s">
        <v>47</v>
      </c>
      <c r="E219" s="1" t="s">
        <v>43</v>
      </c>
      <c r="F219" s="4">
        <v>104</v>
      </c>
      <c r="G219" s="3">
        <v>25</v>
      </c>
      <c r="H219" s="3" t="s">
        <v>44</v>
      </c>
      <c r="I219" s="3">
        <v>299</v>
      </c>
      <c r="J219" s="3">
        <v>4</v>
      </c>
      <c r="K219" s="3">
        <v>2112</v>
      </c>
    </row>
    <row r="220" spans="1:11" ht="15" customHeight="1" x14ac:dyDescent="0.2">
      <c r="A220" s="3" t="s">
        <v>485</v>
      </c>
      <c r="B220" s="1" t="s">
        <v>486</v>
      </c>
      <c r="C220" s="3" t="s">
        <v>456</v>
      </c>
      <c r="D220" s="3" t="s">
        <v>42</v>
      </c>
      <c r="E220" s="1" t="s">
        <v>43</v>
      </c>
      <c r="F220" s="4">
        <v>31</v>
      </c>
      <c r="G220" s="3">
        <v>21</v>
      </c>
      <c r="H220" s="3" t="s">
        <v>44</v>
      </c>
      <c r="I220" s="3">
        <v>706</v>
      </c>
      <c r="J220" s="3">
        <v>162</v>
      </c>
      <c r="K220" s="3">
        <v>2269</v>
      </c>
    </row>
    <row r="221" spans="1:11" ht="15" customHeight="1" x14ac:dyDescent="0.2">
      <c r="A221" s="3" t="s">
        <v>487</v>
      </c>
      <c r="B221" s="1" t="s">
        <v>488</v>
      </c>
      <c r="C221" s="3" t="s">
        <v>456</v>
      </c>
      <c r="D221" s="3" t="s">
        <v>42</v>
      </c>
      <c r="E221" s="1" t="s">
        <v>357</v>
      </c>
      <c r="F221" s="4">
        <v>55</v>
      </c>
      <c r="G221" s="3">
        <v>16</v>
      </c>
      <c r="H221" s="3" t="s">
        <v>44</v>
      </c>
      <c r="I221" s="3">
        <v>505</v>
      </c>
      <c r="J221" s="3">
        <v>164</v>
      </c>
      <c r="K221" s="3">
        <v>1781</v>
      </c>
    </row>
    <row r="222" spans="1:11" ht="15" customHeight="1" x14ac:dyDescent="0.2">
      <c r="A222" s="3" t="s">
        <v>489</v>
      </c>
      <c r="B222" s="1" t="s">
        <v>490</v>
      </c>
      <c r="C222" s="3" t="s">
        <v>456</v>
      </c>
      <c r="D222" s="3" t="s">
        <v>47</v>
      </c>
      <c r="E222" s="1" t="s">
        <v>357</v>
      </c>
      <c r="F222" s="4">
        <v>105</v>
      </c>
      <c r="G222" s="3">
        <v>17</v>
      </c>
      <c r="H222" s="3" t="s">
        <v>44</v>
      </c>
      <c r="I222" s="3">
        <v>42</v>
      </c>
      <c r="J222" s="3">
        <v>149</v>
      </c>
      <c r="K222" s="3">
        <v>159</v>
      </c>
    </row>
    <row r="223" spans="1:11" ht="15" customHeight="1" x14ac:dyDescent="0.2">
      <c r="A223" s="3" t="s">
        <v>491</v>
      </c>
      <c r="B223" s="1" t="s">
        <v>492</v>
      </c>
      <c r="C223" s="3" t="s">
        <v>456</v>
      </c>
      <c r="D223" s="3" t="s">
        <v>42</v>
      </c>
      <c r="E223" s="1" t="s">
        <v>43</v>
      </c>
      <c r="F223" s="4">
        <v>70</v>
      </c>
      <c r="G223" s="3">
        <v>19</v>
      </c>
      <c r="H223" s="3" t="s">
        <v>44</v>
      </c>
      <c r="I223" s="3">
        <v>152</v>
      </c>
      <c r="J223" s="3">
        <v>31</v>
      </c>
      <c r="K223" s="3">
        <v>1374</v>
      </c>
    </row>
    <row r="224" spans="1:11" ht="15" customHeight="1" x14ac:dyDescent="0.2">
      <c r="A224" s="3" t="s">
        <v>493</v>
      </c>
      <c r="B224" s="1" t="s">
        <v>494</v>
      </c>
      <c r="C224" s="3" t="s">
        <v>456</v>
      </c>
      <c r="D224" s="3" t="s">
        <v>55</v>
      </c>
      <c r="E224" s="1" t="s">
        <v>43</v>
      </c>
      <c r="F224" s="4">
        <v>145</v>
      </c>
      <c r="G224" s="3">
        <v>24</v>
      </c>
      <c r="H224" s="3" t="s">
        <v>44</v>
      </c>
      <c r="I224" s="3">
        <v>65</v>
      </c>
      <c r="J224" s="3">
        <v>44</v>
      </c>
      <c r="K224" s="3">
        <v>439</v>
      </c>
    </row>
    <row r="225" spans="1:11" ht="15" customHeight="1" x14ac:dyDescent="0.2">
      <c r="A225" s="3" t="s">
        <v>495</v>
      </c>
      <c r="B225" s="1" t="s">
        <v>496</v>
      </c>
      <c r="C225" s="3" t="s">
        <v>456</v>
      </c>
      <c r="D225" s="3" t="s">
        <v>42</v>
      </c>
      <c r="E225" s="1" t="s">
        <v>43</v>
      </c>
      <c r="F225" s="4">
        <v>155</v>
      </c>
      <c r="G225" s="3">
        <v>24</v>
      </c>
      <c r="H225" s="3" t="s">
        <v>44</v>
      </c>
      <c r="I225" s="3">
        <v>107</v>
      </c>
      <c r="J225" s="3">
        <v>39</v>
      </c>
      <c r="K225" s="3">
        <v>724</v>
      </c>
    </row>
    <row r="226" spans="1:11" ht="15" customHeight="1" x14ac:dyDescent="0.2">
      <c r="A226" s="3" t="s">
        <v>497</v>
      </c>
      <c r="B226" s="1" t="s">
        <v>498</v>
      </c>
      <c r="C226" s="3" t="s">
        <v>456</v>
      </c>
      <c r="D226" s="3" t="s">
        <v>55</v>
      </c>
      <c r="E226" s="1" t="s">
        <v>43</v>
      </c>
      <c r="F226" s="4">
        <v>49</v>
      </c>
      <c r="G226" s="3">
        <v>16</v>
      </c>
      <c r="H226" s="3" t="s">
        <v>44</v>
      </c>
      <c r="I226" s="3">
        <v>35</v>
      </c>
      <c r="J226" s="3">
        <v>70</v>
      </c>
      <c r="K226" s="3">
        <v>306</v>
      </c>
    </row>
    <row r="227" spans="1:11" ht="15" customHeight="1" x14ac:dyDescent="0.2">
      <c r="A227" s="3" t="s">
        <v>499</v>
      </c>
      <c r="B227" s="1" t="s">
        <v>500</v>
      </c>
      <c r="C227" s="3" t="s">
        <v>456</v>
      </c>
      <c r="D227" s="3" t="s">
        <v>55</v>
      </c>
      <c r="E227" s="1" t="s">
        <v>43</v>
      </c>
      <c r="F227" s="4">
        <v>79</v>
      </c>
      <c r="G227" s="3">
        <v>16</v>
      </c>
      <c r="H227" s="3" t="s">
        <v>44</v>
      </c>
      <c r="I227" s="3">
        <v>71</v>
      </c>
      <c r="J227" s="3">
        <v>19</v>
      </c>
      <c r="K227" s="3">
        <v>765</v>
      </c>
    </row>
    <row r="228" spans="1:11" ht="15" customHeight="1" x14ac:dyDescent="0.2">
      <c r="A228" s="3" t="s">
        <v>501</v>
      </c>
      <c r="B228" s="1" t="s">
        <v>502</v>
      </c>
      <c r="C228" s="3" t="s">
        <v>456</v>
      </c>
      <c r="D228" s="3" t="s">
        <v>55</v>
      </c>
      <c r="E228" s="1" t="s">
        <v>357</v>
      </c>
      <c r="F228" s="4">
        <v>57</v>
      </c>
      <c r="G228" s="3">
        <v>19</v>
      </c>
      <c r="H228" s="3" t="s">
        <v>44</v>
      </c>
      <c r="I228" s="3">
        <v>247</v>
      </c>
      <c r="J228" s="3">
        <v>193</v>
      </c>
      <c r="K228" s="3">
        <v>791</v>
      </c>
    </row>
    <row r="229" spans="1:11" ht="15" customHeight="1" x14ac:dyDescent="0.2">
      <c r="A229" s="3" t="s">
        <v>503</v>
      </c>
      <c r="B229" s="1" t="s">
        <v>504</v>
      </c>
      <c r="C229" s="3" t="s">
        <v>456</v>
      </c>
      <c r="D229" s="3" t="s">
        <v>47</v>
      </c>
      <c r="E229" s="1" t="s">
        <v>43</v>
      </c>
      <c r="F229" s="4">
        <v>117</v>
      </c>
      <c r="G229" s="3">
        <v>25</v>
      </c>
      <c r="H229" s="3" t="s">
        <v>44</v>
      </c>
      <c r="I229" s="3">
        <v>59</v>
      </c>
      <c r="J229" s="3">
        <v>14</v>
      </c>
      <c r="K229" s="3">
        <v>395</v>
      </c>
    </row>
    <row r="230" spans="1:11" ht="15" customHeight="1" x14ac:dyDescent="0.2">
      <c r="A230" s="3" t="s">
        <v>505</v>
      </c>
      <c r="B230" s="1" t="s">
        <v>506</v>
      </c>
      <c r="C230" s="3" t="s">
        <v>456</v>
      </c>
      <c r="D230" s="3" t="s">
        <v>47</v>
      </c>
      <c r="E230" s="1" t="s">
        <v>357</v>
      </c>
      <c r="F230" s="4">
        <v>146</v>
      </c>
      <c r="G230" s="3">
        <v>17</v>
      </c>
      <c r="H230" s="3" t="s">
        <v>44</v>
      </c>
      <c r="I230" s="3">
        <v>67</v>
      </c>
      <c r="J230" s="3">
        <v>35</v>
      </c>
      <c r="K230" s="3">
        <v>617</v>
      </c>
    </row>
    <row r="231" spans="1:11" ht="15" customHeight="1" x14ac:dyDescent="0.2">
      <c r="A231" s="3" t="s">
        <v>507</v>
      </c>
      <c r="B231" s="1" t="s">
        <v>508</v>
      </c>
      <c r="C231" s="3" t="s">
        <v>456</v>
      </c>
      <c r="D231" s="3" t="s">
        <v>55</v>
      </c>
      <c r="E231" s="1" t="s">
        <v>43</v>
      </c>
      <c r="F231" s="4">
        <v>118</v>
      </c>
      <c r="G231" s="3">
        <v>24</v>
      </c>
      <c r="H231" s="3" t="s">
        <v>44</v>
      </c>
      <c r="I231" s="3">
        <v>83</v>
      </c>
      <c r="J231" s="3">
        <v>8</v>
      </c>
      <c r="K231" s="3">
        <v>592</v>
      </c>
    </row>
    <row r="232" spans="1:11" ht="15" customHeight="1" x14ac:dyDescent="0.2">
      <c r="A232" s="3" t="s">
        <v>509</v>
      </c>
      <c r="B232" s="1" t="s">
        <v>510</v>
      </c>
      <c r="C232" s="3" t="s">
        <v>456</v>
      </c>
      <c r="D232" s="3" t="s">
        <v>47</v>
      </c>
      <c r="E232" s="1" t="s">
        <v>357</v>
      </c>
      <c r="F232" s="4">
        <v>29</v>
      </c>
      <c r="G232" s="3">
        <v>24</v>
      </c>
      <c r="H232" s="3" t="s">
        <v>44</v>
      </c>
      <c r="I232" s="3">
        <v>778</v>
      </c>
      <c r="J232" s="3">
        <v>193</v>
      </c>
      <c r="K232" s="3">
        <v>2269</v>
      </c>
    </row>
    <row r="233" spans="1:11" ht="15" customHeight="1" x14ac:dyDescent="0.2">
      <c r="A233" s="3" t="s">
        <v>511</v>
      </c>
      <c r="B233" s="1" t="s">
        <v>512</v>
      </c>
      <c r="C233" s="3" t="s">
        <v>456</v>
      </c>
      <c r="D233" s="3" t="s">
        <v>55</v>
      </c>
      <c r="E233" s="1" t="s">
        <v>43</v>
      </c>
      <c r="F233" s="4">
        <v>74</v>
      </c>
      <c r="G233" s="3">
        <v>14</v>
      </c>
      <c r="H233" s="3" t="s">
        <v>44</v>
      </c>
      <c r="I233" s="3">
        <v>236</v>
      </c>
      <c r="J233" s="3">
        <v>101</v>
      </c>
      <c r="K233" s="3">
        <v>656</v>
      </c>
    </row>
    <row r="234" spans="1:11" ht="15" customHeight="1" x14ac:dyDescent="0.2">
      <c r="A234" s="3" t="s">
        <v>513</v>
      </c>
      <c r="B234" s="1" t="s">
        <v>514</v>
      </c>
      <c r="C234" s="3" t="s">
        <v>456</v>
      </c>
      <c r="D234" s="3" t="s">
        <v>55</v>
      </c>
      <c r="E234" s="1" t="s">
        <v>43</v>
      </c>
      <c r="F234" s="4">
        <v>65</v>
      </c>
      <c r="G234" s="3">
        <v>19</v>
      </c>
      <c r="H234" s="3" t="s">
        <v>44</v>
      </c>
      <c r="I234" s="3">
        <v>16</v>
      </c>
      <c r="J234" s="3">
        <v>34</v>
      </c>
      <c r="K234" s="3">
        <v>101</v>
      </c>
    </row>
    <row r="235" spans="1:11" ht="15" customHeight="1" x14ac:dyDescent="0.2">
      <c r="A235" s="3" t="s">
        <v>515</v>
      </c>
      <c r="B235" s="1" t="s">
        <v>516</v>
      </c>
      <c r="C235" s="3" t="s">
        <v>456</v>
      </c>
      <c r="D235" s="3" t="s">
        <v>42</v>
      </c>
      <c r="E235" s="1" t="s">
        <v>357</v>
      </c>
      <c r="F235" s="4">
        <v>155</v>
      </c>
      <c r="G235" s="3">
        <v>17</v>
      </c>
      <c r="H235" s="3" t="s">
        <v>44</v>
      </c>
      <c r="I235" s="3">
        <v>280</v>
      </c>
      <c r="J235" s="3">
        <v>21</v>
      </c>
      <c r="K235" s="3">
        <v>2884</v>
      </c>
    </row>
    <row r="236" spans="1:11" ht="15" customHeight="1" x14ac:dyDescent="0.2">
      <c r="A236" s="3" t="s">
        <v>517</v>
      </c>
      <c r="B236" s="1" t="s">
        <v>518</v>
      </c>
      <c r="C236" s="3" t="s">
        <v>456</v>
      </c>
      <c r="D236" s="3" t="s">
        <v>42</v>
      </c>
      <c r="E236" s="1" t="s">
        <v>43</v>
      </c>
      <c r="F236" s="4">
        <v>79</v>
      </c>
      <c r="G236" s="3">
        <v>26</v>
      </c>
      <c r="H236" s="3" t="s">
        <v>44</v>
      </c>
      <c r="I236" s="3">
        <v>1054</v>
      </c>
      <c r="J236" s="3">
        <v>200</v>
      </c>
      <c r="K236" s="3">
        <v>2716</v>
      </c>
    </row>
    <row r="237" spans="1:11" ht="15" customHeight="1" x14ac:dyDescent="0.2">
      <c r="A237" s="3" t="s">
        <v>519</v>
      </c>
      <c r="B237" s="1" t="s">
        <v>520</v>
      </c>
      <c r="C237" s="3" t="s">
        <v>456</v>
      </c>
      <c r="D237" s="3" t="s">
        <v>47</v>
      </c>
      <c r="E237" s="1" t="s">
        <v>43</v>
      </c>
      <c r="F237" s="4">
        <v>58</v>
      </c>
      <c r="G237" s="3">
        <v>19</v>
      </c>
      <c r="H237" s="3" t="s">
        <v>44</v>
      </c>
      <c r="I237" s="3">
        <v>60</v>
      </c>
      <c r="J237" s="3">
        <v>7</v>
      </c>
      <c r="K237" s="3">
        <v>522</v>
      </c>
    </row>
    <row r="238" spans="1:11" ht="15" customHeight="1" x14ac:dyDescent="0.2">
      <c r="A238" s="3" t="s">
        <v>521</v>
      </c>
      <c r="B238" s="1" t="s">
        <v>522</v>
      </c>
      <c r="C238" s="3" t="s">
        <v>456</v>
      </c>
      <c r="D238" s="3" t="s">
        <v>55</v>
      </c>
      <c r="E238" s="1" t="s">
        <v>357</v>
      </c>
      <c r="F238" s="4">
        <v>150</v>
      </c>
      <c r="G238" s="3">
        <v>19</v>
      </c>
      <c r="H238" s="3" t="s">
        <v>44</v>
      </c>
      <c r="I238" s="3">
        <v>104</v>
      </c>
      <c r="J238" s="3">
        <v>5</v>
      </c>
      <c r="K238" s="3">
        <v>936</v>
      </c>
    </row>
    <row r="239" spans="1:11" ht="15" customHeight="1" x14ac:dyDescent="0.2">
      <c r="A239" s="3" t="s">
        <v>523</v>
      </c>
      <c r="B239" s="1" t="s">
        <v>524</v>
      </c>
      <c r="C239" s="3" t="s">
        <v>456</v>
      </c>
      <c r="D239" s="3" t="s">
        <v>55</v>
      </c>
      <c r="E239" s="1" t="s">
        <v>357</v>
      </c>
      <c r="F239" s="4">
        <v>28</v>
      </c>
      <c r="G239" s="3">
        <v>27</v>
      </c>
      <c r="H239" s="3" t="s">
        <v>44</v>
      </c>
      <c r="I239" s="3">
        <v>63</v>
      </c>
      <c r="J239" s="3">
        <v>30</v>
      </c>
      <c r="K239" s="3">
        <v>394</v>
      </c>
    </row>
    <row r="240" spans="1:11" ht="15" customHeight="1" x14ac:dyDescent="0.2">
      <c r="A240" s="3" t="s">
        <v>525</v>
      </c>
      <c r="B240" s="1" t="s">
        <v>526</v>
      </c>
      <c r="C240" s="3" t="s">
        <v>456</v>
      </c>
      <c r="D240" s="3" t="s">
        <v>47</v>
      </c>
      <c r="E240" s="1" t="s">
        <v>43</v>
      </c>
      <c r="F240" s="4">
        <v>60</v>
      </c>
      <c r="G240" s="3">
        <v>18</v>
      </c>
      <c r="H240" s="3" t="s">
        <v>44</v>
      </c>
      <c r="I240" s="3">
        <v>447</v>
      </c>
      <c r="J240" s="3">
        <v>187</v>
      </c>
      <c r="K240" s="3">
        <v>1197</v>
      </c>
    </row>
    <row r="241" spans="1:11" ht="15" customHeight="1" x14ac:dyDescent="0.2">
      <c r="A241" s="3" t="s">
        <v>527</v>
      </c>
      <c r="B241" s="1" t="s">
        <v>528</v>
      </c>
      <c r="C241" s="3" t="s">
        <v>456</v>
      </c>
      <c r="D241" s="3" t="s">
        <v>55</v>
      </c>
      <c r="E241" s="1" t="s">
        <v>357</v>
      </c>
      <c r="F241" s="4">
        <v>90</v>
      </c>
      <c r="G241" s="3">
        <v>20</v>
      </c>
      <c r="H241" s="3" t="s">
        <v>44</v>
      </c>
      <c r="I241" s="3">
        <v>842</v>
      </c>
      <c r="J241" s="3">
        <v>125</v>
      </c>
      <c r="K241" s="3">
        <v>2196</v>
      </c>
    </row>
    <row r="242" spans="1:11" ht="15" customHeight="1" x14ac:dyDescent="0.2">
      <c r="A242" s="3" t="s">
        <v>529</v>
      </c>
      <c r="B242" s="1" t="s">
        <v>530</v>
      </c>
      <c r="C242" s="3" t="s">
        <v>456</v>
      </c>
      <c r="D242" s="3" t="s">
        <v>47</v>
      </c>
      <c r="E242" s="1" t="s">
        <v>357</v>
      </c>
      <c r="F242" s="4">
        <v>82</v>
      </c>
      <c r="G242" s="3">
        <v>17</v>
      </c>
      <c r="H242" s="3" t="s">
        <v>44</v>
      </c>
      <c r="I242" s="3">
        <v>177</v>
      </c>
      <c r="J242" s="3">
        <v>66</v>
      </c>
      <c r="K242" s="3">
        <v>1746</v>
      </c>
    </row>
    <row r="243" spans="1:11" ht="15" customHeight="1" x14ac:dyDescent="0.2">
      <c r="A243" s="3" t="s">
        <v>531</v>
      </c>
      <c r="B243" s="1" t="s">
        <v>532</v>
      </c>
      <c r="C243" s="3" t="s">
        <v>456</v>
      </c>
      <c r="D243" s="3" t="s">
        <v>55</v>
      </c>
      <c r="E243" s="1" t="s">
        <v>43</v>
      </c>
      <c r="F243" s="4">
        <v>172</v>
      </c>
      <c r="G243" s="3">
        <v>18</v>
      </c>
      <c r="H243" s="3" t="s">
        <v>44</v>
      </c>
      <c r="I243" s="3">
        <v>36</v>
      </c>
      <c r="J243" s="3">
        <v>66</v>
      </c>
      <c r="K243" s="3">
        <v>300</v>
      </c>
    </row>
    <row r="244" spans="1:11" ht="15" customHeight="1" x14ac:dyDescent="0.2">
      <c r="A244" s="3" t="s">
        <v>533</v>
      </c>
      <c r="B244" s="1" t="s">
        <v>534</v>
      </c>
      <c r="C244" s="3" t="s">
        <v>456</v>
      </c>
      <c r="D244" s="3" t="s">
        <v>42</v>
      </c>
      <c r="E244" s="1" t="s">
        <v>357</v>
      </c>
      <c r="F244" s="4">
        <v>81</v>
      </c>
      <c r="G244" s="3">
        <v>20</v>
      </c>
      <c r="H244" s="3" t="s">
        <v>44</v>
      </c>
      <c r="I244" s="3">
        <v>111</v>
      </c>
      <c r="J244" s="3">
        <v>56</v>
      </c>
      <c r="K244" s="3">
        <v>991</v>
      </c>
    </row>
    <row r="245" spans="1:11" ht="15" customHeight="1" x14ac:dyDescent="0.2">
      <c r="A245" s="3" t="s">
        <v>535</v>
      </c>
      <c r="B245" s="1" t="s">
        <v>536</v>
      </c>
      <c r="C245" s="3" t="s">
        <v>456</v>
      </c>
      <c r="D245" s="3" t="s">
        <v>55</v>
      </c>
      <c r="E245" s="1" t="s">
        <v>357</v>
      </c>
      <c r="F245" s="4">
        <v>52</v>
      </c>
      <c r="G245" s="3">
        <v>23</v>
      </c>
      <c r="H245" s="3" t="s">
        <v>44</v>
      </c>
      <c r="I245" s="3">
        <v>30</v>
      </c>
      <c r="J245" s="3">
        <v>27</v>
      </c>
      <c r="K245" s="3">
        <v>184</v>
      </c>
    </row>
    <row r="246" spans="1:11" ht="15" customHeight="1" x14ac:dyDescent="0.2">
      <c r="A246" s="3" t="s">
        <v>537</v>
      </c>
      <c r="B246" s="1" t="s">
        <v>526</v>
      </c>
      <c r="C246" s="3" t="s">
        <v>456</v>
      </c>
      <c r="D246" s="3" t="s">
        <v>47</v>
      </c>
      <c r="E246" s="1" t="s">
        <v>357</v>
      </c>
      <c r="F246" s="4">
        <v>103</v>
      </c>
      <c r="G246" s="3">
        <v>25</v>
      </c>
      <c r="H246" s="3" t="s">
        <v>44</v>
      </c>
      <c r="I246" s="3">
        <v>1552</v>
      </c>
      <c r="J246" s="3">
        <v>15</v>
      </c>
      <c r="K246" s="3">
        <v>11197</v>
      </c>
    </row>
    <row r="247" spans="1:11" ht="15" customHeight="1" x14ac:dyDescent="0.2">
      <c r="A247" s="3" t="s">
        <v>538</v>
      </c>
      <c r="B247" s="1" t="s">
        <v>539</v>
      </c>
      <c r="C247" s="3" t="s">
        <v>456</v>
      </c>
      <c r="D247" s="3" t="s">
        <v>55</v>
      </c>
      <c r="E247" s="1" t="s">
        <v>357</v>
      </c>
      <c r="F247" s="4">
        <v>87</v>
      </c>
      <c r="G247" s="3">
        <v>24</v>
      </c>
      <c r="H247" s="3" t="s">
        <v>44</v>
      </c>
      <c r="I247" s="3">
        <v>156</v>
      </c>
      <c r="J247" s="3">
        <v>48</v>
      </c>
      <c r="K247" s="3">
        <v>1139</v>
      </c>
    </row>
    <row r="248" spans="1:11" ht="15" customHeight="1" x14ac:dyDescent="0.2">
      <c r="A248" s="3" t="s">
        <v>540</v>
      </c>
      <c r="B248" s="1" t="s">
        <v>541</v>
      </c>
      <c r="C248" s="3" t="s">
        <v>456</v>
      </c>
      <c r="D248" s="3" t="s">
        <v>47</v>
      </c>
      <c r="E248" s="1" t="s">
        <v>357</v>
      </c>
      <c r="F248" s="4">
        <v>153</v>
      </c>
      <c r="G248" s="3">
        <v>22</v>
      </c>
      <c r="H248" s="3" t="s">
        <v>44</v>
      </c>
      <c r="I248" s="3">
        <v>234</v>
      </c>
      <c r="J248" s="3">
        <v>38</v>
      </c>
      <c r="K248" s="3">
        <v>1842</v>
      </c>
    </row>
    <row r="249" spans="1:11" ht="15" customHeight="1" x14ac:dyDescent="0.2">
      <c r="A249" s="3" t="s">
        <v>542</v>
      </c>
      <c r="B249" s="1" t="s">
        <v>543</v>
      </c>
      <c r="C249" s="3" t="s">
        <v>456</v>
      </c>
      <c r="D249" s="3" t="s">
        <v>47</v>
      </c>
      <c r="E249" s="1" t="s">
        <v>357</v>
      </c>
      <c r="F249" s="4">
        <v>39</v>
      </c>
      <c r="G249" s="3">
        <v>24</v>
      </c>
      <c r="H249" s="3" t="s">
        <v>44</v>
      </c>
      <c r="I249" s="3">
        <v>230</v>
      </c>
      <c r="J249" s="3">
        <v>55</v>
      </c>
      <c r="K249" s="3">
        <v>1629</v>
      </c>
    </row>
    <row r="250" spans="1:11" ht="15" customHeight="1" x14ac:dyDescent="0.2">
      <c r="A250" s="3" t="s">
        <v>544</v>
      </c>
      <c r="B250" s="1" t="s">
        <v>545</v>
      </c>
      <c r="C250" s="3" t="s">
        <v>456</v>
      </c>
      <c r="D250" s="3" t="s">
        <v>55</v>
      </c>
      <c r="E250" s="1" t="s">
        <v>357</v>
      </c>
      <c r="F250" s="4">
        <v>71</v>
      </c>
      <c r="G250" s="3">
        <v>18</v>
      </c>
      <c r="H250" s="3" t="s">
        <v>44</v>
      </c>
      <c r="I250" s="3">
        <v>54</v>
      </c>
      <c r="J250" s="3">
        <v>12</v>
      </c>
      <c r="K250" s="3">
        <v>485</v>
      </c>
    </row>
    <row r="251" spans="1:11" ht="15" customHeight="1" x14ac:dyDescent="0.2">
      <c r="A251" s="3" t="s">
        <v>546</v>
      </c>
      <c r="B251" s="1" t="s">
        <v>547</v>
      </c>
      <c r="C251" s="3" t="s">
        <v>456</v>
      </c>
      <c r="D251" s="3" t="s">
        <v>42</v>
      </c>
      <c r="E251" s="1" t="s">
        <v>357</v>
      </c>
      <c r="F251" s="4">
        <v>152</v>
      </c>
      <c r="G251" s="3">
        <v>19</v>
      </c>
      <c r="H251" s="3" t="s">
        <v>44</v>
      </c>
      <c r="I251" s="3">
        <v>471</v>
      </c>
      <c r="J251" s="3">
        <v>5</v>
      </c>
      <c r="K251" s="3">
        <v>4524</v>
      </c>
    </row>
    <row r="252" spans="1:11" ht="15" customHeight="1" x14ac:dyDescent="0.2">
      <c r="A252" s="3" t="s">
        <v>548</v>
      </c>
      <c r="B252" s="1" t="s">
        <v>549</v>
      </c>
      <c r="C252" s="3" t="s">
        <v>456</v>
      </c>
      <c r="D252" s="3" t="s">
        <v>47</v>
      </c>
      <c r="E252" s="1" t="s">
        <v>43</v>
      </c>
      <c r="F252" s="4">
        <v>70</v>
      </c>
      <c r="G252" s="3">
        <v>14</v>
      </c>
      <c r="H252" s="3" t="s">
        <v>44</v>
      </c>
      <c r="I252" s="3">
        <v>57</v>
      </c>
      <c r="J252" s="3">
        <v>24</v>
      </c>
      <c r="K252" s="3">
        <v>593</v>
      </c>
    </row>
    <row r="253" spans="1:11" ht="15" customHeight="1" x14ac:dyDescent="0.2">
      <c r="A253" s="3" t="s">
        <v>550</v>
      </c>
      <c r="B253" s="1" t="s">
        <v>551</v>
      </c>
      <c r="C253" s="3" t="s">
        <v>456</v>
      </c>
      <c r="D253" s="3" t="s">
        <v>55</v>
      </c>
      <c r="E253" s="1" t="s">
        <v>43</v>
      </c>
      <c r="F253" s="4">
        <v>133</v>
      </c>
      <c r="G253" s="3">
        <v>24</v>
      </c>
      <c r="H253" s="3" t="s">
        <v>44</v>
      </c>
      <c r="I253" s="3">
        <v>907</v>
      </c>
      <c r="J253" s="3">
        <v>64</v>
      </c>
      <c r="K253" s="3">
        <v>7046</v>
      </c>
    </row>
    <row r="254" spans="1:11" ht="15" customHeight="1" x14ac:dyDescent="0.2">
      <c r="A254" s="3" t="s">
        <v>552</v>
      </c>
      <c r="B254" s="1" t="s">
        <v>553</v>
      </c>
      <c r="C254" s="3" t="s">
        <v>456</v>
      </c>
      <c r="D254" s="3" t="s">
        <v>47</v>
      </c>
      <c r="E254" s="1" t="s">
        <v>357</v>
      </c>
      <c r="F254" s="4">
        <v>61</v>
      </c>
      <c r="G254" s="3">
        <v>24</v>
      </c>
      <c r="H254" s="3" t="s">
        <v>44</v>
      </c>
      <c r="I254" s="3">
        <v>81</v>
      </c>
      <c r="J254" s="3">
        <v>67</v>
      </c>
      <c r="K254" s="3">
        <v>561</v>
      </c>
    </row>
    <row r="255" spans="1:11" ht="15" customHeight="1" x14ac:dyDescent="0.2">
      <c r="A255" s="3" t="s">
        <v>554</v>
      </c>
      <c r="B255" s="1" t="s">
        <v>555</v>
      </c>
      <c r="C255" s="3" t="s">
        <v>556</v>
      </c>
      <c r="D255" s="3" t="s">
        <v>55</v>
      </c>
      <c r="E255" s="1" t="s">
        <v>557</v>
      </c>
      <c r="F255" s="4">
        <v>52</v>
      </c>
      <c r="G255" s="3">
        <v>13</v>
      </c>
      <c r="H255" s="3" t="s">
        <v>44</v>
      </c>
      <c r="I255" s="3">
        <v>257</v>
      </c>
      <c r="J255" s="3">
        <v>180</v>
      </c>
      <c r="K255" s="3">
        <v>652</v>
      </c>
    </row>
    <row r="256" spans="1:11" ht="15" customHeight="1" x14ac:dyDescent="0.2">
      <c r="A256" s="3" t="s">
        <v>558</v>
      </c>
      <c r="B256" s="1" t="s">
        <v>559</v>
      </c>
      <c r="C256" s="3" t="s">
        <v>556</v>
      </c>
      <c r="D256" s="3" t="s">
        <v>55</v>
      </c>
      <c r="E256" s="1" t="s">
        <v>152</v>
      </c>
      <c r="F256" s="4">
        <v>126</v>
      </c>
      <c r="G256" s="3">
        <v>28</v>
      </c>
      <c r="H256" s="3" t="s">
        <v>44</v>
      </c>
      <c r="I256" s="3">
        <v>239</v>
      </c>
      <c r="J256" s="3">
        <v>172</v>
      </c>
      <c r="K256" s="3">
        <v>602</v>
      </c>
    </row>
    <row r="257" spans="1:11" ht="15" customHeight="1" x14ac:dyDescent="0.2">
      <c r="A257" s="3" t="s">
        <v>560</v>
      </c>
      <c r="B257" s="1" t="s">
        <v>561</v>
      </c>
      <c r="C257" s="3" t="s">
        <v>556</v>
      </c>
      <c r="D257" s="3" t="s">
        <v>47</v>
      </c>
      <c r="E257" s="1" t="s">
        <v>152</v>
      </c>
      <c r="F257" s="4">
        <v>166</v>
      </c>
      <c r="G257" s="3">
        <v>19</v>
      </c>
      <c r="H257" s="3" t="s">
        <v>44</v>
      </c>
      <c r="I257" s="3">
        <v>56</v>
      </c>
      <c r="J257" s="3">
        <v>4</v>
      </c>
      <c r="K257" s="3">
        <v>541</v>
      </c>
    </row>
    <row r="258" spans="1:11" ht="15" customHeight="1" x14ac:dyDescent="0.2">
      <c r="A258" s="3" t="s">
        <v>562</v>
      </c>
      <c r="B258" s="1" t="s">
        <v>563</v>
      </c>
      <c r="C258" s="3" t="s">
        <v>556</v>
      </c>
      <c r="D258" s="3" t="s">
        <v>47</v>
      </c>
      <c r="E258" s="1" t="s">
        <v>557</v>
      </c>
      <c r="F258" s="4">
        <v>329</v>
      </c>
      <c r="G258" s="3">
        <v>20</v>
      </c>
      <c r="H258" s="3" t="s">
        <v>44</v>
      </c>
      <c r="I258" s="3">
        <v>300</v>
      </c>
      <c r="J258" s="3">
        <v>68</v>
      </c>
      <c r="K258" s="3">
        <v>2525</v>
      </c>
    </row>
    <row r="259" spans="1:11" ht="15" customHeight="1" x14ac:dyDescent="0.2">
      <c r="A259" s="3" t="s">
        <v>564</v>
      </c>
      <c r="B259" s="1" t="s">
        <v>565</v>
      </c>
      <c r="C259" s="3" t="s">
        <v>556</v>
      </c>
      <c r="D259" s="3" t="s">
        <v>47</v>
      </c>
      <c r="E259" s="1" t="s">
        <v>152</v>
      </c>
      <c r="F259" s="4">
        <v>292</v>
      </c>
      <c r="G259" s="3">
        <v>19</v>
      </c>
      <c r="H259" s="3" t="s">
        <v>44</v>
      </c>
      <c r="I259" s="3">
        <v>246</v>
      </c>
      <c r="J259" s="3">
        <v>9</v>
      </c>
      <c r="K259" s="3">
        <v>2338</v>
      </c>
    </row>
    <row r="260" spans="1:11" ht="15" customHeight="1" x14ac:dyDescent="0.2">
      <c r="A260" s="3" t="s">
        <v>566</v>
      </c>
      <c r="B260" s="1" t="s">
        <v>567</v>
      </c>
      <c r="C260" s="3" t="s">
        <v>556</v>
      </c>
      <c r="D260" s="3" t="s">
        <v>42</v>
      </c>
      <c r="E260" s="1" t="s">
        <v>152</v>
      </c>
      <c r="F260" s="4">
        <v>241</v>
      </c>
      <c r="G260" s="3">
        <v>20</v>
      </c>
      <c r="H260" s="3" t="s">
        <v>44</v>
      </c>
      <c r="I260" s="3">
        <v>204</v>
      </c>
      <c r="J260" s="3">
        <v>45</v>
      </c>
      <c r="K260" s="3">
        <v>1860</v>
      </c>
    </row>
    <row r="261" spans="1:11" ht="15" customHeight="1" x14ac:dyDescent="0.2">
      <c r="A261" s="3" t="s">
        <v>568</v>
      </c>
      <c r="B261" s="1" t="s">
        <v>569</v>
      </c>
      <c r="C261" s="3" t="s">
        <v>556</v>
      </c>
      <c r="D261" s="3" t="s">
        <v>47</v>
      </c>
      <c r="E261" s="1" t="s">
        <v>152</v>
      </c>
      <c r="F261" s="4">
        <v>65</v>
      </c>
      <c r="G261" s="3">
        <v>25</v>
      </c>
      <c r="H261" s="3" t="s">
        <v>44</v>
      </c>
      <c r="I261" s="3">
        <v>944</v>
      </c>
      <c r="J261" s="3">
        <v>145</v>
      </c>
      <c r="K261" s="3">
        <v>2353</v>
      </c>
    </row>
    <row r="262" spans="1:11" ht="15" customHeight="1" x14ac:dyDescent="0.2">
      <c r="A262" s="3" t="s">
        <v>570</v>
      </c>
      <c r="B262" s="1" t="s">
        <v>571</v>
      </c>
      <c r="C262" s="3" t="s">
        <v>556</v>
      </c>
      <c r="D262" s="3" t="s">
        <v>42</v>
      </c>
      <c r="E262" s="1" t="s">
        <v>557</v>
      </c>
      <c r="F262" s="4">
        <v>210</v>
      </c>
      <c r="G262" s="3">
        <v>11</v>
      </c>
      <c r="H262" s="3" t="s">
        <v>44</v>
      </c>
      <c r="I262" s="3">
        <v>58</v>
      </c>
      <c r="J262" s="3">
        <v>11</v>
      </c>
      <c r="K262" s="3">
        <v>814</v>
      </c>
    </row>
    <row r="263" spans="1:11" ht="15" customHeight="1" x14ac:dyDescent="0.2">
      <c r="A263" s="3" t="s">
        <v>572</v>
      </c>
      <c r="B263" s="1" t="s">
        <v>573</v>
      </c>
      <c r="C263" s="3" t="s">
        <v>556</v>
      </c>
      <c r="D263" s="3" t="s">
        <v>55</v>
      </c>
      <c r="E263" s="1" t="s">
        <v>152</v>
      </c>
      <c r="F263" s="4">
        <v>112</v>
      </c>
      <c r="G263" s="3">
        <v>27</v>
      </c>
      <c r="H263" s="3" t="s">
        <v>44</v>
      </c>
      <c r="I263" s="3">
        <v>67</v>
      </c>
      <c r="J263" s="3">
        <v>22</v>
      </c>
      <c r="K263" s="3">
        <v>430</v>
      </c>
    </row>
    <row r="264" spans="1:11" ht="15" customHeight="1" x14ac:dyDescent="0.2">
      <c r="A264" s="3" t="s">
        <v>574</v>
      </c>
      <c r="B264" s="1" t="s">
        <v>575</v>
      </c>
      <c r="C264" s="3" t="s">
        <v>556</v>
      </c>
      <c r="D264" s="3" t="s">
        <v>47</v>
      </c>
      <c r="E264" s="1" t="s">
        <v>557</v>
      </c>
      <c r="F264" s="4">
        <v>276</v>
      </c>
      <c r="G264" s="3">
        <v>19</v>
      </c>
      <c r="H264" s="3" t="s">
        <v>44</v>
      </c>
      <c r="I264" s="3">
        <v>146</v>
      </c>
      <c r="J264" s="3">
        <v>5</v>
      </c>
      <c r="K264" s="3">
        <v>1985</v>
      </c>
    </row>
    <row r="265" spans="1:11" ht="15" customHeight="1" x14ac:dyDescent="0.2">
      <c r="A265" s="3" t="s">
        <v>576</v>
      </c>
      <c r="B265" s="1" t="s">
        <v>577</v>
      </c>
      <c r="C265" s="3" t="s">
        <v>556</v>
      </c>
      <c r="D265" s="3" t="s">
        <v>47</v>
      </c>
      <c r="E265" s="1" t="s">
        <v>152</v>
      </c>
      <c r="F265" s="4">
        <v>37</v>
      </c>
      <c r="G265" s="3">
        <v>24</v>
      </c>
      <c r="H265" s="3" t="s">
        <v>44</v>
      </c>
      <c r="I265" s="3">
        <v>81</v>
      </c>
      <c r="J265" s="3">
        <v>29</v>
      </c>
      <c r="K265" s="3">
        <v>583</v>
      </c>
    </row>
    <row r="266" spans="1:11" ht="15" customHeight="1" x14ac:dyDescent="0.2">
      <c r="A266" s="3" t="s">
        <v>578</v>
      </c>
      <c r="B266" s="1" t="s">
        <v>579</v>
      </c>
      <c r="C266" s="3" t="s">
        <v>556</v>
      </c>
      <c r="D266" s="3" t="s">
        <v>47</v>
      </c>
      <c r="E266" s="1" t="s">
        <v>557</v>
      </c>
      <c r="F266" s="4">
        <v>333</v>
      </c>
      <c r="G266" s="3">
        <v>15</v>
      </c>
      <c r="H266" s="3" t="s">
        <v>44</v>
      </c>
      <c r="I266" s="3">
        <v>223</v>
      </c>
      <c r="J266" s="3">
        <v>66</v>
      </c>
      <c r="K266" s="3">
        <v>2520</v>
      </c>
    </row>
    <row r="267" spans="1:11" ht="15" customHeight="1" x14ac:dyDescent="0.2">
      <c r="A267" s="3" t="s">
        <v>580</v>
      </c>
      <c r="B267" s="1" t="s">
        <v>581</v>
      </c>
      <c r="C267" s="3" t="s">
        <v>556</v>
      </c>
      <c r="D267" s="3" t="s">
        <v>47</v>
      </c>
      <c r="E267" s="1" t="s">
        <v>557</v>
      </c>
      <c r="F267" s="4">
        <v>292</v>
      </c>
      <c r="G267" s="3">
        <v>20</v>
      </c>
      <c r="H267" s="3" t="s">
        <v>44</v>
      </c>
      <c r="I267" s="3">
        <v>60</v>
      </c>
      <c r="J267" s="3">
        <v>47</v>
      </c>
      <c r="K267" s="3">
        <v>487</v>
      </c>
    </row>
    <row r="268" spans="1:11" ht="15" customHeight="1" x14ac:dyDescent="0.2">
      <c r="A268" s="3" t="s">
        <v>582</v>
      </c>
      <c r="B268" s="1" t="s">
        <v>583</v>
      </c>
      <c r="C268" s="3" t="s">
        <v>556</v>
      </c>
      <c r="D268" s="3" t="s">
        <v>47</v>
      </c>
      <c r="E268" s="1" t="s">
        <v>557</v>
      </c>
      <c r="F268" s="4">
        <v>185</v>
      </c>
      <c r="G268" s="3">
        <v>18</v>
      </c>
      <c r="H268" s="3" t="s">
        <v>44</v>
      </c>
      <c r="I268" s="3">
        <v>74</v>
      </c>
      <c r="J268" s="3">
        <v>66</v>
      </c>
      <c r="K268" s="3">
        <v>619</v>
      </c>
    </row>
    <row r="269" spans="1:11" ht="15" customHeight="1" x14ac:dyDescent="0.2">
      <c r="A269" s="3" t="s">
        <v>584</v>
      </c>
      <c r="B269" s="1" t="s">
        <v>585</v>
      </c>
      <c r="C269" s="3" t="s">
        <v>556</v>
      </c>
      <c r="D269" s="3" t="s">
        <v>55</v>
      </c>
      <c r="E269" s="1" t="s">
        <v>152</v>
      </c>
      <c r="F269" s="4">
        <v>141</v>
      </c>
      <c r="G269" s="3">
        <v>30</v>
      </c>
      <c r="H269" s="3" t="s">
        <v>44</v>
      </c>
      <c r="I269" s="3">
        <v>32</v>
      </c>
      <c r="J269" s="3">
        <v>55</v>
      </c>
      <c r="K269" s="3">
        <v>172</v>
      </c>
    </row>
    <row r="270" spans="1:11" ht="15" customHeight="1" x14ac:dyDescent="0.2">
      <c r="A270" s="3" t="s">
        <v>586</v>
      </c>
      <c r="B270" s="1" t="s">
        <v>587</v>
      </c>
      <c r="C270" s="3" t="s">
        <v>556</v>
      </c>
      <c r="D270" s="3" t="s">
        <v>42</v>
      </c>
      <c r="E270" s="1" t="s">
        <v>152</v>
      </c>
      <c r="F270" s="4">
        <v>281</v>
      </c>
      <c r="G270" s="3">
        <v>25</v>
      </c>
      <c r="H270" s="3" t="s">
        <v>44</v>
      </c>
      <c r="I270" s="3">
        <v>567</v>
      </c>
      <c r="J270" s="3">
        <v>40</v>
      </c>
      <c r="K270" s="3">
        <v>3957</v>
      </c>
    </row>
    <row r="271" spans="1:11" ht="15" customHeight="1" x14ac:dyDescent="0.2">
      <c r="A271" s="3" t="s">
        <v>588</v>
      </c>
      <c r="B271" s="1" t="s">
        <v>589</v>
      </c>
      <c r="C271" s="3" t="s">
        <v>556</v>
      </c>
      <c r="D271" s="3" t="s">
        <v>55</v>
      </c>
      <c r="E271" s="1" t="s">
        <v>152</v>
      </c>
      <c r="F271" s="4">
        <v>56</v>
      </c>
      <c r="G271" s="3">
        <v>18</v>
      </c>
      <c r="H271" s="3" t="s">
        <v>44</v>
      </c>
      <c r="I271" s="3">
        <v>55</v>
      </c>
      <c r="J271" s="3">
        <v>68</v>
      </c>
      <c r="K271" s="3">
        <v>483</v>
      </c>
    </row>
    <row r="272" spans="1:11" ht="15" customHeight="1" x14ac:dyDescent="0.2">
      <c r="A272" s="3" t="s">
        <v>590</v>
      </c>
      <c r="B272" s="1" t="s">
        <v>591</v>
      </c>
      <c r="C272" s="3" t="s">
        <v>556</v>
      </c>
      <c r="D272" s="3" t="s">
        <v>55</v>
      </c>
      <c r="E272" s="1" t="s">
        <v>557</v>
      </c>
      <c r="F272" s="4">
        <v>53</v>
      </c>
      <c r="G272" s="3">
        <v>16</v>
      </c>
      <c r="H272" s="3" t="s">
        <v>44</v>
      </c>
      <c r="I272" s="3">
        <v>180</v>
      </c>
      <c r="J272" s="3">
        <v>120</v>
      </c>
      <c r="K272" s="3">
        <v>627</v>
      </c>
    </row>
    <row r="273" spans="1:11" ht="15" customHeight="1" x14ac:dyDescent="0.2">
      <c r="A273" s="3" t="s">
        <v>592</v>
      </c>
      <c r="B273" s="1" t="s">
        <v>593</v>
      </c>
      <c r="C273" s="3" t="s">
        <v>556</v>
      </c>
      <c r="D273" s="3" t="s">
        <v>42</v>
      </c>
      <c r="E273" s="1" t="s">
        <v>152</v>
      </c>
      <c r="F273" s="4">
        <v>55</v>
      </c>
      <c r="G273" s="3">
        <v>30</v>
      </c>
      <c r="H273" s="3" t="s">
        <v>44</v>
      </c>
      <c r="I273" s="3">
        <v>169</v>
      </c>
      <c r="J273" s="3">
        <v>1</v>
      </c>
      <c r="K273" s="3">
        <v>948</v>
      </c>
    </row>
    <row r="274" spans="1:11" ht="15" customHeight="1" x14ac:dyDescent="0.2">
      <c r="A274" s="3" t="s">
        <v>594</v>
      </c>
      <c r="B274" s="1" t="s">
        <v>595</v>
      </c>
      <c r="C274" s="3" t="s">
        <v>556</v>
      </c>
      <c r="D274" s="3" t="s">
        <v>42</v>
      </c>
      <c r="E274" s="1" t="s">
        <v>152</v>
      </c>
      <c r="F274" s="4">
        <v>53</v>
      </c>
      <c r="G274" s="3">
        <v>28</v>
      </c>
      <c r="H274" s="3" t="s">
        <v>44</v>
      </c>
      <c r="I274" s="3">
        <v>260</v>
      </c>
      <c r="J274" s="3">
        <v>12</v>
      </c>
      <c r="K274" s="3">
        <v>1594</v>
      </c>
    </row>
    <row r="275" spans="1:11" ht="15" customHeight="1" x14ac:dyDescent="0.2">
      <c r="A275" s="3" t="s">
        <v>596</v>
      </c>
      <c r="B275" s="1" t="s">
        <v>597</v>
      </c>
      <c r="C275" s="3" t="s">
        <v>556</v>
      </c>
      <c r="D275" s="3" t="s">
        <v>47</v>
      </c>
      <c r="E275" s="1" t="s">
        <v>557</v>
      </c>
      <c r="F275" s="4">
        <v>58</v>
      </c>
      <c r="G275" s="3">
        <v>13</v>
      </c>
      <c r="H275" s="3" t="s">
        <v>44</v>
      </c>
      <c r="I275" s="3">
        <v>394</v>
      </c>
      <c r="J275" s="3">
        <v>33</v>
      </c>
      <c r="K275" s="3">
        <v>4782</v>
      </c>
    </row>
    <row r="276" spans="1:11" ht="15" customHeight="1" x14ac:dyDescent="0.2">
      <c r="A276" s="3" t="s">
        <v>598</v>
      </c>
      <c r="B276" s="1" t="s">
        <v>599</v>
      </c>
      <c r="C276" s="3" t="s">
        <v>556</v>
      </c>
      <c r="D276" s="3" t="s">
        <v>47</v>
      </c>
      <c r="E276" s="1" t="s">
        <v>557</v>
      </c>
      <c r="F276" s="4">
        <v>309</v>
      </c>
      <c r="G276" s="3">
        <v>20</v>
      </c>
      <c r="H276" s="3" t="s">
        <v>44</v>
      </c>
      <c r="I276" s="3">
        <v>227</v>
      </c>
      <c r="J276" s="3">
        <v>62</v>
      </c>
      <c r="K276" s="3">
        <v>2009</v>
      </c>
    </row>
    <row r="277" spans="1:11" ht="15" customHeight="1" x14ac:dyDescent="0.2">
      <c r="A277" s="3" t="s">
        <v>600</v>
      </c>
      <c r="B277" s="1" t="s">
        <v>601</v>
      </c>
      <c r="C277" s="3" t="s">
        <v>556</v>
      </c>
      <c r="D277" s="3" t="s">
        <v>42</v>
      </c>
      <c r="E277" s="1" t="s">
        <v>557</v>
      </c>
      <c r="F277" s="4">
        <v>92</v>
      </c>
      <c r="G277" s="3">
        <v>14</v>
      </c>
      <c r="H277" s="3" t="s">
        <v>44</v>
      </c>
      <c r="I277" s="3">
        <v>85</v>
      </c>
      <c r="J277" s="3">
        <v>1</v>
      </c>
      <c r="K277" s="3">
        <v>938</v>
      </c>
    </row>
    <row r="278" spans="1:11" ht="15" customHeight="1" x14ac:dyDescent="0.2">
      <c r="A278" s="3" t="s">
        <v>602</v>
      </c>
      <c r="B278" s="1" t="s">
        <v>603</v>
      </c>
      <c r="C278" s="3" t="s">
        <v>556</v>
      </c>
      <c r="D278" s="3" t="s">
        <v>42</v>
      </c>
      <c r="E278" s="1" t="s">
        <v>557</v>
      </c>
      <c r="F278" s="4">
        <v>156</v>
      </c>
      <c r="G278" s="3">
        <v>19</v>
      </c>
      <c r="H278" s="3" t="s">
        <v>44</v>
      </c>
      <c r="I278" s="3">
        <v>301</v>
      </c>
      <c r="J278" s="3">
        <v>42</v>
      </c>
      <c r="K278" s="3">
        <v>2593</v>
      </c>
    </row>
    <row r="279" spans="1:11" ht="15" customHeight="1" x14ac:dyDescent="0.2">
      <c r="A279" s="3" t="s">
        <v>604</v>
      </c>
      <c r="B279" s="1" t="s">
        <v>605</v>
      </c>
      <c r="C279" s="3" t="s">
        <v>556</v>
      </c>
      <c r="D279" s="3" t="s">
        <v>55</v>
      </c>
      <c r="E279" s="1" t="s">
        <v>557</v>
      </c>
      <c r="F279" s="4">
        <v>201</v>
      </c>
      <c r="G279" s="3">
        <v>18</v>
      </c>
      <c r="H279" s="3" t="s">
        <v>44</v>
      </c>
      <c r="I279" s="3">
        <v>124</v>
      </c>
      <c r="J279" s="3">
        <v>27</v>
      </c>
      <c r="K279" s="3">
        <v>1138</v>
      </c>
    </row>
    <row r="280" spans="1:11" ht="15" customHeight="1" x14ac:dyDescent="0.2">
      <c r="A280" s="3" t="s">
        <v>606</v>
      </c>
      <c r="B280" s="1" t="s">
        <v>607</v>
      </c>
      <c r="C280" s="3" t="s">
        <v>556</v>
      </c>
      <c r="D280" s="3" t="s">
        <v>55</v>
      </c>
      <c r="E280" s="1" t="s">
        <v>557</v>
      </c>
      <c r="F280" s="4">
        <v>242</v>
      </c>
      <c r="G280" s="3">
        <v>15</v>
      </c>
      <c r="H280" s="3" t="s">
        <v>44</v>
      </c>
      <c r="I280" s="3">
        <v>94</v>
      </c>
      <c r="J280" s="3">
        <v>191</v>
      </c>
      <c r="K280" s="3">
        <v>282</v>
      </c>
    </row>
    <row r="281" spans="1:11" ht="15" customHeight="1" x14ac:dyDescent="0.2">
      <c r="A281" s="3" t="s">
        <v>608</v>
      </c>
      <c r="B281" s="1" t="s">
        <v>609</v>
      </c>
      <c r="C281" s="3" t="s">
        <v>556</v>
      </c>
      <c r="D281" s="3" t="s">
        <v>55</v>
      </c>
      <c r="E281" s="1" t="s">
        <v>152</v>
      </c>
      <c r="F281" s="4">
        <v>196</v>
      </c>
      <c r="G281" s="3">
        <v>28</v>
      </c>
      <c r="H281" s="3" t="s">
        <v>44</v>
      </c>
      <c r="I281" s="3">
        <v>463</v>
      </c>
      <c r="J281" s="3">
        <v>61</v>
      </c>
      <c r="K281" s="3">
        <v>2906</v>
      </c>
    </row>
    <row r="282" spans="1:11" ht="15" customHeight="1" x14ac:dyDescent="0.2">
      <c r="A282" s="3" t="s">
        <v>610</v>
      </c>
      <c r="B282" s="1" t="s">
        <v>611</v>
      </c>
      <c r="C282" s="3" t="s">
        <v>556</v>
      </c>
      <c r="D282" s="3" t="s">
        <v>42</v>
      </c>
      <c r="E282" s="1" t="s">
        <v>557</v>
      </c>
      <c r="F282" s="4">
        <v>232</v>
      </c>
      <c r="G282" s="3">
        <v>12</v>
      </c>
      <c r="H282" s="3" t="s">
        <v>44</v>
      </c>
      <c r="I282" s="3">
        <v>157</v>
      </c>
      <c r="J282" s="3">
        <v>22</v>
      </c>
      <c r="K282" s="3">
        <v>1877</v>
      </c>
    </row>
    <row r="283" spans="1:11" ht="15" customHeight="1" x14ac:dyDescent="0.2">
      <c r="A283" s="3" t="s">
        <v>612</v>
      </c>
      <c r="B283" s="1" t="s">
        <v>613</v>
      </c>
      <c r="C283" s="3" t="s">
        <v>556</v>
      </c>
      <c r="D283" s="3" t="s">
        <v>47</v>
      </c>
      <c r="E283" s="1" t="s">
        <v>557</v>
      </c>
      <c r="F283" s="4">
        <v>127</v>
      </c>
      <c r="G283" s="3">
        <v>20</v>
      </c>
      <c r="H283" s="3" t="s">
        <v>44</v>
      </c>
      <c r="I283" s="3">
        <v>276</v>
      </c>
      <c r="J283" s="3">
        <v>121</v>
      </c>
      <c r="K283" s="3">
        <v>892</v>
      </c>
    </row>
    <row r="284" spans="1:11" ht="15" customHeight="1" x14ac:dyDescent="0.2">
      <c r="A284" s="3" t="s">
        <v>614</v>
      </c>
      <c r="B284" s="1" t="s">
        <v>615</v>
      </c>
      <c r="C284" s="3" t="s">
        <v>556</v>
      </c>
      <c r="D284" s="3" t="s">
        <v>47</v>
      </c>
      <c r="E284" s="1" t="s">
        <v>152</v>
      </c>
      <c r="F284" s="4">
        <v>160</v>
      </c>
      <c r="G284" s="3">
        <v>25</v>
      </c>
      <c r="H284" s="3" t="s">
        <v>44</v>
      </c>
      <c r="I284" s="3">
        <v>207</v>
      </c>
      <c r="J284" s="3">
        <v>6</v>
      </c>
      <c r="K284" s="3">
        <v>1419</v>
      </c>
    </row>
    <row r="285" spans="1:11" ht="15" customHeight="1" x14ac:dyDescent="0.2">
      <c r="A285" s="3" t="s">
        <v>616</v>
      </c>
      <c r="B285" s="1" t="s">
        <v>617</v>
      </c>
      <c r="C285" s="3" t="s">
        <v>556</v>
      </c>
      <c r="D285" s="3" t="s">
        <v>42</v>
      </c>
      <c r="E285" s="1" t="s">
        <v>557</v>
      </c>
      <c r="F285" s="4">
        <v>310</v>
      </c>
      <c r="G285" s="3">
        <v>20</v>
      </c>
      <c r="H285" s="3" t="s">
        <v>44</v>
      </c>
      <c r="I285" s="3">
        <v>125</v>
      </c>
      <c r="J285" s="3">
        <v>15</v>
      </c>
      <c r="K285" s="3">
        <v>3558</v>
      </c>
    </row>
    <row r="286" spans="1:11" ht="15" customHeight="1" x14ac:dyDescent="0.2">
      <c r="A286" s="3" t="s">
        <v>618</v>
      </c>
      <c r="B286" s="1" t="s">
        <v>619</v>
      </c>
      <c r="C286" s="3" t="s">
        <v>556</v>
      </c>
      <c r="D286" s="3" t="s">
        <v>47</v>
      </c>
      <c r="E286" s="1" t="s">
        <v>557</v>
      </c>
      <c r="F286" s="4">
        <v>138</v>
      </c>
      <c r="G286" s="3">
        <v>11</v>
      </c>
      <c r="H286" s="3" t="s">
        <v>44</v>
      </c>
      <c r="I286" s="3">
        <v>117</v>
      </c>
      <c r="J286" s="3">
        <v>20</v>
      </c>
      <c r="K286" s="3">
        <v>1779</v>
      </c>
    </row>
    <row r="287" spans="1:11" ht="15" customHeight="1" x14ac:dyDescent="0.2">
      <c r="A287" s="3" t="s">
        <v>620</v>
      </c>
      <c r="B287" s="1" t="s">
        <v>621</v>
      </c>
      <c r="C287" s="3" t="s">
        <v>556</v>
      </c>
      <c r="D287" s="3" t="s">
        <v>42</v>
      </c>
      <c r="E287" s="1" t="s">
        <v>557</v>
      </c>
      <c r="F287" s="4">
        <v>136</v>
      </c>
      <c r="G287" s="3">
        <v>16</v>
      </c>
      <c r="H287" s="3" t="s">
        <v>44</v>
      </c>
      <c r="I287" s="3">
        <v>61</v>
      </c>
      <c r="J287" s="3">
        <v>68</v>
      </c>
      <c r="K287" s="3">
        <v>602</v>
      </c>
    </row>
    <row r="288" spans="1:11" ht="15" customHeight="1" x14ac:dyDescent="0.2">
      <c r="A288" s="3" t="s">
        <v>622</v>
      </c>
      <c r="B288" s="1" t="s">
        <v>623</v>
      </c>
      <c r="C288" s="3" t="s">
        <v>556</v>
      </c>
      <c r="D288" s="3" t="s">
        <v>55</v>
      </c>
      <c r="E288" s="1" t="s">
        <v>557</v>
      </c>
      <c r="F288" s="4">
        <v>281</v>
      </c>
      <c r="G288" s="3">
        <v>11</v>
      </c>
      <c r="H288" s="3" t="s">
        <v>44</v>
      </c>
      <c r="I288" s="3">
        <v>182</v>
      </c>
      <c r="J288" s="3">
        <v>192</v>
      </c>
      <c r="K288" s="3">
        <v>454</v>
      </c>
    </row>
    <row r="289" spans="1:11" ht="15" customHeight="1" x14ac:dyDescent="0.2">
      <c r="A289" s="3" t="s">
        <v>624</v>
      </c>
      <c r="B289" s="1" t="s">
        <v>625</v>
      </c>
      <c r="C289" s="3" t="s">
        <v>556</v>
      </c>
      <c r="D289" s="3" t="s">
        <v>55</v>
      </c>
      <c r="E289" s="1" t="s">
        <v>152</v>
      </c>
      <c r="F289" s="4">
        <v>94</v>
      </c>
      <c r="G289" s="3">
        <v>25</v>
      </c>
      <c r="H289" s="3" t="s">
        <v>44</v>
      </c>
      <c r="I289" s="3">
        <v>358</v>
      </c>
      <c r="J289" s="3">
        <v>27</v>
      </c>
      <c r="K289" s="3">
        <v>2483</v>
      </c>
    </row>
    <row r="290" spans="1:11" ht="15" customHeight="1" x14ac:dyDescent="0.2">
      <c r="A290" s="3" t="s">
        <v>626</v>
      </c>
      <c r="B290" s="1" t="s">
        <v>627</v>
      </c>
      <c r="C290" s="3" t="s">
        <v>556</v>
      </c>
      <c r="D290" s="3" t="s">
        <v>42</v>
      </c>
      <c r="E290" s="1" t="s">
        <v>152</v>
      </c>
      <c r="F290" s="4">
        <v>95</v>
      </c>
      <c r="G290" s="3">
        <v>20</v>
      </c>
      <c r="H290" s="3" t="s">
        <v>44</v>
      </c>
      <c r="I290" s="3">
        <v>64</v>
      </c>
      <c r="J290" s="3">
        <v>52</v>
      </c>
      <c r="K290" s="3">
        <v>528</v>
      </c>
    </row>
    <row r="291" spans="1:11" ht="15" customHeight="1" x14ac:dyDescent="0.2">
      <c r="A291" s="3" t="s">
        <v>628</v>
      </c>
      <c r="B291" s="1" t="s">
        <v>629</v>
      </c>
      <c r="C291" s="3" t="s">
        <v>556</v>
      </c>
      <c r="D291" s="3" t="s">
        <v>55</v>
      </c>
      <c r="E291" s="1" t="s">
        <v>557</v>
      </c>
      <c r="F291" s="4">
        <v>190</v>
      </c>
      <c r="G291" s="3">
        <v>12</v>
      </c>
      <c r="H291" s="3" t="s">
        <v>44</v>
      </c>
      <c r="I291" s="3">
        <v>652</v>
      </c>
      <c r="J291" s="3">
        <v>21</v>
      </c>
      <c r="K291" s="3">
        <v>9156</v>
      </c>
    </row>
    <row r="292" spans="1:11" ht="15" customHeight="1" x14ac:dyDescent="0.2">
      <c r="A292" s="3" t="s">
        <v>630</v>
      </c>
      <c r="B292" s="1" t="s">
        <v>631</v>
      </c>
      <c r="C292" s="3" t="s">
        <v>556</v>
      </c>
      <c r="D292" s="3" t="s">
        <v>42</v>
      </c>
      <c r="E292" s="1" t="s">
        <v>557</v>
      </c>
      <c r="F292" s="4">
        <v>52</v>
      </c>
      <c r="G292" s="3">
        <v>18</v>
      </c>
      <c r="H292" s="3" t="s">
        <v>44</v>
      </c>
      <c r="I292" s="3">
        <v>228</v>
      </c>
      <c r="J292" s="3">
        <v>68</v>
      </c>
      <c r="K292" s="3">
        <v>2216</v>
      </c>
    </row>
    <row r="293" spans="1:11" ht="15" customHeight="1" x14ac:dyDescent="0.2">
      <c r="A293" s="3" t="s">
        <v>632</v>
      </c>
      <c r="B293" s="1" t="s">
        <v>633</v>
      </c>
      <c r="C293" s="3" t="s">
        <v>556</v>
      </c>
      <c r="D293" s="3" t="s">
        <v>42</v>
      </c>
      <c r="E293" s="1" t="s">
        <v>557</v>
      </c>
      <c r="F293" s="4">
        <v>314</v>
      </c>
      <c r="G293" s="3">
        <v>19</v>
      </c>
      <c r="H293" s="3" t="s">
        <v>44</v>
      </c>
      <c r="I293" s="3">
        <v>194</v>
      </c>
      <c r="J293" s="3">
        <v>57</v>
      </c>
      <c r="K293" s="3">
        <v>1720</v>
      </c>
    </row>
    <row r="294" spans="1:11" ht="15" customHeight="1" x14ac:dyDescent="0.2">
      <c r="A294" s="3" t="s">
        <v>634</v>
      </c>
      <c r="B294" s="1" t="s">
        <v>635</v>
      </c>
      <c r="C294" s="3" t="s">
        <v>556</v>
      </c>
      <c r="D294" s="3" t="s">
        <v>55</v>
      </c>
      <c r="E294" s="1" t="s">
        <v>557</v>
      </c>
      <c r="F294" s="4">
        <v>196</v>
      </c>
      <c r="G294" s="3">
        <v>18</v>
      </c>
      <c r="H294" s="3" t="s">
        <v>44</v>
      </c>
      <c r="I294" s="3">
        <v>118</v>
      </c>
      <c r="J294" s="3">
        <v>37</v>
      </c>
      <c r="K294" s="3">
        <v>1057</v>
      </c>
    </row>
    <row r="295" spans="1:11" ht="15" customHeight="1" x14ac:dyDescent="0.2">
      <c r="A295" s="3" t="s">
        <v>636</v>
      </c>
      <c r="B295" s="1" t="s">
        <v>637</v>
      </c>
      <c r="C295" s="3" t="s">
        <v>556</v>
      </c>
      <c r="D295" s="3" t="s">
        <v>42</v>
      </c>
      <c r="E295" s="1" t="s">
        <v>557</v>
      </c>
      <c r="F295" s="4">
        <v>169</v>
      </c>
      <c r="G295" s="3">
        <v>15</v>
      </c>
      <c r="H295" s="3" t="s">
        <v>44</v>
      </c>
      <c r="I295" s="3">
        <v>143</v>
      </c>
      <c r="J295" s="3">
        <v>2</v>
      </c>
      <c r="K295" s="3">
        <v>4634</v>
      </c>
    </row>
    <row r="296" spans="1:11" ht="15" customHeight="1" x14ac:dyDescent="0.2">
      <c r="A296" s="3" t="s">
        <v>638</v>
      </c>
      <c r="B296" s="1" t="s">
        <v>639</v>
      </c>
      <c r="C296" s="3" t="s">
        <v>556</v>
      </c>
      <c r="D296" s="3" t="s">
        <v>47</v>
      </c>
      <c r="E296" s="1" t="s">
        <v>152</v>
      </c>
      <c r="F296" s="4">
        <v>299</v>
      </c>
      <c r="G296" s="3">
        <v>26</v>
      </c>
      <c r="H296" s="3" t="s">
        <v>44</v>
      </c>
      <c r="I296" s="3">
        <v>287</v>
      </c>
      <c r="J296" s="3">
        <v>70</v>
      </c>
      <c r="K296" s="3">
        <v>1978</v>
      </c>
    </row>
    <row r="297" spans="1:11" ht="15" customHeight="1" x14ac:dyDescent="0.2">
      <c r="A297" s="3" t="s">
        <v>640</v>
      </c>
      <c r="B297" s="1" t="s">
        <v>641</v>
      </c>
      <c r="C297" s="3" t="s">
        <v>556</v>
      </c>
      <c r="D297" s="3" t="s">
        <v>55</v>
      </c>
      <c r="E297" s="1" t="s">
        <v>152</v>
      </c>
      <c r="F297" s="4">
        <v>175</v>
      </c>
      <c r="G297" s="3">
        <v>22</v>
      </c>
      <c r="H297" s="3" t="s">
        <v>44</v>
      </c>
      <c r="I297" s="3">
        <v>311</v>
      </c>
      <c r="J297" s="3">
        <v>53</v>
      </c>
      <c r="K297" s="3">
        <v>2303</v>
      </c>
    </row>
    <row r="298" spans="1:11" ht="15" customHeight="1" x14ac:dyDescent="0.2">
      <c r="A298" s="3" t="s">
        <v>642</v>
      </c>
      <c r="B298" s="1" t="s">
        <v>643</v>
      </c>
      <c r="C298" s="3" t="s">
        <v>556</v>
      </c>
      <c r="D298" s="3" t="s">
        <v>47</v>
      </c>
      <c r="E298" s="1" t="s">
        <v>152</v>
      </c>
      <c r="F298" s="4">
        <v>344</v>
      </c>
      <c r="G298" s="3">
        <v>24</v>
      </c>
      <c r="H298" s="3" t="s">
        <v>44</v>
      </c>
      <c r="I298" s="3">
        <v>36</v>
      </c>
      <c r="J298" s="3">
        <v>47</v>
      </c>
      <c r="K298" s="3">
        <v>239</v>
      </c>
    </row>
    <row r="299" spans="1:11" ht="15" customHeight="1" x14ac:dyDescent="0.2">
      <c r="A299" s="3" t="s">
        <v>644</v>
      </c>
      <c r="B299" s="1" t="s">
        <v>645</v>
      </c>
      <c r="C299" s="3" t="s">
        <v>556</v>
      </c>
      <c r="D299" s="3" t="s">
        <v>55</v>
      </c>
      <c r="E299" s="1" t="s">
        <v>557</v>
      </c>
      <c r="F299" s="4">
        <v>90</v>
      </c>
      <c r="G299" s="3">
        <v>12</v>
      </c>
      <c r="H299" s="3" t="s">
        <v>44</v>
      </c>
      <c r="I299" s="3">
        <v>273</v>
      </c>
      <c r="J299" s="3">
        <v>37</v>
      </c>
      <c r="K299" s="3">
        <v>3519</v>
      </c>
    </row>
    <row r="300" spans="1:11" ht="15" customHeight="1" x14ac:dyDescent="0.2">
      <c r="A300" s="3" t="s">
        <v>646</v>
      </c>
      <c r="B300" s="1" t="s">
        <v>647</v>
      </c>
      <c r="C300" s="3" t="s">
        <v>556</v>
      </c>
      <c r="D300" s="3" t="s">
        <v>42</v>
      </c>
      <c r="E300" s="1" t="s">
        <v>152</v>
      </c>
      <c r="F300" s="4">
        <v>271</v>
      </c>
      <c r="G300" s="3">
        <v>25</v>
      </c>
      <c r="H300" s="3" t="s">
        <v>44</v>
      </c>
      <c r="I300" s="3">
        <v>98</v>
      </c>
      <c r="J300" s="3">
        <v>23</v>
      </c>
      <c r="K300" s="3">
        <v>651</v>
      </c>
    </row>
    <row r="301" spans="1:11" ht="15" customHeight="1" x14ac:dyDescent="0.2">
      <c r="A301" s="3" t="s">
        <v>648</v>
      </c>
      <c r="B301" s="1" t="s">
        <v>649</v>
      </c>
      <c r="C301" s="3" t="s">
        <v>556</v>
      </c>
      <c r="D301" s="3" t="s">
        <v>42</v>
      </c>
      <c r="E301" s="1" t="s">
        <v>557</v>
      </c>
      <c r="F301" s="4">
        <v>64</v>
      </c>
      <c r="G301" s="3">
        <v>19</v>
      </c>
      <c r="H301" s="3" t="s">
        <v>44</v>
      </c>
      <c r="I301" s="3">
        <v>28</v>
      </c>
      <c r="J301" s="3">
        <v>52</v>
      </c>
      <c r="K301" s="3">
        <v>217</v>
      </c>
    </row>
    <row r="302" spans="1:11" ht="15" customHeight="1" x14ac:dyDescent="0.2">
      <c r="A302" s="3" t="s">
        <v>650</v>
      </c>
      <c r="B302" s="1" t="s">
        <v>651</v>
      </c>
      <c r="C302" s="3" t="s">
        <v>556</v>
      </c>
      <c r="D302" s="3" t="s">
        <v>55</v>
      </c>
      <c r="E302" s="1" t="s">
        <v>152</v>
      </c>
      <c r="F302" s="4">
        <v>291</v>
      </c>
      <c r="G302" s="3">
        <v>29</v>
      </c>
      <c r="H302" s="3" t="s">
        <v>44</v>
      </c>
      <c r="I302" s="3">
        <v>123</v>
      </c>
      <c r="J302" s="3">
        <v>62</v>
      </c>
      <c r="K302" s="3">
        <v>768</v>
      </c>
    </row>
    <row r="303" spans="1:11" ht="15" customHeight="1" x14ac:dyDescent="0.2">
      <c r="A303" s="3" t="s">
        <v>652</v>
      </c>
      <c r="B303" s="1" t="s">
        <v>653</v>
      </c>
      <c r="C303" s="3" t="s">
        <v>556</v>
      </c>
      <c r="D303" s="3" t="s">
        <v>42</v>
      </c>
      <c r="E303" s="1" t="s">
        <v>152</v>
      </c>
      <c r="F303" s="4">
        <v>160</v>
      </c>
      <c r="G303" s="3">
        <v>29</v>
      </c>
      <c r="H303" s="3" t="s">
        <v>44</v>
      </c>
      <c r="I303" s="3">
        <v>38</v>
      </c>
      <c r="J303" s="3">
        <v>15</v>
      </c>
      <c r="K303" s="3">
        <v>205</v>
      </c>
    </row>
    <row r="304" spans="1:11" ht="15" customHeight="1" x14ac:dyDescent="0.2">
      <c r="A304" s="3" t="s">
        <v>654</v>
      </c>
      <c r="B304" s="1" t="s">
        <v>655</v>
      </c>
      <c r="C304" s="3" t="s">
        <v>556</v>
      </c>
      <c r="D304" s="3" t="s">
        <v>55</v>
      </c>
      <c r="E304" s="1" t="s">
        <v>557</v>
      </c>
      <c r="F304" s="4">
        <v>226</v>
      </c>
      <c r="G304" s="3">
        <v>13</v>
      </c>
      <c r="H304" s="3" t="s">
        <v>44</v>
      </c>
      <c r="I304" s="3">
        <v>39</v>
      </c>
      <c r="J304" s="3">
        <v>7</v>
      </c>
      <c r="K304" s="3">
        <v>236</v>
      </c>
    </row>
    <row r="305" spans="1:11" ht="15" customHeight="1" x14ac:dyDescent="0.2">
      <c r="A305" s="3" t="s">
        <v>656</v>
      </c>
      <c r="B305" s="1" t="s">
        <v>657</v>
      </c>
      <c r="C305" s="3" t="s">
        <v>658</v>
      </c>
      <c r="D305" s="3" t="s">
        <v>55</v>
      </c>
      <c r="E305" s="1" t="s">
        <v>659</v>
      </c>
      <c r="F305" s="4">
        <v>37</v>
      </c>
      <c r="G305" s="3">
        <v>19</v>
      </c>
      <c r="H305" s="3" t="s">
        <v>44</v>
      </c>
      <c r="I305" s="3">
        <v>265</v>
      </c>
      <c r="J305" s="3">
        <v>68</v>
      </c>
      <c r="K305" s="3">
        <v>3222</v>
      </c>
    </row>
    <row r="306" spans="1:11" ht="15" customHeight="1" x14ac:dyDescent="0.2">
      <c r="A306" s="3" t="s">
        <v>660</v>
      </c>
      <c r="B306" s="1" t="s">
        <v>661</v>
      </c>
      <c r="C306" s="3" t="s">
        <v>658</v>
      </c>
      <c r="D306" s="3" t="s">
        <v>47</v>
      </c>
      <c r="E306" s="1" t="s">
        <v>659</v>
      </c>
      <c r="F306" s="4">
        <v>26</v>
      </c>
      <c r="G306" s="3">
        <v>19</v>
      </c>
      <c r="H306" s="3" t="s">
        <v>44</v>
      </c>
      <c r="I306" s="3">
        <v>38</v>
      </c>
      <c r="J306" s="3">
        <v>52</v>
      </c>
      <c r="K306" s="3">
        <v>404</v>
      </c>
    </row>
    <row r="307" spans="1:11" ht="15" customHeight="1" x14ac:dyDescent="0.2">
      <c r="A307" s="3" t="s">
        <v>662</v>
      </c>
      <c r="B307" s="1" t="s">
        <v>663</v>
      </c>
      <c r="C307" s="3" t="s">
        <v>658</v>
      </c>
      <c r="D307" s="3" t="s">
        <v>47</v>
      </c>
      <c r="E307" s="1" t="s">
        <v>557</v>
      </c>
      <c r="F307" s="4">
        <v>111</v>
      </c>
      <c r="G307" s="3">
        <v>19</v>
      </c>
      <c r="H307" s="3" t="s">
        <v>44</v>
      </c>
      <c r="I307" s="3">
        <v>306</v>
      </c>
      <c r="J307" s="3">
        <v>61</v>
      </c>
      <c r="K307" s="3">
        <v>3675</v>
      </c>
    </row>
    <row r="308" spans="1:11" ht="15" customHeight="1" x14ac:dyDescent="0.2">
      <c r="A308" s="3" t="s">
        <v>664</v>
      </c>
      <c r="B308" s="1" t="s">
        <v>665</v>
      </c>
      <c r="C308" s="3" t="s">
        <v>658</v>
      </c>
      <c r="D308" s="3" t="s">
        <v>47</v>
      </c>
      <c r="E308" s="1" t="s">
        <v>557</v>
      </c>
      <c r="F308" s="4">
        <v>55</v>
      </c>
      <c r="G308" s="3">
        <v>13</v>
      </c>
      <c r="H308" s="3" t="s">
        <v>44</v>
      </c>
      <c r="I308" s="3">
        <v>57</v>
      </c>
      <c r="J308" s="3">
        <v>4</v>
      </c>
      <c r="K308" s="3">
        <v>963</v>
      </c>
    </row>
    <row r="309" spans="1:11" ht="15" customHeight="1" x14ac:dyDescent="0.2">
      <c r="A309" s="3" t="s">
        <v>666</v>
      </c>
      <c r="B309" s="1" t="s">
        <v>667</v>
      </c>
      <c r="C309" s="3" t="s">
        <v>658</v>
      </c>
      <c r="D309" s="3" t="s">
        <v>55</v>
      </c>
      <c r="E309" s="1" t="s">
        <v>659</v>
      </c>
      <c r="F309" s="4">
        <v>54</v>
      </c>
      <c r="G309" s="3">
        <v>21</v>
      </c>
      <c r="H309" s="3" t="s">
        <v>44</v>
      </c>
      <c r="I309" s="3">
        <v>295</v>
      </c>
      <c r="J309" s="3">
        <v>37</v>
      </c>
      <c r="K309" s="3">
        <v>3219</v>
      </c>
    </row>
    <row r="310" spans="1:11" ht="15" customHeight="1" x14ac:dyDescent="0.2">
      <c r="A310" s="3" t="s">
        <v>668</v>
      </c>
      <c r="B310" s="1" t="s">
        <v>669</v>
      </c>
      <c r="C310" s="3" t="s">
        <v>658</v>
      </c>
      <c r="D310" s="3" t="s">
        <v>47</v>
      </c>
      <c r="E310" s="1" t="s">
        <v>659</v>
      </c>
      <c r="F310" s="4">
        <v>60</v>
      </c>
      <c r="G310" s="3">
        <v>20</v>
      </c>
      <c r="H310" s="3" t="s">
        <v>44</v>
      </c>
      <c r="I310" s="3">
        <v>63</v>
      </c>
      <c r="J310" s="3">
        <v>32</v>
      </c>
      <c r="K310" s="3">
        <v>712</v>
      </c>
    </row>
    <row r="311" spans="1:11" ht="15" customHeight="1" x14ac:dyDescent="0.2">
      <c r="A311" s="3" t="s">
        <v>670</v>
      </c>
      <c r="B311" s="1" t="s">
        <v>671</v>
      </c>
      <c r="C311" s="3" t="s">
        <v>658</v>
      </c>
      <c r="D311" s="3" t="s">
        <v>47</v>
      </c>
      <c r="E311" s="1" t="s">
        <v>557</v>
      </c>
      <c r="F311" s="4">
        <v>115</v>
      </c>
      <c r="G311" s="3">
        <v>10</v>
      </c>
      <c r="H311" s="3" t="s">
        <v>44</v>
      </c>
      <c r="I311" s="3">
        <v>130</v>
      </c>
      <c r="J311" s="3">
        <v>8</v>
      </c>
      <c r="K311" s="3">
        <v>3068</v>
      </c>
    </row>
    <row r="312" spans="1:11" ht="15" customHeight="1" x14ac:dyDescent="0.2">
      <c r="A312" s="3" t="s">
        <v>672</v>
      </c>
      <c r="B312" s="1" t="s">
        <v>673</v>
      </c>
      <c r="C312" s="3" t="s">
        <v>658</v>
      </c>
      <c r="D312" s="3" t="s">
        <v>47</v>
      </c>
      <c r="E312" s="1" t="s">
        <v>557</v>
      </c>
      <c r="F312" s="4">
        <v>117</v>
      </c>
      <c r="G312" s="3">
        <v>11</v>
      </c>
      <c r="H312" s="3" t="s">
        <v>44</v>
      </c>
      <c r="I312" s="3">
        <v>64</v>
      </c>
      <c r="J312" s="3">
        <v>41</v>
      </c>
      <c r="K312" s="3">
        <v>1303</v>
      </c>
    </row>
    <row r="313" spans="1:11" ht="15" customHeight="1" x14ac:dyDescent="0.2">
      <c r="A313" s="3" t="s">
        <v>674</v>
      </c>
      <c r="B313" s="1" t="s">
        <v>675</v>
      </c>
      <c r="C313" s="3" t="s">
        <v>658</v>
      </c>
      <c r="D313" s="3" t="s">
        <v>47</v>
      </c>
      <c r="E313" s="1" t="s">
        <v>659</v>
      </c>
      <c r="F313" s="4">
        <v>42</v>
      </c>
      <c r="G313" s="3">
        <v>20</v>
      </c>
      <c r="H313" s="3" t="s">
        <v>44</v>
      </c>
      <c r="I313" s="3">
        <v>69</v>
      </c>
      <c r="J313" s="3">
        <v>44</v>
      </c>
      <c r="K313" s="3">
        <v>750</v>
      </c>
    </row>
    <row r="314" spans="1:11" ht="15" customHeight="1" x14ac:dyDescent="0.2">
      <c r="A314" s="3" t="s">
        <v>676</v>
      </c>
      <c r="B314" s="1" t="s">
        <v>677</v>
      </c>
      <c r="C314" s="3" t="s">
        <v>658</v>
      </c>
      <c r="D314" s="3" t="s">
        <v>55</v>
      </c>
      <c r="E314" s="1" t="s">
        <v>557</v>
      </c>
      <c r="F314" s="4">
        <v>103</v>
      </c>
      <c r="G314" s="3">
        <v>10</v>
      </c>
      <c r="H314" s="3" t="s">
        <v>44</v>
      </c>
      <c r="I314" s="3">
        <v>83</v>
      </c>
      <c r="J314" s="3">
        <v>60</v>
      </c>
      <c r="K314" s="3">
        <v>1849</v>
      </c>
    </row>
    <row r="315" spans="1:11" ht="15" customHeight="1" x14ac:dyDescent="0.2">
      <c r="A315" s="3" t="s">
        <v>678</v>
      </c>
      <c r="B315" s="1" t="s">
        <v>679</v>
      </c>
      <c r="C315" s="3" t="s">
        <v>658</v>
      </c>
      <c r="D315" s="3" t="s">
        <v>42</v>
      </c>
      <c r="E315" s="1" t="s">
        <v>659</v>
      </c>
      <c r="F315" s="4">
        <v>14</v>
      </c>
      <c r="G315" s="3">
        <v>18</v>
      </c>
      <c r="H315" s="3" t="s">
        <v>44</v>
      </c>
      <c r="I315" s="3">
        <v>374</v>
      </c>
      <c r="J315" s="3">
        <v>5</v>
      </c>
      <c r="K315" s="3">
        <v>4858</v>
      </c>
    </row>
    <row r="316" spans="1:11" ht="15" customHeight="1" x14ac:dyDescent="0.2">
      <c r="A316" s="3" t="s">
        <v>680</v>
      </c>
      <c r="B316" s="1" t="s">
        <v>681</v>
      </c>
      <c r="C316" s="3" t="s">
        <v>658</v>
      </c>
      <c r="D316" s="3" t="s">
        <v>55</v>
      </c>
      <c r="E316" s="1" t="s">
        <v>557</v>
      </c>
      <c r="F316" s="4">
        <v>16</v>
      </c>
      <c r="G316" s="3">
        <v>20</v>
      </c>
      <c r="H316" s="3" t="s">
        <v>44</v>
      </c>
      <c r="I316" s="3">
        <v>186</v>
      </c>
      <c r="J316" s="3">
        <v>54</v>
      </c>
      <c r="K316" s="3">
        <v>2151</v>
      </c>
    </row>
    <row r="317" spans="1:11" ht="15" customHeight="1" x14ac:dyDescent="0.2">
      <c r="A317" s="3" t="s">
        <v>682</v>
      </c>
      <c r="B317" s="1" t="s">
        <v>683</v>
      </c>
      <c r="C317" s="3" t="s">
        <v>658</v>
      </c>
      <c r="D317" s="3" t="s">
        <v>47</v>
      </c>
      <c r="E317" s="1" t="s">
        <v>659</v>
      </c>
      <c r="F317" s="4">
        <v>69</v>
      </c>
      <c r="G317" s="3">
        <v>17</v>
      </c>
      <c r="H317" s="3" t="s">
        <v>44</v>
      </c>
      <c r="I317" s="3">
        <v>983</v>
      </c>
      <c r="J317" s="3">
        <v>114</v>
      </c>
      <c r="K317" s="3">
        <v>3195</v>
      </c>
    </row>
    <row r="318" spans="1:11" ht="15" customHeight="1" x14ac:dyDescent="0.2">
      <c r="A318" s="3" t="s">
        <v>684</v>
      </c>
      <c r="B318" s="1" t="s">
        <v>685</v>
      </c>
      <c r="C318" s="3" t="s">
        <v>658</v>
      </c>
      <c r="D318" s="3" t="s">
        <v>55</v>
      </c>
      <c r="E318" s="1" t="s">
        <v>557</v>
      </c>
      <c r="F318" s="4">
        <v>108</v>
      </c>
      <c r="G318" s="3">
        <v>10</v>
      </c>
      <c r="H318" s="3" t="s">
        <v>44</v>
      </c>
      <c r="I318" s="3">
        <v>342</v>
      </c>
      <c r="J318" s="3">
        <v>138</v>
      </c>
      <c r="K318" s="3">
        <v>1197</v>
      </c>
    </row>
    <row r="319" spans="1:11" ht="15" customHeight="1" x14ac:dyDescent="0.2">
      <c r="A319" s="3" t="s">
        <v>686</v>
      </c>
      <c r="B319" s="1" t="s">
        <v>687</v>
      </c>
      <c r="C319" s="3" t="s">
        <v>658</v>
      </c>
      <c r="D319" s="3" t="s">
        <v>55</v>
      </c>
      <c r="E319" s="1" t="s">
        <v>557</v>
      </c>
      <c r="F319" s="4">
        <v>87</v>
      </c>
      <c r="G319" s="3">
        <v>18</v>
      </c>
      <c r="H319" s="3" t="s">
        <v>44</v>
      </c>
      <c r="I319" s="3">
        <v>391</v>
      </c>
      <c r="J319" s="3">
        <v>56</v>
      </c>
      <c r="K319" s="3">
        <v>5344</v>
      </c>
    </row>
    <row r="320" spans="1:11" ht="15" customHeight="1" x14ac:dyDescent="0.2">
      <c r="A320" s="3" t="s">
        <v>688</v>
      </c>
      <c r="B320" s="1" t="s">
        <v>689</v>
      </c>
      <c r="C320" s="3" t="s">
        <v>658</v>
      </c>
      <c r="D320" s="3" t="s">
        <v>47</v>
      </c>
      <c r="E320" s="1" t="s">
        <v>659</v>
      </c>
      <c r="F320" s="4">
        <v>103</v>
      </c>
      <c r="G320" s="3">
        <v>21</v>
      </c>
      <c r="H320" s="3" t="s">
        <v>44</v>
      </c>
      <c r="I320" s="3">
        <v>290</v>
      </c>
      <c r="J320" s="3">
        <v>24</v>
      </c>
      <c r="K320" s="3">
        <v>3216</v>
      </c>
    </row>
    <row r="321" spans="1:11" ht="15" customHeight="1" x14ac:dyDescent="0.2">
      <c r="A321" s="3" t="s">
        <v>690</v>
      </c>
      <c r="B321" s="1" t="s">
        <v>691</v>
      </c>
      <c r="C321" s="3" t="s">
        <v>658</v>
      </c>
      <c r="D321" s="3" t="s">
        <v>47</v>
      </c>
      <c r="E321" s="1" t="s">
        <v>557</v>
      </c>
      <c r="F321" s="4">
        <v>59</v>
      </c>
      <c r="G321" s="3">
        <v>17</v>
      </c>
      <c r="H321" s="3" t="s">
        <v>44</v>
      </c>
      <c r="I321" s="3">
        <v>43</v>
      </c>
      <c r="J321" s="3">
        <v>43</v>
      </c>
      <c r="K321" s="3">
        <v>534</v>
      </c>
    </row>
    <row r="322" spans="1:11" ht="15" customHeight="1" x14ac:dyDescent="0.2">
      <c r="A322" s="3" t="s">
        <v>692</v>
      </c>
      <c r="B322" s="1" t="s">
        <v>693</v>
      </c>
      <c r="C322" s="3" t="s">
        <v>658</v>
      </c>
      <c r="D322" s="3" t="s">
        <v>42</v>
      </c>
      <c r="E322" s="1" t="s">
        <v>659</v>
      </c>
      <c r="F322" s="4">
        <v>51</v>
      </c>
      <c r="G322" s="3">
        <v>16</v>
      </c>
      <c r="H322" s="3" t="s">
        <v>44</v>
      </c>
      <c r="I322" s="3">
        <v>567</v>
      </c>
      <c r="J322" s="3">
        <v>6</v>
      </c>
      <c r="K322" s="3">
        <v>8333</v>
      </c>
    </row>
    <row r="323" spans="1:11" ht="15" customHeight="1" x14ac:dyDescent="0.2">
      <c r="A323" s="3" t="s">
        <v>694</v>
      </c>
      <c r="B323" s="1" t="s">
        <v>695</v>
      </c>
      <c r="C323" s="3" t="s">
        <v>658</v>
      </c>
      <c r="D323" s="3" t="s">
        <v>47</v>
      </c>
      <c r="E323" s="1" t="s">
        <v>659</v>
      </c>
      <c r="F323" s="4">
        <v>93</v>
      </c>
      <c r="G323" s="3">
        <v>21</v>
      </c>
      <c r="H323" s="3" t="s">
        <v>44</v>
      </c>
      <c r="I323" s="3">
        <v>115</v>
      </c>
      <c r="J323" s="3">
        <v>63</v>
      </c>
      <c r="K323" s="3">
        <v>1281</v>
      </c>
    </row>
    <row r="324" spans="1:11" ht="15" customHeight="1" x14ac:dyDescent="0.2">
      <c r="A324" s="3" t="s">
        <v>696</v>
      </c>
      <c r="B324" s="1" t="s">
        <v>697</v>
      </c>
      <c r="C324" s="3" t="s">
        <v>658</v>
      </c>
      <c r="D324" s="3" t="s">
        <v>42</v>
      </c>
      <c r="E324" s="1" t="s">
        <v>557</v>
      </c>
      <c r="F324" s="4">
        <v>17</v>
      </c>
      <c r="G324" s="3">
        <v>17</v>
      </c>
      <c r="H324" s="3" t="s">
        <v>44</v>
      </c>
      <c r="I324" s="3">
        <v>487</v>
      </c>
      <c r="J324" s="3">
        <v>58</v>
      </c>
      <c r="K324" s="3">
        <v>6936</v>
      </c>
    </row>
    <row r="325" spans="1:11" ht="15" customHeight="1" x14ac:dyDescent="0.2">
      <c r="A325" s="3" t="s">
        <v>698</v>
      </c>
      <c r="B325" s="1" t="s">
        <v>699</v>
      </c>
      <c r="C325" s="3" t="s">
        <v>658</v>
      </c>
      <c r="D325" s="3" t="s">
        <v>47</v>
      </c>
      <c r="E325" s="1" t="s">
        <v>659</v>
      </c>
      <c r="F325" s="4">
        <v>13</v>
      </c>
      <c r="G325" s="3">
        <v>15</v>
      </c>
      <c r="H325" s="3" t="s">
        <v>44</v>
      </c>
      <c r="I325" s="3">
        <v>195</v>
      </c>
      <c r="J325" s="3">
        <v>19</v>
      </c>
      <c r="K325" s="3">
        <v>2712</v>
      </c>
    </row>
    <row r="326" spans="1:11" ht="15" customHeight="1" x14ac:dyDescent="0.2">
      <c r="A326" s="3" t="s">
        <v>700</v>
      </c>
      <c r="B326" s="1" t="s">
        <v>701</v>
      </c>
      <c r="C326" s="3" t="s">
        <v>658</v>
      </c>
      <c r="D326" s="3" t="s">
        <v>55</v>
      </c>
      <c r="E326" s="1" t="s">
        <v>557</v>
      </c>
      <c r="F326" s="4">
        <v>75</v>
      </c>
      <c r="G326" s="3">
        <v>15</v>
      </c>
      <c r="H326" s="3" t="s">
        <v>44</v>
      </c>
      <c r="I326" s="3">
        <v>114</v>
      </c>
      <c r="J326" s="3">
        <v>9</v>
      </c>
      <c r="K326" s="3">
        <v>690</v>
      </c>
    </row>
    <row r="327" spans="1:11" ht="15" customHeight="1" x14ac:dyDescent="0.2">
      <c r="A327" s="3" t="s">
        <v>702</v>
      </c>
      <c r="B327" s="1" t="s">
        <v>703</v>
      </c>
      <c r="C327" s="3" t="s">
        <v>658</v>
      </c>
      <c r="D327" s="3" t="s">
        <v>42</v>
      </c>
      <c r="E327" s="1" t="s">
        <v>557</v>
      </c>
      <c r="F327" s="4">
        <v>72</v>
      </c>
      <c r="G327" s="3">
        <v>20</v>
      </c>
      <c r="H327" s="3" t="s">
        <v>44</v>
      </c>
      <c r="I327" s="3">
        <v>312</v>
      </c>
      <c r="J327" s="3">
        <v>33</v>
      </c>
      <c r="K327" s="3">
        <v>3788</v>
      </c>
    </row>
    <row r="328" spans="1:11" ht="15" customHeight="1" x14ac:dyDescent="0.2">
      <c r="A328" s="3" t="s">
        <v>704</v>
      </c>
      <c r="B328" s="1" t="s">
        <v>705</v>
      </c>
      <c r="C328" s="3" t="s">
        <v>658</v>
      </c>
      <c r="D328" s="3" t="s">
        <v>42</v>
      </c>
      <c r="E328" s="1" t="s">
        <v>659</v>
      </c>
      <c r="F328" s="4">
        <v>53</v>
      </c>
      <c r="G328" s="3">
        <v>19</v>
      </c>
      <c r="H328" s="3" t="s">
        <v>44</v>
      </c>
      <c r="I328" s="3">
        <v>228</v>
      </c>
      <c r="J328" s="3">
        <v>14</v>
      </c>
      <c r="K328" s="3">
        <v>2940</v>
      </c>
    </row>
    <row r="329" spans="1:11" ht="15" customHeight="1" x14ac:dyDescent="0.2">
      <c r="A329" s="3" t="s">
        <v>706</v>
      </c>
      <c r="B329" s="1" t="s">
        <v>707</v>
      </c>
      <c r="C329" s="3" t="s">
        <v>658</v>
      </c>
      <c r="D329" s="3" t="s">
        <v>47</v>
      </c>
      <c r="E329" s="1" t="s">
        <v>557</v>
      </c>
      <c r="F329" s="4">
        <v>13</v>
      </c>
      <c r="G329" s="3">
        <v>18</v>
      </c>
      <c r="H329" s="3" t="s">
        <v>44</v>
      </c>
      <c r="I329" s="3">
        <v>187</v>
      </c>
      <c r="J329" s="3">
        <v>17</v>
      </c>
      <c r="K329" s="3">
        <v>2506</v>
      </c>
    </row>
    <row r="330" spans="1:11" ht="15" customHeight="1" x14ac:dyDescent="0.2">
      <c r="A330" s="3" t="s">
        <v>708</v>
      </c>
      <c r="B330" s="1" t="s">
        <v>709</v>
      </c>
      <c r="C330" s="3" t="s">
        <v>658</v>
      </c>
      <c r="D330" s="3" t="s">
        <v>47</v>
      </c>
      <c r="E330" s="1" t="s">
        <v>557</v>
      </c>
      <c r="F330" s="4">
        <v>65</v>
      </c>
      <c r="G330" s="3">
        <v>12</v>
      </c>
      <c r="H330" s="3" t="s">
        <v>44</v>
      </c>
      <c r="I330" s="3">
        <v>86</v>
      </c>
      <c r="J330" s="3">
        <v>60</v>
      </c>
      <c r="K330" s="3">
        <v>1588</v>
      </c>
    </row>
    <row r="331" spans="1:11" ht="15" customHeight="1" x14ac:dyDescent="0.2">
      <c r="A331" s="3" t="s">
        <v>710</v>
      </c>
      <c r="B331" s="1" t="s">
        <v>711</v>
      </c>
      <c r="C331" s="3" t="s">
        <v>658</v>
      </c>
      <c r="D331" s="3" t="s">
        <v>47</v>
      </c>
      <c r="E331" s="1" t="s">
        <v>557</v>
      </c>
      <c r="F331" s="4">
        <v>93</v>
      </c>
      <c r="G331" s="3">
        <v>16</v>
      </c>
      <c r="H331" s="3" t="s">
        <v>44</v>
      </c>
      <c r="I331" s="3">
        <v>444</v>
      </c>
      <c r="J331" s="3">
        <v>14</v>
      </c>
      <c r="K331" s="3">
        <v>10850</v>
      </c>
    </row>
    <row r="332" spans="1:11" ht="15" customHeight="1" x14ac:dyDescent="0.2">
      <c r="A332" s="3" t="s">
        <v>712</v>
      </c>
      <c r="B332" s="1" t="s">
        <v>713</v>
      </c>
      <c r="C332" s="3" t="s">
        <v>658</v>
      </c>
      <c r="D332" s="3" t="s">
        <v>42</v>
      </c>
      <c r="E332" s="1" t="s">
        <v>557</v>
      </c>
      <c r="F332" s="4">
        <v>32</v>
      </c>
      <c r="G332" s="3">
        <v>17</v>
      </c>
      <c r="H332" s="3" t="s">
        <v>44</v>
      </c>
      <c r="I332" s="3">
        <v>121</v>
      </c>
      <c r="J332" s="3">
        <v>19</v>
      </c>
      <c r="K332" s="3">
        <v>649</v>
      </c>
    </row>
    <row r="333" spans="1:11" ht="15" customHeight="1" x14ac:dyDescent="0.2">
      <c r="A333" s="3" t="s">
        <v>714</v>
      </c>
      <c r="B333" s="1" t="s">
        <v>715</v>
      </c>
      <c r="C333" s="3" t="s">
        <v>658</v>
      </c>
      <c r="D333" s="3" t="s">
        <v>55</v>
      </c>
      <c r="E333" s="1" t="s">
        <v>659</v>
      </c>
      <c r="F333" s="4">
        <v>53</v>
      </c>
      <c r="G333" s="3">
        <v>13</v>
      </c>
      <c r="H333" s="3" t="s">
        <v>44</v>
      </c>
      <c r="I333" s="3">
        <v>1260</v>
      </c>
      <c r="J333" s="3">
        <v>174</v>
      </c>
      <c r="K333" s="3">
        <v>3492</v>
      </c>
    </row>
    <row r="334" spans="1:11" ht="15" customHeight="1" x14ac:dyDescent="0.2">
      <c r="A334" s="3" t="s">
        <v>716</v>
      </c>
      <c r="B334" s="1" t="s">
        <v>717</v>
      </c>
      <c r="C334" s="3" t="s">
        <v>658</v>
      </c>
      <c r="D334" s="3" t="s">
        <v>55</v>
      </c>
      <c r="E334" s="1" t="s">
        <v>659</v>
      </c>
      <c r="F334" s="4">
        <v>96</v>
      </c>
      <c r="G334" s="3">
        <v>17</v>
      </c>
      <c r="H334" s="3" t="s">
        <v>44</v>
      </c>
      <c r="I334" s="3">
        <v>579</v>
      </c>
      <c r="J334" s="3">
        <v>12</v>
      </c>
      <c r="K334" s="3">
        <v>8145</v>
      </c>
    </row>
    <row r="335" spans="1:11" ht="15" customHeight="1" x14ac:dyDescent="0.2">
      <c r="A335" s="3" t="s">
        <v>718</v>
      </c>
      <c r="B335" s="1" t="s">
        <v>719</v>
      </c>
      <c r="C335" s="3" t="s">
        <v>658</v>
      </c>
      <c r="D335" s="3" t="s">
        <v>42</v>
      </c>
      <c r="E335" s="1" t="s">
        <v>557</v>
      </c>
      <c r="F335" s="4">
        <v>77</v>
      </c>
      <c r="G335" s="3">
        <v>18</v>
      </c>
      <c r="H335" s="3" t="s">
        <v>44</v>
      </c>
      <c r="I335" s="3">
        <v>251</v>
      </c>
      <c r="J335" s="3">
        <v>56</v>
      </c>
      <c r="K335" s="3">
        <v>3053</v>
      </c>
    </row>
    <row r="336" spans="1:11" ht="15" customHeight="1" x14ac:dyDescent="0.2">
      <c r="A336" s="3" t="s">
        <v>720</v>
      </c>
      <c r="B336" s="1" t="s">
        <v>721</v>
      </c>
      <c r="C336" s="3" t="s">
        <v>658</v>
      </c>
      <c r="D336" s="3" t="s">
        <v>55</v>
      </c>
      <c r="E336" s="1" t="s">
        <v>557</v>
      </c>
      <c r="F336" s="4">
        <v>87</v>
      </c>
      <c r="G336" s="3">
        <v>12</v>
      </c>
      <c r="H336" s="3" t="s">
        <v>44</v>
      </c>
      <c r="I336" s="3">
        <v>1041</v>
      </c>
      <c r="J336" s="3">
        <v>55</v>
      </c>
      <c r="K336" s="3">
        <v>20102</v>
      </c>
    </row>
    <row r="337" spans="1:11" ht="15" customHeight="1" x14ac:dyDescent="0.2">
      <c r="A337" s="3" t="s">
        <v>722</v>
      </c>
      <c r="B337" s="1" t="s">
        <v>723</v>
      </c>
      <c r="C337" s="3" t="s">
        <v>658</v>
      </c>
      <c r="D337" s="3" t="s">
        <v>55</v>
      </c>
      <c r="E337" s="1" t="s">
        <v>557</v>
      </c>
      <c r="F337" s="4">
        <v>23</v>
      </c>
      <c r="G337" s="3">
        <v>13</v>
      </c>
      <c r="H337" s="3" t="s">
        <v>44</v>
      </c>
      <c r="I337" s="3">
        <v>129</v>
      </c>
      <c r="J337" s="3">
        <v>53</v>
      </c>
      <c r="K337" s="3">
        <v>2145</v>
      </c>
    </row>
    <row r="338" spans="1:11" ht="15" customHeight="1" x14ac:dyDescent="0.2">
      <c r="A338" s="3" t="s">
        <v>724</v>
      </c>
      <c r="B338" s="1" t="s">
        <v>725</v>
      </c>
      <c r="C338" s="3" t="s">
        <v>658</v>
      </c>
      <c r="D338" s="3" t="s">
        <v>55</v>
      </c>
      <c r="E338" s="1" t="s">
        <v>659</v>
      </c>
      <c r="F338" s="4">
        <v>60</v>
      </c>
      <c r="G338" s="3">
        <v>21</v>
      </c>
      <c r="H338" s="3" t="s">
        <v>44</v>
      </c>
      <c r="I338" s="3">
        <v>101</v>
      </c>
      <c r="J338" s="3">
        <v>67</v>
      </c>
      <c r="K338" s="3">
        <v>1082</v>
      </c>
    </row>
    <row r="339" spans="1:11" ht="15" customHeight="1" x14ac:dyDescent="0.2">
      <c r="A339" s="3" t="s">
        <v>726</v>
      </c>
      <c r="B339" s="1" t="s">
        <v>727</v>
      </c>
      <c r="C339" s="3" t="s">
        <v>658</v>
      </c>
      <c r="D339" s="3" t="s">
        <v>42</v>
      </c>
      <c r="E339" s="1" t="s">
        <v>659</v>
      </c>
      <c r="F339" s="4">
        <v>42</v>
      </c>
      <c r="G339" s="3">
        <v>20</v>
      </c>
      <c r="H339" s="3" t="s">
        <v>44</v>
      </c>
      <c r="I339" s="3">
        <v>192</v>
      </c>
      <c r="J339" s="3">
        <v>67</v>
      </c>
      <c r="K339" s="3">
        <v>2262</v>
      </c>
    </row>
    <row r="340" spans="1:11" ht="15" customHeight="1" x14ac:dyDescent="0.2">
      <c r="A340" s="3" t="s">
        <v>728</v>
      </c>
      <c r="B340" s="1" t="s">
        <v>729</v>
      </c>
      <c r="C340" s="3" t="s">
        <v>658</v>
      </c>
      <c r="D340" s="3" t="s">
        <v>47</v>
      </c>
      <c r="E340" s="1" t="s">
        <v>659</v>
      </c>
      <c r="F340" s="4">
        <v>102</v>
      </c>
      <c r="G340" s="3">
        <v>18</v>
      </c>
      <c r="H340" s="3" t="s">
        <v>44</v>
      </c>
      <c r="I340" s="3">
        <v>37</v>
      </c>
      <c r="J340" s="3">
        <v>60</v>
      </c>
      <c r="K340" s="3">
        <v>431</v>
      </c>
    </row>
    <row r="341" spans="1:11" ht="15" customHeight="1" x14ac:dyDescent="0.2">
      <c r="A341" s="3" t="s">
        <v>730</v>
      </c>
      <c r="B341" s="1" t="s">
        <v>731</v>
      </c>
      <c r="C341" s="3" t="s">
        <v>658</v>
      </c>
      <c r="D341" s="3" t="s">
        <v>47</v>
      </c>
      <c r="E341" s="1" t="s">
        <v>659</v>
      </c>
      <c r="F341" s="4">
        <v>17</v>
      </c>
      <c r="G341" s="3">
        <v>18</v>
      </c>
      <c r="H341" s="3" t="s">
        <v>44</v>
      </c>
      <c r="I341" s="3">
        <v>138</v>
      </c>
      <c r="J341" s="3">
        <v>66</v>
      </c>
      <c r="K341" s="3">
        <v>671</v>
      </c>
    </row>
    <row r="342" spans="1:11" ht="15" customHeight="1" x14ac:dyDescent="0.2">
      <c r="A342" s="3" t="s">
        <v>732</v>
      </c>
      <c r="B342" s="1" t="s">
        <v>733</v>
      </c>
      <c r="C342" s="3" t="s">
        <v>658</v>
      </c>
      <c r="D342" s="3" t="s">
        <v>42</v>
      </c>
      <c r="E342" s="1" t="s">
        <v>659</v>
      </c>
      <c r="F342" s="4">
        <v>47</v>
      </c>
      <c r="G342" s="3">
        <v>19</v>
      </c>
      <c r="H342" s="3" t="s">
        <v>44</v>
      </c>
      <c r="I342" s="3">
        <v>32</v>
      </c>
      <c r="J342" s="3">
        <v>39</v>
      </c>
      <c r="K342" s="3">
        <v>366</v>
      </c>
    </row>
    <row r="343" spans="1:11" ht="15" customHeight="1" x14ac:dyDescent="0.2">
      <c r="A343" s="3" t="s">
        <v>734</v>
      </c>
      <c r="B343" s="1" t="s">
        <v>735</v>
      </c>
      <c r="C343" s="3" t="s">
        <v>658</v>
      </c>
      <c r="D343" s="3" t="s">
        <v>42</v>
      </c>
      <c r="E343" s="1" t="s">
        <v>557</v>
      </c>
      <c r="F343" s="4">
        <v>48</v>
      </c>
      <c r="G343" s="3">
        <v>17</v>
      </c>
      <c r="H343" s="3" t="s">
        <v>44</v>
      </c>
      <c r="I343" s="3">
        <v>85</v>
      </c>
      <c r="J343" s="3">
        <v>13</v>
      </c>
      <c r="K343" s="3">
        <v>1113</v>
      </c>
    </row>
    <row r="344" spans="1:11" ht="15" customHeight="1" x14ac:dyDescent="0.2">
      <c r="A344" s="3" t="s">
        <v>736</v>
      </c>
      <c r="B344" s="1" t="s">
        <v>737</v>
      </c>
      <c r="C344" s="3" t="s">
        <v>658</v>
      </c>
      <c r="D344" s="3" t="s">
        <v>47</v>
      </c>
      <c r="E344" s="1" t="s">
        <v>557</v>
      </c>
      <c r="F344" s="4">
        <v>116</v>
      </c>
      <c r="G344" s="3">
        <v>10</v>
      </c>
      <c r="H344" s="3" t="s">
        <v>44</v>
      </c>
      <c r="I344" s="3">
        <v>223</v>
      </c>
      <c r="J344" s="3">
        <v>30</v>
      </c>
      <c r="K344" s="3">
        <v>1625</v>
      </c>
    </row>
    <row r="345" spans="1:11" ht="15" customHeight="1" x14ac:dyDescent="0.2">
      <c r="A345" s="3" t="s">
        <v>738</v>
      </c>
      <c r="B345" s="1" t="s">
        <v>739</v>
      </c>
      <c r="C345" s="3" t="s">
        <v>658</v>
      </c>
      <c r="D345" s="3" t="s">
        <v>47</v>
      </c>
      <c r="E345" s="1" t="s">
        <v>557</v>
      </c>
      <c r="F345" s="4">
        <v>116</v>
      </c>
      <c r="G345" s="3">
        <v>18</v>
      </c>
      <c r="H345" s="3" t="s">
        <v>44</v>
      </c>
      <c r="I345" s="3">
        <v>248</v>
      </c>
      <c r="J345" s="3">
        <v>6</v>
      </c>
      <c r="K345" s="3">
        <v>7584</v>
      </c>
    </row>
    <row r="346" spans="1:11" ht="15" customHeight="1" x14ac:dyDescent="0.2">
      <c r="A346" s="3" t="s">
        <v>740</v>
      </c>
      <c r="B346" s="1" t="s">
        <v>741</v>
      </c>
      <c r="C346" s="3" t="s">
        <v>658</v>
      </c>
      <c r="D346" s="3" t="s">
        <v>42</v>
      </c>
      <c r="E346" s="1" t="s">
        <v>659</v>
      </c>
      <c r="F346" s="4">
        <v>97</v>
      </c>
      <c r="G346" s="3">
        <v>12</v>
      </c>
      <c r="H346" s="3" t="s">
        <v>44</v>
      </c>
      <c r="I346" s="3">
        <v>162</v>
      </c>
      <c r="J346" s="3">
        <v>24</v>
      </c>
      <c r="K346" s="3">
        <v>3112</v>
      </c>
    </row>
    <row r="347" spans="1:11" ht="15" customHeight="1" x14ac:dyDescent="0.2">
      <c r="A347" s="3" t="s">
        <v>742</v>
      </c>
      <c r="B347" s="1" t="s">
        <v>743</v>
      </c>
      <c r="C347" s="3" t="s">
        <v>658</v>
      </c>
      <c r="D347" s="3" t="s">
        <v>47</v>
      </c>
      <c r="E347" s="1" t="s">
        <v>557</v>
      </c>
      <c r="F347" s="4">
        <v>25</v>
      </c>
      <c r="G347" s="3">
        <v>12</v>
      </c>
      <c r="H347" s="3" t="s">
        <v>44</v>
      </c>
      <c r="I347" s="3">
        <v>104</v>
      </c>
      <c r="J347" s="3">
        <v>47</v>
      </c>
      <c r="K347" s="3">
        <v>1957</v>
      </c>
    </row>
    <row r="348" spans="1:11" ht="15" customHeight="1" x14ac:dyDescent="0.2">
      <c r="A348" s="3" t="s">
        <v>744</v>
      </c>
      <c r="B348" s="1" t="s">
        <v>745</v>
      </c>
      <c r="C348" s="3" t="s">
        <v>658</v>
      </c>
      <c r="D348" s="3" t="s">
        <v>42</v>
      </c>
      <c r="E348" s="1" t="s">
        <v>659</v>
      </c>
      <c r="F348" s="4">
        <v>100</v>
      </c>
      <c r="G348" s="3">
        <v>16</v>
      </c>
      <c r="H348" s="3" t="s">
        <v>44</v>
      </c>
      <c r="I348" s="3">
        <v>347</v>
      </c>
      <c r="J348" s="3">
        <v>8</v>
      </c>
      <c r="K348" s="3">
        <v>10331</v>
      </c>
    </row>
    <row r="349" spans="1:11" ht="15" customHeight="1" x14ac:dyDescent="0.2">
      <c r="A349" s="3" t="s">
        <v>746</v>
      </c>
      <c r="B349" s="1" t="s">
        <v>747</v>
      </c>
      <c r="C349" s="3" t="s">
        <v>658</v>
      </c>
      <c r="D349" s="3" t="s">
        <v>55</v>
      </c>
      <c r="E349" s="1" t="s">
        <v>557</v>
      </c>
      <c r="F349" s="4">
        <v>108</v>
      </c>
      <c r="G349" s="3">
        <v>16</v>
      </c>
      <c r="H349" s="3" t="s">
        <v>44</v>
      </c>
      <c r="I349" s="3">
        <v>283</v>
      </c>
      <c r="J349" s="3">
        <v>39</v>
      </c>
      <c r="K349" s="3">
        <v>4136</v>
      </c>
    </row>
    <row r="350" spans="1:11" ht="15" customHeight="1" x14ac:dyDescent="0.2">
      <c r="A350" s="3" t="s">
        <v>748</v>
      </c>
      <c r="B350" s="1" t="s">
        <v>749</v>
      </c>
      <c r="C350" s="3" t="s">
        <v>658</v>
      </c>
      <c r="D350" s="3" t="s">
        <v>55</v>
      </c>
      <c r="E350" s="1" t="s">
        <v>659</v>
      </c>
      <c r="F350" s="4">
        <v>53</v>
      </c>
      <c r="G350" s="3">
        <v>22</v>
      </c>
      <c r="H350" s="3" t="s">
        <v>44</v>
      </c>
      <c r="I350" s="3">
        <v>291</v>
      </c>
      <c r="J350" s="3">
        <v>55</v>
      </c>
      <c r="K350" s="3">
        <v>3074</v>
      </c>
    </row>
    <row r="351" spans="1:11" ht="15" customHeight="1" x14ac:dyDescent="0.2">
      <c r="A351" s="3" t="s">
        <v>750</v>
      </c>
      <c r="B351" s="1" t="s">
        <v>751</v>
      </c>
      <c r="C351" s="3" t="s">
        <v>658</v>
      </c>
      <c r="D351" s="3" t="s">
        <v>47</v>
      </c>
      <c r="E351" s="1" t="s">
        <v>659</v>
      </c>
      <c r="F351" s="4">
        <v>28</v>
      </c>
      <c r="G351" s="3">
        <v>19</v>
      </c>
      <c r="H351" s="3" t="s">
        <v>44</v>
      </c>
      <c r="I351" s="3">
        <v>57</v>
      </c>
      <c r="J351" s="3">
        <v>10</v>
      </c>
      <c r="K351" s="3">
        <v>655</v>
      </c>
    </row>
    <row r="352" spans="1:11" ht="15" customHeight="1" x14ac:dyDescent="0.2">
      <c r="A352" s="3" t="s">
        <v>752</v>
      </c>
      <c r="B352" s="1" t="s">
        <v>753</v>
      </c>
      <c r="C352" s="3" t="s">
        <v>658</v>
      </c>
      <c r="D352" s="3" t="s">
        <v>55</v>
      </c>
      <c r="E352" s="1" t="s">
        <v>557</v>
      </c>
      <c r="F352" s="4">
        <v>61</v>
      </c>
      <c r="G352" s="3">
        <v>16</v>
      </c>
      <c r="H352" s="3" t="s">
        <v>44</v>
      </c>
      <c r="I352" s="3">
        <v>1232</v>
      </c>
      <c r="J352" s="3">
        <v>97</v>
      </c>
      <c r="K352" s="3">
        <v>3751</v>
      </c>
    </row>
    <row r="353" spans="1:11" ht="15" customHeight="1" x14ac:dyDescent="0.2">
      <c r="A353" s="3" t="s">
        <v>754</v>
      </c>
      <c r="B353" s="1" t="s">
        <v>755</v>
      </c>
      <c r="C353" s="3" t="s">
        <v>658</v>
      </c>
      <c r="D353" s="3" t="s">
        <v>55</v>
      </c>
      <c r="E353" s="1" t="s">
        <v>659</v>
      </c>
      <c r="F353" s="4">
        <v>66</v>
      </c>
      <c r="G353" s="3">
        <v>22</v>
      </c>
      <c r="H353" s="3" t="s">
        <v>44</v>
      </c>
      <c r="I353" s="3">
        <v>178</v>
      </c>
      <c r="J353" s="3">
        <v>58</v>
      </c>
      <c r="K353" s="3">
        <v>1926</v>
      </c>
    </row>
    <row r="354" spans="1:11" ht="15" customHeight="1" x14ac:dyDescent="0.2">
      <c r="A354" s="3" t="s">
        <v>756</v>
      </c>
      <c r="B354" s="1" t="s">
        <v>757</v>
      </c>
      <c r="C354" s="3" t="s">
        <v>658</v>
      </c>
      <c r="D354" s="3" t="s">
        <v>47</v>
      </c>
      <c r="E354" s="1" t="s">
        <v>659</v>
      </c>
      <c r="F354" s="4">
        <v>21</v>
      </c>
      <c r="G354" s="3">
        <v>15</v>
      </c>
      <c r="H354" s="3" t="s">
        <v>44</v>
      </c>
      <c r="I354" s="3">
        <v>142</v>
      </c>
      <c r="J354" s="3">
        <v>49</v>
      </c>
      <c r="K354" s="3">
        <v>2041</v>
      </c>
    </row>
    <row r="355" spans="1:11" ht="15" customHeight="1" x14ac:dyDescent="0.2">
      <c r="A355" s="3" t="s">
        <v>758</v>
      </c>
      <c r="B355" s="1" t="s">
        <v>759</v>
      </c>
      <c r="C355" s="3" t="s">
        <v>760</v>
      </c>
      <c r="D355" s="3" t="s">
        <v>55</v>
      </c>
      <c r="E355" s="1" t="s">
        <v>252</v>
      </c>
      <c r="F355" s="4">
        <v>1114</v>
      </c>
      <c r="G355" s="3">
        <v>44</v>
      </c>
      <c r="H355" s="3" t="s">
        <v>44</v>
      </c>
      <c r="I355" s="3">
        <v>39</v>
      </c>
      <c r="J355" s="3">
        <v>7</v>
      </c>
      <c r="K355" s="3">
        <v>154</v>
      </c>
    </row>
    <row r="356" spans="1:11" ht="15" customHeight="1" x14ac:dyDescent="0.2">
      <c r="A356" s="3" t="s">
        <v>761</v>
      </c>
      <c r="B356" s="1" t="s">
        <v>762</v>
      </c>
      <c r="C356" s="3" t="s">
        <v>760</v>
      </c>
      <c r="D356" s="3" t="s">
        <v>47</v>
      </c>
      <c r="E356" s="1" t="s">
        <v>252</v>
      </c>
      <c r="F356" s="4">
        <v>883</v>
      </c>
      <c r="G356" s="3">
        <v>36</v>
      </c>
      <c r="H356" s="3" t="s">
        <v>72</v>
      </c>
      <c r="I356" s="3">
        <v>27</v>
      </c>
      <c r="J356" s="3">
        <v>213</v>
      </c>
      <c r="K356" s="3">
        <v>29</v>
      </c>
    </row>
    <row r="357" spans="1:11" ht="15" customHeight="1" x14ac:dyDescent="0.2">
      <c r="A357" s="3" t="s">
        <v>763</v>
      </c>
      <c r="B357" s="1" t="s">
        <v>764</v>
      </c>
      <c r="C357" s="3" t="s">
        <v>760</v>
      </c>
      <c r="D357" s="3" t="s">
        <v>55</v>
      </c>
      <c r="E357" s="1" t="s">
        <v>252</v>
      </c>
      <c r="F357" s="4">
        <v>786</v>
      </c>
      <c r="G357" s="3">
        <v>44</v>
      </c>
      <c r="H357" s="3" t="s">
        <v>44</v>
      </c>
      <c r="I357" s="3">
        <v>33</v>
      </c>
      <c r="J357" s="3">
        <v>44</v>
      </c>
      <c r="K357" s="3">
        <v>135</v>
      </c>
    </row>
    <row r="358" spans="1:11" ht="15" customHeight="1" x14ac:dyDescent="0.2">
      <c r="A358" s="3" t="s">
        <v>765</v>
      </c>
      <c r="B358" s="1" t="s">
        <v>766</v>
      </c>
      <c r="C358" s="3" t="s">
        <v>760</v>
      </c>
      <c r="D358" s="3" t="s">
        <v>55</v>
      </c>
      <c r="E358" s="1" t="s">
        <v>152</v>
      </c>
      <c r="F358" s="4">
        <v>223</v>
      </c>
      <c r="G358" s="3">
        <v>23</v>
      </c>
      <c r="H358" s="3" t="s">
        <v>44</v>
      </c>
      <c r="I358" s="3">
        <v>53</v>
      </c>
      <c r="J358" s="3">
        <v>107</v>
      </c>
      <c r="K358" s="3">
        <v>197</v>
      </c>
    </row>
    <row r="359" spans="1:11" ht="15" customHeight="1" x14ac:dyDescent="0.2">
      <c r="A359" s="3" t="s">
        <v>767</v>
      </c>
      <c r="B359" s="1" t="s">
        <v>768</v>
      </c>
      <c r="C359" s="3" t="s">
        <v>760</v>
      </c>
      <c r="D359" s="3" t="s">
        <v>47</v>
      </c>
      <c r="E359" s="1" t="s">
        <v>252</v>
      </c>
      <c r="F359" s="4">
        <v>866</v>
      </c>
      <c r="G359" s="3">
        <v>34</v>
      </c>
      <c r="H359" s="3" t="s">
        <v>44</v>
      </c>
      <c r="I359" s="3">
        <v>32</v>
      </c>
      <c r="J359" s="3">
        <v>48</v>
      </c>
      <c r="K359" s="3">
        <v>149</v>
      </c>
    </row>
    <row r="360" spans="1:11" ht="15" customHeight="1" x14ac:dyDescent="0.2">
      <c r="A360" s="3" t="s">
        <v>769</v>
      </c>
      <c r="B360" s="1" t="s">
        <v>770</v>
      </c>
      <c r="C360" s="3" t="s">
        <v>760</v>
      </c>
      <c r="D360" s="3" t="s">
        <v>42</v>
      </c>
      <c r="E360" s="1" t="s">
        <v>252</v>
      </c>
      <c r="F360" s="4">
        <v>1016</v>
      </c>
      <c r="G360" s="3">
        <v>40</v>
      </c>
      <c r="H360" s="3" t="s">
        <v>44</v>
      </c>
      <c r="I360" s="3">
        <v>45</v>
      </c>
      <c r="J360" s="3">
        <v>17</v>
      </c>
      <c r="K360" s="3">
        <v>203</v>
      </c>
    </row>
    <row r="361" spans="1:11" ht="15" customHeight="1" x14ac:dyDescent="0.2">
      <c r="A361" s="3" t="s">
        <v>771</v>
      </c>
      <c r="B361" s="1" t="s">
        <v>772</v>
      </c>
      <c r="C361" s="3" t="s">
        <v>760</v>
      </c>
      <c r="D361" s="3" t="s">
        <v>55</v>
      </c>
      <c r="E361" s="1" t="s">
        <v>152</v>
      </c>
      <c r="F361" s="4">
        <v>1070</v>
      </c>
      <c r="G361" s="3">
        <v>18</v>
      </c>
      <c r="H361" s="3" t="s">
        <v>72</v>
      </c>
      <c r="I361" s="3">
        <v>19</v>
      </c>
      <c r="J361" s="3">
        <v>297</v>
      </c>
      <c r="K361" s="3">
        <v>18</v>
      </c>
    </row>
    <row r="362" spans="1:11" ht="15" customHeight="1" x14ac:dyDescent="0.2">
      <c r="A362" s="3" t="s">
        <v>773</v>
      </c>
      <c r="B362" s="1" t="s">
        <v>774</v>
      </c>
      <c r="C362" s="3" t="s">
        <v>760</v>
      </c>
      <c r="D362" s="3" t="s">
        <v>55</v>
      </c>
      <c r="E362" s="1" t="s">
        <v>152</v>
      </c>
      <c r="F362" s="4">
        <v>1149</v>
      </c>
      <c r="G362" s="3">
        <v>30</v>
      </c>
      <c r="H362" s="3" t="s">
        <v>44</v>
      </c>
      <c r="I362" s="3">
        <v>31</v>
      </c>
      <c r="J362" s="3">
        <v>4</v>
      </c>
      <c r="K362" s="3">
        <v>388</v>
      </c>
    </row>
    <row r="363" spans="1:11" ht="15" customHeight="1" x14ac:dyDescent="0.2">
      <c r="A363" s="3" t="s">
        <v>775</v>
      </c>
      <c r="B363" s="1" t="s">
        <v>776</v>
      </c>
      <c r="C363" s="3" t="s">
        <v>760</v>
      </c>
      <c r="D363" s="3" t="s">
        <v>42</v>
      </c>
      <c r="E363" s="1" t="s">
        <v>252</v>
      </c>
      <c r="F363" s="4">
        <v>519</v>
      </c>
      <c r="G363" s="3">
        <v>38</v>
      </c>
      <c r="H363" s="3" t="s">
        <v>44</v>
      </c>
      <c r="I363" s="3">
        <v>105</v>
      </c>
      <c r="J363" s="3">
        <v>44</v>
      </c>
      <c r="K363" s="3">
        <v>487</v>
      </c>
    </row>
    <row r="364" spans="1:11" ht="15" customHeight="1" x14ac:dyDescent="0.2">
      <c r="A364" s="3" t="s">
        <v>777</v>
      </c>
      <c r="B364" s="1" t="s">
        <v>778</v>
      </c>
      <c r="C364" s="3" t="s">
        <v>760</v>
      </c>
      <c r="D364" s="3" t="s">
        <v>47</v>
      </c>
      <c r="E364" s="1" t="s">
        <v>152</v>
      </c>
      <c r="F364" s="4">
        <v>842</v>
      </c>
      <c r="G364" s="3">
        <v>22</v>
      </c>
      <c r="H364" s="3" t="s">
        <v>72</v>
      </c>
      <c r="I364" s="3">
        <v>12</v>
      </c>
      <c r="J364" s="3">
        <v>270</v>
      </c>
      <c r="K364" s="3">
        <v>27</v>
      </c>
    </row>
    <row r="365" spans="1:11" ht="15" customHeight="1" x14ac:dyDescent="0.2">
      <c r="A365" s="3" t="s">
        <v>779</v>
      </c>
      <c r="B365" s="1" t="s">
        <v>780</v>
      </c>
      <c r="C365" s="3" t="s">
        <v>760</v>
      </c>
      <c r="D365" s="3" t="s">
        <v>47</v>
      </c>
      <c r="E365" s="1" t="s">
        <v>152</v>
      </c>
      <c r="F365" s="4">
        <v>422</v>
      </c>
      <c r="G365" s="3">
        <v>20</v>
      </c>
      <c r="H365" s="3" t="s">
        <v>44</v>
      </c>
      <c r="I365" s="3">
        <v>22</v>
      </c>
      <c r="J365" s="3">
        <v>12</v>
      </c>
      <c r="K365" s="3">
        <v>148</v>
      </c>
    </row>
    <row r="366" spans="1:11" ht="15" customHeight="1" x14ac:dyDescent="0.2">
      <c r="A366" s="3" t="s">
        <v>781</v>
      </c>
      <c r="B366" s="1" t="s">
        <v>782</v>
      </c>
      <c r="C366" s="3" t="s">
        <v>760</v>
      </c>
      <c r="D366" s="3" t="s">
        <v>47</v>
      </c>
      <c r="E366" s="1" t="s">
        <v>152</v>
      </c>
      <c r="F366" s="4">
        <v>1047</v>
      </c>
      <c r="G366" s="3">
        <v>19</v>
      </c>
      <c r="H366" s="3" t="s">
        <v>44</v>
      </c>
      <c r="I366" s="3">
        <v>56</v>
      </c>
      <c r="J366" s="3">
        <v>1</v>
      </c>
      <c r="K366" s="3">
        <v>1056</v>
      </c>
    </row>
    <row r="367" spans="1:11" ht="15" customHeight="1" x14ac:dyDescent="0.2">
      <c r="A367" s="3" t="s">
        <v>783</v>
      </c>
      <c r="B367" s="1" t="s">
        <v>784</v>
      </c>
      <c r="C367" s="3" t="s">
        <v>760</v>
      </c>
      <c r="D367" s="3" t="s">
        <v>42</v>
      </c>
      <c r="E367" s="1" t="s">
        <v>152</v>
      </c>
      <c r="F367" s="4">
        <v>321</v>
      </c>
      <c r="G367" s="3">
        <v>20</v>
      </c>
      <c r="H367" s="3" t="s">
        <v>44</v>
      </c>
      <c r="I367" s="3">
        <v>33</v>
      </c>
      <c r="J367" s="3">
        <v>18</v>
      </c>
      <c r="K367" s="3">
        <v>247</v>
      </c>
    </row>
    <row r="368" spans="1:11" ht="15" customHeight="1" x14ac:dyDescent="0.2">
      <c r="A368" s="3" t="s">
        <v>785</v>
      </c>
      <c r="B368" s="1" t="s">
        <v>786</v>
      </c>
      <c r="C368" s="3" t="s">
        <v>760</v>
      </c>
      <c r="D368" s="3" t="s">
        <v>42</v>
      </c>
      <c r="E368" s="1" t="s">
        <v>252</v>
      </c>
      <c r="F368" s="4">
        <v>1041</v>
      </c>
      <c r="G368" s="3">
        <v>44</v>
      </c>
      <c r="H368" s="3" t="s">
        <v>44</v>
      </c>
      <c r="I368" s="3">
        <v>180</v>
      </c>
      <c r="J368" s="3">
        <v>38</v>
      </c>
      <c r="K368" s="3">
        <v>770</v>
      </c>
    </row>
    <row r="369" spans="1:11" ht="15" customHeight="1" x14ac:dyDescent="0.2">
      <c r="A369" s="3" t="s">
        <v>787</v>
      </c>
      <c r="B369" s="1" t="s">
        <v>788</v>
      </c>
      <c r="C369" s="3" t="s">
        <v>760</v>
      </c>
      <c r="D369" s="3" t="s">
        <v>55</v>
      </c>
      <c r="E369" s="1" t="s">
        <v>252</v>
      </c>
      <c r="F369" s="4">
        <v>530</v>
      </c>
      <c r="G369" s="3">
        <v>37</v>
      </c>
      <c r="H369" s="3" t="s">
        <v>44</v>
      </c>
      <c r="I369" s="3">
        <v>56</v>
      </c>
      <c r="J369" s="3">
        <v>168</v>
      </c>
      <c r="K369" s="3">
        <v>191</v>
      </c>
    </row>
    <row r="370" spans="1:11" ht="15" customHeight="1" x14ac:dyDescent="0.2">
      <c r="A370" s="3" t="s">
        <v>789</v>
      </c>
      <c r="B370" s="1" t="s">
        <v>790</v>
      </c>
      <c r="C370" s="3" t="s">
        <v>760</v>
      </c>
      <c r="D370" s="3" t="s">
        <v>55</v>
      </c>
      <c r="E370" s="1" t="s">
        <v>252</v>
      </c>
      <c r="F370" s="4">
        <v>239</v>
      </c>
      <c r="G370" s="3">
        <v>37</v>
      </c>
      <c r="H370" s="3" t="s">
        <v>44</v>
      </c>
      <c r="I370" s="3">
        <v>35</v>
      </c>
      <c r="J370" s="3">
        <v>27</v>
      </c>
      <c r="K370" s="3">
        <v>152</v>
      </c>
    </row>
    <row r="371" spans="1:11" ht="15" customHeight="1" x14ac:dyDescent="0.2">
      <c r="A371" s="3" t="s">
        <v>791</v>
      </c>
      <c r="B371" s="1" t="s">
        <v>792</v>
      </c>
      <c r="C371" s="3" t="s">
        <v>760</v>
      </c>
      <c r="D371" s="3" t="s">
        <v>47</v>
      </c>
      <c r="E371" s="1" t="s">
        <v>152</v>
      </c>
      <c r="F371" s="4">
        <v>1187</v>
      </c>
      <c r="G371" s="3">
        <v>22</v>
      </c>
      <c r="H371" s="3" t="s">
        <v>44</v>
      </c>
      <c r="I371" s="3">
        <v>21</v>
      </c>
      <c r="J371" s="3">
        <v>30</v>
      </c>
      <c r="K371" s="3">
        <v>87</v>
      </c>
    </row>
    <row r="372" spans="1:11" ht="15" customHeight="1" x14ac:dyDescent="0.2">
      <c r="A372" s="3" t="s">
        <v>793</v>
      </c>
      <c r="B372" s="1" t="s">
        <v>794</v>
      </c>
      <c r="C372" s="3" t="s">
        <v>760</v>
      </c>
      <c r="D372" s="3" t="s">
        <v>42</v>
      </c>
      <c r="E372" s="1" t="s">
        <v>252</v>
      </c>
      <c r="F372" s="4">
        <v>425</v>
      </c>
      <c r="G372" s="3">
        <v>32</v>
      </c>
      <c r="H372" s="3" t="s">
        <v>44</v>
      </c>
      <c r="I372" s="3">
        <v>195</v>
      </c>
      <c r="J372" s="3">
        <v>15</v>
      </c>
      <c r="K372" s="3">
        <v>1204</v>
      </c>
    </row>
    <row r="373" spans="1:11" ht="15" customHeight="1" x14ac:dyDescent="0.2">
      <c r="A373" s="3" t="s">
        <v>795</v>
      </c>
      <c r="B373" s="1" t="s">
        <v>796</v>
      </c>
      <c r="C373" s="3" t="s">
        <v>760</v>
      </c>
      <c r="D373" s="3" t="s">
        <v>55</v>
      </c>
      <c r="E373" s="1" t="s">
        <v>152</v>
      </c>
      <c r="F373" s="4">
        <v>698</v>
      </c>
      <c r="G373" s="3">
        <v>23</v>
      </c>
      <c r="H373" s="3" t="s">
        <v>44</v>
      </c>
      <c r="I373" s="3">
        <v>65</v>
      </c>
      <c r="J373" s="3">
        <v>20</v>
      </c>
      <c r="K373" s="3">
        <v>469</v>
      </c>
    </row>
    <row r="374" spans="1:11" ht="15" customHeight="1" x14ac:dyDescent="0.2">
      <c r="A374" s="3" t="s">
        <v>797</v>
      </c>
      <c r="B374" s="1" t="s">
        <v>798</v>
      </c>
      <c r="C374" s="3" t="s">
        <v>760</v>
      </c>
      <c r="D374" s="3" t="s">
        <v>55</v>
      </c>
      <c r="E374" s="1" t="s">
        <v>252</v>
      </c>
      <c r="F374" s="4">
        <v>1027</v>
      </c>
      <c r="G374" s="3">
        <v>39</v>
      </c>
      <c r="H374" s="3" t="s">
        <v>44</v>
      </c>
      <c r="I374" s="3">
        <v>16</v>
      </c>
      <c r="J374" s="3">
        <v>151</v>
      </c>
      <c r="K374" s="3">
        <v>55</v>
      </c>
    </row>
    <row r="375" spans="1:11" ht="15" customHeight="1" x14ac:dyDescent="0.2">
      <c r="A375" s="3" t="s">
        <v>799</v>
      </c>
      <c r="B375" s="1" t="s">
        <v>800</v>
      </c>
      <c r="C375" s="3" t="s">
        <v>760</v>
      </c>
      <c r="D375" s="3" t="s">
        <v>42</v>
      </c>
      <c r="E375" s="1" t="s">
        <v>152</v>
      </c>
      <c r="F375" s="4">
        <v>658</v>
      </c>
      <c r="G375" s="3">
        <v>23</v>
      </c>
      <c r="H375" s="3" t="s">
        <v>44</v>
      </c>
      <c r="I375" s="3">
        <v>10</v>
      </c>
      <c r="J375" s="3">
        <v>39</v>
      </c>
      <c r="K375" s="3">
        <v>52</v>
      </c>
    </row>
    <row r="376" spans="1:11" ht="15" customHeight="1" x14ac:dyDescent="0.2">
      <c r="A376" s="3" t="s">
        <v>801</v>
      </c>
      <c r="B376" s="1" t="s">
        <v>802</v>
      </c>
      <c r="C376" s="3" t="s">
        <v>760</v>
      </c>
      <c r="D376" s="3" t="s">
        <v>47</v>
      </c>
      <c r="E376" s="1" t="s">
        <v>152</v>
      </c>
      <c r="F376" s="4">
        <v>536</v>
      </c>
      <c r="G376" s="3">
        <v>21</v>
      </c>
      <c r="H376" s="3" t="s">
        <v>44</v>
      </c>
      <c r="I376" s="3">
        <v>10</v>
      </c>
      <c r="J376" s="3">
        <v>59</v>
      </c>
      <c r="K376" s="3">
        <v>53</v>
      </c>
    </row>
    <row r="377" spans="1:11" ht="15" customHeight="1" x14ac:dyDescent="0.2">
      <c r="A377" s="3" t="s">
        <v>803</v>
      </c>
      <c r="B377" s="1" t="s">
        <v>804</v>
      </c>
      <c r="C377" s="3" t="s">
        <v>760</v>
      </c>
      <c r="D377" s="3" t="s">
        <v>55</v>
      </c>
      <c r="E377" s="1" t="s">
        <v>252</v>
      </c>
      <c r="F377" s="4">
        <v>252</v>
      </c>
      <c r="G377" s="3">
        <v>42</v>
      </c>
      <c r="H377" s="3" t="s">
        <v>44</v>
      </c>
      <c r="I377" s="3">
        <v>82</v>
      </c>
      <c r="J377" s="3">
        <v>44</v>
      </c>
      <c r="K377" s="3">
        <v>368</v>
      </c>
    </row>
    <row r="378" spans="1:11" ht="15" customHeight="1" x14ac:dyDescent="0.2">
      <c r="A378" s="3" t="s">
        <v>805</v>
      </c>
      <c r="B378" s="1" t="s">
        <v>806</v>
      </c>
      <c r="C378" s="3" t="s">
        <v>760</v>
      </c>
      <c r="D378" s="3" t="s">
        <v>47</v>
      </c>
      <c r="E378" s="1" t="s">
        <v>252</v>
      </c>
      <c r="F378" s="4">
        <v>817</v>
      </c>
      <c r="G378" s="3">
        <v>42</v>
      </c>
      <c r="H378" s="3" t="s">
        <v>44</v>
      </c>
      <c r="I378" s="3">
        <v>44</v>
      </c>
      <c r="J378" s="3">
        <v>54</v>
      </c>
      <c r="K378" s="3">
        <v>203</v>
      </c>
    </row>
    <row r="379" spans="1:11" ht="15" customHeight="1" x14ac:dyDescent="0.2">
      <c r="A379" s="3" t="s">
        <v>807</v>
      </c>
      <c r="B379" s="1" t="s">
        <v>808</v>
      </c>
      <c r="C379" s="3" t="s">
        <v>760</v>
      </c>
      <c r="D379" s="3" t="s">
        <v>55</v>
      </c>
      <c r="E379" s="1" t="s">
        <v>252</v>
      </c>
      <c r="F379" s="4">
        <v>193</v>
      </c>
      <c r="G379" s="3">
        <v>37</v>
      </c>
      <c r="H379" s="3" t="s">
        <v>44</v>
      </c>
      <c r="I379" s="3">
        <v>16</v>
      </c>
      <c r="J379" s="3">
        <v>35</v>
      </c>
      <c r="K379" s="3">
        <v>60</v>
      </c>
    </row>
    <row r="380" spans="1:11" ht="15" customHeight="1" x14ac:dyDescent="0.2">
      <c r="A380" s="3" t="s">
        <v>809</v>
      </c>
      <c r="B380" s="1" t="s">
        <v>810</v>
      </c>
      <c r="C380" s="3" t="s">
        <v>760</v>
      </c>
      <c r="D380" s="3" t="s">
        <v>47</v>
      </c>
      <c r="E380" s="1" t="s">
        <v>152</v>
      </c>
      <c r="F380" s="4">
        <v>281</v>
      </c>
      <c r="G380" s="3">
        <v>24</v>
      </c>
      <c r="H380" s="3" t="s">
        <v>44</v>
      </c>
      <c r="I380" s="3">
        <v>15</v>
      </c>
      <c r="J380" s="3">
        <v>191</v>
      </c>
      <c r="K380" s="3">
        <v>41</v>
      </c>
    </row>
    <row r="381" spans="1:11" ht="15" customHeight="1" x14ac:dyDescent="0.2">
      <c r="A381" s="3" t="s">
        <v>811</v>
      </c>
      <c r="B381" s="1" t="s">
        <v>812</v>
      </c>
      <c r="C381" s="3" t="s">
        <v>760</v>
      </c>
      <c r="D381" s="3" t="s">
        <v>42</v>
      </c>
      <c r="E381" s="1" t="s">
        <v>252</v>
      </c>
      <c r="F381" s="4">
        <v>354</v>
      </c>
      <c r="G381" s="3">
        <v>35</v>
      </c>
      <c r="H381" s="3" t="s">
        <v>44</v>
      </c>
      <c r="I381" s="3">
        <v>27</v>
      </c>
      <c r="J381" s="3">
        <v>54</v>
      </c>
      <c r="K381" s="3">
        <v>127</v>
      </c>
    </row>
    <row r="382" spans="1:11" ht="15" customHeight="1" x14ac:dyDescent="0.2">
      <c r="A382" s="3" t="s">
        <v>813</v>
      </c>
      <c r="B382" s="1" t="s">
        <v>814</v>
      </c>
      <c r="C382" s="3" t="s">
        <v>760</v>
      </c>
      <c r="D382" s="3" t="s">
        <v>42</v>
      </c>
      <c r="E382" s="1" t="s">
        <v>252</v>
      </c>
      <c r="F382" s="4">
        <v>574</v>
      </c>
      <c r="G382" s="3">
        <v>32</v>
      </c>
      <c r="H382" s="3" t="s">
        <v>44</v>
      </c>
      <c r="I382" s="3">
        <v>15</v>
      </c>
      <c r="J382" s="3">
        <v>12</v>
      </c>
      <c r="K382" s="3">
        <v>66</v>
      </c>
    </row>
    <row r="383" spans="1:11" ht="15" customHeight="1" x14ac:dyDescent="0.2">
      <c r="A383" s="3" t="s">
        <v>815</v>
      </c>
      <c r="B383" s="1" t="s">
        <v>816</v>
      </c>
      <c r="C383" s="3" t="s">
        <v>760</v>
      </c>
      <c r="D383" s="3" t="s">
        <v>47</v>
      </c>
      <c r="E383" s="1" t="s">
        <v>252</v>
      </c>
      <c r="F383" s="4">
        <v>350</v>
      </c>
      <c r="G383" s="3">
        <v>39</v>
      </c>
      <c r="H383" s="3" t="s">
        <v>44</v>
      </c>
      <c r="I383" s="3">
        <v>32</v>
      </c>
      <c r="J383" s="3">
        <v>166</v>
      </c>
      <c r="K383" s="3">
        <v>107</v>
      </c>
    </row>
    <row r="384" spans="1:11" ht="15" customHeight="1" x14ac:dyDescent="0.2">
      <c r="A384" s="3" t="s">
        <v>817</v>
      </c>
      <c r="B384" s="1" t="s">
        <v>818</v>
      </c>
      <c r="C384" s="3" t="s">
        <v>760</v>
      </c>
      <c r="D384" s="3" t="s">
        <v>42</v>
      </c>
      <c r="E384" s="1" t="s">
        <v>152</v>
      </c>
      <c r="F384" s="4">
        <v>226</v>
      </c>
      <c r="G384" s="3">
        <v>19</v>
      </c>
      <c r="H384" s="3" t="s">
        <v>44</v>
      </c>
      <c r="I384" s="3">
        <v>112</v>
      </c>
      <c r="J384" s="3">
        <v>9</v>
      </c>
      <c r="K384" s="3">
        <v>985</v>
      </c>
    </row>
    <row r="385" spans="1:11" ht="15" customHeight="1" x14ac:dyDescent="0.2">
      <c r="A385" s="3" t="s">
        <v>819</v>
      </c>
      <c r="B385" s="1" t="s">
        <v>820</v>
      </c>
      <c r="C385" s="3" t="s">
        <v>760</v>
      </c>
      <c r="D385" s="3" t="s">
        <v>55</v>
      </c>
      <c r="E385" s="1" t="s">
        <v>152</v>
      </c>
      <c r="F385" s="4">
        <v>400</v>
      </c>
      <c r="G385" s="3">
        <v>20</v>
      </c>
      <c r="H385" s="3" t="s">
        <v>44</v>
      </c>
      <c r="I385" s="3">
        <v>135</v>
      </c>
      <c r="J385" s="3">
        <v>65</v>
      </c>
      <c r="K385" s="3">
        <v>1230</v>
      </c>
    </row>
    <row r="386" spans="1:11" ht="15" customHeight="1" x14ac:dyDescent="0.2">
      <c r="A386" s="3" t="s">
        <v>821</v>
      </c>
      <c r="B386" s="1" t="s">
        <v>822</v>
      </c>
      <c r="C386" s="3" t="s">
        <v>760</v>
      </c>
      <c r="D386" s="3" t="s">
        <v>47</v>
      </c>
      <c r="E386" s="1" t="s">
        <v>152</v>
      </c>
      <c r="F386" s="4">
        <v>362</v>
      </c>
      <c r="G386" s="3">
        <v>20</v>
      </c>
      <c r="H386" s="3" t="s">
        <v>44</v>
      </c>
      <c r="I386" s="3">
        <v>9</v>
      </c>
      <c r="J386" s="3">
        <v>37</v>
      </c>
      <c r="K386" s="3">
        <v>41</v>
      </c>
    </row>
    <row r="387" spans="1:11" ht="15" customHeight="1" x14ac:dyDescent="0.2">
      <c r="A387" s="3" t="s">
        <v>823</v>
      </c>
      <c r="B387" s="1" t="s">
        <v>824</v>
      </c>
      <c r="C387" s="3" t="s">
        <v>760</v>
      </c>
      <c r="D387" s="3" t="s">
        <v>55</v>
      </c>
      <c r="E387" s="1" t="s">
        <v>152</v>
      </c>
      <c r="F387" s="4">
        <v>814</v>
      </c>
      <c r="G387" s="3">
        <v>19</v>
      </c>
      <c r="H387" s="3" t="s">
        <v>44</v>
      </c>
      <c r="I387" s="3">
        <v>50</v>
      </c>
      <c r="J387" s="3">
        <v>170</v>
      </c>
      <c r="K387" s="3">
        <v>156</v>
      </c>
    </row>
    <row r="388" spans="1:11" ht="15" customHeight="1" x14ac:dyDescent="0.2">
      <c r="A388" s="3" t="s">
        <v>825</v>
      </c>
      <c r="B388" s="1" t="s">
        <v>826</v>
      </c>
      <c r="C388" s="3" t="s">
        <v>760</v>
      </c>
      <c r="D388" s="3" t="s">
        <v>55</v>
      </c>
      <c r="E388" s="1" t="s">
        <v>252</v>
      </c>
      <c r="F388" s="4">
        <v>358</v>
      </c>
      <c r="G388" s="3">
        <v>42</v>
      </c>
      <c r="H388" s="3" t="s">
        <v>44</v>
      </c>
      <c r="I388" s="3">
        <v>33</v>
      </c>
      <c r="J388" s="3">
        <v>10</v>
      </c>
      <c r="K388" s="3">
        <v>136</v>
      </c>
    </row>
    <row r="389" spans="1:11" ht="15" customHeight="1" x14ac:dyDescent="0.2">
      <c r="A389" s="3" t="s">
        <v>827</v>
      </c>
      <c r="B389" s="1" t="s">
        <v>828</v>
      </c>
      <c r="C389" s="3" t="s">
        <v>760</v>
      </c>
      <c r="D389" s="3" t="s">
        <v>55</v>
      </c>
      <c r="E389" s="1" t="s">
        <v>152</v>
      </c>
      <c r="F389" s="4">
        <v>221</v>
      </c>
      <c r="G389" s="3">
        <v>22</v>
      </c>
      <c r="H389" s="3" t="s">
        <v>44</v>
      </c>
      <c r="I389" s="3">
        <v>20</v>
      </c>
      <c r="J389" s="3">
        <v>33</v>
      </c>
      <c r="K389" s="3">
        <v>122</v>
      </c>
    </row>
    <row r="390" spans="1:11" ht="15" customHeight="1" x14ac:dyDescent="0.2">
      <c r="A390" s="3" t="s">
        <v>829</v>
      </c>
      <c r="B390" s="1" t="s">
        <v>830</v>
      </c>
      <c r="C390" s="3" t="s">
        <v>760</v>
      </c>
      <c r="D390" s="3" t="s">
        <v>42</v>
      </c>
      <c r="E390" s="1" t="s">
        <v>252</v>
      </c>
      <c r="F390" s="4">
        <v>376</v>
      </c>
      <c r="G390" s="3">
        <v>38</v>
      </c>
      <c r="H390" s="3" t="s">
        <v>44</v>
      </c>
      <c r="I390" s="3">
        <v>29</v>
      </c>
      <c r="J390" s="3">
        <v>54</v>
      </c>
      <c r="K390" s="3">
        <v>88</v>
      </c>
    </row>
    <row r="391" spans="1:11" ht="15" customHeight="1" x14ac:dyDescent="0.2">
      <c r="A391" s="3" t="s">
        <v>831</v>
      </c>
      <c r="B391" s="1" t="s">
        <v>832</v>
      </c>
      <c r="C391" s="3" t="s">
        <v>760</v>
      </c>
      <c r="D391" s="3" t="s">
        <v>42</v>
      </c>
      <c r="E391" s="1" t="s">
        <v>152</v>
      </c>
      <c r="F391" s="4">
        <v>693</v>
      </c>
      <c r="G391" s="3">
        <v>26</v>
      </c>
      <c r="H391" s="3" t="s">
        <v>72</v>
      </c>
      <c r="I391" s="3">
        <v>19</v>
      </c>
      <c r="J391" s="3">
        <v>247</v>
      </c>
      <c r="K391" s="3">
        <v>16</v>
      </c>
    </row>
    <row r="392" spans="1:11" ht="15" customHeight="1" x14ac:dyDescent="0.2">
      <c r="A392" s="3" t="s">
        <v>833</v>
      </c>
      <c r="B392" s="1" t="s">
        <v>834</v>
      </c>
      <c r="C392" s="3" t="s">
        <v>760</v>
      </c>
      <c r="D392" s="3" t="s">
        <v>47</v>
      </c>
      <c r="E392" s="1" t="s">
        <v>252</v>
      </c>
      <c r="F392" s="4">
        <v>826</v>
      </c>
      <c r="G392" s="3">
        <v>41</v>
      </c>
      <c r="H392" s="3" t="s">
        <v>44</v>
      </c>
      <c r="I392" s="3">
        <v>84</v>
      </c>
      <c r="J392" s="3">
        <v>175</v>
      </c>
      <c r="K392" s="3">
        <v>276</v>
      </c>
    </row>
    <row r="393" spans="1:11" ht="15" customHeight="1" x14ac:dyDescent="0.2">
      <c r="A393" s="3" t="s">
        <v>835</v>
      </c>
      <c r="B393" s="1" t="s">
        <v>836</v>
      </c>
      <c r="C393" s="3" t="s">
        <v>760</v>
      </c>
      <c r="D393" s="3" t="s">
        <v>55</v>
      </c>
      <c r="E393" s="1" t="s">
        <v>252</v>
      </c>
      <c r="F393" s="4">
        <v>599</v>
      </c>
      <c r="G393" s="3">
        <v>41</v>
      </c>
      <c r="H393" s="3" t="s">
        <v>44</v>
      </c>
      <c r="I393" s="3">
        <v>89</v>
      </c>
      <c r="J393" s="3">
        <v>52</v>
      </c>
      <c r="K393" s="3">
        <v>389</v>
      </c>
    </row>
    <row r="394" spans="1:11" ht="15" customHeight="1" x14ac:dyDescent="0.2">
      <c r="A394" s="3" t="s">
        <v>837</v>
      </c>
      <c r="B394" s="1" t="s">
        <v>838</v>
      </c>
      <c r="C394" s="3" t="s">
        <v>760</v>
      </c>
      <c r="D394" s="3" t="s">
        <v>55</v>
      </c>
      <c r="E394" s="1" t="s">
        <v>152</v>
      </c>
      <c r="F394" s="4">
        <v>281</v>
      </c>
      <c r="G394" s="3">
        <v>27</v>
      </c>
      <c r="H394" s="3" t="s">
        <v>44</v>
      </c>
      <c r="I394" s="3">
        <v>30</v>
      </c>
      <c r="J394" s="3">
        <v>17</v>
      </c>
      <c r="K394" s="3">
        <v>179</v>
      </c>
    </row>
    <row r="395" spans="1:11" ht="15" customHeight="1" x14ac:dyDescent="0.2">
      <c r="A395" s="3" t="s">
        <v>839</v>
      </c>
      <c r="B395" s="1" t="s">
        <v>840</v>
      </c>
      <c r="C395" s="3" t="s">
        <v>760</v>
      </c>
      <c r="D395" s="3" t="s">
        <v>47</v>
      </c>
      <c r="E395" s="1" t="s">
        <v>152</v>
      </c>
      <c r="F395" s="4">
        <v>686</v>
      </c>
      <c r="G395" s="3">
        <v>25</v>
      </c>
      <c r="H395" s="3" t="s">
        <v>44</v>
      </c>
      <c r="I395" s="3">
        <v>50</v>
      </c>
      <c r="J395" s="3">
        <v>1</v>
      </c>
      <c r="K395" s="3">
        <v>319</v>
      </c>
    </row>
    <row r="396" spans="1:11" ht="15" customHeight="1" x14ac:dyDescent="0.2">
      <c r="A396" s="3" t="s">
        <v>841</v>
      </c>
      <c r="B396" s="1" t="s">
        <v>842</v>
      </c>
      <c r="C396" s="3" t="s">
        <v>760</v>
      </c>
      <c r="D396" s="3" t="s">
        <v>42</v>
      </c>
      <c r="E396" s="1" t="s">
        <v>152</v>
      </c>
      <c r="F396" s="4">
        <v>731</v>
      </c>
      <c r="G396" s="3">
        <v>18</v>
      </c>
      <c r="H396" s="3" t="s">
        <v>44</v>
      </c>
      <c r="I396" s="3">
        <v>42</v>
      </c>
      <c r="J396" s="3">
        <v>41</v>
      </c>
      <c r="K396" s="3">
        <v>376</v>
      </c>
    </row>
    <row r="397" spans="1:11" ht="15" customHeight="1" x14ac:dyDescent="0.2">
      <c r="A397" s="3" t="s">
        <v>843</v>
      </c>
      <c r="B397" s="1" t="s">
        <v>844</v>
      </c>
      <c r="C397" s="3" t="s">
        <v>760</v>
      </c>
      <c r="D397" s="3" t="s">
        <v>55</v>
      </c>
      <c r="E397" s="1" t="s">
        <v>252</v>
      </c>
      <c r="F397" s="4">
        <v>215</v>
      </c>
      <c r="G397" s="3">
        <v>37</v>
      </c>
      <c r="H397" s="3" t="s">
        <v>44</v>
      </c>
      <c r="I397" s="3">
        <v>53</v>
      </c>
      <c r="J397" s="3">
        <v>28</v>
      </c>
      <c r="K397" s="3">
        <v>247</v>
      </c>
    </row>
    <row r="398" spans="1:11" ht="15" customHeight="1" x14ac:dyDescent="0.2">
      <c r="A398" s="3" t="s">
        <v>845</v>
      </c>
      <c r="B398" s="1" t="s">
        <v>846</v>
      </c>
      <c r="C398" s="3" t="s">
        <v>760</v>
      </c>
      <c r="D398" s="3" t="s">
        <v>55</v>
      </c>
      <c r="E398" s="1" t="s">
        <v>252</v>
      </c>
      <c r="F398" s="4">
        <v>656</v>
      </c>
      <c r="G398" s="3">
        <v>32</v>
      </c>
      <c r="H398" s="3" t="s">
        <v>44</v>
      </c>
      <c r="I398" s="3">
        <v>66</v>
      </c>
      <c r="J398" s="3">
        <v>2</v>
      </c>
      <c r="K398" s="3">
        <v>339</v>
      </c>
    </row>
    <row r="399" spans="1:11" ht="15" customHeight="1" x14ac:dyDescent="0.2">
      <c r="A399" s="3" t="s">
        <v>847</v>
      </c>
      <c r="B399" s="1" t="s">
        <v>848</v>
      </c>
      <c r="C399" s="3" t="s">
        <v>760</v>
      </c>
      <c r="D399" s="3" t="s">
        <v>47</v>
      </c>
      <c r="E399" s="1" t="s">
        <v>252</v>
      </c>
      <c r="F399" s="4">
        <v>216</v>
      </c>
      <c r="G399" s="3">
        <v>36</v>
      </c>
      <c r="H399" s="3" t="s">
        <v>44</v>
      </c>
      <c r="I399" s="3">
        <v>85</v>
      </c>
      <c r="J399" s="3">
        <v>18</v>
      </c>
      <c r="K399" s="3">
        <v>411</v>
      </c>
    </row>
    <row r="400" spans="1:11" ht="15" customHeight="1" x14ac:dyDescent="0.2">
      <c r="A400" s="3" t="s">
        <v>849</v>
      </c>
      <c r="B400" s="1" t="s">
        <v>850</v>
      </c>
      <c r="C400" s="3" t="s">
        <v>760</v>
      </c>
      <c r="D400" s="3" t="s">
        <v>55</v>
      </c>
      <c r="E400" s="1" t="s">
        <v>152</v>
      </c>
      <c r="F400" s="4">
        <v>1120</v>
      </c>
      <c r="G400" s="3">
        <v>27</v>
      </c>
      <c r="H400" s="3" t="s">
        <v>44</v>
      </c>
      <c r="I400" s="3">
        <v>226</v>
      </c>
      <c r="J400" s="3">
        <v>4</v>
      </c>
      <c r="K400" s="3">
        <v>1911</v>
      </c>
    </row>
    <row r="401" spans="1:11" ht="15" customHeight="1" x14ac:dyDescent="0.2">
      <c r="A401" s="3" t="s">
        <v>851</v>
      </c>
      <c r="B401" s="1" t="s">
        <v>852</v>
      </c>
      <c r="C401" s="3" t="s">
        <v>760</v>
      </c>
      <c r="D401" s="3" t="s">
        <v>55</v>
      </c>
      <c r="E401" s="1" t="s">
        <v>252</v>
      </c>
      <c r="F401" s="4">
        <v>275</v>
      </c>
      <c r="G401" s="3">
        <v>42</v>
      </c>
      <c r="H401" s="3" t="s">
        <v>44</v>
      </c>
      <c r="I401" s="3">
        <v>8</v>
      </c>
      <c r="J401" s="3">
        <v>24</v>
      </c>
      <c r="K401" s="3">
        <v>18</v>
      </c>
    </row>
    <row r="402" spans="1:11" ht="15" customHeight="1" x14ac:dyDescent="0.2">
      <c r="A402" s="3" t="s">
        <v>853</v>
      </c>
      <c r="B402" s="1" t="s">
        <v>854</v>
      </c>
      <c r="C402" s="3" t="s">
        <v>760</v>
      </c>
      <c r="D402" s="3" t="s">
        <v>42</v>
      </c>
      <c r="E402" s="1" t="s">
        <v>252</v>
      </c>
      <c r="F402" s="4">
        <v>174</v>
      </c>
      <c r="G402" s="3">
        <v>39</v>
      </c>
      <c r="H402" s="3" t="s">
        <v>44</v>
      </c>
      <c r="I402" s="3">
        <v>39</v>
      </c>
      <c r="J402" s="3">
        <v>31</v>
      </c>
      <c r="K402" s="3">
        <v>180</v>
      </c>
    </row>
    <row r="403" spans="1:11" ht="15" customHeight="1" x14ac:dyDescent="0.2">
      <c r="A403" s="3" t="s">
        <v>855</v>
      </c>
      <c r="B403" s="1" t="s">
        <v>844</v>
      </c>
      <c r="C403" s="3" t="s">
        <v>760</v>
      </c>
      <c r="D403" s="3" t="s">
        <v>55</v>
      </c>
      <c r="E403" s="1" t="s">
        <v>252</v>
      </c>
      <c r="F403" s="4">
        <v>350</v>
      </c>
      <c r="G403" s="3">
        <v>39</v>
      </c>
      <c r="H403" s="3" t="s">
        <v>44</v>
      </c>
      <c r="I403" s="3">
        <v>19</v>
      </c>
      <c r="J403" s="3">
        <v>69</v>
      </c>
      <c r="K403" s="3">
        <v>77</v>
      </c>
    </row>
    <row r="404" spans="1:11" ht="15" customHeight="1" x14ac:dyDescent="0.2">
      <c r="A404" s="3" t="s">
        <v>856</v>
      </c>
      <c r="B404" s="1" t="s">
        <v>857</v>
      </c>
      <c r="C404" s="3" t="s">
        <v>760</v>
      </c>
      <c r="D404" s="3" t="s">
        <v>42</v>
      </c>
      <c r="E404" s="1" t="s">
        <v>152</v>
      </c>
      <c r="F404" s="4">
        <v>419</v>
      </c>
      <c r="G404" s="3">
        <v>20</v>
      </c>
      <c r="H404" s="3" t="s">
        <v>44</v>
      </c>
      <c r="I404" s="3">
        <v>28</v>
      </c>
      <c r="J404" s="3">
        <v>30</v>
      </c>
      <c r="K404" s="3">
        <v>205</v>
      </c>
    </row>
    <row r="405" spans="1:11" ht="15" customHeight="1" x14ac:dyDescent="0.2">
      <c r="A405" s="3" t="s">
        <v>858</v>
      </c>
      <c r="B405" s="1" t="s">
        <v>859</v>
      </c>
      <c r="C405" s="3" t="s">
        <v>860</v>
      </c>
      <c r="D405" s="3" t="s">
        <v>42</v>
      </c>
      <c r="E405" s="1" t="s">
        <v>48</v>
      </c>
      <c r="F405" s="4">
        <v>311</v>
      </c>
      <c r="G405" s="3">
        <v>39</v>
      </c>
      <c r="H405" s="3" t="s">
        <v>44</v>
      </c>
      <c r="I405" s="3">
        <v>74</v>
      </c>
      <c r="J405" s="3">
        <v>40</v>
      </c>
      <c r="K405" s="3">
        <v>340</v>
      </c>
    </row>
    <row r="406" spans="1:11" ht="15" customHeight="1" x14ac:dyDescent="0.2">
      <c r="A406" s="3" t="s">
        <v>861</v>
      </c>
      <c r="B406" s="1" t="s">
        <v>862</v>
      </c>
      <c r="C406" s="3" t="s">
        <v>860</v>
      </c>
      <c r="D406" s="3" t="s">
        <v>42</v>
      </c>
      <c r="E406" s="1" t="s">
        <v>48</v>
      </c>
      <c r="F406" s="4">
        <v>220</v>
      </c>
      <c r="G406" s="3">
        <v>36</v>
      </c>
      <c r="H406" s="3" t="s">
        <v>44</v>
      </c>
      <c r="I406" s="3">
        <v>878</v>
      </c>
      <c r="J406" s="3">
        <v>20</v>
      </c>
      <c r="K406" s="3">
        <v>4768</v>
      </c>
    </row>
    <row r="407" spans="1:11" ht="15" customHeight="1" x14ac:dyDescent="0.2">
      <c r="A407" s="3" t="s">
        <v>863</v>
      </c>
      <c r="B407" s="1" t="s">
        <v>864</v>
      </c>
      <c r="C407" s="3" t="s">
        <v>860</v>
      </c>
      <c r="D407" s="3" t="s">
        <v>42</v>
      </c>
      <c r="E407" s="1" t="s">
        <v>43</v>
      </c>
      <c r="F407" s="4">
        <v>257</v>
      </c>
      <c r="G407" s="3">
        <v>25</v>
      </c>
      <c r="H407" s="3" t="s">
        <v>44</v>
      </c>
      <c r="I407" s="3">
        <v>23</v>
      </c>
      <c r="J407" s="3">
        <v>6</v>
      </c>
      <c r="K407" s="3">
        <v>79</v>
      </c>
    </row>
    <row r="408" spans="1:11" ht="15" customHeight="1" x14ac:dyDescent="0.2">
      <c r="A408" s="3" t="s">
        <v>865</v>
      </c>
      <c r="B408" s="1" t="s">
        <v>866</v>
      </c>
      <c r="C408" s="3" t="s">
        <v>860</v>
      </c>
      <c r="D408" s="3" t="s">
        <v>47</v>
      </c>
      <c r="E408" s="1" t="s">
        <v>43</v>
      </c>
      <c r="F408" s="4">
        <v>225</v>
      </c>
      <c r="G408" s="3">
        <v>24</v>
      </c>
      <c r="H408" s="3" t="s">
        <v>44</v>
      </c>
      <c r="I408" s="3">
        <v>112</v>
      </c>
      <c r="J408" s="3">
        <v>118</v>
      </c>
      <c r="K408" s="3">
        <v>281</v>
      </c>
    </row>
    <row r="409" spans="1:11" ht="15" customHeight="1" x14ac:dyDescent="0.2">
      <c r="A409" s="3" t="s">
        <v>867</v>
      </c>
      <c r="B409" s="1" t="s">
        <v>868</v>
      </c>
      <c r="C409" s="3" t="s">
        <v>860</v>
      </c>
      <c r="D409" s="3" t="s">
        <v>55</v>
      </c>
      <c r="E409" s="1" t="s">
        <v>43</v>
      </c>
      <c r="F409" s="4">
        <v>490</v>
      </c>
      <c r="G409" s="3">
        <v>23</v>
      </c>
      <c r="H409" s="3" t="s">
        <v>44</v>
      </c>
      <c r="I409" s="3">
        <v>136</v>
      </c>
      <c r="J409" s="3">
        <v>7</v>
      </c>
      <c r="K409" s="3">
        <v>1076</v>
      </c>
    </row>
    <row r="410" spans="1:11" ht="15" customHeight="1" x14ac:dyDescent="0.2">
      <c r="A410" s="3" t="s">
        <v>869</v>
      </c>
      <c r="B410" s="1" t="s">
        <v>870</v>
      </c>
      <c r="C410" s="3" t="s">
        <v>860</v>
      </c>
      <c r="D410" s="3" t="s">
        <v>55</v>
      </c>
      <c r="E410" s="1" t="s">
        <v>43</v>
      </c>
      <c r="F410" s="4">
        <v>464</v>
      </c>
      <c r="G410" s="3">
        <v>24</v>
      </c>
      <c r="H410" s="3" t="s">
        <v>44</v>
      </c>
      <c r="I410" s="3">
        <v>127</v>
      </c>
      <c r="J410" s="3">
        <v>37</v>
      </c>
      <c r="K410" s="3">
        <v>857</v>
      </c>
    </row>
    <row r="411" spans="1:11" ht="15" customHeight="1" x14ac:dyDescent="0.2">
      <c r="A411" s="3" t="s">
        <v>871</v>
      </c>
      <c r="B411" s="1" t="s">
        <v>872</v>
      </c>
      <c r="C411" s="3" t="s">
        <v>860</v>
      </c>
      <c r="D411" s="3" t="s">
        <v>42</v>
      </c>
      <c r="E411" s="1" t="s">
        <v>43</v>
      </c>
      <c r="F411" s="4">
        <v>260</v>
      </c>
      <c r="G411" s="3">
        <v>23</v>
      </c>
      <c r="H411" s="3" t="s">
        <v>44</v>
      </c>
      <c r="I411" s="3">
        <v>131</v>
      </c>
      <c r="J411" s="3">
        <v>51</v>
      </c>
      <c r="K411" s="3">
        <v>1012</v>
      </c>
    </row>
    <row r="412" spans="1:11" ht="15" customHeight="1" x14ac:dyDescent="0.2">
      <c r="A412" s="3" t="s">
        <v>873</v>
      </c>
      <c r="B412" s="1" t="s">
        <v>874</v>
      </c>
      <c r="C412" s="3" t="s">
        <v>860</v>
      </c>
      <c r="D412" s="3" t="s">
        <v>55</v>
      </c>
      <c r="E412" s="1" t="s">
        <v>43</v>
      </c>
      <c r="F412" s="4">
        <v>479</v>
      </c>
      <c r="G412" s="3">
        <v>16</v>
      </c>
      <c r="H412" s="3" t="s">
        <v>44</v>
      </c>
      <c r="I412" s="3">
        <v>93</v>
      </c>
      <c r="J412" s="3">
        <v>123</v>
      </c>
      <c r="K412" s="3">
        <v>291</v>
      </c>
    </row>
    <row r="413" spans="1:11" ht="15" customHeight="1" x14ac:dyDescent="0.2">
      <c r="A413" s="3" t="s">
        <v>875</v>
      </c>
      <c r="B413" s="1" t="s">
        <v>876</v>
      </c>
      <c r="C413" s="3" t="s">
        <v>860</v>
      </c>
      <c r="D413" s="3" t="s">
        <v>55</v>
      </c>
      <c r="E413" s="1" t="s">
        <v>48</v>
      </c>
      <c r="F413" s="4">
        <v>401</v>
      </c>
      <c r="G413" s="3">
        <v>35</v>
      </c>
      <c r="H413" s="3" t="s">
        <v>44</v>
      </c>
      <c r="I413" s="3">
        <v>27</v>
      </c>
      <c r="J413" s="3">
        <v>36</v>
      </c>
      <c r="K413" s="3">
        <v>135</v>
      </c>
    </row>
    <row r="414" spans="1:11" ht="15" customHeight="1" x14ac:dyDescent="0.2">
      <c r="A414" s="3" t="s">
        <v>877</v>
      </c>
      <c r="B414" s="1" t="s">
        <v>878</v>
      </c>
      <c r="C414" s="3" t="s">
        <v>860</v>
      </c>
      <c r="D414" s="3" t="s">
        <v>55</v>
      </c>
      <c r="E414" s="1" t="s">
        <v>43</v>
      </c>
      <c r="F414" s="4">
        <v>436</v>
      </c>
      <c r="G414" s="3">
        <v>16</v>
      </c>
      <c r="H414" s="3" t="s">
        <v>44</v>
      </c>
      <c r="I414" s="3">
        <v>111</v>
      </c>
      <c r="J414" s="3">
        <v>53</v>
      </c>
      <c r="K414" s="3">
        <v>1067</v>
      </c>
    </row>
    <row r="415" spans="1:11" ht="15" customHeight="1" x14ac:dyDescent="0.2">
      <c r="A415" s="3" t="s">
        <v>879</v>
      </c>
      <c r="B415" s="1" t="s">
        <v>880</v>
      </c>
      <c r="C415" s="3" t="s">
        <v>860</v>
      </c>
      <c r="D415" s="3" t="s">
        <v>47</v>
      </c>
      <c r="E415" s="1" t="s">
        <v>43</v>
      </c>
      <c r="F415" s="4">
        <v>220</v>
      </c>
      <c r="G415" s="3">
        <v>21</v>
      </c>
      <c r="H415" s="3" t="s">
        <v>44</v>
      </c>
      <c r="I415" s="3">
        <v>134</v>
      </c>
      <c r="J415" s="3">
        <v>43</v>
      </c>
      <c r="K415" s="3">
        <v>1083</v>
      </c>
    </row>
    <row r="416" spans="1:11" ht="15" customHeight="1" x14ac:dyDescent="0.2">
      <c r="A416" s="3" t="s">
        <v>881</v>
      </c>
      <c r="B416" s="1" t="s">
        <v>882</v>
      </c>
      <c r="C416" s="3" t="s">
        <v>860</v>
      </c>
      <c r="D416" s="3" t="s">
        <v>55</v>
      </c>
      <c r="E416" s="1" t="s">
        <v>43</v>
      </c>
      <c r="F416" s="4">
        <v>230</v>
      </c>
      <c r="G416" s="3">
        <v>25</v>
      </c>
      <c r="H416" s="3" t="s">
        <v>44</v>
      </c>
      <c r="I416" s="3">
        <v>102</v>
      </c>
      <c r="J416" s="3">
        <v>67</v>
      </c>
      <c r="K416" s="3">
        <v>715</v>
      </c>
    </row>
    <row r="417" spans="1:11" ht="15" customHeight="1" x14ac:dyDescent="0.2">
      <c r="A417" s="3" t="s">
        <v>883</v>
      </c>
      <c r="B417" s="1" t="s">
        <v>884</v>
      </c>
      <c r="C417" s="3" t="s">
        <v>860</v>
      </c>
      <c r="D417" s="3" t="s">
        <v>55</v>
      </c>
      <c r="E417" s="1" t="s">
        <v>48</v>
      </c>
      <c r="F417" s="4">
        <v>216</v>
      </c>
      <c r="G417" s="3">
        <v>35</v>
      </c>
      <c r="H417" s="3" t="s">
        <v>44</v>
      </c>
      <c r="I417" s="3">
        <v>38</v>
      </c>
      <c r="J417" s="3">
        <v>59</v>
      </c>
      <c r="K417" s="3">
        <v>195</v>
      </c>
    </row>
    <row r="418" spans="1:11" ht="15" customHeight="1" x14ac:dyDescent="0.2">
      <c r="A418" s="3" t="s">
        <v>885</v>
      </c>
      <c r="B418" s="1" t="s">
        <v>886</v>
      </c>
      <c r="C418" s="3" t="s">
        <v>860</v>
      </c>
      <c r="D418" s="3" t="s">
        <v>55</v>
      </c>
      <c r="E418" s="1" t="s">
        <v>48</v>
      </c>
      <c r="F418" s="4">
        <v>451</v>
      </c>
      <c r="G418" s="3">
        <v>43</v>
      </c>
      <c r="H418" s="3" t="s">
        <v>44</v>
      </c>
      <c r="I418" s="3">
        <v>33</v>
      </c>
      <c r="J418" s="3">
        <v>61</v>
      </c>
      <c r="K418" s="3">
        <v>135</v>
      </c>
    </row>
    <row r="419" spans="1:11" ht="15" customHeight="1" x14ac:dyDescent="0.2">
      <c r="A419" s="3" t="s">
        <v>887</v>
      </c>
      <c r="B419" s="1" t="s">
        <v>888</v>
      </c>
      <c r="C419" s="3" t="s">
        <v>860</v>
      </c>
      <c r="D419" s="3" t="s">
        <v>55</v>
      </c>
      <c r="E419" s="1" t="s">
        <v>48</v>
      </c>
      <c r="F419" s="4">
        <v>313</v>
      </c>
      <c r="G419" s="3">
        <v>38</v>
      </c>
      <c r="H419" s="3" t="s">
        <v>72</v>
      </c>
      <c r="I419" s="3">
        <v>26</v>
      </c>
      <c r="J419" s="3">
        <v>270</v>
      </c>
      <c r="K419" s="3">
        <v>83</v>
      </c>
    </row>
    <row r="420" spans="1:11" ht="15" customHeight="1" x14ac:dyDescent="0.2">
      <c r="A420" s="3" t="s">
        <v>889</v>
      </c>
      <c r="B420" s="1" t="s">
        <v>890</v>
      </c>
      <c r="C420" s="3" t="s">
        <v>860</v>
      </c>
      <c r="D420" s="3" t="s">
        <v>42</v>
      </c>
      <c r="E420" s="1" t="s">
        <v>48</v>
      </c>
      <c r="F420" s="4">
        <v>330</v>
      </c>
      <c r="G420" s="3">
        <v>45</v>
      </c>
      <c r="H420" s="3" t="s">
        <v>44</v>
      </c>
      <c r="I420" s="3">
        <v>70</v>
      </c>
      <c r="J420" s="3">
        <v>37</v>
      </c>
      <c r="K420" s="3">
        <v>302</v>
      </c>
    </row>
    <row r="421" spans="1:11" ht="15" customHeight="1" x14ac:dyDescent="0.2">
      <c r="A421" s="3" t="s">
        <v>891</v>
      </c>
      <c r="B421" s="1" t="s">
        <v>892</v>
      </c>
      <c r="C421" s="3" t="s">
        <v>860</v>
      </c>
      <c r="D421" s="3" t="s">
        <v>42</v>
      </c>
      <c r="E421" s="1" t="s">
        <v>48</v>
      </c>
      <c r="F421" s="4">
        <v>226</v>
      </c>
      <c r="G421" s="3">
        <v>36</v>
      </c>
      <c r="H421" s="3" t="s">
        <v>44</v>
      </c>
      <c r="I421" s="3">
        <v>137</v>
      </c>
      <c r="J421" s="3">
        <v>13</v>
      </c>
      <c r="K421" s="3">
        <v>718</v>
      </c>
    </row>
    <row r="422" spans="1:11" ht="15" customHeight="1" x14ac:dyDescent="0.2">
      <c r="A422" s="3" t="s">
        <v>893</v>
      </c>
      <c r="B422" s="1" t="s">
        <v>894</v>
      </c>
      <c r="C422" s="3" t="s">
        <v>860</v>
      </c>
      <c r="D422" s="3" t="s">
        <v>55</v>
      </c>
      <c r="E422" s="1" t="s">
        <v>43</v>
      </c>
      <c r="F422" s="4">
        <v>293</v>
      </c>
      <c r="G422" s="3">
        <v>20</v>
      </c>
      <c r="H422" s="3" t="s">
        <v>44</v>
      </c>
      <c r="I422" s="3">
        <v>31</v>
      </c>
      <c r="J422" s="3">
        <v>33</v>
      </c>
      <c r="K422" s="3">
        <v>229</v>
      </c>
    </row>
    <row r="423" spans="1:11" ht="15" customHeight="1" x14ac:dyDescent="0.2">
      <c r="A423" s="3" t="s">
        <v>895</v>
      </c>
      <c r="B423" s="1" t="s">
        <v>896</v>
      </c>
      <c r="C423" s="3" t="s">
        <v>860</v>
      </c>
      <c r="D423" s="3" t="s">
        <v>42</v>
      </c>
      <c r="E423" s="1" t="s">
        <v>43</v>
      </c>
      <c r="F423" s="4">
        <v>234</v>
      </c>
      <c r="G423" s="3">
        <v>14</v>
      </c>
      <c r="H423" s="3" t="s">
        <v>44</v>
      </c>
      <c r="I423" s="3">
        <v>39</v>
      </c>
      <c r="J423" s="3">
        <v>66</v>
      </c>
      <c r="K423" s="3">
        <v>436</v>
      </c>
    </row>
    <row r="424" spans="1:11" ht="15" customHeight="1" x14ac:dyDescent="0.2">
      <c r="A424" s="3" t="s">
        <v>897</v>
      </c>
      <c r="B424" s="1" t="s">
        <v>898</v>
      </c>
      <c r="C424" s="3" t="s">
        <v>860</v>
      </c>
      <c r="D424" s="3" t="s">
        <v>47</v>
      </c>
      <c r="E424" s="1" t="s">
        <v>43</v>
      </c>
      <c r="F424" s="4">
        <v>219</v>
      </c>
      <c r="G424" s="3">
        <v>19</v>
      </c>
      <c r="H424" s="3" t="s">
        <v>44</v>
      </c>
      <c r="I424" s="3">
        <v>74</v>
      </c>
      <c r="J424" s="3">
        <v>52</v>
      </c>
      <c r="K424" s="3">
        <v>681</v>
      </c>
    </row>
    <row r="425" spans="1:11" ht="15" customHeight="1" x14ac:dyDescent="0.2">
      <c r="A425" s="3" t="s">
        <v>899</v>
      </c>
      <c r="B425" s="1" t="s">
        <v>900</v>
      </c>
      <c r="C425" s="3" t="s">
        <v>860</v>
      </c>
      <c r="D425" s="3" t="s">
        <v>47</v>
      </c>
      <c r="E425" s="1" t="s">
        <v>43</v>
      </c>
      <c r="F425" s="4">
        <v>289</v>
      </c>
      <c r="G425" s="3">
        <v>22</v>
      </c>
      <c r="H425" s="3" t="s">
        <v>44</v>
      </c>
      <c r="I425" s="3">
        <v>36</v>
      </c>
      <c r="J425" s="3">
        <v>16</v>
      </c>
      <c r="K425" s="3">
        <v>258</v>
      </c>
    </row>
    <row r="426" spans="1:11" ht="15" customHeight="1" x14ac:dyDescent="0.2">
      <c r="A426" s="3" t="s">
        <v>901</v>
      </c>
      <c r="B426" s="1" t="s">
        <v>902</v>
      </c>
      <c r="C426" s="3" t="s">
        <v>860</v>
      </c>
      <c r="D426" s="3" t="s">
        <v>42</v>
      </c>
      <c r="E426" s="1" t="s">
        <v>43</v>
      </c>
      <c r="F426" s="4">
        <v>141</v>
      </c>
      <c r="G426" s="3">
        <v>20</v>
      </c>
      <c r="H426" s="3" t="s">
        <v>44</v>
      </c>
      <c r="I426" s="3">
        <v>299</v>
      </c>
      <c r="J426" s="3">
        <v>19</v>
      </c>
      <c r="K426" s="3">
        <v>2624</v>
      </c>
    </row>
    <row r="427" spans="1:11" ht="15" customHeight="1" x14ac:dyDescent="0.2">
      <c r="A427" s="3" t="s">
        <v>903</v>
      </c>
      <c r="B427" s="1" t="s">
        <v>904</v>
      </c>
      <c r="C427" s="3" t="s">
        <v>860</v>
      </c>
      <c r="D427" s="3" t="s">
        <v>42</v>
      </c>
      <c r="E427" s="1" t="s">
        <v>48</v>
      </c>
      <c r="F427" s="4">
        <v>228</v>
      </c>
      <c r="G427" s="3">
        <v>37</v>
      </c>
      <c r="H427" s="3" t="s">
        <v>44</v>
      </c>
      <c r="I427" s="3">
        <v>410</v>
      </c>
      <c r="J427" s="3">
        <v>68</v>
      </c>
      <c r="K427" s="3">
        <v>2075</v>
      </c>
    </row>
    <row r="428" spans="1:11" ht="15" customHeight="1" x14ac:dyDescent="0.2">
      <c r="A428" s="3" t="s">
        <v>905</v>
      </c>
      <c r="B428" s="1" t="s">
        <v>906</v>
      </c>
      <c r="C428" s="3" t="s">
        <v>860</v>
      </c>
      <c r="D428" s="3" t="s">
        <v>55</v>
      </c>
      <c r="E428" s="1" t="s">
        <v>48</v>
      </c>
      <c r="F428" s="4">
        <v>172</v>
      </c>
      <c r="G428" s="3">
        <v>38</v>
      </c>
      <c r="H428" s="3" t="s">
        <v>44</v>
      </c>
      <c r="I428" s="3">
        <v>139</v>
      </c>
      <c r="J428" s="3">
        <v>17</v>
      </c>
      <c r="K428" s="3">
        <v>660</v>
      </c>
    </row>
    <row r="429" spans="1:11" ht="15" customHeight="1" x14ac:dyDescent="0.2">
      <c r="A429" s="3" t="s">
        <v>907</v>
      </c>
      <c r="B429" s="1" t="s">
        <v>908</v>
      </c>
      <c r="C429" s="3" t="s">
        <v>860</v>
      </c>
      <c r="D429" s="3" t="s">
        <v>55</v>
      </c>
      <c r="E429" s="1" t="s">
        <v>43</v>
      </c>
      <c r="F429" s="4">
        <v>251</v>
      </c>
      <c r="G429" s="3">
        <v>16</v>
      </c>
      <c r="H429" s="3" t="s">
        <v>44</v>
      </c>
      <c r="I429" s="3">
        <v>79</v>
      </c>
      <c r="J429" s="3">
        <v>16</v>
      </c>
      <c r="K429" s="3">
        <v>778</v>
      </c>
    </row>
    <row r="430" spans="1:11" ht="15" customHeight="1" x14ac:dyDescent="0.2">
      <c r="A430" s="3" t="s">
        <v>909</v>
      </c>
      <c r="B430" s="1" t="s">
        <v>910</v>
      </c>
      <c r="C430" s="3" t="s">
        <v>860</v>
      </c>
      <c r="D430" s="3" t="s">
        <v>42</v>
      </c>
      <c r="E430" s="1" t="s">
        <v>43</v>
      </c>
      <c r="F430" s="4">
        <v>450</v>
      </c>
      <c r="G430" s="3">
        <v>19</v>
      </c>
      <c r="H430" s="3" t="s">
        <v>44</v>
      </c>
      <c r="I430" s="3">
        <v>23</v>
      </c>
      <c r="J430" s="3">
        <v>8</v>
      </c>
      <c r="K430" s="3">
        <v>177</v>
      </c>
    </row>
    <row r="431" spans="1:11" ht="15" customHeight="1" x14ac:dyDescent="0.2">
      <c r="A431" s="3" t="s">
        <v>911</v>
      </c>
      <c r="B431" s="1" t="s">
        <v>912</v>
      </c>
      <c r="C431" s="3" t="s">
        <v>860</v>
      </c>
      <c r="D431" s="3" t="s">
        <v>47</v>
      </c>
      <c r="E431" s="1" t="s">
        <v>43</v>
      </c>
      <c r="F431" s="4">
        <v>429</v>
      </c>
      <c r="G431" s="3">
        <v>17</v>
      </c>
      <c r="H431" s="3" t="s">
        <v>44</v>
      </c>
      <c r="I431" s="3">
        <v>89</v>
      </c>
      <c r="J431" s="3">
        <v>108</v>
      </c>
      <c r="K431" s="3">
        <v>285</v>
      </c>
    </row>
    <row r="432" spans="1:11" ht="15" customHeight="1" x14ac:dyDescent="0.2">
      <c r="A432" s="3" t="s">
        <v>913</v>
      </c>
      <c r="B432" s="1" t="s">
        <v>914</v>
      </c>
      <c r="C432" s="3" t="s">
        <v>860</v>
      </c>
      <c r="D432" s="3" t="s">
        <v>47</v>
      </c>
      <c r="E432" s="1" t="s">
        <v>48</v>
      </c>
      <c r="F432" s="4">
        <v>439</v>
      </c>
      <c r="G432" s="3">
        <v>41</v>
      </c>
      <c r="H432" s="3" t="s">
        <v>44</v>
      </c>
      <c r="I432" s="3">
        <v>456</v>
      </c>
      <c r="J432" s="3">
        <v>43</v>
      </c>
      <c r="K432" s="3">
        <v>2213</v>
      </c>
    </row>
    <row r="433" spans="1:11" ht="15" customHeight="1" x14ac:dyDescent="0.2">
      <c r="A433" s="3" t="s">
        <v>915</v>
      </c>
      <c r="B433" s="1" t="s">
        <v>916</v>
      </c>
      <c r="C433" s="3" t="s">
        <v>860</v>
      </c>
      <c r="D433" s="3" t="s">
        <v>55</v>
      </c>
      <c r="E433" s="1" t="s">
        <v>43</v>
      </c>
      <c r="F433" s="4">
        <v>125</v>
      </c>
      <c r="G433" s="3">
        <v>23</v>
      </c>
      <c r="H433" s="3" t="s">
        <v>44</v>
      </c>
      <c r="I433" s="3">
        <v>122</v>
      </c>
      <c r="J433" s="3">
        <v>67</v>
      </c>
      <c r="K433" s="3">
        <v>888</v>
      </c>
    </row>
    <row r="434" spans="1:11" ht="15" customHeight="1" x14ac:dyDescent="0.2">
      <c r="A434" s="3" t="s">
        <v>917</v>
      </c>
      <c r="B434" s="1" t="s">
        <v>918</v>
      </c>
      <c r="C434" s="3" t="s">
        <v>860</v>
      </c>
      <c r="D434" s="3" t="s">
        <v>55</v>
      </c>
      <c r="E434" s="1" t="s">
        <v>43</v>
      </c>
      <c r="F434" s="4">
        <v>166</v>
      </c>
      <c r="G434" s="3">
        <v>16</v>
      </c>
      <c r="H434" s="3" t="s">
        <v>44</v>
      </c>
      <c r="I434" s="3">
        <v>126</v>
      </c>
      <c r="J434" s="3">
        <v>161</v>
      </c>
      <c r="K434" s="3">
        <v>463</v>
      </c>
    </row>
    <row r="435" spans="1:11" ht="15" customHeight="1" x14ac:dyDescent="0.2">
      <c r="A435" s="3" t="s">
        <v>919</v>
      </c>
      <c r="B435" s="1" t="s">
        <v>920</v>
      </c>
      <c r="C435" s="3" t="s">
        <v>860</v>
      </c>
      <c r="D435" s="3" t="s">
        <v>42</v>
      </c>
      <c r="E435" s="1" t="s">
        <v>43</v>
      </c>
      <c r="F435" s="4">
        <v>476</v>
      </c>
      <c r="G435" s="3">
        <v>17</v>
      </c>
      <c r="H435" s="3" t="s">
        <v>44</v>
      </c>
      <c r="I435" s="3">
        <v>129</v>
      </c>
      <c r="J435" s="3">
        <v>95</v>
      </c>
      <c r="K435" s="3">
        <v>454</v>
      </c>
    </row>
    <row r="436" spans="1:11" ht="15" customHeight="1" x14ac:dyDescent="0.2">
      <c r="A436" s="3" t="s">
        <v>921</v>
      </c>
      <c r="B436" s="1" t="s">
        <v>922</v>
      </c>
      <c r="C436" s="3" t="s">
        <v>860</v>
      </c>
      <c r="D436" s="3" t="s">
        <v>55</v>
      </c>
      <c r="E436" s="1" t="s">
        <v>43</v>
      </c>
      <c r="F436" s="4">
        <v>412</v>
      </c>
      <c r="G436" s="3">
        <v>25</v>
      </c>
      <c r="H436" s="3" t="s">
        <v>44</v>
      </c>
      <c r="I436" s="3">
        <v>43</v>
      </c>
      <c r="J436" s="3">
        <v>39</v>
      </c>
      <c r="K436" s="3">
        <v>279</v>
      </c>
    </row>
    <row r="437" spans="1:11" ht="15" customHeight="1" x14ac:dyDescent="0.2">
      <c r="A437" s="3" t="s">
        <v>923</v>
      </c>
      <c r="B437" s="1" t="s">
        <v>924</v>
      </c>
      <c r="C437" s="3" t="s">
        <v>860</v>
      </c>
      <c r="D437" s="3" t="s">
        <v>42</v>
      </c>
      <c r="E437" s="1" t="s">
        <v>43</v>
      </c>
      <c r="F437" s="4">
        <v>263</v>
      </c>
      <c r="G437" s="3">
        <v>19</v>
      </c>
      <c r="H437" s="3" t="s">
        <v>72</v>
      </c>
      <c r="I437" s="3">
        <v>36</v>
      </c>
      <c r="J437" s="3">
        <v>193</v>
      </c>
      <c r="K437" s="3">
        <v>57</v>
      </c>
    </row>
    <row r="438" spans="1:11" ht="15" customHeight="1" x14ac:dyDescent="0.2">
      <c r="A438" s="3" t="s">
        <v>925</v>
      </c>
      <c r="B438" s="1" t="s">
        <v>926</v>
      </c>
      <c r="C438" s="3" t="s">
        <v>860</v>
      </c>
      <c r="D438" s="3" t="s">
        <v>47</v>
      </c>
      <c r="E438" s="1" t="s">
        <v>48</v>
      </c>
      <c r="F438" s="4">
        <v>232</v>
      </c>
      <c r="G438" s="3">
        <v>37</v>
      </c>
      <c r="H438" s="3" t="s">
        <v>44</v>
      </c>
      <c r="I438" s="3">
        <v>162</v>
      </c>
      <c r="J438" s="3">
        <v>34</v>
      </c>
      <c r="K438" s="3">
        <v>809</v>
      </c>
    </row>
    <row r="439" spans="1:11" ht="15" customHeight="1" x14ac:dyDescent="0.2">
      <c r="A439" s="3" t="s">
        <v>927</v>
      </c>
      <c r="B439" s="1" t="s">
        <v>928</v>
      </c>
      <c r="C439" s="3" t="s">
        <v>860</v>
      </c>
      <c r="D439" s="3" t="s">
        <v>42</v>
      </c>
      <c r="E439" s="1" t="s">
        <v>48</v>
      </c>
      <c r="F439" s="4">
        <v>388</v>
      </c>
      <c r="G439" s="3">
        <v>40</v>
      </c>
      <c r="H439" s="3" t="s">
        <v>44</v>
      </c>
      <c r="I439" s="3">
        <v>84</v>
      </c>
      <c r="J439" s="3">
        <v>13</v>
      </c>
      <c r="K439" s="3">
        <v>390</v>
      </c>
    </row>
    <row r="440" spans="1:11" ht="15" customHeight="1" x14ac:dyDescent="0.2">
      <c r="A440" s="3" t="s">
        <v>929</v>
      </c>
      <c r="B440" s="1" t="s">
        <v>930</v>
      </c>
      <c r="C440" s="3" t="s">
        <v>860</v>
      </c>
      <c r="D440" s="3" t="s">
        <v>47</v>
      </c>
      <c r="E440" s="1" t="s">
        <v>43</v>
      </c>
      <c r="F440" s="4">
        <v>125</v>
      </c>
      <c r="G440" s="3">
        <v>26</v>
      </c>
      <c r="H440" s="3" t="s">
        <v>44</v>
      </c>
      <c r="I440" s="3">
        <v>77</v>
      </c>
      <c r="J440" s="3">
        <v>64</v>
      </c>
      <c r="K440" s="3">
        <v>502</v>
      </c>
    </row>
    <row r="441" spans="1:11" ht="15" customHeight="1" x14ac:dyDescent="0.2">
      <c r="A441" s="3" t="s">
        <v>931</v>
      </c>
      <c r="B441" s="1" t="s">
        <v>932</v>
      </c>
      <c r="C441" s="3" t="s">
        <v>860</v>
      </c>
      <c r="D441" s="3" t="s">
        <v>47</v>
      </c>
      <c r="E441" s="1" t="s">
        <v>43</v>
      </c>
      <c r="F441" s="4">
        <v>247</v>
      </c>
      <c r="G441" s="3">
        <v>23</v>
      </c>
      <c r="H441" s="3" t="s">
        <v>72</v>
      </c>
      <c r="I441" s="3">
        <v>20</v>
      </c>
      <c r="J441" s="3">
        <v>291</v>
      </c>
      <c r="K441" s="3">
        <v>45</v>
      </c>
    </row>
    <row r="442" spans="1:11" ht="15" customHeight="1" x14ac:dyDescent="0.2">
      <c r="A442" s="3" t="s">
        <v>933</v>
      </c>
      <c r="B442" s="1" t="s">
        <v>934</v>
      </c>
      <c r="C442" s="3" t="s">
        <v>860</v>
      </c>
      <c r="D442" s="3" t="s">
        <v>55</v>
      </c>
      <c r="E442" s="1" t="s">
        <v>43</v>
      </c>
      <c r="F442" s="4">
        <v>398</v>
      </c>
      <c r="G442" s="3">
        <v>25</v>
      </c>
      <c r="H442" s="3" t="s">
        <v>72</v>
      </c>
      <c r="I442" s="3">
        <v>65</v>
      </c>
      <c r="J442" s="3">
        <v>153</v>
      </c>
      <c r="K442" s="3">
        <v>339</v>
      </c>
    </row>
    <row r="443" spans="1:11" ht="15" customHeight="1" x14ac:dyDescent="0.2">
      <c r="A443" s="3" t="s">
        <v>935</v>
      </c>
      <c r="B443" s="1" t="s">
        <v>936</v>
      </c>
      <c r="C443" s="3" t="s">
        <v>860</v>
      </c>
      <c r="D443" s="3" t="s">
        <v>55</v>
      </c>
      <c r="E443" s="1" t="s">
        <v>43</v>
      </c>
      <c r="F443" s="4">
        <v>340</v>
      </c>
      <c r="G443" s="3">
        <v>23</v>
      </c>
      <c r="H443" s="3" t="s">
        <v>44</v>
      </c>
      <c r="I443" s="3">
        <v>169</v>
      </c>
      <c r="J443" s="3">
        <v>102</v>
      </c>
      <c r="K443" s="3">
        <v>515</v>
      </c>
    </row>
    <row r="444" spans="1:11" ht="15" customHeight="1" x14ac:dyDescent="0.2">
      <c r="A444" s="3" t="s">
        <v>937</v>
      </c>
      <c r="B444" s="1" t="s">
        <v>938</v>
      </c>
      <c r="C444" s="3" t="s">
        <v>860</v>
      </c>
      <c r="D444" s="3" t="s">
        <v>55</v>
      </c>
      <c r="E444" s="1" t="s">
        <v>48</v>
      </c>
      <c r="F444" s="4">
        <v>379</v>
      </c>
      <c r="G444" s="3">
        <v>45</v>
      </c>
      <c r="H444" s="3" t="s">
        <v>44</v>
      </c>
      <c r="I444" s="3">
        <v>264</v>
      </c>
      <c r="J444" s="3">
        <v>47</v>
      </c>
      <c r="K444" s="3">
        <v>1140</v>
      </c>
    </row>
    <row r="445" spans="1:11" ht="15" customHeight="1" x14ac:dyDescent="0.2">
      <c r="A445" s="3" t="s">
        <v>939</v>
      </c>
      <c r="B445" s="1" t="s">
        <v>940</v>
      </c>
      <c r="C445" s="3" t="s">
        <v>860</v>
      </c>
      <c r="D445" s="3" t="s">
        <v>55</v>
      </c>
      <c r="E445" s="1" t="s">
        <v>48</v>
      </c>
      <c r="F445" s="4">
        <v>364</v>
      </c>
      <c r="G445" s="3">
        <v>44</v>
      </c>
      <c r="H445" s="3" t="s">
        <v>44</v>
      </c>
      <c r="I445" s="3">
        <v>18</v>
      </c>
      <c r="J445" s="3">
        <v>34</v>
      </c>
      <c r="K445" s="3">
        <v>62</v>
      </c>
    </row>
    <row r="446" spans="1:11" ht="15" customHeight="1" x14ac:dyDescent="0.2">
      <c r="A446" s="3" t="s">
        <v>941</v>
      </c>
      <c r="B446" s="1" t="s">
        <v>942</v>
      </c>
      <c r="C446" s="3" t="s">
        <v>860</v>
      </c>
      <c r="D446" s="3" t="s">
        <v>47</v>
      </c>
      <c r="E446" s="1" t="s">
        <v>43</v>
      </c>
      <c r="F446" s="4">
        <v>133</v>
      </c>
      <c r="G446" s="3">
        <v>23</v>
      </c>
      <c r="H446" s="3" t="s">
        <v>44</v>
      </c>
      <c r="I446" s="3">
        <v>82</v>
      </c>
      <c r="J446" s="3">
        <v>117</v>
      </c>
      <c r="K446" s="3">
        <v>252</v>
      </c>
    </row>
    <row r="447" spans="1:11" ht="15" customHeight="1" x14ac:dyDescent="0.2">
      <c r="A447" s="3" t="s">
        <v>943</v>
      </c>
      <c r="B447" s="1" t="s">
        <v>944</v>
      </c>
      <c r="C447" s="3" t="s">
        <v>860</v>
      </c>
      <c r="D447" s="3" t="s">
        <v>55</v>
      </c>
      <c r="E447" s="1" t="s">
        <v>48</v>
      </c>
      <c r="F447" s="4">
        <v>244</v>
      </c>
      <c r="G447" s="3">
        <v>44</v>
      </c>
      <c r="H447" s="3" t="s">
        <v>44</v>
      </c>
      <c r="I447" s="3">
        <v>98</v>
      </c>
      <c r="J447" s="3">
        <v>114</v>
      </c>
      <c r="K447" s="3">
        <v>252</v>
      </c>
    </row>
    <row r="448" spans="1:11" ht="15" customHeight="1" x14ac:dyDescent="0.2">
      <c r="A448" s="3" t="s">
        <v>945</v>
      </c>
      <c r="B448" s="1" t="s">
        <v>946</v>
      </c>
      <c r="C448" s="3" t="s">
        <v>860</v>
      </c>
      <c r="D448" s="3" t="s">
        <v>42</v>
      </c>
      <c r="E448" s="1" t="s">
        <v>48</v>
      </c>
      <c r="F448" s="4">
        <v>144</v>
      </c>
      <c r="G448" s="3">
        <v>39</v>
      </c>
      <c r="H448" s="3" t="s">
        <v>44</v>
      </c>
      <c r="I448" s="3">
        <v>31</v>
      </c>
      <c r="J448" s="3">
        <v>186</v>
      </c>
      <c r="K448" s="3">
        <v>80</v>
      </c>
    </row>
    <row r="449" spans="1:11" ht="15" customHeight="1" x14ac:dyDescent="0.2">
      <c r="A449" s="3" t="s">
        <v>947</v>
      </c>
      <c r="B449" s="1" t="s">
        <v>948</v>
      </c>
      <c r="C449" s="3" t="s">
        <v>860</v>
      </c>
      <c r="D449" s="3" t="s">
        <v>55</v>
      </c>
      <c r="E449" s="1" t="s">
        <v>48</v>
      </c>
      <c r="F449" s="4">
        <v>160</v>
      </c>
      <c r="G449" s="3">
        <v>42</v>
      </c>
      <c r="H449" s="3" t="s">
        <v>44</v>
      </c>
      <c r="I449" s="3">
        <v>258</v>
      </c>
      <c r="J449" s="3">
        <v>20</v>
      </c>
      <c r="K449" s="3">
        <v>1168</v>
      </c>
    </row>
    <row r="450" spans="1:11" ht="15" customHeight="1" x14ac:dyDescent="0.2">
      <c r="A450" s="3" t="s">
        <v>949</v>
      </c>
      <c r="B450" s="1" t="s">
        <v>950</v>
      </c>
      <c r="C450" s="3" t="s">
        <v>860</v>
      </c>
      <c r="D450" s="3" t="s">
        <v>42</v>
      </c>
      <c r="E450" s="1" t="s">
        <v>48</v>
      </c>
      <c r="F450" s="4">
        <v>387</v>
      </c>
      <c r="G450" s="3">
        <v>36</v>
      </c>
      <c r="H450" s="3" t="s">
        <v>44</v>
      </c>
      <c r="I450" s="3">
        <v>199</v>
      </c>
      <c r="J450" s="3">
        <v>22</v>
      </c>
      <c r="K450" s="3">
        <v>1031</v>
      </c>
    </row>
    <row r="451" spans="1:11" ht="15" customHeight="1" x14ac:dyDescent="0.2">
      <c r="A451" s="3" t="s">
        <v>951</v>
      </c>
      <c r="B451" s="1" t="s">
        <v>952</v>
      </c>
      <c r="C451" s="3" t="s">
        <v>860</v>
      </c>
      <c r="D451" s="3" t="s">
        <v>55</v>
      </c>
      <c r="E451" s="1" t="s">
        <v>48</v>
      </c>
      <c r="F451" s="4">
        <v>284</v>
      </c>
      <c r="G451" s="3">
        <v>39</v>
      </c>
      <c r="H451" s="3" t="s">
        <v>44</v>
      </c>
      <c r="I451" s="3">
        <v>429</v>
      </c>
      <c r="J451" s="3">
        <v>18</v>
      </c>
      <c r="K451" s="3">
        <v>2092</v>
      </c>
    </row>
    <row r="452" spans="1:11" ht="15" customHeight="1" x14ac:dyDescent="0.2">
      <c r="A452" s="3" t="s">
        <v>953</v>
      </c>
      <c r="B452" s="1" t="s">
        <v>954</v>
      </c>
      <c r="C452" s="3" t="s">
        <v>860</v>
      </c>
      <c r="D452" s="3" t="s">
        <v>55</v>
      </c>
      <c r="E452" s="1" t="s">
        <v>48</v>
      </c>
      <c r="F452" s="4">
        <v>169</v>
      </c>
      <c r="G452" s="3">
        <v>36</v>
      </c>
      <c r="H452" s="3" t="s">
        <v>44</v>
      </c>
      <c r="I452" s="3">
        <v>29</v>
      </c>
      <c r="J452" s="3">
        <v>63</v>
      </c>
      <c r="K452" s="3">
        <v>135</v>
      </c>
    </row>
    <row r="453" spans="1:11" ht="15" customHeight="1" x14ac:dyDescent="0.2">
      <c r="A453" s="3" t="s">
        <v>955</v>
      </c>
      <c r="B453" s="1" t="s">
        <v>956</v>
      </c>
      <c r="C453" s="3" t="s">
        <v>860</v>
      </c>
      <c r="D453" s="3" t="s">
        <v>55</v>
      </c>
      <c r="E453" s="1" t="s">
        <v>48</v>
      </c>
      <c r="F453" s="4">
        <v>264</v>
      </c>
      <c r="G453" s="3">
        <v>35</v>
      </c>
      <c r="H453" s="3" t="s">
        <v>44</v>
      </c>
      <c r="I453" s="3">
        <v>387</v>
      </c>
      <c r="J453" s="3">
        <v>54</v>
      </c>
      <c r="K453" s="3">
        <v>2016</v>
      </c>
    </row>
    <row r="454" spans="1:11" ht="15" customHeight="1" x14ac:dyDescent="0.2">
      <c r="A454" s="3" t="s">
        <v>957</v>
      </c>
      <c r="B454" s="1" t="s">
        <v>958</v>
      </c>
      <c r="C454" s="3" t="s">
        <v>860</v>
      </c>
      <c r="D454" s="3" t="s">
        <v>55</v>
      </c>
      <c r="E454" s="1" t="s">
        <v>48</v>
      </c>
      <c r="F454" s="4">
        <v>182</v>
      </c>
      <c r="G454" s="3">
        <v>36</v>
      </c>
      <c r="H454" s="3" t="s">
        <v>44</v>
      </c>
      <c r="I454" s="3">
        <v>255</v>
      </c>
      <c r="J454" s="3">
        <v>162</v>
      </c>
      <c r="K454" s="3">
        <v>948</v>
      </c>
    </row>
    <row r="455" spans="1:11" ht="15" customHeight="1" x14ac:dyDescent="0.2">
      <c r="A455" s="3" t="s">
        <v>959</v>
      </c>
      <c r="B455" s="1" t="s">
        <v>960</v>
      </c>
      <c r="C455" s="3" t="s">
        <v>961</v>
      </c>
      <c r="D455" s="3" t="s">
        <v>47</v>
      </c>
      <c r="E455" s="1" t="s">
        <v>962</v>
      </c>
      <c r="F455" s="4">
        <v>35</v>
      </c>
      <c r="G455" s="3">
        <v>11</v>
      </c>
      <c r="H455" s="3" t="s">
        <v>44</v>
      </c>
      <c r="I455" s="3">
        <v>191</v>
      </c>
      <c r="J455" s="3">
        <v>51</v>
      </c>
      <c r="K455" s="3">
        <v>3975</v>
      </c>
    </row>
    <row r="456" spans="1:11" ht="15" customHeight="1" x14ac:dyDescent="0.2">
      <c r="A456" s="3" t="s">
        <v>963</v>
      </c>
      <c r="B456" s="1" t="s">
        <v>964</v>
      </c>
      <c r="C456" s="3" t="s">
        <v>961</v>
      </c>
      <c r="D456" s="3" t="s">
        <v>42</v>
      </c>
      <c r="E456" s="1" t="s">
        <v>965</v>
      </c>
      <c r="F456" s="4">
        <v>38</v>
      </c>
      <c r="G456" s="3">
        <v>11</v>
      </c>
      <c r="H456" s="3" t="s">
        <v>44</v>
      </c>
      <c r="I456" s="3">
        <v>339</v>
      </c>
      <c r="J456" s="3">
        <v>35</v>
      </c>
      <c r="K456" s="3">
        <v>6904</v>
      </c>
    </row>
    <row r="457" spans="1:11" ht="15" customHeight="1" x14ac:dyDescent="0.2">
      <c r="A457" s="3" t="s">
        <v>966</v>
      </c>
      <c r="B457" s="1" t="s">
        <v>967</v>
      </c>
      <c r="C457" s="3" t="s">
        <v>961</v>
      </c>
      <c r="D457" s="3" t="s">
        <v>42</v>
      </c>
      <c r="E457" s="1" t="s">
        <v>659</v>
      </c>
      <c r="F457" s="4">
        <v>4</v>
      </c>
      <c r="G457" s="3">
        <v>21</v>
      </c>
      <c r="H457" s="3" t="s">
        <v>44</v>
      </c>
      <c r="I457" s="3">
        <v>82</v>
      </c>
      <c r="J457" s="3">
        <v>26</v>
      </c>
      <c r="K457" s="3">
        <v>907</v>
      </c>
    </row>
    <row r="458" spans="1:11" ht="15" customHeight="1" x14ac:dyDescent="0.2">
      <c r="A458" s="3" t="s">
        <v>968</v>
      </c>
      <c r="B458" s="1" t="s">
        <v>969</v>
      </c>
      <c r="C458" s="3" t="s">
        <v>961</v>
      </c>
      <c r="D458" s="3" t="s">
        <v>55</v>
      </c>
      <c r="E458" s="1" t="s">
        <v>659</v>
      </c>
      <c r="F458" s="4">
        <v>24</v>
      </c>
      <c r="G458" s="3">
        <v>21</v>
      </c>
      <c r="H458" s="3" t="s">
        <v>44</v>
      </c>
      <c r="I458" s="3">
        <v>965</v>
      </c>
      <c r="J458" s="3">
        <v>54</v>
      </c>
      <c r="K458" s="3">
        <v>11044</v>
      </c>
    </row>
    <row r="459" spans="1:11" ht="15" customHeight="1" x14ac:dyDescent="0.2">
      <c r="A459" s="3" t="s">
        <v>970</v>
      </c>
      <c r="B459" s="1" t="s">
        <v>971</v>
      </c>
      <c r="C459" s="3" t="s">
        <v>961</v>
      </c>
      <c r="D459" s="3" t="s">
        <v>42</v>
      </c>
      <c r="E459" s="1" t="s">
        <v>962</v>
      </c>
      <c r="F459" s="4">
        <v>24</v>
      </c>
      <c r="G459" s="3">
        <v>13</v>
      </c>
      <c r="H459" s="3" t="s">
        <v>44</v>
      </c>
      <c r="I459" s="3">
        <v>458</v>
      </c>
      <c r="J459" s="3">
        <v>47</v>
      </c>
      <c r="K459" s="3">
        <v>8057</v>
      </c>
    </row>
    <row r="460" spans="1:11" ht="15" customHeight="1" x14ac:dyDescent="0.2">
      <c r="A460" s="3" t="s">
        <v>972</v>
      </c>
      <c r="B460" s="1" t="s">
        <v>973</v>
      </c>
      <c r="C460" s="3" t="s">
        <v>961</v>
      </c>
      <c r="D460" s="3" t="s">
        <v>47</v>
      </c>
      <c r="E460" s="1" t="s">
        <v>962</v>
      </c>
      <c r="F460" s="4">
        <v>34</v>
      </c>
      <c r="G460" s="3">
        <v>12</v>
      </c>
      <c r="H460" s="3" t="s">
        <v>44</v>
      </c>
      <c r="I460" s="3">
        <v>158</v>
      </c>
      <c r="J460" s="3">
        <v>9</v>
      </c>
      <c r="K460" s="3">
        <v>2785</v>
      </c>
    </row>
    <row r="461" spans="1:11" ht="15" customHeight="1" x14ac:dyDescent="0.2">
      <c r="A461" s="3" t="s">
        <v>974</v>
      </c>
      <c r="B461" s="1" t="s">
        <v>975</v>
      </c>
      <c r="C461" s="3" t="s">
        <v>961</v>
      </c>
      <c r="D461" s="3" t="s">
        <v>55</v>
      </c>
      <c r="E461" s="1" t="s">
        <v>659</v>
      </c>
      <c r="F461" s="4">
        <v>23</v>
      </c>
      <c r="G461" s="3">
        <v>20</v>
      </c>
      <c r="H461" s="3" t="s">
        <v>44</v>
      </c>
      <c r="I461" s="3">
        <v>431</v>
      </c>
      <c r="J461" s="3">
        <v>35</v>
      </c>
      <c r="K461" s="3">
        <v>5088</v>
      </c>
    </row>
    <row r="462" spans="1:11" ht="15" customHeight="1" x14ac:dyDescent="0.2">
      <c r="A462" s="3" t="s">
        <v>976</v>
      </c>
      <c r="B462" s="1" t="s">
        <v>977</v>
      </c>
      <c r="C462" s="3" t="s">
        <v>961</v>
      </c>
      <c r="D462" s="3" t="s">
        <v>42</v>
      </c>
      <c r="E462" s="1" t="s">
        <v>659</v>
      </c>
      <c r="F462" s="4">
        <v>37</v>
      </c>
      <c r="G462" s="3">
        <v>18</v>
      </c>
      <c r="H462" s="3" t="s">
        <v>44</v>
      </c>
      <c r="I462" s="3">
        <v>1445</v>
      </c>
      <c r="J462" s="3">
        <v>138</v>
      </c>
      <c r="K462" s="3">
        <v>4114</v>
      </c>
    </row>
    <row r="463" spans="1:11" ht="15" customHeight="1" x14ac:dyDescent="0.2">
      <c r="A463" s="3" t="s">
        <v>978</v>
      </c>
      <c r="B463" s="1" t="s">
        <v>979</v>
      </c>
      <c r="C463" s="3" t="s">
        <v>961</v>
      </c>
      <c r="D463" s="3" t="s">
        <v>47</v>
      </c>
      <c r="E463" s="1" t="s">
        <v>659</v>
      </c>
      <c r="F463" s="4">
        <v>29</v>
      </c>
      <c r="G463" s="3">
        <v>20</v>
      </c>
      <c r="H463" s="3" t="s">
        <v>44</v>
      </c>
      <c r="I463" s="3">
        <v>455</v>
      </c>
      <c r="J463" s="3">
        <v>173</v>
      </c>
      <c r="K463" s="3">
        <v>1626</v>
      </c>
    </row>
    <row r="464" spans="1:11" ht="15" customHeight="1" x14ac:dyDescent="0.2">
      <c r="A464" s="3" t="s">
        <v>980</v>
      </c>
      <c r="B464" s="1" t="s">
        <v>981</v>
      </c>
      <c r="C464" s="3" t="s">
        <v>961</v>
      </c>
      <c r="D464" s="3" t="s">
        <v>42</v>
      </c>
      <c r="E464" s="1" t="s">
        <v>659</v>
      </c>
      <c r="F464" s="4">
        <v>18</v>
      </c>
      <c r="G464" s="3">
        <v>16</v>
      </c>
      <c r="H464" s="3" t="s">
        <v>44</v>
      </c>
      <c r="I464" s="3">
        <v>205</v>
      </c>
      <c r="J464" s="3">
        <v>44</v>
      </c>
      <c r="K464" s="3">
        <v>3005</v>
      </c>
    </row>
    <row r="465" spans="1:11" ht="15" customHeight="1" x14ac:dyDescent="0.2">
      <c r="A465" s="3" t="s">
        <v>982</v>
      </c>
      <c r="B465" s="1" t="s">
        <v>983</v>
      </c>
      <c r="C465" s="3" t="s">
        <v>961</v>
      </c>
      <c r="D465" s="3" t="s">
        <v>55</v>
      </c>
      <c r="E465" s="1" t="s">
        <v>965</v>
      </c>
      <c r="F465" s="4">
        <v>6</v>
      </c>
      <c r="G465" s="3">
        <v>12</v>
      </c>
      <c r="H465" s="3" t="s">
        <v>44</v>
      </c>
      <c r="I465" s="3">
        <v>217</v>
      </c>
      <c r="J465" s="3">
        <v>7</v>
      </c>
      <c r="K465" s="3">
        <v>4187</v>
      </c>
    </row>
    <row r="466" spans="1:11" ht="15" customHeight="1" x14ac:dyDescent="0.2">
      <c r="A466" s="3" t="s">
        <v>984</v>
      </c>
      <c r="B466" s="1" t="s">
        <v>985</v>
      </c>
      <c r="C466" s="3" t="s">
        <v>961</v>
      </c>
      <c r="D466" s="3" t="s">
        <v>47</v>
      </c>
      <c r="E466" s="1" t="s">
        <v>965</v>
      </c>
      <c r="F466" s="4">
        <v>14</v>
      </c>
      <c r="G466" s="3">
        <v>8</v>
      </c>
      <c r="H466" s="3" t="s">
        <v>44</v>
      </c>
      <c r="I466" s="3">
        <v>3259</v>
      </c>
      <c r="J466" s="3">
        <v>161</v>
      </c>
      <c r="K466" s="3">
        <v>8690</v>
      </c>
    </row>
    <row r="467" spans="1:11" ht="15" customHeight="1" x14ac:dyDescent="0.2">
      <c r="A467" s="3" t="s">
        <v>986</v>
      </c>
      <c r="B467" s="1" t="s">
        <v>987</v>
      </c>
      <c r="C467" s="3" t="s">
        <v>961</v>
      </c>
      <c r="D467" s="3" t="s">
        <v>42</v>
      </c>
      <c r="E467" s="1" t="s">
        <v>965</v>
      </c>
      <c r="F467" s="4">
        <v>36</v>
      </c>
      <c r="G467" s="3">
        <v>7</v>
      </c>
      <c r="H467" s="3" t="s">
        <v>44</v>
      </c>
      <c r="I467" s="3">
        <v>201</v>
      </c>
      <c r="J467" s="3">
        <v>50</v>
      </c>
      <c r="K467" s="3">
        <v>5564</v>
      </c>
    </row>
    <row r="468" spans="1:11" ht="15" customHeight="1" x14ac:dyDescent="0.2">
      <c r="A468" s="3" t="s">
        <v>988</v>
      </c>
      <c r="B468" s="1" t="s">
        <v>989</v>
      </c>
      <c r="C468" s="3" t="s">
        <v>961</v>
      </c>
      <c r="D468" s="3" t="s">
        <v>55</v>
      </c>
      <c r="E468" s="1" t="s">
        <v>965</v>
      </c>
      <c r="F468" s="4">
        <v>27</v>
      </c>
      <c r="G468" s="3">
        <v>8</v>
      </c>
      <c r="H468" s="3" t="s">
        <v>44</v>
      </c>
      <c r="I468" s="3">
        <v>232</v>
      </c>
      <c r="J468" s="3">
        <v>159</v>
      </c>
      <c r="K468" s="3">
        <v>634</v>
      </c>
    </row>
    <row r="469" spans="1:11" ht="15" customHeight="1" x14ac:dyDescent="0.2">
      <c r="A469" s="3" t="s">
        <v>990</v>
      </c>
      <c r="B469" s="1" t="s">
        <v>991</v>
      </c>
      <c r="C469" s="3" t="s">
        <v>961</v>
      </c>
      <c r="D469" s="3" t="s">
        <v>55</v>
      </c>
      <c r="E469" s="1" t="s">
        <v>659</v>
      </c>
      <c r="F469" s="4">
        <v>37</v>
      </c>
      <c r="G469" s="3">
        <v>12</v>
      </c>
      <c r="H469" s="3" t="s">
        <v>44</v>
      </c>
      <c r="I469" s="3">
        <v>54</v>
      </c>
      <c r="J469" s="3">
        <v>56</v>
      </c>
      <c r="K469" s="3">
        <v>963</v>
      </c>
    </row>
    <row r="470" spans="1:11" ht="15" customHeight="1" x14ac:dyDescent="0.2">
      <c r="A470" s="3" t="s">
        <v>992</v>
      </c>
      <c r="B470" s="1" t="s">
        <v>993</v>
      </c>
      <c r="C470" s="3" t="s">
        <v>961</v>
      </c>
      <c r="D470" s="3" t="s">
        <v>47</v>
      </c>
      <c r="E470" s="1" t="s">
        <v>965</v>
      </c>
      <c r="F470" s="4">
        <v>39</v>
      </c>
      <c r="G470" s="3">
        <v>7</v>
      </c>
      <c r="H470" s="3" t="s">
        <v>44</v>
      </c>
      <c r="I470" s="3">
        <v>1086</v>
      </c>
      <c r="J470" s="3">
        <v>35</v>
      </c>
      <c r="K470" s="3">
        <v>11434</v>
      </c>
    </row>
    <row r="471" spans="1:11" ht="15" customHeight="1" x14ac:dyDescent="0.2">
      <c r="A471" s="3" t="s">
        <v>994</v>
      </c>
      <c r="B471" s="1" t="s">
        <v>995</v>
      </c>
      <c r="C471" s="3" t="s">
        <v>961</v>
      </c>
      <c r="D471" s="3" t="s">
        <v>55</v>
      </c>
      <c r="E471" s="1" t="s">
        <v>659</v>
      </c>
      <c r="F471" s="4">
        <v>6</v>
      </c>
      <c r="G471" s="3">
        <v>12</v>
      </c>
      <c r="H471" s="3" t="s">
        <v>44</v>
      </c>
      <c r="I471" s="3">
        <v>396</v>
      </c>
      <c r="J471" s="3">
        <v>21</v>
      </c>
      <c r="K471" s="3">
        <v>6787</v>
      </c>
    </row>
    <row r="472" spans="1:11" ht="15" customHeight="1" x14ac:dyDescent="0.2">
      <c r="A472" s="3" t="s">
        <v>996</v>
      </c>
      <c r="B472" s="1" t="s">
        <v>997</v>
      </c>
      <c r="C472" s="3" t="s">
        <v>961</v>
      </c>
      <c r="D472" s="3" t="s">
        <v>42</v>
      </c>
      <c r="E472" s="1" t="s">
        <v>965</v>
      </c>
      <c r="F472" s="4">
        <v>29</v>
      </c>
      <c r="G472" s="3">
        <v>11</v>
      </c>
      <c r="H472" s="3" t="s">
        <v>44</v>
      </c>
      <c r="I472" s="3">
        <v>556</v>
      </c>
      <c r="J472" s="3">
        <v>8</v>
      </c>
      <c r="K472" s="3">
        <v>11852</v>
      </c>
    </row>
    <row r="473" spans="1:11" ht="15" customHeight="1" x14ac:dyDescent="0.2">
      <c r="A473" s="3" t="s">
        <v>998</v>
      </c>
      <c r="B473" s="1" t="s">
        <v>999</v>
      </c>
      <c r="C473" s="3" t="s">
        <v>961</v>
      </c>
      <c r="D473" s="3" t="s">
        <v>47</v>
      </c>
      <c r="E473" s="1" t="s">
        <v>962</v>
      </c>
      <c r="F473" s="4">
        <v>19</v>
      </c>
      <c r="G473" s="3">
        <v>10</v>
      </c>
      <c r="H473" s="3" t="s">
        <v>44</v>
      </c>
      <c r="I473" s="3">
        <v>62</v>
      </c>
      <c r="J473" s="3">
        <v>13</v>
      </c>
      <c r="K473" s="3">
        <v>1259</v>
      </c>
    </row>
    <row r="474" spans="1:11" ht="15" customHeight="1" x14ac:dyDescent="0.2">
      <c r="A474" s="3" t="s">
        <v>1000</v>
      </c>
      <c r="B474" s="1" t="s">
        <v>1001</v>
      </c>
      <c r="C474" s="3" t="s">
        <v>961</v>
      </c>
      <c r="D474" s="3" t="s">
        <v>55</v>
      </c>
      <c r="E474" s="1" t="s">
        <v>965</v>
      </c>
      <c r="F474" s="4">
        <v>17</v>
      </c>
      <c r="G474" s="3">
        <v>12</v>
      </c>
      <c r="H474" s="3" t="s">
        <v>44</v>
      </c>
      <c r="I474" s="3">
        <v>582</v>
      </c>
      <c r="J474" s="3">
        <v>25</v>
      </c>
      <c r="K474" s="3">
        <v>10905</v>
      </c>
    </row>
    <row r="475" spans="1:11" ht="15" customHeight="1" x14ac:dyDescent="0.2">
      <c r="A475" s="3" t="s">
        <v>1002</v>
      </c>
      <c r="B475" s="1" t="s">
        <v>1003</v>
      </c>
      <c r="C475" s="3" t="s">
        <v>961</v>
      </c>
      <c r="D475" s="3" t="s">
        <v>55</v>
      </c>
      <c r="E475" s="1" t="s">
        <v>965</v>
      </c>
      <c r="F475" s="4">
        <v>7</v>
      </c>
      <c r="G475" s="3">
        <v>7</v>
      </c>
      <c r="H475" s="3" t="s">
        <v>44</v>
      </c>
      <c r="I475" s="3">
        <v>374</v>
      </c>
      <c r="J475" s="3">
        <v>26</v>
      </c>
      <c r="K475" s="3">
        <v>3429</v>
      </c>
    </row>
    <row r="476" spans="1:11" ht="15" customHeight="1" x14ac:dyDescent="0.2">
      <c r="A476" s="3" t="s">
        <v>1004</v>
      </c>
      <c r="B476" s="1" t="s">
        <v>1005</v>
      </c>
      <c r="C476" s="3" t="s">
        <v>961</v>
      </c>
      <c r="D476" s="3" t="s">
        <v>42</v>
      </c>
      <c r="E476" s="1" t="s">
        <v>965</v>
      </c>
      <c r="F476" s="4">
        <v>6</v>
      </c>
      <c r="G476" s="3">
        <v>12</v>
      </c>
      <c r="H476" s="3" t="s">
        <v>44</v>
      </c>
      <c r="I476" s="3">
        <v>121</v>
      </c>
      <c r="J476" s="3">
        <v>34</v>
      </c>
      <c r="K476" s="3">
        <v>2212</v>
      </c>
    </row>
    <row r="477" spans="1:11" ht="15" customHeight="1" x14ac:dyDescent="0.2">
      <c r="A477" s="3" t="s">
        <v>1006</v>
      </c>
      <c r="B477" s="1" t="s">
        <v>1007</v>
      </c>
      <c r="C477" s="3" t="s">
        <v>961</v>
      </c>
      <c r="D477" s="3" t="s">
        <v>42</v>
      </c>
      <c r="E477" s="1" t="s">
        <v>659</v>
      </c>
      <c r="F477" s="4">
        <v>9</v>
      </c>
      <c r="G477" s="3">
        <v>17</v>
      </c>
      <c r="H477" s="3" t="s">
        <v>44</v>
      </c>
      <c r="I477" s="3">
        <v>339</v>
      </c>
      <c r="J477" s="3">
        <v>55</v>
      </c>
      <c r="K477" s="3">
        <v>4763</v>
      </c>
    </row>
    <row r="478" spans="1:11" ht="15" customHeight="1" x14ac:dyDescent="0.2">
      <c r="A478" s="3" t="s">
        <v>1008</v>
      </c>
      <c r="B478" s="1" t="s">
        <v>1009</v>
      </c>
      <c r="C478" s="3" t="s">
        <v>961</v>
      </c>
      <c r="D478" s="3" t="s">
        <v>47</v>
      </c>
      <c r="E478" s="1" t="s">
        <v>965</v>
      </c>
      <c r="F478" s="4">
        <v>32</v>
      </c>
      <c r="G478" s="3">
        <v>6</v>
      </c>
      <c r="H478" s="3" t="s">
        <v>44</v>
      </c>
      <c r="I478" s="3">
        <v>89</v>
      </c>
      <c r="J478" s="3">
        <v>20</v>
      </c>
      <c r="K478" s="3">
        <v>2951</v>
      </c>
    </row>
    <row r="479" spans="1:11" ht="15" customHeight="1" x14ac:dyDescent="0.2">
      <c r="A479" s="3" t="s">
        <v>1010</v>
      </c>
      <c r="B479" s="1" t="s">
        <v>1011</v>
      </c>
      <c r="C479" s="3" t="s">
        <v>961</v>
      </c>
      <c r="D479" s="3" t="s">
        <v>55</v>
      </c>
      <c r="E479" s="1" t="s">
        <v>965</v>
      </c>
      <c r="F479" s="4">
        <v>23</v>
      </c>
      <c r="G479" s="3">
        <v>10</v>
      </c>
      <c r="H479" s="3" t="s">
        <v>44</v>
      </c>
      <c r="I479" s="3">
        <v>1188</v>
      </c>
      <c r="J479" s="3">
        <v>175</v>
      </c>
      <c r="K479" s="3">
        <v>3130</v>
      </c>
    </row>
    <row r="480" spans="1:11" ht="15" customHeight="1" x14ac:dyDescent="0.2">
      <c r="A480" s="3" t="s">
        <v>1012</v>
      </c>
      <c r="B480" s="1" t="s">
        <v>1013</v>
      </c>
      <c r="C480" s="3" t="s">
        <v>961</v>
      </c>
      <c r="D480" s="3" t="s">
        <v>42</v>
      </c>
      <c r="E480" s="1" t="s">
        <v>962</v>
      </c>
      <c r="F480" s="4">
        <v>12</v>
      </c>
      <c r="G480" s="3">
        <v>7</v>
      </c>
      <c r="H480" s="3" t="s">
        <v>44</v>
      </c>
      <c r="I480" s="3">
        <v>90</v>
      </c>
      <c r="J480" s="3">
        <v>44</v>
      </c>
      <c r="K480" s="3">
        <v>2852</v>
      </c>
    </row>
    <row r="481" spans="1:11" ht="15" customHeight="1" x14ac:dyDescent="0.2">
      <c r="A481" s="3" t="s">
        <v>1014</v>
      </c>
      <c r="B481" s="1" t="s">
        <v>1015</v>
      </c>
      <c r="C481" s="3" t="s">
        <v>961</v>
      </c>
      <c r="D481" s="3" t="s">
        <v>47</v>
      </c>
      <c r="E481" s="1" t="s">
        <v>965</v>
      </c>
      <c r="F481" s="4">
        <v>23</v>
      </c>
      <c r="G481" s="3">
        <v>9</v>
      </c>
      <c r="H481" s="3" t="s">
        <v>44</v>
      </c>
      <c r="I481" s="3">
        <v>2710</v>
      </c>
      <c r="J481" s="3">
        <v>193</v>
      </c>
      <c r="K481" s="3">
        <v>7320</v>
      </c>
    </row>
    <row r="482" spans="1:11" ht="15" customHeight="1" x14ac:dyDescent="0.2">
      <c r="A482" s="3" t="s">
        <v>1016</v>
      </c>
      <c r="B482" s="1" t="s">
        <v>1017</v>
      </c>
      <c r="C482" s="3" t="s">
        <v>961</v>
      </c>
      <c r="D482" s="3" t="s">
        <v>47</v>
      </c>
      <c r="E482" s="1" t="s">
        <v>965</v>
      </c>
      <c r="F482" s="4">
        <v>22</v>
      </c>
      <c r="G482" s="3">
        <v>9</v>
      </c>
      <c r="H482" s="3" t="s">
        <v>44</v>
      </c>
      <c r="I482" s="3">
        <v>2671</v>
      </c>
      <c r="J482" s="3">
        <v>102</v>
      </c>
      <c r="K482" s="3">
        <v>6717</v>
      </c>
    </row>
    <row r="483" spans="1:11" ht="15" customHeight="1" x14ac:dyDescent="0.2">
      <c r="A483" s="3" t="s">
        <v>1018</v>
      </c>
      <c r="B483" s="1" t="s">
        <v>1019</v>
      </c>
      <c r="C483" s="3" t="s">
        <v>961</v>
      </c>
      <c r="D483" s="3" t="s">
        <v>47</v>
      </c>
      <c r="E483" s="1" t="s">
        <v>962</v>
      </c>
      <c r="F483" s="4">
        <v>9</v>
      </c>
      <c r="G483" s="3">
        <v>11</v>
      </c>
      <c r="H483" s="3" t="s">
        <v>44</v>
      </c>
      <c r="I483" s="3">
        <v>123</v>
      </c>
      <c r="J483" s="3">
        <v>34</v>
      </c>
      <c r="K483" s="3">
        <v>2464</v>
      </c>
    </row>
    <row r="484" spans="1:11" ht="15" customHeight="1" x14ac:dyDescent="0.2">
      <c r="A484" s="3" t="s">
        <v>1020</v>
      </c>
      <c r="B484" s="1" t="s">
        <v>1021</v>
      </c>
      <c r="C484" s="3" t="s">
        <v>961</v>
      </c>
      <c r="D484" s="3" t="s">
        <v>42</v>
      </c>
      <c r="E484" s="1" t="s">
        <v>659</v>
      </c>
      <c r="F484" s="4">
        <v>23</v>
      </c>
      <c r="G484" s="3">
        <v>16</v>
      </c>
      <c r="H484" s="3" t="s">
        <v>44</v>
      </c>
      <c r="I484" s="3">
        <v>436</v>
      </c>
      <c r="J484" s="3">
        <v>63</v>
      </c>
      <c r="K484" s="3">
        <v>6460</v>
      </c>
    </row>
    <row r="485" spans="1:11" ht="15" customHeight="1" x14ac:dyDescent="0.2">
      <c r="A485" s="3" t="s">
        <v>1022</v>
      </c>
      <c r="B485" s="1" t="s">
        <v>1023</v>
      </c>
      <c r="C485" s="3" t="s">
        <v>961</v>
      </c>
      <c r="D485" s="3" t="s">
        <v>47</v>
      </c>
      <c r="E485" s="1" t="s">
        <v>962</v>
      </c>
      <c r="F485" s="4">
        <v>16</v>
      </c>
      <c r="G485" s="3">
        <v>9</v>
      </c>
      <c r="H485" s="3" t="s">
        <v>44</v>
      </c>
      <c r="I485" s="3">
        <v>86</v>
      </c>
      <c r="J485" s="3">
        <v>5</v>
      </c>
      <c r="K485" s="3">
        <v>2078</v>
      </c>
    </row>
    <row r="486" spans="1:11" ht="15" customHeight="1" x14ac:dyDescent="0.2">
      <c r="A486" s="3" t="s">
        <v>1024</v>
      </c>
      <c r="B486" s="1" t="s">
        <v>1025</v>
      </c>
      <c r="C486" s="3" t="s">
        <v>961</v>
      </c>
      <c r="D486" s="3" t="s">
        <v>47</v>
      </c>
      <c r="E486" s="1" t="s">
        <v>659</v>
      </c>
      <c r="F486" s="4">
        <v>26</v>
      </c>
      <c r="G486" s="3">
        <v>20</v>
      </c>
      <c r="H486" s="3" t="s">
        <v>44</v>
      </c>
      <c r="I486" s="3">
        <v>288</v>
      </c>
      <c r="J486" s="3">
        <v>2</v>
      </c>
      <c r="K486" s="3">
        <v>3335</v>
      </c>
    </row>
    <row r="487" spans="1:11" ht="15" customHeight="1" x14ac:dyDescent="0.2">
      <c r="A487" s="3" t="s">
        <v>1026</v>
      </c>
      <c r="B487" s="1" t="s">
        <v>1027</v>
      </c>
      <c r="C487" s="3" t="s">
        <v>961</v>
      </c>
      <c r="D487" s="3" t="s">
        <v>42</v>
      </c>
      <c r="E487" s="1" t="s">
        <v>962</v>
      </c>
      <c r="F487" s="4">
        <v>40</v>
      </c>
      <c r="G487" s="3">
        <v>11</v>
      </c>
      <c r="H487" s="3" t="s">
        <v>44</v>
      </c>
      <c r="I487" s="3">
        <v>234</v>
      </c>
      <c r="J487" s="3">
        <v>22</v>
      </c>
      <c r="K487" s="3">
        <v>4980</v>
      </c>
    </row>
    <row r="488" spans="1:11" ht="15" customHeight="1" x14ac:dyDescent="0.2">
      <c r="A488" s="3" t="s">
        <v>1028</v>
      </c>
      <c r="B488" s="1" t="s">
        <v>1029</v>
      </c>
      <c r="C488" s="3" t="s">
        <v>961</v>
      </c>
      <c r="D488" s="3" t="s">
        <v>47</v>
      </c>
      <c r="E488" s="1" t="s">
        <v>659</v>
      </c>
      <c r="F488" s="4">
        <v>23</v>
      </c>
      <c r="G488" s="3">
        <v>18</v>
      </c>
      <c r="H488" s="3" t="s">
        <v>44</v>
      </c>
      <c r="I488" s="3">
        <v>201</v>
      </c>
      <c r="J488" s="3">
        <v>30</v>
      </c>
      <c r="K488" s="3">
        <v>2638</v>
      </c>
    </row>
    <row r="489" spans="1:11" ht="15" customHeight="1" x14ac:dyDescent="0.2">
      <c r="A489" s="3" t="s">
        <v>1030</v>
      </c>
      <c r="B489" s="1" t="s">
        <v>1031</v>
      </c>
      <c r="C489" s="3" t="s">
        <v>961</v>
      </c>
      <c r="D489" s="3" t="s">
        <v>47</v>
      </c>
      <c r="E489" s="1" t="s">
        <v>965</v>
      </c>
      <c r="F489" s="4">
        <v>23</v>
      </c>
      <c r="G489" s="3">
        <v>10</v>
      </c>
      <c r="H489" s="3" t="s">
        <v>44</v>
      </c>
      <c r="I489" s="3">
        <v>291</v>
      </c>
      <c r="J489" s="3">
        <v>60</v>
      </c>
      <c r="K489" s="3">
        <v>5930</v>
      </c>
    </row>
    <row r="490" spans="1:11" ht="15" customHeight="1" x14ac:dyDescent="0.2">
      <c r="A490" s="3" t="s">
        <v>1032</v>
      </c>
      <c r="B490" s="1" t="s">
        <v>1033</v>
      </c>
      <c r="C490" s="3" t="s">
        <v>961</v>
      </c>
      <c r="D490" s="3" t="s">
        <v>47</v>
      </c>
      <c r="E490" s="1" t="s">
        <v>659</v>
      </c>
      <c r="F490" s="4">
        <v>16</v>
      </c>
      <c r="G490" s="3">
        <v>15</v>
      </c>
      <c r="H490" s="3" t="s">
        <v>44</v>
      </c>
      <c r="I490" s="3">
        <v>4220</v>
      </c>
      <c r="J490" s="3">
        <v>167</v>
      </c>
      <c r="K490" s="3">
        <v>11853</v>
      </c>
    </row>
    <row r="491" spans="1:11" ht="15" customHeight="1" x14ac:dyDescent="0.2">
      <c r="A491" s="3" t="s">
        <v>1034</v>
      </c>
      <c r="B491" s="1" t="s">
        <v>1035</v>
      </c>
      <c r="C491" s="3" t="s">
        <v>961</v>
      </c>
      <c r="D491" s="3" t="s">
        <v>55</v>
      </c>
      <c r="E491" s="1" t="s">
        <v>659</v>
      </c>
      <c r="F491" s="4">
        <v>22</v>
      </c>
      <c r="G491" s="3">
        <v>16</v>
      </c>
      <c r="H491" s="3" t="s">
        <v>44</v>
      </c>
      <c r="I491" s="3">
        <v>268</v>
      </c>
      <c r="J491" s="3">
        <v>41</v>
      </c>
      <c r="K491" s="3">
        <v>3780</v>
      </c>
    </row>
    <row r="492" spans="1:11" ht="15" customHeight="1" x14ac:dyDescent="0.2">
      <c r="A492" s="3" t="s">
        <v>1036</v>
      </c>
      <c r="B492" s="1" t="s">
        <v>1037</v>
      </c>
      <c r="C492" s="3" t="s">
        <v>961</v>
      </c>
      <c r="D492" s="3" t="s">
        <v>42</v>
      </c>
      <c r="E492" s="1" t="s">
        <v>962</v>
      </c>
      <c r="F492" s="4">
        <v>27</v>
      </c>
      <c r="G492" s="3">
        <v>10</v>
      </c>
      <c r="H492" s="3" t="s">
        <v>44</v>
      </c>
      <c r="I492" s="3">
        <v>622</v>
      </c>
      <c r="J492" s="3">
        <v>5</v>
      </c>
      <c r="K492" s="3">
        <v>18335</v>
      </c>
    </row>
    <row r="493" spans="1:11" ht="15" customHeight="1" x14ac:dyDescent="0.2">
      <c r="A493" s="3" t="s">
        <v>1038</v>
      </c>
      <c r="B493" s="1" t="s">
        <v>1039</v>
      </c>
      <c r="C493" s="3" t="s">
        <v>961</v>
      </c>
      <c r="D493" s="3" t="s">
        <v>47</v>
      </c>
      <c r="E493" s="1" t="s">
        <v>965</v>
      </c>
      <c r="F493" s="4">
        <v>38</v>
      </c>
      <c r="G493" s="3">
        <v>12</v>
      </c>
      <c r="H493" s="3" t="s">
        <v>44</v>
      </c>
      <c r="I493" s="3">
        <v>54</v>
      </c>
      <c r="J493" s="3">
        <v>54</v>
      </c>
      <c r="K493" s="3">
        <v>945</v>
      </c>
    </row>
    <row r="494" spans="1:11" ht="15" customHeight="1" x14ac:dyDescent="0.2">
      <c r="A494" s="3" t="s">
        <v>1040</v>
      </c>
      <c r="B494" s="1" t="s">
        <v>1041</v>
      </c>
      <c r="C494" s="3" t="s">
        <v>961</v>
      </c>
      <c r="D494" s="3" t="s">
        <v>47</v>
      </c>
      <c r="E494" s="1" t="s">
        <v>965</v>
      </c>
      <c r="F494" s="4">
        <v>26</v>
      </c>
      <c r="G494" s="3">
        <v>11</v>
      </c>
      <c r="H494" s="3" t="s">
        <v>44</v>
      </c>
      <c r="I494" s="3">
        <v>351</v>
      </c>
      <c r="J494" s="3">
        <v>148</v>
      </c>
      <c r="K494" s="3">
        <v>1285</v>
      </c>
    </row>
    <row r="495" spans="1:11" ht="15" customHeight="1" x14ac:dyDescent="0.2">
      <c r="A495" s="3" t="s">
        <v>1042</v>
      </c>
      <c r="B495" s="1" t="s">
        <v>1043</v>
      </c>
      <c r="C495" s="3" t="s">
        <v>961</v>
      </c>
      <c r="D495" s="3" t="s">
        <v>55</v>
      </c>
      <c r="E495" s="1" t="s">
        <v>659</v>
      </c>
      <c r="F495" s="4">
        <v>9</v>
      </c>
      <c r="G495" s="3">
        <v>15</v>
      </c>
      <c r="H495" s="3" t="s">
        <v>44</v>
      </c>
      <c r="I495" s="3">
        <v>1032</v>
      </c>
      <c r="J495" s="3">
        <v>184</v>
      </c>
      <c r="K495" s="3">
        <v>3077</v>
      </c>
    </row>
    <row r="496" spans="1:11" ht="15" customHeight="1" x14ac:dyDescent="0.2">
      <c r="A496" s="3" t="s">
        <v>1044</v>
      </c>
      <c r="B496" s="1" t="s">
        <v>1045</v>
      </c>
      <c r="C496" s="3" t="s">
        <v>961</v>
      </c>
      <c r="D496" s="3" t="s">
        <v>47</v>
      </c>
      <c r="E496" s="1" t="s">
        <v>659</v>
      </c>
      <c r="F496" s="4">
        <v>30</v>
      </c>
      <c r="G496" s="3">
        <v>12</v>
      </c>
      <c r="H496" s="3" t="s">
        <v>44</v>
      </c>
      <c r="I496" s="3">
        <v>1145</v>
      </c>
      <c r="J496" s="3">
        <v>160</v>
      </c>
      <c r="K496" s="3">
        <v>3308</v>
      </c>
    </row>
    <row r="497" spans="1:11" ht="15" customHeight="1" x14ac:dyDescent="0.2">
      <c r="A497" s="3" t="s">
        <v>1046</v>
      </c>
      <c r="B497" s="1" t="s">
        <v>1047</v>
      </c>
      <c r="C497" s="3" t="s">
        <v>961</v>
      </c>
      <c r="D497" s="3" t="s">
        <v>55</v>
      </c>
      <c r="E497" s="1" t="s">
        <v>659</v>
      </c>
      <c r="F497" s="4">
        <v>19</v>
      </c>
      <c r="G497" s="3">
        <v>17</v>
      </c>
      <c r="H497" s="3" t="s">
        <v>44</v>
      </c>
      <c r="I497" s="3">
        <v>1794</v>
      </c>
      <c r="J497" s="3">
        <v>169</v>
      </c>
      <c r="K497" s="3">
        <v>5512</v>
      </c>
    </row>
    <row r="498" spans="1:11" ht="15" customHeight="1" x14ac:dyDescent="0.2">
      <c r="A498" s="3" t="s">
        <v>1048</v>
      </c>
      <c r="B498" s="1" t="s">
        <v>1049</v>
      </c>
      <c r="C498" s="3" t="s">
        <v>961</v>
      </c>
      <c r="D498" s="3" t="s">
        <v>42</v>
      </c>
      <c r="E498" s="1" t="s">
        <v>962</v>
      </c>
      <c r="F498" s="4">
        <v>30</v>
      </c>
      <c r="G498" s="3">
        <v>8</v>
      </c>
      <c r="H498" s="3" t="s">
        <v>44</v>
      </c>
      <c r="I498" s="3">
        <v>38</v>
      </c>
      <c r="J498" s="3">
        <v>10</v>
      </c>
      <c r="K498" s="3">
        <v>951</v>
      </c>
    </row>
    <row r="499" spans="1:11" ht="15" customHeight="1" x14ac:dyDescent="0.2">
      <c r="A499" s="3" t="s">
        <v>1050</v>
      </c>
      <c r="B499" s="1" t="s">
        <v>1051</v>
      </c>
      <c r="C499" s="3" t="s">
        <v>961</v>
      </c>
      <c r="D499" s="3" t="s">
        <v>55</v>
      </c>
      <c r="E499" s="1" t="s">
        <v>659</v>
      </c>
      <c r="F499" s="4">
        <v>13</v>
      </c>
      <c r="G499" s="3">
        <v>15</v>
      </c>
      <c r="H499" s="3" t="s">
        <v>44</v>
      </c>
      <c r="I499" s="3">
        <v>340</v>
      </c>
      <c r="J499" s="3">
        <v>27</v>
      </c>
      <c r="K499" s="3">
        <v>5277</v>
      </c>
    </row>
    <row r="500" spans="1:11" ht="15" customHeight="1" x14ac:dyDescent="0.2">
      <c r="A500" s="3" t="s">
        <v>1052</v>
      </c>
      <c r="B500" s="1" t="s">
        <v>1053</v>
      </c>
      <c r="C500" s="3" t="s">
        <v>961</v>
      </c>
      <c r="D500" s="3" t="s">
        <v>47</v>
      </c>
      <c r="E500" s="1" t="s">
        <v>659</v>
      </c>
      <c r="F500" s="4">
        <v>18</v>
      </c>
      <c r="G500" s="3">
        <v>22</v>
      </c>
      <c r="H500" s="3" t="s">
        <v>44</v>
      </c>
      <c r="I500" s="3">
        <v>1519</v>
      </c>
      <c r="J500" s="3">
        <v>115</v>
      </c>
      <c r="K500" s="3">
        <v>4708</v>
      </c>
    </row>
    <row r="501" spans="1:11" ht="15" customHeight="1" x14ac:dyDescent="0.2">
      <c r="A501" s="3" t="s">
        <v>1054</v>
      </c>
      <c r="B501" s="1" t="s">
        <v>1055</v>
      </c>
      <c r="C501" s="3" t="s">
        <v>961</v>
      </c>
      <c r="D501" s="3" t="s">
        <v>47</v>
      </c>
      <c r="E501" s="1" t="s">
        <v>965</v>
      </c>
      <c r="F501" s="4">
        <v>16</v>
      </c>
      <c r="G501" s="3">
        <v>6</v>
      </c>
      <c r="H501" s="3" t="s">
        <v>44</v>
      </c>
      <c r="I501" s="3">
        <v>47</v>
      </c>
      <c r="J501" s="3">
        <v>30</v>
      </c>
      <c r="K501" s="3">
        <v>1586</v>
      </c>
    </row>
    <row r="502" spans="1:11" ht="15" customHeight="1" x14ac:dyDescent="0.2">
      <c r="A502" s="3" t="s">
        <v>1056</v>
      </c>
      <c r="B502" s="1" t="s">
        <v>1057</v>
      </c>
      <c r="C502" s="3" t="s">
        <v>961</v>
      </c>
      <c r="D502" s="3" t="s">
        <v>42</v>
      </c>
      <c r="E502" s="1" t="s">
        <v>962</v>
      </c>
      <c r="F502" s="4">
        <v>6</v>
      </c>
      <c r="G502" s="3">
        <v>12</v>
      </c>
      <c r="H502" s="3" t="s">
        <v>44</v>
      </c>
      <c r="I502" s="3">
        <v>64</v>
      </c>
      <c r="J502" s="3">
        <v>50</v>
      </c>
      <c r="K502" s="3">
        <v>1104</v>
      </c>
    </row>
    <row r="503" spans="1:11" ht="15" customHeight="1" x14ac:dyDescent="0.2">
      <c r="A503" s="3" t="s">
        <v>1058</v>
      </c>
      <c r="B503" s="1" t="s">
        <v>1059</v>
      </c>
      <c r="C503" s="3" t="s">
        <v>961</v>
      </c>
      <c r="D503" s="3" t="s">
        <v>42</v>
      </c>
      <c r="E503" s="1" t="s">
        <v>965</v>
      </c>
      <c r="F503" s="4">
        <v>18</v>
      </c>
      <c r="G503" s="3">
        <v>11</v>
      </c>
      <c r="H503" s="3" t="s">
        <v>44</v>
      </c>
      <c r="I503" s="3">
        <v>1588</v>
      </c>
      <c r="J503" s="3">
        <v>156</v>
      </c>
      <c r="K503" s="3">
        <v>3928</v>
      </c>
    </row>
    <row r="504" spans="1:11" ht="15" customHeight="1" x14ac:dyDescent="0.2">
      <c r="A504" s="3" t="s">
        <v>1060</v>
      </c>
      <c r="B504" s="1" t="s">
        <v>1061</v>
      </c>
      <c r="C504" s="3" t="s">
        <v>961</v>
      </c>
      <c r="D504" s="3" t="s">
        <v>47</v>
      </c>
      <c r="E504" s="1" t="s">
        <v>659</v>
      </c>
      <c r="F504" s="4">
        <v>28</v>
      </c>
      <c r="G504" s="3">
        <v>22</v>
      </c>
      <c r="H504" s="3" t="s">
        <v>44</v>
      </c>
      <c r="I504" s="3">
        <v>277</v>
      </c>
      <c r="J504" s="3">
        <v>10</v>
      </c>
      <c r="K504" s="3">
        <v>2962</v>
      </c>
    </row>
    <row r="506" spans="1:11" ht="15" customHeight="1" x14ac:dyDescent="0.2">
      <c r="A506" s="40" t="s">
        <v>1062</v>
      </c>
      <c r="B506" s="40"/>
      <c r="C506" s="40"/>
      <c r="D506" s="40"/>
      <c r="E506" s="40"/>
      <c r="F506" s="40"/>
      <c r="G506" s="40"/>
      <c r="H506" s="40"/>
      <c r="I506" s="40"/>
      <c r="J506" s="40"/>
      <c r="K506" s="40"/>
    </row>
    <row r="507" spans="1:11" ht="15" customHeight="1" x14ac:dyDescent="0.2">
      <c r="A507" s="25" t="s">
        <v>1063</v>
      </c>
      <c r="B507" s="25"/>
      <c r="C507" s="25"/>
      <c r="D507" s="25"/>
      <c r="E507" s="25"/>
      <c r="F507" s="25"/>
      <c r="G507" s="25"/>
      <c r="H507" s="25"/>
      <c r="I507" s="25"/>
      <c r="J507" s="25"/>
      <c r="K507" s="25"/>
    </row>
    <row r="508" spans="1:11" ht="15" customHeight="1" x14ac:dyDescent="0.2">
      <c r="A508" s="25" t="s">
        <v>1064</v>
      </c>
      <c r="B508" s="25"/>
      <c r="C508" s="25"/>
      <c r="D508" s="25"/>
      <c r="E508" s="25"/>
      <c r="F508" s="25"/>
      <c r="G508" s="25"/>
      <c r="H508" s="25"/>
      <c r="I508" s="25"/>
      <c r="J508" s="25"/>
      <c r="K508" s="25"/>
    </row>
  </sheetData>
  <mergeCells count="5">
    <mergeCell ref="A1:K1"/>
    <mergeCell ref="A2:K2"/>
    <mergeCell ref="A506:K506"/>
    <mergeCell ref="A507:K507"/>
    <mergeCell ref="A508:K508"/>
  </mergeCells>
  <conditionalFormatting sqref="H5:H504">
    <cfRule type="cellIs" dxfId="25" priority="2" operator="equal">
      <formula>"EOL"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29"/>
  <sheetViews>
    <sheetView showGridLines="0" zoomScale="140" zoomScaleNormal="14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U5" sqref="U5"/>
    </sheetView>
  </sheetViews>
  <sheetFormatPr baseColWidth="10" defaultColWidth="8.6640625" defaultRowHeight="15" x14ac:dyDescent="0.2"/>
  <cols>
    <col min="1" max="1" width="8.6640625" bestFit="1" customWidth="1"/>
    <col min="2" max="2" width="21.5" bestFit="1" customWidth="1"/>
    <col min="3" max="3" width="9.83203125" bestFit="1" customWidth="1"/>
    <col min="4" max="4" width="9.33203125" bestFit="1" customWidth="1"/>
    <col min="5" max="5" width="10.1640625" bestFit="1" customWidth="1"/>
    <col min="6" max="6" width="9.83203125" bestFit="1" customWidth="1"/>
    <col min="7" max="7" width="9.6640625" bestFit="1" customWidth="1"/>
    <col min="8" max="8" width="10" bestFit="1" customWidth="1"/>
    <col min="9" max="9" width="9.83203125" bestFit="1" customWidth="1"/>
    <col min="10" max="10" width="9.6640625" bestFit="1" customWidth="1"/>
    <col min="11" max="13" width="9.83203125" bestFit="1" customWidth="1"/>
    <col min="14" max="14" width="10" bestFit="1" customWidth="1"/>
    <col min="15" max="15" width="9.83203125" bestFit="1" customWidth="1"/>
    <col min="16" max="16" width="9.33203125" bestFit="1" customWidth="1"/>
    <col min="17" max="17" width="10.1640625" bestFit="1" customWidth="1"/>
    <col min="18" max="18" width="9.83203125" bestFit="1" customWidth="1"/>
    <col min="19" max="19" width="9.6640625" bestFit="1" customWidth="1"/>
    <col min="20" max="20" width="10" bestFit="1" customWidth="1"/>
    <col min="21" max="21" width="9.83203125" bestFit="1" customWidth="1"/>
    <col min="22" max="22" width="9.6640625" bestFit="1" customWidth="1"/>
    <col min="23" max="25" width="9.83203125" bestFit="1" customWidth="1"/>
    <col min="26" max="26" width="10" bestFit="1" customWidth="1"/>
    <col min="27" max="27" width="15" bestFit="1" customWidth="1"/>
  </cols>
  <sheetData>
    <row r="1" spans="1:27" ht="31.5" customHeight="1" x14ac:dyDescent="0.2">
      <c r="A1" s="41" t="s">
        <v>1065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ht="18" customHeight="1" x14ac:dyDescent="0.2">
      <c r="A2" s="32" t="s">
        <v>1066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4" spans="1:27" ht="24" customHeight="1" x14ac:dyDescent="0.2">
      <c r="A4" s="2" t="s">
        <v>28</v>
      </c>
      <c r="B4" s="2" t="s">
        <v>29</v>
      </c>
      <c r="C4" s="2" t="s">
        <v>1067</v>
      </c>
      <c r="D4" s="2" t="s">
        <v>1068</v>
      </c>
      <c r="E4" s="2" t="s">
        <v>1069</v>
      </c>
      <c r="F4" s="2" t="s">
        <v>1070</v>
      </c>
      <c r="G4" s="2" t="s">
        <v>1071</v>
      </c>
      <c r="H4" s="2" t="s">
        <v>1072</v>
      </c>
      <c r="I4" s="2" t="s">
        <v>1073</v>
      </c>
      <c r="J4" s="2" t="s">
        <v>1074</v>
      </c>
      <c r="K4" s="2" t="s">
        <v>1075</v>
      </c>
      <c r="L4" s="2" t="s">
        <v>1076</v>
      </c>
      <c r="M4" s="2" t="s">
        <v>1077</v>
      </c>
      <c r="N4" s="2" t="s">
        <v>1078</v>
      </c>
      <c r="O4" s="2" t="s">
        <v>1079</v>
      </c>
      <c r="P4" s="2" t="s">
        <v>1080</v>
      </c>
      <c r="Q4" s="2" t="s">
        <v>1081</v>
      </c>
      <c r="R4" s="2" t="s">
        <v>1082</v>
      </c>
      <c r="S4" s="2" t="s">
        <v>1083</v>
      </c>
      <c r="T4" s="2" t="s">
        <v>1084</v>
      </c>
      <c r="U4" s="2" t="s">
        <v>1085</v>
      </c>
      <c r="V4" s="2" t="s">
        <v>1086</v>
      </c>
      <c r="W4" s="2" t="s">
        <v>1087</v>
      </c>
      <c r="X4" s="2" t="s">
        <v>1088</v>
      </c>
      <c r="Y4" s="2" t="s">
        <v>1089</v>
      </c>
      <c r="Z4" s="2" t="s">
        <v>1090</v>
      </c>
      <c r="AA4" s="2" t="s">
        <v>1091</v>
      </c>
    </row>
    <row r="5" spans="1:27" ht="15" customHeight="1" x14ac:dyDescent="0.2">
      <c r="A5" s="3" t="s">
        <v>39</v>
      </c>
      <c r="B5" s="1" t="s">
        <v>40</v>
      </c>
      <c r="C5" s="3">
        <v>82</v>
      </c>
      <c r="D5" s="3">
        <v>89</v>
      </c>
      <c r="E5" s="3">
        <v>71</v>
      </c>
      <c r="F5" s="3">
        <v>96</v>
      </c>
      <c r="G5" s="3">
        <v>90</v>
      </c>
      <c r="H5" s="3">
        <v>106</v>
      </c>
      <c r="I5" s="3">
        <v>164</v>
      </c>
      <c r="J5" s="3">
        <v>64</v>
      </c>
      <c r="K5" s="3">
        <v>75</v>
      </c>
      <c r="L5" s="3">
        <v>85</v>
      </c>
      <c r="M5" s="3">
        <v>87</v>
      </c>
      <c r="N5" s="3">
        <v>88</v>
      </c>
      <c r="O5" s="3">
        <v>99</v>
      </c>
      <c r="P5" s="3">
        <v>72</v>
      </c>
      <c r="Q5" s="3">
        <v>84</v>
      </c>
      <c r="R5" s="3">
        <v>87</v>
      </c>
      <c r="S5" s="3">
        <v>102</v>
      </c>
      <c r="T5" s="3">
        <v>148</v>
      </c>
      <c r="U5" s="3">
        <v>166</v>
      </c>
      <c r="V5" s="3">
        <v>60</v>
      </c>
      <c r="W5" s="3">
        <v>61</v>
      </c>
      <c r="X5" s="3">
        <v>85</v>
      </c>
      <c r="Y5" s="3">
        <v>98</v>
      </c>
      <c r="Z5" s="3">
        <v>79</v>
      </c>
      <c r="AA5" s="5">
        <f t="shared" ref="AA5:AA68" si="0">SUM(O5:Z5)</f>
        <v>1141</v>
      </c>
    </row>
    <row r="6" spans="1:27" ht="15" customHeight="1" x14ac:dyDescent="0.2">
      <c r="A6" s="3" t="s">
        <v>45</v>
      </c>
      <c r="B6" s="1" t="s">
        <v>46</v>
      </c>
      <c r="C6" s="3">
        <v>48</v>
      </c>
      <c r="D6" s="3">
        <v>49</v>
      </c>
      <c r="E6" s="3">
        <v>43</v>
      </c>
      <c r="F6" s="3">
        <v>46</v>
      </c>
      <c r="G6" s="3">
        <v>56</v>
      </c>
      <c r="H6" s="3">
        <v>71</v>
      </c>
      <c r="I6" s="3">
        <v>92</v>
      </c>
      <c r="J6" s="3">
        <v>34</v>
      </c>
      <c r="K6" s="3">
        <v>47</v>
      </c>
      <c r="L6" s="3">
        <v>44</v>
      </c>
      <c r="M6" s="3">
        <v>43</v>
      </c>
      <c r="N6" s="3">
        <v>53</v>
      </c>
      <c r="O6" s="3">
        <v>42</v>
      </c>
      <c r="P6" s="3">
        <v>49</v>
      </c>
      <c r="Q6" s="3">
        <v>40</v>
      </c>
      <c r="R6" s="3">
        <v>53</v>
      </c>
      <c r="S6" s="3">
        <v>60</v>
      </c>
      <c r="T6" s="3">
        <v>74</v>
      </c>
      <c r="U6" s="3">
        <v>89</v>
      </c>
      <c r="V6" s="3">
        <v>37</v>
      </c>
      <c r="W6" s="3">
        <v>35</v>
      </c>
      <c r="X6" s="3">
        <v>48</v>
      </c>
      <c r="Y6" s="3">
        <v>49</v>
      </c>
      <c r="Z6" s="3">
        <v>58</v>
      </c>
      <c r="AA6" s="5">
        <f t="shared" si="0"/>
        <v>634</v>
      </c>
    </row>
    <row r="7" spans="1:27" ht="15" customHeight="1" x14ac:dyDescent="0.2">
      <c r="A7" s="3" t="s">
        <v>49</v>
      </c>
      <c r="B7" s="1" t="s">
        <v>50</v>
      </c>
      <c r="C7" s="3">
        <v>106</v>
      </c>
      <c r="D7" s="3">
        <v>102</v>
      </c>
      <c r="E7" s="3">
        <v>91</v>
      </c>
      <c r="F7" s="3">
        <v>98</v>
      </c>
      <c r="G7" s="3">
        <v>129</v>
      </c>
      <c r="H7" s="3">
        <v>148</v>
      </c>
      <c r="I7" s="3">
        <v>206</v>
      </c>
      <c r="J7" s="3">
        <v>82</v>
      </c>
      <c r="K7" s="3">
        <v>82</v>
      </c>
      <c r="L7" s="3">
        <v>89</v>
      </c>
      <c r="M7" s="3">
        <v>109</v>
      </c>
      <c r="N7" s="3">
        <v>111</v>
      </c>
      <c r="O7" s="3">
        <v>109</v>
      </c>
      <c r="P7" s="3">
        <v>107</v>
      </c>
      <c r="Q7" s="3">
        <v>98</v>
      </c>
      <c r="R7" s="3">
        <v>110</v>
      </c>
      <c r="S7" s="3">
        <v>130</v>
      </c>
      <c r="T7" s="3">
        <v>174</v>
      </c>
      <c r="U7" s="3">
        <v>217</v>
      </c>
      <c r="V7" s="3">
        <v>87</v>
      </c>
      <c r="W7" s="3">
        <v>95</v>
      </c>
      <c r="X7" s="3">
        <v>92</v>
      </c>
      <c r="Y7" s="3">
        <v>109</v>
      </c>
      <c r="Z7" s="3">
        <v>122</v>
      </c>
      <c r="AA7" s="5">
        <f t="shared" si="0"/>
        <v>1450</v>
      </c>
    </row>
    <row r="8" spans="1:27" ht="15" customHeight="1" x14ac:dyDescent="0.2">
      <c r="A8" s="3" t="s">
        <v>51</v>
      </c>
      <c r="B8" s="1" t="s">
        <v>52</v>
      </c>
      <c r="C8" s="3">
        <v>57</v>
      </c>
      <c r="D8" s="3">
        <v>59</v>
      </c>
      <c r="E8" s="3">
        <v>49</v>
      </c>
      <c r="F8" s="3">
        <v>55</v>
      </c>
      <c r="G8" s="3">
        <v>65</v>
      </c>
      <c r="H8" s="3">
        <v>87</v>
      </c>
      <c r="I8" s="3">
        <v>98</v>
      </c>
      <c r="J8" s="3">
        <v>45</v>
      </c>
      <c r="K8" s="3">
        <v>45</v>
      </c>
      <c r="L8" s="3">
        <v>59</v>
      </c>
      <c r="M8" s="3">
        <v>67</v>
      </c>
      <c r="N8" s="3">
        <v>64</v>
      </c>
      <c r="O8" s="3">
        <v>61</v>
      </c>
      <c r="P8" s="3">
        <v>52</v>
      </c>
      <c r="Q8" s="3">
        <v>53</v>
      </c>
      <c r="R8" s="3">
        <v>61</v>
      </c>
      <c r="S8" s="3">
        <v>75</v>
      </c>
      <c r="T8" s="3">
        <v>92</v>
      </c>
      <c r="U8" s="3">
        <v>132</v>
      </c>
      <c r="V8" s="3">
        <v>37</v>
      </c>
      <c r="W8" s="3">
        <v>54</v>
      </c>
      <c r="X8" s="3">
        <v>69</v>
      </c>
      <c r="Y8" s="3">
        <v>53</v>
      </c>
      <c r="Z8" s="3">
        <v>65</v>
      </c>
      <c r="AA8" s="5">
        <f t="shared" si="0"/>
        <v>804</v>
      </c>
    </row>
    <row r="9" spans="1:27" ht="15" customHeight="1" x14ac:dyDescent="0.2">
      <c r="A9" s="3" t="s">
        <v>53</v>
      </c>
      <c r="B9" s="1" t="s">
        <v>54</v>
      </c>
      <c r="C9" s="3">
        <v>29</v>
      </c>
      <c r="D9" s="3">
        <v>29</v>
      </c>
      <c r="E9" s="3">
        <v>30</v>
      </c>
      <c r="F9" s="3">
        <v>29</v>
      </c>
      <c r="G9" s="3">
        <v>36</v>
      </c>
      <c r="H9" s="3">
        <v>47</v>
      </c>
      <c r="I9" s="3">
        <v>59</v>
      </c>
      <c r="J9" s="3">
        <v>22</v>
      </c>
      <c r="K9" s="3">
        <v>26</v>
      </c>
      <c r="L9" s="3">
        <v>26</v>
      </c>
      <c r="M9" s="3">
        <v>31</v>
      </c>
      <c r="N9" s="3">
        <v>32</v>
      </c>
      <c r="O9" s="3">
        <v>30</v>
      </c>
      <c r="P9" s="3">
        <v>30</v>
      </c>
      <c r="Q9" s="3">
        <v>29</v>
      </c>
      <c r="R9" s="3">
        <v>30</v>
      </c>
      <c r="S9" s="3">
        <v>35</v>
      </c>
      <c r="T9" s="3">
        <v>49</v>
      </c>
      <c r="U9" s="3">
        <v>61</v>
      </c>
      <c r="V9" s="3">
        <v>26</v>
      </c>
      <c r="W9" s="3">
        <v>29</v>
      </c>
      <c r="X9" s="3">
        <v>32</v>
      </c>
      <c r="Y9" s="3">
        <v>35</v>
      </c>
      <c r="Z9" s="3">
        <v>36</v>
      </c>
      <c r="AA9" s="5">
        <f t="shared" si="0"/>
        <v>422</v>
      </c>
    </row>
    <row r="10" spans="1:27" ht="15" customHeight="1" x14ac:dyDescent="0.2">
      <c r="A10" s="3" t="s">
        <v>56</v>
      </c>
      <c r="B10" s="1" t="s">
        <v>57</v>
      </c>
      <c r="C10" s="3">
        <v>53</v>
      </c>
      <c r="D10" s="3">
        <v>49</v>
      </c>
      <c r="E10" s="3">
        <v>46</v>
      </c>
      <c r="F10" s="3">
        <v>66</v>
      </c>
      <c r="G10" s="3">
        <v>71</v>
      </c>
      <c r="H10" s="3">
        <v>79</v>
      </c>
      <c r="I10" s="3">
        <v>100</v>
      </c>
      <c r="J10" s="3">
        <v>49</v>
      </c>
      <c r="K10" s="3">
        <v>52</v>
      </c>
      <c r="L10" s="3">
        <v>55</v>
      </c>
      <c r="M10" s="3">
        <v>66</v>
      </c>
      <c r="N10" s="3">
        <v>63</v>
      </c>
      <c r="O10" s="3">
        <v>59</v>
      </c>
      <c r="P10" s="3">
        <v>63</v>
      </c>
      <c r="Q10" s="3">
        <v>60</v>
      </c>
      <c r="R10" s="3">
        <v>60</v>
      </c>
      <c r="S10" s="3">
        <v>66</v>
      </c>
      <c r="T10" s="3">
        <v>96</v>
      </c>
      <c r="U10" s="3">
        <v>107</v>
      </c>
      <c r="V10" s="3">
        <v>35</v>
      </c>
      <c r="W10" s="3">
        <v>57</v>
      </c>
      <c r="X10" s="3">
        <v>51</v>
      </c>
      <c r="Y10" s="3">
        <v>63</v>
      </c>
      <c r="Z10" s="3">
        <v>77</v>
      </c>
      <c r="AA10" s="5">
        <f t="shared" si="0"/>
        <v>794</v>
      </c>
    </row>
    <row r="11" spans="1:27" ht="15" customHeight="1" x14ac:dyDescent="0.2">
      <c r="A11" s="3" t="s">
        <v>58</v>
      </c>
      <c r="B11" s="1" t="s">
        <v>59</v>
      </c>
      <c r="C11" s="3">
        <v>33</v>
      </c>
      <c r="D11" s="3">
        <v>31</v>
      </c>
      <c r="E11" s="3">
        <v>21</v>
      </c>
      <c r="F11" s="3">
        <v>27</v>
      </c>
      <c r="G11" s="3">
        <v>30</v>
      </c>
      <c r="H11" s="3">
        <v>45</v>
      </c>
      <c r="I11" s="3">
        <v>60</v>
      </c>
      <c r="J11" s="3">
        <v>24</v>
      </c>
      <c r="K11" s="3">
        <v>23</v>
      </c>
      <c r="L11" s="3">
        <v>30</v>
      </c>
      <c r="M11" s="3">
        <v>30</v>
      </c>
      <c r="N11" s="3">
        <v>30</v>
      </c>
      <c r="O11" s="3">
        <v>31</v>
      </c>
      <c r="P11" s="3">
        <v>28</v>
      </c>
      <c r="Q11" s="3">
        <v>31</v>
      </c>
      <c r="R11" s="3">
        <v>31</v>
      </c>
      <c r="S11" s="3">
        <v>34</v>
      </c>
      <c r="T11" s="3">
        <v>44</v>
      </c>
      <c r="U11" s="3">
        <v>69</v>
      </c>
      <c r="V11" s="3">
        <v>26</v>
      </c>
      <c r="W11" s="3">
        <v>22</v>
      </c>
      <c r="X11" s="3">
        <v>31</v>
      </c>
      <c r="Y11" s="3">
        <v>36</v>
      </c>
      <c r="Z11" s="3">
        <v>30</v>
      </c>
      <c r="AA11" s="5">
        <f t="shared" si="0"/>
        <v>413</v>
      </c>
    </row>
    <row r="12" spans="1:27" ht="15" customHeight="1" x14ac:dyDescent="0.2">
      <c r="A12" s="3" t="s">
        <v>60</v>
      </c>
      <c r="B12" s="1" t="s">
        <v>61</v>
      </c>
      <c r="C12" s="3">
        <v>117</v>
      </c>
      <c r="D12" s="3">
        <v>116</v>
      </c>
      <c r="E12" s="3">
        <v>98</v>
      </c>
      <c r="F12" s="3">
        <v>127</v>
      </c>
      <c r="G12" s="3">
        <v>145</v>
      </c>
      <c r="H12" s="3">
        <v>195</v>
      </c>
      <c r="I12" s="3">
        <v>240</v>
      </c>
      <c r="J12" s="3">
        <v>99</v>
      </c>
      <c r="K12" s="3">
        <v>99</v>
      </c>
      <c r="L12" s="3">
        <v>122</v>
      </c>
      <c r="M12" s="3">
        <v>120</v>
      </c>
      <c r="N12" s="3">
        <v>140</v>
      </c>
      <c r="O12" s="3">
        <v>87</v>
      </c>
      <c r="P12" s="3">
        <v>122</v>
      </c>
      <c r="Q12" s="3">
        <v>106</v>
      </c>
      <c r="R12" s="3">
        <v>114</v>
      </c>
      <c r="S12" s="3">
        <v>158</v>
      </c>
      <c r="T12" s="3">
        <v>208</v>
      </c>
      <c r="U12" s="3">
        <v>254</v>
      </c>
      <c r="V12" s="3">
        <v>86</v>
      </c>
      <c r="W12" s="3">
        <v>94</v>
      </c>
      <c r="X12" s="3">
        <v>120</v>
      </c>
      <c r="Y12" s="3">
        <v>136</v>
      </c>
      <c r="Z12" s="3">
        <v>144</v>
      </c>
      <c r="AA12" s="5">
        <f t="shared" si="0"/>
        <v>1629</v>
      </c>
    </row>
    <row r="13" spans="1:27" ht="15" customHeight="1" x14ac:dyDescent="0.2">
      <c r="A13" s="3" t="s">
        <v>62</v>
      </c>
      <c r="B13" s="1" t="s">
        <v>63</v>
      </c>
      <c r="C13" s="3">
        <v>41</v>
      </c>
      <c r="D13" s="3">
        <v>42</v>
      </c>
      <c r="E13" s="3">
        <v>40</v>
      </c>
      <c r="F13" s="3">
        <v>40</v>
      </c>
      <c r="G13" s="3">
        <v>44</v>
      </c>
      <c r="H13" s="3">
        <v>64</v>
      </c>
      <c r="I13" s="3">
        <v>79</v>
      </c>
      <c r="J13" s="3">
        <v>31</v>
      </c>
      <c r="K13" s="3">
        <v>33</v>
      </c>
      <c r="L13" s="3">
        <v>37</v>
      </c>
      <c r="M13" s="3">
        <v>41</v>
      </c>
      <c r="N13" s="3">
        <v>40</v>
      </c>
      <c r="O13" s="3">
        <v>38</v>
      </c>
      <c r="P13" s="3">
        <v>45</v>
      </c>
      <c r="Q13" s="3">
        <v>42</v>
      </c>
      <c r="R13" s="3">
        <v>49</v>
      </c>
      <c r="S13" s="3">
        <v>58</v>
      </c>
      <c r="T13" s="3">
        <v>63</v>
      </c>
      <c r="U13" s="3">
        <v>82</v>
      </c>
      <c r="V13" s="3">
        <v>32</v>
      </c>
      <c r="W13" s="3">
        <v>43</v>
      </c>
      <c r="X13" s="3">
        <v>43</v>
      </c>
      <c r="Y13" s="3">
        <v>45</v>
      </c>
      <c r="Z13" s="3">
        <v>53</v>
      </c>
      <c r="AA13" s="5">
        <f t="shared" si="0"/>
        <v>593</v>
      </c>
    </row>
    <row r="14" spans="1:27" ht="15" customHeight="1" x14ac:dyDescent="0.2">
      <c r="A14" s="3" t="s">
        <v>64</v>
      </c>
      <c r="B14" s="1" t="s">
        <v>65</v>
      </c>
      <c r="C14" s="3">
        <v>202</v>
      </c>
      <c r="D14" s="3">
        <v>193</v>
      </c>
      <c r="E14" s="3">
        <v>178</v>
      </c>
      <c r="F14" s="3">
        <v>188</v>
      </c>
      <c r="G14" s="3">
        <v>212</v>
      </c>
      <c r="H14" s="3">
        <v>301</v>
      </c>
      <c r="I14" s="3">
        <v>371</v>
      </c>
      <c r="J14" s="3">
        <v>168</v>
      </c>
      <c r="K14" s="3">
        <v>178</v>
      </c>
      <c r="L14" s="3">
        <v>158</v>
      </c>
      <c r="M14" s="3">
        <v>189</v>
      </c>
      <c r="N14" s="3">
        <v>211</v>
      </c>
      <c r="O14" s="3">
        <v>199</v>
      </c>
      <c r="P14" s="3">
        <v>220</v>
      </c>
      <c r="Q14" s="3">
        <v>213</v>
      </c>
      <c r="R14" s="3">
        <v>192</v>
      </c>
      <c r="S14" s="3">
        <v>220</v>
      </c>
      <c r="T14" s="3">
        <v>296</v>
      </c>
      <c r="U14" s="3">
        <v>435</v>
      </c>
      <c r="V14" s="3">
        <v>164</v>
      </c>
      <c r="W14" s="3">
        <v>177</v>
      </c>
      <c r="X14" s="3">
        <v>227</v>
      </c>
      <c r="Y14" s="3">
        <v>198</v>
      </c>
      <c r="Z14" s="3">
        <v>217</v>
      </c>
      <c r="AA14" s="5">
        <f t="shared" si="0"/>
        <v>2758</v>
      </c>
    </row>
    <row r="15" spans="1:27" ht="15" customHeight="1" x14ac:dyDescent="0.2">
      <c r="A15" s="3" t="s">
        <v>66</v>
      </c>
      <c r="B15" s="1" t="s">
        <v>67</v>
      </c>
      <c r="C15" s="3">
        <v>77</v>
      </c>
      <c r="D15" s="3">
        <v>86</v>
      </c>
      <c r="E15" s="3">
        <v>83</v>
      </c>
      <c r="F15" s="3">
        <v>77</v>
      </c>
      <c r="G15" s="3">
        <v>88</v>
      </c>
      <c r="H15" s="3">
        <v>88</v>
      </c>
      <c r="I15" s="3">
        <v>134</v>
      </c>
      <c r="J15" s="3">
        <v>61</v>
      </c>
      <c r="K15" s="3">
        <v>65</v>
      </c>
      <c r="L15" s="3">
        <v>83</v>
      </c>
      <c r="M15" s="3">
        <v>83</v>
      </c>
      <c r="N15" s="3">
        <v>84</v>
      </c>
      <c r="O15" s="3">
        <v>78</v>
      </c>
      <c r="P15" s="3">
        <v>98</v>
      </c>
      <c r="Q15" s="3">
        <v>71</v>
      </c>
      <c r="R15" s="3">
        <v>71</v>
      </c>
      <c r="S15" s="3">
        <v>84</v>
      </c>
      <c r="T15" s="3">
        <v>122</v>
      </c>
      <c r="U15" s="3">
        <v>172</v>
      </c>
      <c r="V15" s="3">
        <v>63</v>
      </c>
      <c r="W15" s="3">
        <v>75</v>
      </c>
      <c r="X15" s="3">
        <v>85</v>
      </c>
      <c r="Y15" s="3">
        <v>84</v>
      </c>
      <c r="Z15" s="3">
        <v>91</v>
      </c>
      <c r="AA15" s="5">
        <f t="shared" si="0"/>
        <v>1094</v>
      </c>
    </row>
    <row r="16" spans="1:27" ht="15" customHeight="1" x14ac:dyDescent="0.2">
      <c r="A16" s="3" t="s">
        <v>68</v>
      </c>
      <c r="B16" s="1" t="s">
        <v>69</v>
      </c>
      <c r="C16" s="3">
        <v>7</v>
      </c>
      <c r="D16" s="3">
        <v>9</v>
      </c>
      <c r="E16" s="3">
        <v>8</v>
      </c>
      <c r="F16" s="3">
        <v>8</v>
      </c>
      <c r="G16" s="3">
        <v>9</v>
      </c>
      <c r="H16" s="3">
        <v>11</v>
      </c>
      <c r="I16" s="3">
        <v>16</v>
      </c>
      <c r="J16" s="3">
        <v>6</v>
      </c>
      <c r="K16" s="3">
        <v>8</v>
      </c>
      <c r="L16" s="3">
        <v>8</v>
      </c>
      <c r="M16" s="3">
        <v>10</v>
      </c>
      <c r="N16" s="3">
        <v>10</v>
      </c>
      <c r="O16" s="3">
        <v>8</v>
      </c>
      <c r="P16" s="3">
        <v>8</v>
      </c>
      <c r="Q16" s="3">
        <v>10</v>
      </c>
      <c r="R16" s="3">
        <v>10</v>
      </c>
      <c r="S16" s="3">
        <v>11</v>
      </c>
      <c r="T16" s="3">
        <v>14</v>
      </c>
      <c r="U16" s="3">
        <v>16</v>
      </c>
      <c r="V16" s="3">
        <v>6</v>
      </c>
      <c r="W16" s="3">
        <v>8</v>
      </c>
      <c r="X16" s="3">
        <v>8</v>
      </c>
      <c r="Y16" s="3">
        <v>11</v>
      </c>
      <c r="Z16" s="3">
        <v>11</v>
      </c>
      <c r="AA16" s="5">
        <f t="shared" si="0"/>
        <v>121</v>
      </c>
    </row>
    <row r="17" spans="1:27" ht="15" customHeight="1" x14ac:dyDescent="0.2">
      <c r="A17" s="3" t="s">
        <v>70</v>
      </c>
      <c r="B17" s="1" t="s">
        <v>71</v>
      </c>
      <c r="C17" s="3">
        <v>17</v>
      </c>
      <c r="D17" s="3">
        <v>19</v>
      </c>
      <c r="E17" s="3">
        <v>16</v>
      </c>
      <c r="F17" s="3">
        <v>15</v>
      </c>
      <c r="G17" s="3">
        <v>11</v>
      </c>
      <c r="H17" s="3">
        <v>12</v>
      </c>
      <c r="I17" s="3">
        <v>12</v>
      </c>
      <c r="J17" s="3">
        <v>9</v>
      </c>
      <c r="K17" s="3">
        <v>8</v>
      </c>
      <c r="L17" s="3">
        <v>14</v>
      </c>
      <c r="M17" s="3">
        <v>9</v>
      </c>
      <c r="N17" s="3">
        <v>10</v>
      </c>
      <c r="O17" s="3">
        <v>10</v>
      </c>
      <c r="P17" s="3">
        <v>8</v>
      </c>
      <c r="Q17" s="3">
        <v>6</v>
      </c>
      <c r="R17" s="3">
        <v>5</v>
      </c>
      <c r="S17" s="3">
        <v>6</v>
      </c>
      <c r="T17" s="3">
        <v>3</v>
      </c>
      <c r="U17" s="3">
        <v>4</v>
      </c>
      <c r="V17" s="3">
        <v>3</v>
      </c>
      <c r="W17" s="3">
        <v>1</v>
      </c>
      <c r="X17" s="3">
        <v>1</v>
      </c>
      <c r="Y17" s="3">
        <v>1</v>
      </c>
      <c r="Z17" s="3">
        <v>1</v>
      </c>
      <c r="AA17" s="5">
        <f t="shared" si="0"/>
        <v>49</v>
      </c>
    </row>
    <row r="18" spans="1:27" ht="15" customHeight="1" x14ac:dyDescent="0.2">
      <c r="A18" s="3" t="s">
        <v>73</v>
      </c>
      <c r="B18" s="1" t="s">
        <v>74</v>
      </c>
      <c r="C18" s="3">
        <v>35</v>
      </c>
      <c r="D18" s="3">
        <v>49</v>
      </c>
      <c r="E18" s="3">
        <v>45</v>
      </c>
      <c r="F18" s="3">
        <v>31</v>
      </c>
      <c r="G18" s="3">
        <v>39</v>
      </c>
      <c r="H18" s="3">
        <v>39</v>
      </c>
      <c r="I18" s="3">
        <v>28</v>
      </c>
      <c r="J18" s="3">
        <v>34</v>
      </c>
      <c r="K18" s="3">
        <v>25</v>
      </c>
      <c r="L18" s="3">
        <v>23</v>
      </c>
      <c r="M18" s="3">
        <v>19</v>
      </c>
      <c r="N18" s="3">
        <v>24</v>
      </c>
      <c r="O18" s="3">
        <v>24</v>
      </c>
      <c r="P18" s="3">
        <v>12</v>
      </c>
      <c r="Q18" s="3">
        <v>17</v>
      </c>
      <c r="R18" s="3">
        <v>12</v>
      </c>
      <c r="S18" s="3">
        <v>9</v>
      </c>
      <c r="T18" s="3">
        <v>9</v>
      </c>
      <c r="U18" s="3">
        <v>10</v>
      </c>
      <c r="V18" s="3">
        <v>8</v>
      </c>
      <c r="W18" s="3">
        <v>3</v>
      </c>
      <c r="X18" s="3">
        <v>2</v>
      </c>
      <c r="Y18" s="3">
        <v>3</v>
      </c>
      <c r="Z18" s="3">
        <v>2</v>
      </c>
      <c r="AA18" s="5">
        <f t="shared" si="0"/>
        <v>111</v>
      </c>
    </row>
    <row r="19" spans="1:27" ht="15" customHeight="1" x14ac:dyDescent="0.2">
      <c r="A19" s="3" t="s">
        <v>75</v>
      </c>
      <c r="B19" s="1" t="s">
        <v>76</v>
      </c>
      <c r="C19" s="3">
        <v>48</v>
      </c>
      <c r="D19" s="3">
        <v>41</v>
      </c>
      <c r="E19" s="3">
        <v>39</v>
      </c>
      <c r="F19" s="3">
        <v>39</v>
      </c>
      <c r="G19" s="3">
        <v>51</v>
      </c>
      <c r="H19" s="3">
        <v>63</v>
      </c>
      <c r="I19" s="3">
        <v>71</v>
      </c>
      <c r="J19" s="3">
        <v>32</v>
      </c>
      <c r="K19" s="3">
        <v>40</v>
      </c>
      <c r="L19" s="3">
        <v>43</v>
      </c>
      <c r="M19" s="3">
        <v>46</v>
      </c>
      <c r="N19" s="3">
        <v>50</v>
      </c>
      <c r="O19" s="3">
        <v>43</v>
      </c>
      <c r="P19" s="3">
        <v>43</v>
      </c>
      <c r="Q19" s="3">
        <v>44</v>
      </c>
      <c r="R19" s="3">
        <v>45</v>
      </c>
      <c r="S19" s="3">
        <v>46</v>
      </c>
      <c r="T19" s="3">
        <v>76</v>
      </c>
      <c r="U19" s="3">
        <v>80</v>
      </c>
      <c r="V19" s="3">
        <v>30</v>
      </c>
      <c r="W19" s="3">
        <v>40</v>
      </c>
      <c r="X19" s="3">
        <v>51</v>
      </c>
      <c r="Y19" s="3">
        <v>43</v>
      </c>
      <c r="Z19" s="3">
        <v>59</v>
      </c>
      <c r="AA19" s="5">
        <f t="shared" si="0"/>
        <v>600</v>
      </c>
    </row>
    <row r="20" spans="1:27" ht="15" customHeight="1" x14ac:dyDescent="0.2">
      <c r="A20" s="3" t="s">
        <v>77</v>
      </c>
      <c r="B20" s="1" t="s">
        <v>78</v>
      </c>
      <c r="C20" s="3">
        <v>106</v>
      </c>
      <c r="D20" s="3">
        <v>105</v>
      </c>
      <c r="E20" s="3">
        <v>75</v>
      </c>
      <c r="F20" s="3">
        <v>119</v>
      </c>
      <c r="G20" s="3">
        <v>111</v>
      </c>
      <c r="H20" s="3">
        <v>165</v>
      </c>
      <c r="I20" s="3">
        <v>188</v>
      </c>
      <c r="J20" s="3">
        <v>79</v>
      </c>
      <c r="K20" s="3">
        <v>98</v>
      </c>
      <c r="L20" s="3">
        <v>97</v>
      </c>
      <c r="M20" s="3">
        <v>106</v>
      </c>
      <c r="N20" s="3">
        <v>123</v>
      </c>
      <c r="O20" s="3">
        <v>121</v>
      </c>
      <c r="P20" s="3">
        <v>95</v>
      </c>
      <c r="Q20" s="3">
        <v>102</v>
      </c>
      <c r="R20" s="3">
        <v>100</v>
      </c>
      <c r="S20" s="3">
        <v>116</v>
      </c>
      <c r="T20" s="3">
        <v>139</v>
      </c>
      <c r="U20" s="3">
        <v>162</v>
      </c>
      <c r="V20" s="3">
        <v>66</v>
      </c>
      <c r="W20" s="3">
        <v>79</v>
      </c>
      <c r="X20" s="3">
        <v>102</v>
      </c>
      <c r="Y20" s="3">
        <v>106</v>
      </c>
      <c r="Z20" s="3">
        <v>126</v>
      </c>
      <c r="AA20" s="5">
        <f t="shared" si="0"/>
        <v>1314</v>
      </c>
    </row>
    <row r="21" spans="1:27" ht="15" customHeight="1" x14ac:dyDescent="0.2">
      <c r="A21" s="3" t="s">
        <v>79</v>
      </c>
      <c r="B21" s="1" t="s">
        <v>80</v>
      </c>
      <c r="C21" s="3">
        <v>32</v>
      </c>
      <c r="D21" s="3">
        <v>32</v>
      </c>
      <c r="E21" s="3">
        <v>29</v>
      </c>
      <c r="F21" s="3">
        <v>30</v>
      </c>
      <c r="G21" s="3">
        <v>29</v>
      </c>
      <c r="H21" s="3">
        <v>48</v>
      </c>
      <c r="I21" s="3">
        <v>66</v>
      </c>
      <c r="J21" s="3">
        <v>23</v>
      </c>
      <c r="K21" s="3">
        <v>31</v>
      </c>
      <c r="L21" s="3">
        <v>30</v>
      </c>
      <c r="M21" s="3">
        <v>31</v>
      </c>
      <c r="N21" s="3">
        <v>38</v>
      </c>
      <c r="O21" s="3">
        <v>24</v>
      </c>
      <c r="P21" s="3">
        <v>29</v>
      </c>
      <c r="Q21" s="3">
        <v>27</v>
      </c>
      <c r="R21" s="3">
        <v>28</v>
      </c>
      <c r="S21" s="3">
        <v>37</v>
      </c>
      <c r="T21" s="3">
        <v>52</v>
      </c>
      <c r="U21" s="3">
        <v>72</v>
      </c>
      <c r="V21" s="3">
        <v>24</v>
      </c>
      <c r="W21" s="3">
        <v>30</v>
      </c>
      <c r="X21" s="3">
        <v>39</v>
      </c>
      <c r="Y21" s="3">
        <v>30</v>
      </c>
      <c r="Z21" s="3">
        <v>38</v>
      </c>
      <c r="AA21" s="5">
        <f t="shared" si="0"/>
        <v>430</v>
      </c>
    </row>
    <row r="22" spans="1:27" ht="15" customHeight="1" x14ac:dyDescent="0.2">
      <c r="A22" s="3" t="s">
        <v>81</v>
      </c>
      <c r="B22" s="1" t="s">
        <v>82</v>
      </c>
      <c r="C22" s="3">
        <v>114</v>
      </c>
      <c r="D22" s="3">
        <v>110</v>
      </c>
      <c r="E22" s="3">
        <v>110</v>
      </c>
      <c r="F22" s="3">
        <v>131</v>
      </c>
      <c r="G22" s="3">
        <v>142</v>
      </c>
      <c r="H22" s="3">
        <v>179</v>
      </c>
      <c r="I22" s="3">
        <v>236</v>
      </c>
      <c r="J22" s="3">
        <v>91</v>
      </c>
      <c r="K22" s="3">
        <v>107</v>
      </c>
      <c r="L22" s="3">
        <v>128</v>
      </c>
      <c r="M22" s="3">
        <v>123</v>
      </c>
      <c r="N22" s="3">
        <v>105</v>
      </c>
      <c r="O22" s="3">
        <v>137</v>
      </c>
      <c r="P22" s="3">
        <v>135</v>
      </c>
      <c r="Q22" s="3">
        <v>135</v>
      </c>
      <c r="R22" s="3">
        <v>129</v>
      </c>
      <c r="S22" s="3">
        <v>158</v>
      </c>
      <c r="T22" s="3">
        <v>210</v>
      </c>
      <c r="U22" s="3">
        <v>231</v>
      </c>
      <c r="V22" s="3">
        <v>92</v>
      </c>
      <c r="W22" s="3">
        <v>118</v>
      </c>
      <c r="X22" s="3">
        <v>115</v>
      </c>
      <c r="Y22" s="3">
        <v>121</v>
      </c>
      <c r="Z22" s="3">
        <v>158</v>
      </c>
      <c r="AA22" s="5">
        <f t="shared" si="0"/>
        <v>1739</v>
      </c>
    </row>
    <row r="23" spans="1:27" ht="15" customHeight="1" x14ac:dyDescent="0.2">
      <c r="A23" s="3" t="s">
        <v>83</v>
      </c>
      <c r="B23" s="1" t="s">
        <v>84</v>
      </c>
      <c r="C23" s="3">
        <v>43</v>
      </c>
      <c r="D23" s="3">
        <v>37</v>
      </c>
      <c r="E23" s="3">
        <v>37</v>
      </c>
      <c r="F23" s="3">
        <v>36</v>
      </c>
      <c r="G23" s="3">
        <v>48</v>
      </c>
      <c r="H23" s="3">
        <v>68</v>
      </c>
      <c r="I23" s="3">
        <v>70</v>
      </c>
      <c r="J23" s="3">
        <v>31</v>
      </c>
      <c r="K23" s="3">
        <v>34</v>
      </c>
      <c r="L23" s="3">
        <v>42</v>
      </c>
      <c r="M23" s="3">
        <v>36</v>
      </c>
      <c r="N23" s="3">
        <v>43</v>
      </c>
      <c r="O23" s="3">
        <v>46</v>
      </c>
      <c r="P23" s="3">
        <v>43</v>
      </c>
      <c r="Q23" s="3">
        <v>34</v>
      </c>
      <c r="R23" s="3">
        <v>46</v>
      </c>
      <c r="S23" s="3">
        <v>44</v>
      </c>
      <c r="T23" s="3">
        <v>59</v>
      </c>
      <c r="U23" s="3">
        <v>94</v>
      </c>
      <c r="V23" s="3">
        <v>36</v>
      </c>
      <c r="W23" s="3">
        <v>34</v>
      </c>
      <c r="X23" s="3">
        <v>52</v>
      </c>
      <c r="Y23" s="3">
        <v>52</v>
      </c>
      <c r="Z23" s="3">
        <v>37</v>
      </c>
      <c r="AA23" s="5">
        <f t="shared" si="0"/>
        <v>577</v>
      </c>
    </row>
    <row r="24" spans="1:27" ht="15" customHeight="1" x14ac:dyDescent="0.2">
      <c r="A24" s="3" t="s">
        <v>85</v>
      </c>
      <c r="B24" s="1" t="s">
        <v>86</v>
      </c>
      <c r="C24" s="3">
        <v>34</v>
      </c>
      <c r="D24" s="3">
        <v>34</v>
      </c>
      <c r="E24" s="3">
        <v>30</v>
      </c>
      <c r="F24" s="3">
        <v>34</v>
      </c>
      <c r="G24" s="3">
        <v>41</v>
      </c>
      <c r="H24" s="3">
        <v>54</v>
      </c>
      <c r="I24" s="3">
        <v>55</v>
      </c>
      <c r="J24" s="3">
        <v>23</v>
      </c>
      <c r="K24" s="3">
        <v>29</v>
      </c>
      <c r="L24" s="3">
        <v>34</v>
      </c>
      <c r="M24" s="3">
        <v>37</v>
      </c>
      <c r="N24" s="3">
        <v>32</v>
      </c>
      <c r="O24" s="3">
        <v>34</v>
      </c>
      <c r="P24" s="3">
        <v>34</v>
      </c>
      <c r="Q24" s="3">
        <v>34</v>
      </c>
      <c r="R24" s="3">
        <v>34</v>
      </c>
      <c r="S24" s="3">
        <v>43</v>
      </c>
      <c r="T24" s="3">
        <v>59</v>
      </c>
      <c r="U24" s="3">
        <v>73</v>
      </c>
      <c r="V24" s="3">
        <v>28</v>
      </c>
      <c r="W24" s="3">
        <v>24</v>
      </c>
      <c r="X24" s="3">
        <v>32</v>
      </c>
      <c r="Y24" s="3">
        <v>38</v>
      </c>
      <c r="Z24" s="3">
        <v>39</v>
      </c>
      <c r="AA24" s="5">
        <f t="shared" si="0"/>
        <v>472</v>
      </c>
    </row>
    <row r="25" spans="1:27" ht="15" customHeight="1" x14ac:dyDescent="0.2">
      <c r="A25" s="3" t="s">
        <v>87</v>
      </c>
      <c r="B25" s="1" t="s">
        <v>88</v>
      </c>
      <c r="C25" s="3">
        <v>64</v>
      </c>
      <c r="D25" s="3">
        <v>58</v>
      </c>
      <c r="E25" s="3">
        <v>60</v>
      </c>
      <c r="F25" s="3">
        <v>57</v>
      </c>
      <c r="G25" s="3">
        <v>63</v>
      </c>
      <c r="H25" s="3">
        <v>88</v>
      </c>
      <c r="I25" s="3">
        <v>115</v>
      </c>
      <c r="J25" s="3">
        <v>45</v>
      </c>
      <c r="K25" s="3">
        <v>56</v>
      </c>
      <c r="L25" s="3">
        <v>48</v>
      </c>
      <c r="M25" s="3">
        <v>67</v>
      </c>
      <c r="N25" s="3">
        <v>73</v>
      </c>
      <c r="O25" s="3">
        <v>57</v>
      </c>
      <c r="P25" s="3">
        <v>54</v>
      </c>
      <c r="Q25" s="3">
        <v>58</v>
      </c>
      <c r="R25" s="3">
        <v>54</v>
      </c>
      <c r="S25" s="3">
        <v>81</v>
      </c>
      <c r="T25" s="3">
        <v>85</v>
      </c>
      <c r="U25" s="3">
        <v>129</v>
      </c>
      <c r="V25" s="3">
        <v>47</v>
      </c>
      <c r="W25" s="3">
        <v>61</v>
      </c>
      <c r="X25" s="3">
        <v>68</v>
      </c>
      <c r="Y25" s="3">
        <v>59</v>
      </c>
      <c r="Z25" s="3">
        <v>60</v>
      </c>
      <c r="AA25" s="5">
        <f t="shared" si="0"/>
        <v>813</v>
      </c>
    </row>
    <row r="26" spans="1:27" ht="15" customHeight="1" x14ac:dyDescent="0.2">
      <c r="A26" s="3" t="s">
        <v>89</v>
      </c>
      <c r="B26" s="1" t="s">
        <v>90</v>
      </c>
      <c r="C26" s="3">
        <v>93</v>
      </c>
      <c r="D26" s="3">
        <v>94</v>
      </c>
      <c r="E26" s="3">
        <v>102</v>
      </c>
      <c r="F26" s="3">
        <v>97</v>
      </c>
      <c r="G26" s="3">
        <v>124</v>
      </c>
      <c r="H26" s="3">
        <v>143</v>
      </c>
      <c r="I26" s="3">
        <v>178</v>
      </c>
      <c r="J26" s="3">
        <v>85</v>
      </c>
      <c r="K26" s="3">
        <v>92</v>
      </c>
      <c r="L26" s="3">
        <v>92</v>
      </c>
      <c r="M26" s="3">
        <v>112</v>
      </c>
      <c r="N26" s="3">
        <v>114</v>
      </c>
      <c r="O26" s="3">
        <v>113</v>
      </c>
      <c r="P26" s="3">
        <v>100</v>
      </c>
      <c r="Q26" s="3">
        <v>106</v>
      </c>
      <c r="R26" s="3">
        <v>96</v>
      </c>
      <c r="S26" s="3">
        <v>108</v>
      </c>
      <c r="T26" s="3">
        <v>153</v>
      </c>
      <c r="U26" s="3">
        <v>221</v>
      </c>
      <c r="V26" s="3">
        <v>89</v>
      </c>
      <c r="W26" s="3">
        <v>95</v>
      </c>
      <c r="X26" s="3">
        <v>111</v>
      </c>
      <c r="Y26" s="3">
        <v>127</v>
      </c>
      <c r="Z26" s="3">
        <v>98</v>
      </c>
      <c r="AA26" s="5">
        <f t="shared" si="0"/>
        <v>1417</v>
      </c>
    </row>
    <row r="27" spans="1:27" ht="15" customHeight="1" x14ac:dyDescent="0.2">
      <c r="A27" s="3" t="s">
        <v>91</v>
      </c>
      <c r="B27" s="1" t="s">
        <v>92</v>
      </c>
      <c r="C27" s="3">
        <v>23</v>
      </c>
      <c r="D27" s="3">
        <v>22</v>
      </c>
      <c r="E27" s="3">
        <v>23</v>
      </c>
      <c r="F27" s="3">
        <v>24</v>
      </c>
      <c r="G27" s="3">
        <v>32</v>
      </c>
      <c r="H27" s="3">
        <v>33</v>
      </c>
      <c r="I27" s="3">
        <v>42</v>
      </c>
      <c r="J27" s="3">
        <v>17</v>
      </c>
      <c r="K27" s="3">
        <v>22</v>
      </c>
      <c r="L27" s="3">
        <v>24</v>
      </c>
      <c r="M27" s="3">
        <v>27</v>
      </c>
      <c r="N27" s="3">
        <v>24</v>
      </c>
      <c r="O27" s="3">
        <v>29</v>
      </c>
      <c r="P27" s="3">
        <v>29</v>
      </c>
      <c r="Q27" s="3">
        <v>26</v>
      </c>
      <c r="R27" s="3">
        <v>28</v>
      </c>
      <c r="S27" s="3">
        <v>27</v>
      </c>
      <c r="T27" s="3">
        <v>35</v>
      </c>
      <c r="U27" s="3">
        <v>56</v>
      </c>
      <c r="V27" s="3">
        <v>19</v>
      </c>
      <c r="W27" s="3">
        <v>22</v>
      </c>
      <c r="X27" s="3">
        <v>21</v>
      </c>
      <c r="Y27" s="3">
        <v>27</v>
      </c>
      <c r="Z27" s="3">
        <v>31</v>
      </c>
      <c r="AA27" s="5">
        <f t="shared" si="0"/>
        <v>350</v>
      </c>
    </row>
    <row r="28" spans="1:27" ht="15" customHeight="1" x14ac:dyDescent="0.2">
      <c r="A28" s="3" t="s">
        <v>93</v>
      </c>
      <c r="B28" s="1" t="s">
        <v>94</v>
      </c>
      <c r="C28" s="3">
        <v>109</v>
      </c>
      <c r="D28" s="3">
        <v>107</v>
      </c>
      <c r="E28" s="3">
        <v>117</v>
      </c>
      <c r="F28" s="3">
        <v>123</v>
      </c>
      <c r="G28" s="3">
        <v>134</v>
      </c>
      <c r="H28" s="3">
        <v>172</v>
      </c>
      <c r="I28" s="3">
        <v>211</v>
      </c>
      <c r="J28" s="3">
        <v>83</v>
      </c>
      <c r="K28" s="3">
        <v>97</v>
      </c>
      <c r="L28" s="3">
        <v>113</v>
      </c>
      <c r="M28" s="3">
        <v>124</v>
      </c>
      <c r="N28" s="3">
        <v>122</v>
      </c>
      <c r="O28" s="3">
        <v>111</v>
      </c>
      <c r="P28" s="3">
        <v>129</v>
      </c>
      <c r="Q28" s="3">
        <v>114</v>
      </c>
      <c r="R28" s="3">
        <v>126</v>
      </c>
      <c r="S28" s="3">
        <v>144</v>
      </c>
      <c r="T28" s="3">
        <v>166</v>
      </c>
      <c r="U28" s="3">
        <v>243</v>
      </c>
      <c r="V28" s="3">
        <v>92</v>
      </c>
      <c r="W28" s="3">
        <v>104</v>
      </c>
      <c r="X28" s="3">
        <v>111</v>
      </c>
      <c r="Y28" s="3">
        <v>128</v>
      </c>
      <c r="Z28" s="3">
        <v>120</v>
      </c>
      <c r="AA28" s="5">
        <f t="shared" si="0"/>
        <v>1588</v>
      </c>
    </row>
    <row r="29" spans="1:27" ht="15" customHeight="1" x14ac:dyDescent="0.2">
      <c r="A29" s="3" t="s">
        <v>95</v>
      </c>
      <c r="B29" s="1" t="s">
        <v>96</v>
      </c>
      <c r="C29" s="3">
        <v>63</v>
      </c>
      <c r="D29" s="3">
        <v>92</v>
      </c>
      <c r="E29" s="3">
        <v>67</v>
      </c>
      <c r="F29" s="3">
        <v>67</v>
      </c>
      <c r="G29" s="3">
        <v>76</v>
      </c>
      <c r="H29" s="3">
        <v>113</v>
      </c>
      <c r="I29" s="3">
        <v>142</v>
      </c>
      <c r="J29" s="3">
        <v>52</v>
      </c>
      <c r="K29" s="3">
        <v>59</v>
      </c>
      <c r="L29" s="3">
        <v>78</v>
      </c>
      <c r="M29" s="3">
        <v>84</v>
      </c>
      <c r="N29" s="3">
        <v>71</v>
      </c>
      <c r="O29" s="3">
        <v>80</v>
      </c>
      <c r="P29" s="3">
        <v>92</v>
      </c>
      <c r="Q29" s="3">
        <v>72</v>
      </c>
      <c r="R29" s="3">
        <v>76</v>
      </c>
      <c r="S29" s="3">
        <v>97</v>
      </c>
      <c r="T29" s="3">
        <v>114</v>
      </c>
      <c r="U29" s="3">
        <v>148</v>
      </c>
      <c r="V29" s="3">
        <v>70</v>
      </c>
      <c r="W29" s="3">
        <v>68</v>
      </c>
      <c r="X29" s="3">
        <v>81</v>
      </c>
      <c r="Y29" s="3">
        <v>75</v>
      </c>
      <c r="Z29" s="3">
        <v>92</v>
      </c>
      <c r="AA29" s="5">
        <f t="shared" si="0"/>
        <v>1065</v>
      </c>
    </row>
    <row r="30" spans="1:27" ht="15" customHeight="1" x14ac:dyDescent="0.2">
      <c r="A30" s="3" t="s">
        <v>97</v>
      </c>
      <c r="B30" s="1" t="s">
        <v>98</v>
      </c>
      <c r="C30" s="3">
        <v>498</v>
      </c>
      <c r="D30" s="3">
        <v>449</v>
      </c>
      <c r="E30" s="3">
        <v>496</v>
      </c>
      <c r="F30" s="3">
        <v>539</v>
      </c>
      <c r="G30" s="3">
        <v>541</v>
      </c>
      <c r="H30" s="3">
        <v>774</v>
      </c>
      <c r="I30" s="3">
        <v>1042</v>
      </c>
      <c r="J30" s="3">
        <v>407</v>
      </c>
      <c r="K30" s="3">
        <v>421</v>
      </c>
      <c r="L30" s="3">
        <v>508</v>
      </c>
      <c r="M30" s="3">
        <v>499</v>
      </c>
      <c r="N30" s="3">
        <v>589</v>
      </c>
      <c r="O30" s="3">
        <v>492</v>
      </c>
      <c r="P30" s="3">
        <v>438</v>
      </c>
      <c r="Q30" s="3">
        <v>456</v>
      </c>
      <c r="R30" s="3">
        <v>564</v>
      </c>
      <c r="S30" s="3">
        <v>501</v>
      </c>
      <c r="T30" s="3">
        <v>903</v>
      </c>
      <c r="U30" s="3">
        <v>934</v>
      </c>
      <c r="V30" s="3">
        <v>378</v>
      </c>
      <c r="W30" s="3">
        <v>446</v>
      </c>
      <c r="X30" s="3">
        <v>491</v>
      </c>
      <c r="Y30" s="3">
        <v>586</v>
      </c>
      <c r="Z30" s="3">
        <v>619</v>
      </c>
      <c r="AA30" s="5">
        <f t="shared" si="0"/>
        <v>6808</v>
      </c>
    </row>
    <row r="31" spans="1:27" ht="15" customHeight="1" x14ac:dyDescent="0.2">
      <c r="A31" s="3" t="s">
        <v>99</v>
      </c>
      <c r="B31" s="1" t="s">
        <v>100</v>
      </c>
      <c r="C31" s="3">
        <v>65</v>
      </c>
      <c r="D31" s="3">
        <v>70</v>
      </c>
      <c r="E31" s="3">
        <v>65</v>
      </c>
      <c r="F31" s="3">
        <v>69</v>
      </c>
      <c r="G31" s="3">
        <v>82</v>
      </c>
      <c r="H31" s="3">
        <v>108</v>
      </c>
      <c r="I31" s="3">
        <v>146</v>
      </c>
      <c r="J31" s="3">
        <v>59</v>
      </c>
      <c r="K31" s="3">
        <v>42</v>
      </c>
      <c r="L31" s="3">
        <v>71</v>
      </c>
      <c r="M31" s="3">
        <v>75</v>
      </c>
      <c r="N31" s="3">
        <v>71</v>
      </c>
      <c r="O31" s="3">
        <v>69</v>
      </c>
      <c r="P31" s="3">
        <v>69</v>
      </c>
      <c r="Q31" s="3">
        <v>69</v>
      </c>
      <c r="R31" s="3">
        <v>75</v>
      </c>
      <c r="S31" s="3">
        <v>84</v>
      </c>
      <c r="T31" s="3">
        <v>103</v>
      </c>
      <c r="U31" s="3">
        <v>152</v>
      </c>
      <c r="V31" s="3">
        <v>46</v>
      </c>
      <c r="W31" s="3">
        <v>65</v>
      </c>
      <c r="X31" s="3">
        <v>78</v>
      </c>
      <c r="Y31" s="3">
        <v>68</v>
      </c>
      <c r="Z31" s="3">
        <v>75</v>
      </c>
      <c r="AA31" s="5">
        <f t="shared" si="0"/>
        <v>953</v>
      </c>
    </row>
    <row r="32" spans="1:27" ht="15" customHeight="1" x14ac:dyDescent="0.2">
      <c r="A32" s="3" t="s">
        <v>101</v>
      </c>
      <c r="B32" s="1" t="s">
        <v>102</v>
      </c>
      <c r="C32" s="3">
        <v>279</v>
      </c>
      <c r="D32" s="3">
        <v>245</v>
      </c>
      <c r="E32" s="3">
        <v>204</v>
      </c>
      <c r="F32" s="3">
        <v>261</v>
      </c>
      <c r="G32" s="3">
        <v>331</v>
      </c>
      <c r="H32" s="3">
        <v>411</v>
      </c>
      <c r="I32" s="3">
        <v>536</v>
      </c>
      <c r="J32" s="3">
        <v>202</v>
      </c>
      <c r="K32" s="3">
        <v>259</v>
      </c>
      <c r="L32" s="3">
        <v>287</v>
      </c>
      <c r="M32" s="3">
        <v>315</v>
      </c>
      <c r="N32" s="3">
        <v>272</v>
      </c>
      <c r="O32" s="3">
        <v>383</v>
      </c>
      <c r="P32" s="3">
        <v>288</v>
      </c>
      <c r="Q32" s="3">
        <v>238</v>
      </c>
      <c r="R32" s="3">
        <v>312</v>
      </c>
      <c r="S32" s="3">
        <v>303</v>
      </c>
      <c r="T32" s="3">
        <v>401</v>
      </c>
      <c r="U32" s="3">
        <v>635</v>
      </c>
      <c r="V32" s="3">
        <v>232</v>
      </c>
      <c r="W32" s="3">
        <v>216</v>
      </c>
      <c r="X32" s="3">
        <v>334</v>
      </c>
      <c r="Y32" s="3">
        <v>229</v>
      </c>
      <c r="Z32" s="3">
        <v>350</v>
      </c>
      <c r="AA32" s="5">
        <f t="shared" si="0"/>
        <v>3921</v>
      </c>
    </row>
    <row r="33" spans="1:27" ht="15" customHeight="1" x14ac:dyDescent="0.2">
      <c r="A33" s="3" t="s">
        <v>103</v>
      </c>
      <c r="B33" s="1" t="s">
        <v>104</v>
      </c>
      <c r="C33" s="3">
        <v>109</v>
      </c>
      <c r="D33" s="3">
        <v>116</v>
      </c>
      <c r="E33" s="3">
        <v>112</v>
      </c>
      <c r="F33" s="3">
        <v>101</v>
      </c>
      <c r="G33" s="3">
        <v>113</v>
      </c>
      <c r="H33" s="3">
        <v>137</v>
      </c>
      <c r="I33" s="3">
        <v>220</v>
      </c>
      <c r="J33" s="3">
        <v>84</v>
      </c>
      <c r="K33" s="3">
        <v>97</v>
      </c>
      <c r="L33" s="3">
        <v>102</v>
      </c>
      <c r="M33" s="3">
        <v>114</v>
      </c>
      <c r="N33" s="3">
        <v>97</v>
      </c>
      <c r="O33" s="3">
        <v>121</v>
      </c>
      <c r="P33" s="3">
        <v>100</v>
      </c>
      <c r="Q33" s="3">
        <v>108</v>
      </c>
      <c r="R33" s="3">
        <v>106</v>
      </c>
      <c r="S33" s="3">
        <v>126</v>
      </c>
      <c r="T33" s="3">
        <v>165</v>
      </c>
      <c r="U33" s="3">
        <v>251</v>
      </c>
      <c r="V33" s="3">
        <v>97</v>
      </c>
      <c r="W33" s="3">
        <v>93</v>
      </c>
      <c r="X33" s="3">
        <v>137</v>
      </c>
      <c r="Y33" s="3">
        <v>123</v>
      </c>
      <c r="Z33" s="3">
        <v>133</v>
      </c>
      <c r="AA33" s="5">
        <f t="shared" si="0"/>
        <v>1560</v>
      </c>
    </row>
    <row r="34" spans="1:27" ht="15" customHeight="1" x14ac:dyDescent="0.2">
      <c r="A34" s="3" t="s">
        <v>105</v>
      </c>
      <c r="B34" s="1" t="s">
        <v>106</v>
      </c>
      <c r="C34" s="3">
        <v>19</v>
      </c>
      <c r="D34" s="3">
        <v>12</v>
      </c>
      <c r="E34" s="3">
        <v>9</v>
      </c>
      <c r="F34" s="3">
        <v>15</v>
      </c>
      <c r="G34" s="3">
        <v>12</v>
      </c>
      <c r="H34" s="3">
        <v>12</v>
      </c>
      <c r="I34" s="3">
        <v>11</v>
      </c>
      <c r="J34" s="3">
        <v>7</v>
      </c>
      <c r="K34" s="3">
        <v>11</v>
      </c>
      <c r="L34" s="3">
        <v>8</v>
      </c>
      <c r="M34" s="3">
        <v>9</v>
      </c>
      <c r="N34" s="3">
        <v>5</v>
      </c>
      <c r="O34" s="3">
        <v>7</v>
      </c>
      <c r="P34" s="3">
        <v>7</v>
      </c>
      <c r="Q34" s="3">
        <v>5</v>
      </c>
      <c r="R34" s="3">
        <v>6</v>
      </c>
      <c r="S34" s="3">
        <v>4</v>
      </c>
      <c r="T34" s="3">
        <v>4</v>
      </c>
      <c r="U34" s="3">
        <v>2</v>
      </c>
      <c r="V34" s="3">
        <v>3</v>
      </c>
      <c r="W34" s="3">
        <v>1</v>
      </c>
      <c r="X34" s="3">
        <v>1</v>
      </c>
      <c r="Y34" s="3">
        <v>1</v>
      </c>
      <c r="Z34" s="3">
        <v>1</v>
      </c>
      <c r="AA34" s="5">
        <f t="shared" si="0"/>
        <v>42</v>
      </c>
    </row>
    <row r="35" spans="1:27" ht="15" customHeight="1" x14ac:dyDescent="0.2">
      <c r="A35" s="3" t="s">
        <v>107</v>
      </c>
      <c r="B35" s="1" t="s">
        <v>108</v>
      </c>
      <c r="C35" s="3">
        <v>64</v>
      </c>
      <c r="D35" s="3">
        <v>71</v>
      </c>
      <c r="E35" s="3">
        <v>71</v>
      </c>
      <c r="F35" s="3">
        <v>70</v>
      </c>
      <c r="G35" s="3">
        <v>82</v>
      </c>
      <c r="H35" s="3">
        <v>118</v>
      </c>
      <c r="I35" s="3">
        <v>141</v>
      </c>
      <c r="J35" s="3">
        <v>66</v>
      </c>
      <c r="K35" s="3">
        <v>63</v>
      </c>
      <c r="L35" s="3">
        <v>61</v>
      </c>
      <c r="M35" s="3">
        <v>72</v>
      </c>
      <c r="N35" s="3">
        <v>78</v>
      </c>
      <c r="O35" s="3">
        <v>70</v>
      </c>
      <c r="P35" s="3">
        <v>80</v>
      </c>
      <c r="Q35" s="3">
        <v>69</v>
      </c>
      <c r="R35" s="3">
        <v>74</v>
      </c>
      <c r="S35" s="3">
        <v>93</v>
      </c>
      <c r="T35" s="3">
        <v>129</v>
      </c>
      <c r="U35" s="3">
        <v>133</v>
      </c>
      <c r="V35" s="3">
        <v>53</v>
      </c>
      <c r="W35" s="3">
        <v>68</v>
      </c>
      <c r="X35" s="3">
        <v>83</v>
      </c>
      <c r="Y35" s="3">
        <v>93</v>
      </c>
      <c r="Z35" s="3">
        <v>81</v>
      </c>
      <c r="AA35" s="5">
        <f t="shared" si="0"/>
        <v>1026</v>
      </c>
    </row>
    <row r="36" spans="1:27" ht="15" customHeight="1" x14ac:dyDescent="0.2">
      <c r="A36" s="3" t="s">
        <v>109</v>
      </c>
      <c r="B36" s="1" t="s">
        <v>110</v>
      </c>
      <c r="C36" s="3">
        <v>55</v>
      </c>
      <c r="D36" s="3">
        <v>47</v>
      </c>
      <c r="E36" s="3">
        <v>54</v>
      </c>
      <c r="F36" s="3">
        <v>40</v>
      </c>
      <c r="G36" s="3">
        <v>52</v>
      </c>
      <c r="H36" s="3">
        <v>80</v>
      </c>
      <c r="I36" s="3">
        <v>98</v>
      </c>
      <c r="J36" s="3">
        <v>38</v>
      </c>
      <c r="K36" s="3">
        <v>43</v>
      </c>
      <c r="L36" s="3">
        <v>46</v>
      </c>
      <c r="M36" s="3">
        <v>54</v>
      </c>
      <c r="N36" s="3">
        <v>59</v>
      </c>
      <c r="O36" s="3">
        <v>38</v>
      </c>
      <c r="P36" s="3">
        <v>53</v>
      </c>
      <c r="Q36" s="3">
        <v>54</v>
      </c>
      <c r="R36" s="3">
        <v>56</v>
      </c>
      <c r="S36" s="3">
        <v>53</v>
      </c>
      <c r="T36" s="3">
        <v>74</v>
      </c>
      <c r="U36" s="3">
        <v>101</v>
      </c>
      <c r="V36" s="3">
        <v>35</v>
      </c>
      <c r="W36" s="3">
        <v>36</v>
      </c>
      <c r="X36" s="3">
        <v>58</v>
      </c>
      <c r="Y36" s="3">
        <v>59</v>
      </c>
      <c r="Z36" s="3">
        <v>58</v>
      </c>
      <c r="AA36" s="5">
        <f t="shared" si="0"/>
        <v>675</v>
      </c>
    </row>
    <row r="37" spans="1:27" ht="15" customHeight="1" x14ac:dyDescent="0.2">
      <c r="A37" s="3" t="s">
        <v>111</v>
      </c>
      <c r="B37" s="1" t="s">
        <v>112</v>
      </c>
      <c r="C37" s="3">
        <v>118</v>
      </c>
      <c r="D37" s="3">
        <v>116</v>
      </c>
      <c r="E37" s="3">
        <v>89</v>
      </c>
      <c r="F37" s="3">
        <v>98</v>
      </c>
      <c r="G37" s="3">
        <v>150</v>
      </c>
      <c r="H37" s="3">
        <v>149</v>
      </c>
      <c r="I37" s="3">
        <v>205</v>
      </c>
      <c r="J37" s="3">
        <v>86</v>
      </c>
      <c r="K37" s="3">
        <v>100</v>
      </c>
      <c r="L37" s="3">
        <v>99</v>
      </c>
      <c r="M37" s="3">
        <v>101</v>
      </c>
      <c r="N37" s="3">
        <v>82</v>
      </c>
      <c r="O37" s="3">
        <v>103</v>
      </c>
      <c r="P37" s="3">
        <v>119</v>
      </c>
      <c r="Q37" s="3">
        <v>98</v>
      </c>
      <c r="R37" s="3">
        <v>117</v>
      </c>
      <c r="S37" s="3">
        <v>130</v>
      </c>
      <c r="T37" s="3">
        <v>179</v>
      </c>
      <c r="U37" s="3">
        <v>218</v>
      </c>
      <c r="V37" s="3">
        <v>83</v>
      </c>
      <c r="W37" s="3">
        <v>90</v>
      </c>
      <c r="X37" s="3">
        <v>106</v>
      </c>
      <c r="Y37" s="3">
        <v>121</v>
      </c>
      <c r="Z37" s="3">
        <v>132</v>
      </c>
      <c r="AA37" s="5">
        <f t="shared" si="0"/>
        <v>1496</v>
      </c>
    </row>
    <row r="38" spans="1:27" ht="15" customHeight="1" x14ac:dyDescent="0.2">
      <c r="A38" s="3" t="s">
        <v>113</v>
      </c>
      <c r="B38" s="1" t="s">
        <v>114</v>
      </c>
      <c r="C38" s="3">
        <v>30</v>
      </c>
      <c r="D38" s="3">
        <v>14</v>
      </c>
      <c r="E38" s="3">
        <v>23</v>
      </c>
      <c r="F38" s="3">
        <v>104</v>
      </c>
      <c r="G38" s="3">
        <v>29</v>
      </c>
      <c r="H38" s="3">
        <v>23</v>
      </c>
      <c r="I38" s="3">
        <v>25</v>
      </c>
      <c r="J38" s="3">
        <v>72</v>
      </c>
      <c r="K38" s="3">
        <v>23</v>
      </c>
      <c r="L38" s="3">
        <v>26</v>
      </c>
      <c r="M38" s="3">
        <v>19</v>
      </c>
      <c r="N38" s="3">
        <v>22</v>
      </c>
      <c r="O38" s="3">
        <v>29</v>
      </c>
      <c r="P38" s="3">
        <v>22</v>
      </c>
      <c r="Q38" s="3">
        <v>144</v>
      </c>
      <c r="R38" s="3">
        <v>31</v>
      </c>
      <c r="S38" s="3">
        <v>26</v>
      </c>
      <c r="T38" s="3">
        <v>17</v>
      </c>
      <c r="U38" s="3">
        <v>30</v>
      </c>
      <c r="V38" s="3">
        <v>55</v>
      </c>
      <c r="W38" s="3">
        <v>13</v>
      </c>
      <c r="X38" s="3">
        <v>66</v>
      </c>
      <c r="Y38" s="3">
        <v>24</v>
      </c>
      <c r="Z38" s="3">
        <v>18</v>
      </c>
      <c r="AA38" s="5">
        <f t="shared" si="0"/>
        <v>475</v>
      </c>
    </row>
    <row r="39" spans="1:27" ht="15" customHeight="1" x14ac:dyDescent="0.2">
      <c r="A39" s="3" t="s">
        <v>115</v>
      </c>
      <c r="B39" s="1" t="s">
        <v>116</v>
      </c>
      <c r="C39" s="3">
        <v>232</v>
      </c>
      <c r="D39" s="3">
        <v>223</v>
      </c>
      <c r="E39" s="3">
        <v>204</v>
      </c>
      <c r="F39" s="3">
        <v>233</v>
      </c>
      <c r="G39" s="3">
        <v>276</v>
      </c>
      <c r="H39" s="3">
        <v>337</v>
      </c>
      <c r="I39" s="3">
        <v>492</v>
      </c>
      <c r="J39" s="3">
        <v>194</v>
      </c>
      <c r="K39" s="3">
        <v>206</v>
      </c>
      <c r="L39" s="3">
        <v>209</v>
      </c>
      <c r="M39" s="3">
        <v>269</v>
      </c>
      <c r="N39" s="3">
        <v>281</v>
      </c>
      <c r="O39" s="3">
        <v>255</v>
      </c>
      <c r="P39" s="3">
        <v>249</v>
      </c>
      <c r="Q39" s="3">
        <v>243</v>
      </c>
      <c r="R39" s="3">
        <v>220</v>
      </c>
      <c r="S39" s="3">
        <v>304</v>
      </c>
      <c r="T39" s="3">
        <v>356</v>
      </c>
      <c r="U39" s="3">
        <v>547</v>
      </c>
      <c r="V39" s="3">
        <v>194</v>
      </c>
      <c r="W39" s="3">
        <v>223</v>
      </c>
      <c r="X39" s="3">
        <v>245</v>
      </c>
      <c r="Y39" s="3">
        <v>280</v>
      </c>
      <c r="Z39" s="3">
        <v>284</v>
      </c>
      <c r="AA39" s="5">
        <f t="shared" si="0"/>
        <v>3400</v>
      </c>
    </row>
    <row r="40" spans="1:27" ht="15" customHeight="1" x14ac:dyDescent="0.2">
      <c r="A40" s="3" t="s">
        <v>117</v>
      </c>
      <c r="B40" s="1" t="s">
        <v>118</v>
      </c>
      <c r="C40" s="3">
        <v>23</v>
      </c>
      <c r="D40" s="3">
        <v>22</v>
      </c>
      <c r="E40" s="3">
        <v>20</v>
      </c>
      <c r="F40" s="3">
        <v>24</v>
      </c>
      <c r="G40" s="3">
        <v>30</v>
      </c>
      <c r="H40" s="3">
        <v>39</v>
      </c>
      <c r="I40" s="3">
        <v>47</v>
      </c>
      <c r="J40" s="3">
        <v>20</v>
      </c>
      <c r="K40" s="3">
        <v>23</v>
      </c>
      <c r="L40" s="3">
        <v>24</v>
      </c>
      <c r="M40" s="3">
        <v>29</v>
      </c>
      <c r="N40" s="3">
        <v>28</v>
      </c>
      <c r="O40" s="3">
        <v>28</v>
      </c>
      <c r="P40" s="3">
        <v>29</v>
      </c>
      <c r="Q40" s="3">
        <v>29</v>
      </c>
      <c r="R40" s="3">
        <v>26</v>
      </c>
      <c r="S40" s="3">
        <v>33</v>
      </c>
      <c r="T40" s="3">
        <v>50</v>
      </c>
      <c r="U40" s="3">
        <v>56</v>
      </c>
      <c r="V40" s="3">
        <v>22</v>
      </c>
      <c r="W40" s="3">
        <v>23</v>
      </c>
      <c r="X40" s="3">
        <v>29</v>
      </c>
      <c r="Y40" s="3">
        <v>24</v>
      </c>
      <c r="Z40" s="3">
        <v>28</v>
      </c>
      <c r="AA40" s="5">
        <f t="shared" si="0"/>
        <v>377</v>
      </c>
    </row>
    <row r="41" spans="1:27" ht="15" customHeight="1" x14ac:dyDescent="0.2">
      <c r="A41" s="3" t="s">
        <v>119</v>
      </c>
      <c r="B41" s="1" t="s">
        <v>120</v>
      </c>
      <c r="C41" s="3">
        <v>100</v>
      </c>
      <c r="D41" s="3">
        <v>92</v>
      </c>
      <c r="E41" s="3">
        <v>99</v>
      </c>
      <c r="F41" s="3">
        <v>99</v>
      </c>
      <c r="G41" s="3">
        <v>147</v>
      </c>
      <c r="H41" s="3">
        <v>147</v>
      </c>
      <c r="I41" s="3">
        <v>179</v>
      </c>
      <c r="J41" s="3">
        <v>82</v>
      </c>
      <c r="K41" s="3">
        <v>87</v>
      </c>
      <c r="L41" s="3">
        <v>105</v>
      </c>
      <c r="M41" s="3">
        <v>110</v>
      </c>
      <c r="N41" s="3">
        <v>115</v>
      </c>
      <c r="O41" s="3">
        <v>97</v>
      </c>
      <c r="P41" s="3">
        <v>129</v>
      </c>
      <c r="Q41" s="3">
        <v>135</v>
      </c>
      <c r="R41" s="3">
        <v>112</v>
      </c>
      <c r="S41" s="3">
        <v>129</v>
      </c>
      <c r="T41" s="3">
        <v>173</v>
      </c>
      <c r="U41" s="3">
        <v>178</v>
      </c>
      <c r="V41" s="3">
        <v>76</v>
      </c>
      <c r="W41" s="3">
        <v>98</v>
      </c>
      <c r="X41" s="3">
        <v>106</v>
      </c>
      <c r="Y41" s="3">
        <v>131</v>
      </c>
      <c r="Z41" s="3">
        <v>125</v>
      </c>
      <c r="AA41" s="5">
        <f t="shared" si="0"/>
        <v>1489</v>
      </c>
    </row>
    <row r="42" spans="1:27" ht="15" customHeight="1" x14ac:dyDescent="0.2">
      <c r="A42" s="3" t="s">
        <v>121</v>
      </c>
      <c r="B42" s="1" t="s">
        <v>122</v>
      </c>
      <c r="C42" s="3">
        <v>30</v>
      </c>
      <c r="D42" s="3">
        <v>34</v>
      </c>
      <c r="E42" s="3">
        <v>29</v>
      </c>
      <c r="F42" s="3">
        <v>30</v>
      </c>
      <c r="G42" s="3">
        <v>33</v>
      </c>
      <c r="H42" s="3">
        <v>38</v>
      </c>
      <c r="I42" s="3">
        <v>52</v>
      </c>
      <c r="J42" s="3">
        <v>18</v>
      </c>
      <c r="K42" s="3">
        <v>27</v>
      </c>
      <c r="L42" s="3">
        <v>27</v>
      </c>
      <c r="M42" s="3">
        <v>28</v>
      </c>
      <c r="N42" s="3">
        <v>28</v>
      </c>
      <c r="O42" s="3">
        <v>34</v>
      </c>
      <c r="P42" s="3">
        <v>28</v>
      </c>
      <c r="Q42" s="3">
        <v>27</v>
      </c>
      <c r="R42" s="3">
        <v>31</v>
      </c>
      <c r="S42" s="3">
        <v>34</v>
      </c>
      <c r="T42" s="3">
        <v>42</v>
      </c>
      <c r="U42" s="3">
        <v>55</v>
      </c>
      <c r="V42" s="3">
        <v>26</v>
      </c>
      <c r="W42" s="3">
        <v>28</v>
      </c>
      <c r="X42" s="3">
        <v>27</v>
      </c>
      <c r="Y42" s="3">
        <v>31</v>
      </c>
      <c r="Z42" s="3">
        <v>27</v>
      </c>
      <c r="AA42" s="5">
        <f t="shared" si="0"/>
        <v>390</v>
      </c>
    </row>
    <row r="43" spans="1:27" ht="15" customHeight="1" x14ac:dyDescent="0.2">
      <c r="A43" s="3" t="s">
        <v>123</v>
      </c>
      <c r="B43" s="1" t="s">
        <v>124</v>
      </c>
      <c r="C43" s="3">
        <v>117</v>
      </c>
      <c r="D43" s="3">
        <v>114</v>
      </c>
      <c r="E43" s="3">
        <v>112</v>
      </c>
      <c r="F43" s="3">
        <v>128</v>
      </c>
      <c r="G43" s="3">
        <v>152</v>
      </c>
      <c r="H43" s="3">
        <v>200</v>
      </c>
      <c r="I43" s="3">
        <v>284</v>
      </c>
      <c r="J43" s="3">
        <v>99</v>
      </c>
      <c r="K43" s="3">
        <v>113</v>
      </c>
      <c r="L43" s="3">
        <v>121</v>
      </c>
      <c r="M43" s="3">
        <v>102</v>
      </c>
      <c r="N43" s="3">
        <v>131</v>
      </c>
      <c r="O43" s="3">
        <v>126</v>
      </c>
      <c r="P43" s="3">
        <v>137</v>
      </c>
      <c r="Q43" s="3">
        <v>121</v>
      </c>
      <c r="R43" s="3">
        <v>135</v>
      </c>
      <c r="S43" s="3">
        <v>157</v>
      </c>
      <c r="T43" s="3">
        <v>184</v>
      </c>
      <c r="U43" s="3">
        <v>264</v>
      </c>
      <c r="V43" s="3">
        <v>92</v>
      </c>
      <c r="W43" s="3">
        <v>109</v>
      </c>
      <c r="X43" s="3">
        <v>125</v>
      </c>
      <c r="Y43" s="3">
        <v>137</v>
      </c>
      <c r="Z43" s="3">
        <v>128</v>
      </c>
      <c r="AA43" s="5">
        <f t="shared" si="0"/>
        <v>1715</v>
      </c>
    </row>
    <row r="44" spans="1:27" ht="15" customHeight="1" x14ac:dyDescent="0.2">
      <c r="A44" s="3" t="s">
        <v>125</v>
      </c>
      <c r="B44" s="1" t="s">
        <v>126</v>
      </c>
      <c r="C44" s="3">
        <v>28</v>
      </c>
      <c r="D44" s="3">
        <v>28</v>
      </c>
      <c r="E44" s="3">
        <v>18</v>
      </c>
      <c r="F44" s="3">
        <v>100</v>
      </c>
      <c r="G44" s="3">
        <v>19</v>
      </c>
      <c r="H44" s="3">
        <v>19</v>
      </c>
      <c r="I44" s="3">
        <v>84</v>
      </c>
      <c r="J44" s="3">
        <v>151</v>
      </c>
      <c r="K44" s="3">
        <v>55</v>
      </c>
      <c r="L44" s="3">
        <v>23</v>
      </c>
      <c r="M44" s="3">
        <v>21</v>
      </c>
      <c r="N44" s="3">
        <v>15</v>
      </c>
      <c r="O44" s="3">
        <v>24</v>
      </c>
      <c r="P44" s="3">
        <v>86</v>
      </c>
      <c r="Q44" s="3">
        <v>26</v>
      </c>
      <c r="R44" s="3">
        <v>18</v>
      </c>
      <c r="S44" s="3">
        <v>20</v>
      </c>
      <c r="T44" s="3">
        <v>85</v>
      </c>
      <c r="U44" s="3">
        <v>92</v>
      </c>
      <c r="V44" s="3">
        <v>22</v>
      </c>
      <c r="W44" s="3">
        <v>20</v>
      </c>
      <c r="X44" s="3">
        <v>25</v>
      </c>
      <c r="Y44" s="3">
        <v>18</v>
      </c>
      <c r="Z44" s="3">
        <v>95</v>
      </c>
      <c r="AA44" s="5">
        <f t="shared" si="0"/>
        <v>531</v>
      </c>
    </row>
    <row r="45" spans="1:27" ht="15" customHeight="1" x14ac:dyDescent="0.2">
      <c r="A45" s="3" t="s">
        <v>127</v>
      </c>
      <c r="B45" s="1" t="s">
        <v>128</v>
      </c>
      <c r="C45" s="3">
        <v>64</v>
      </c>
      <c r="D45" s="3">
        <v>64</v>
      </c>
      <c r="E45" s="3">
        <v>56</v>
      </c>
      <c r="F45" s="3">
        <v>64</v>
      </c>
      <c r="G45" s="3">
        <v>67</v>
      </c>
      <c r="H45" s="3">
        <v>102</v>
      </c>
      <c r="I45" s="3">
        <v>137</v>
      </c>
      <c r="J45" s="3">
        <v>54</v>
      </c>
      <c r="K45" s="3">
        <v>57</v>
      </c>
      <c r="L45" s="3">
        <v>58</v>
      </c>
      <c r="M45" s="3">
        <v>61</v>
      </c>
      <c r="N45" s="3">
        <v>68</v>
      </c>
      <c r="O45" s="3">
        <v>77</v>
      </c>
      <c r="P45" s="3">
        <v>63</v>
      </c>
      <c r="Q45" s="3">
        <v>64</v>
      </c>
      <c r="R45" s="3">
        <v>68</v>
      </c>
      <c r="S45" s="3">
        <v>92</v>
      </c>
      <c r="T45" s="3">
        <v>91</v>
      </c>
      <c r="U45" s="3">
        <v>123</v>
      </c>
      <c r="V45" s="3">
        <v>51</v>
      </c>
      <c r="W45" s="3">
        <v>70</v>
      </c>
      <c r="X45" s="3">
        <v>51</v>
      </c>
      <c r="Y45" s="3">
        <v>76</v>
      </c>
      <c r="Z45" s="3">
        <v>66</v>
      </c>
      <c r="AA45" s="5">
        <f t="shared" si="0"/>
        <v>892</v>
      </c>
    </row>
    <row r="46" spans="1:27" ht="15" customHeight="1" x14ac:dyDescent="0.2">
      <c r="A46" s="3" t="s">
        <v>129</v>
      </c>
      <c r="B46" s="1" t="s">
        <v>130</v>
      </c>
      <c r="C46" s="3">
        <v>130</v>
      </c>
      <c r="D46" s="3">
        <v>104</v>
      </c>
      <c r="E46" s="3">
        <v>123</v>
      </c>
      <c r="F46" s="3">
        <v>133</v>
      </c>
      <c r="G46" s="3">
        <v>146</v>
      </c>
      <c r="H46" s="3">
        <v>179</v>
      </c>
      <c r="I46" s="3">
        <v>235</v>
      </c>
      <c r="J46" s="3">
        <v>91</v>
      </c>
      <c r="K46" s="3">
        <v>111</v>
      </c>
      <c r="L46" s="3">
        <v>107</v>
      </c>
      <c r="M46" s="3">
        <v>130</v>
      </c>
      <c r="N46" s="3">
        <v>129</v>
      </c>
      <c r="O46" s="3">
        <v>119</v>
      </c>
      <c r="P46" s="3">
        <v>116</v>
      </c>
      <c r="Q46" s="3">
        <v>97</v>
      </c>
      <c r="R46" s="3">
        <v>112</v>
      </c>
      <c r="S46" s="3">
        <v>145</v>
      </c>
      <c r="T46" s="3">
        <v>210</v>
      </c>
      <c r="U46" s="3">
        <v>278</v>
      </c>
      <c r="V46" s="3">
        <v>84</v>
      </c>
      <c r="W46" s="3">
        <v>107</v>
      </c>
      <c r="X46" s="3">
        <v>130</v>
      </c>
      <c r="Y46" s="3">
        <v>118</v>
      </c>
      <c r="Z46" s="3">
        <v>110</v>
      </c>
      <c r="AA46" s="5">
        <f t="shared" si="0"/>
        <v>1626</v>
      </c>
    </row>
    <row r="47" spans="1:27" ht="15" customHeight="1" x14ac:dyDescent="0.2">
      <c r="A47" s="3" t="s">
        <v>131</v>
      </c>
      <c r="B47" s="1" t="s">
        <v>132</v>
      </c>
      <c r="C47" s="3">
        <v>23</v>
      </c>
      <c r="D47" s="3">
        <v>22</v>
      </c>
      <c r="E47" s="3">
        <v>26</v>
      </c>
      <c r="F47" s="3">
        <v>21</v>
      </c>
      <c r="G47" s="3">
        <v>27</v>
      </c>
      <c r="H47" s="3">
        <v>36</v>
      </c>
      <c r="I47" s="3">
        <v>49</v>
      </c>
      <c r="J47" s="3">
        <v>20</v>
      </c>
      <c r="K47" s="3">
        <v>21</v>
      </c>
      <c r="L47" s="3">
        <v>28</v>
      </c>
      <c r="M47" s="3">
        <v>25</v>
      </c>
      <c r="N47" s="3">
        <v>23</v>
      </c>
      <c r="O47" s="3">
        <v>24</v>
      </c>
      <c r="P47" s="3">
        <v>27</v>
      </c>
      <c r="Q47" s="3">
        <v>22</v>
      </c>
      <c r="R47" s="3">
        <v>31</v>
      </c>
      <c r="S47" s="3">
        <v>34</v>
      </c>
      <c r="T47" s="3">
        <v>35</v>
      </c>
      <c r="U47" s="3">
        <v>52</v>
      </c>
      <c r="V47" s="3">
        <v>16</v>
      </c>
      <c r="W47" s="3">
        <v>19</v>
      </c>
      <c r="X47" s="3">
        <v>23</v>
      </c>
      <c r="Y47" s="3">
        <v>25</v>
      </c>
      <c r="Z47" s="3">
        <v>29</v>
      </c>
      <c r="AA47" s="5">
        <f t="shared" si="0"/>
        <v>337</v>
      </c>
    </row>
    <row r="48" spans="1:27" ht="15" customHeight="1" x14ac:dyDescent="0.2">
      <c r="A48" s="3" t="s">
        <v>133</v>
      </c>
      <c r="B48" s="1" t="s">
        <v>134</v>
      </c>
      <c r="C48" s="3">
        <v>131</v>
      </c>
      <c r="D48" s="3">
        <v>117</v>
      </c>
      <c r="E48" s="3">
        <v>92</v>
      </c>
      <c r="F48" s="3">
        <v>105</v>
      </c>
      <c r="G48" s="3">
        <v>140</v>
      </c>
      <c r="H48" s="3">
        <v>175</v>
      </c>
      <c r="I48" s="3">
        <v>207</v>
      </c>
      <c r="J48" s="3">
        <v>93</v>
      </c>
      <c r="K48" s="3">
        <v>81</v>
      </c>
      <c r="L48" s="3">
        <v>111</v>
      </c>
      <c r="M48" s="3">
        <v>114</v>
      </c>
      <c r="N48" s="3">
        <v>136</v>
      </c>
      <c r="O48" s="3">
        <v>121</v>
      </c>
      <c r="P48" s="3">
        <v>119</v>
      </c>
      <c r="Q48" s="3">
        <v>103</v>
      </c>
      <c r="R48" s="3">
        <v>122</v>
      </c>
      <c r="S48" s="3">
        <v>129</v>
      </c>
      <c r="T48" s="3">
        <v>191</v>
      </c>
      <c r="U48" s="3">
        <v>268</v>
      </c>
      <c r="V48" s="3">
        <v>87</v>
      </c>
      <c r="W48" s="3">
        <v>111</v>
      </c>
      <c r="X48" s="3">
        <v>124</v>
      </c>
      <c r="Y48" s="3">
        <v>122</v>
      </c>
      <c r="Z48" s="3">
        <v>110</v>
      </c>
      <c r="AA48" s="5">
        <f t="shared" si="0"/>
        <v>1607</v>
      </c>
    </row>
    <row r="49" spans="1:27" ht="15" customHeight="1" x14ac:dyDescent="0.2">
      <c r="A49" s="3" t="s">
        <v>135</v>
      </c>
      <c r="B49" s="1" t="s">
        <v>136</v>
      </c>
      <c r="C49" s="3">
        <v>70</v>
      </c>
      <c r="D49" s="3">
        <v>55</v>
      </c>
      <c r="E49" s="3">
        <v>49</v>
      </c>
      <c r="F49" s="3">
        <v>53</v>
      </c>
      <c r="G49" s="3">
        <v>83</v>
      </c>
      <c r="H49" s="3">
        <v>99</v>
      </c>
      <c r="I49" s="3">
        <v>127</v>
      </c>
      <c r="J49" s="3">
        <v>50</v>
      </c>
      <c r="K49" s="3">
        <v>49</v>
      </c>
      <c r="L49" s="3">
        <v>51</v>
      </c>
      <c r="M49" s="3">
        <v>63</v>
      </c>
      <c r="N49" s="3">
        <v>69</v>
      </c>
      <c r="O49" s="3">
        <v>56</v>
      </c>
      <c r="P49" s="3">
        <v>65</v>
      </c>
      <c r="Q49" s="3">
        <v>47</v>
      </c>
      <c r="R49" s="3">
        <v>56</v>
      </c>
      <c r="S49" s="3">
        <v>74</v>
      </c>
      <c r="T49" s="3">
        <v>90</v>
      </c>
      <c r="U49" s="3">
        <v>106</v>
      </c>
      <c r="V49" s="3">
        <v>52</v>
      </c>
      <c r="W49" s="3">
        <v>65</v>
      </c>
      <c r="X49" s="3">
        <v>59</v>
      </c>
      <c r="Y49" s="3">
        <v>77</v>
      </c>
      <c r="Z49" s="3">
        <v>81</v>
      </c>
      <c r="AA49" s="5">
        <f t="shared" si="0"/>
        <v>828</v>
      </c>
    </row>
    <row r="50" spans="1:27" ht="15" customHeight="1" x14ac:dyDescent="0.2">
      <c r="A50" s="3" t="s">
        <v>137</v>
      </c>
      <c r="B50" s="1" t="s">
        <v>138</v>
      </c>
      <c r="C50" s="3">
        <v>78</v>
      </c>
      <c r="D50" s="3">
        <v>81</v>
      </c>
      <c r="E50" s="3">
        <v>71</v>
      </c>
      <c r="F50" s="3">
        <v>80</v>
      </c>
      <c r="G50" s="3">
        <v>103</v>
      </c>
      <c r="H50" s="3">
        <v>112</v>
      </c>
      <c r="I50" s="3">
        <v>162</v>
      </c>
      <c r="J50" s="3">
        <v>74</v>
      </c>
      <c r="K50" s="3">
        <v>63</v>
      </c>
      <c r="L50" s="3">
        <v>89</v>
      </c>
      <c r="M50" s="3">
        <v>95</v>
      </c>
      <c r="N50" s="3">
        <v>85</v>
      </c>
      <c r="O50" s="3">
        <v>64</v>
      </c>
      <c r="P50" s="3">
        <v>88</v>
      </c>
      <c r="Q50" s="3">
        <v>54</v>
      </c>
      <c r="R50" s="3">
        <v>90</v>
      </c>
      <c r="S50" s="3">
        <v>87</v>
      </c>
      <c r="T50" s="3">
        <v>140</v>
      </c>
      <c r="U50" s="3">
        <v>153</v>
      </c>
      <c r="V50" s="3">
        <v>73</v>
      </c>
      <c r="W50" s="3">
        <v>74</v>
      </c>
      <c r="X50" s="3">
        <v>87</v>
      </c>
      <c r="Y50" s="3">
        <v>83</v>
      </c>
      <c r="Z50" s="3">
        <v>79</v>
      </c>
      <c r="AA50" s="5">
        <f t="shared" si="0"/>
        <v>1072</v>
      </c>
    </row>
    <row r="51" spans="1:27" ht="15" customHeight="1" x14ac:dyDescent="0.2">
      <c r="A51" s="3" t="s">
        <v>139</v>
      </c>
      <c r="B51" s="1" t="s">
        <v>140</v>
      </c>
      <c r="C51" s="3">
        <v>147</v>
      </c>
      <c r="D51" s="3">
        <v>176</v>
      </c>
      <c r="E51" s="3">
        <v>194</v>
      </c>
      <c r="F51" s="3">
        <v>155</v>
      </c>
      <c r="G51" s="3">
        <v>192</v>
      </c>
      <c r="H51" s="3">
        <v>203</v>
      </c>
      <c r="I51" s="3">
        <v>365</v>
      </c>
      <c r="J51" s="3">
        <v>116</v>
      </c>
      <c r="K51" s="3">
        <v>130</v>
      </c>
      <c r="L51" s="3">
        <v>169</v>
      </c>
      <c r="M51" s="3">
        <v>174</v>
      </c>
      <c r="N51" s="3">
        <v>144</v>
      </c>
      <c r="O51" s="3">
        <v>185</v>
      </c>
      <c r="P51" s="3">
        <v>145</v>
      </c>
      <c r="Q51" s="3">
        <v>170</v>
      </c>
      <c r="R51" s="3">
        <v>151</v>
      </c>
      <c r="S51" s="3">
        <v>234</v>
      </c>
      <c r="T51" s="3">
        <v>259</v>
      </c>
      <c r="U51" s="3">
        <v>318</v>
      </c>
      <c r="V51" s="3">
        <v>117</v>
      </c>
      <c r="W51" s="3">
        <v>144</v>
      </c>
      <c r="X51" s="3">
        <v>186</v>
      </c>
      <c r="Y51" s="3">
        <v>204</v>
      </c>
      <c r="Z51" s="3">
        <v>169</v>
      </c>
      <c r="AA51" s="5">
        <f t="shared" si="0"/>
        <v>2282</v>
      </c>
    </row>
    <row r="52" spans="1:27" ht="15" customHeight="1" x14ac:dyDescent="0.2">
      <c r="A52" s="3" t="s">
        <v>141</v>
      </c>
      <c r="B52" s="1" t="s">
        <v>142</v>
      </c>
      <c r="C52" s="3">
        <v>122</v>
      </c>
      <c r="D52" s="3">
        <v>81</v>
      </c>
      <c r="E52" s="3">
        <v>66</v>
      </c>
      <c r="F52" s="3">
        <v>68</v>
      </c>
      <c r="G52" s="3">
        <v>87</v>
      </c>
      <c r="H52" s="3">
        <v>86</v>
      </c>
      <c r="I52" s="3">
        <v>74</v>
      </c>
      <c r="J52" s="3">
        <v>85</v>
      </c>
      <c r="K52" s="3">
        <v>48</v>
      </c>
      <c r="L52" s="3">
        <v>47</v>
      </c>
      <c r="M52" s="3">
        <v>44</v>
      </c>
      <c r="N52" s="3">
        <v>63</v>
      </c>
      <c r="O52" s="3">
        <v>52</v>
      </c>
      <c r="P52" s="3">
        <v>52</v>
      </c>
      <c r="Q52" s="3">
        <v>44</v>
      </c>
      <c r="R52" s="3">
        <v>32</v>
      </c>
      <c r="S52" s="3">
        <v>25</v>
      </c>
      <c r="T52" s="3">
        <v>22</v>
      </c>
      <c r="U52" s="3">
        <v>24</v>
      </c>
      <c r="V52" s="3">
        <v>19</v>
      </c>
      <c r="W52" s="3">
        <v>13</v>
      </c>
      <c r="X52" s="3">
        <v>6</v>
      </c>
      <c r="Y52" s="3">
        <v>6</v>
      </c>
      <c r="Z52" s="3">
        <v>5</v>
      </c>
      <c r="AA52" s="5">
        <f t="shared" si="0"/>
        <v>300</v>
      </c>
    </row>
    <row r="53" spans="1:27" ht="15" customHeight="1" x14ac:dyDescent="0.2">
      <c r="A53" s="3" t="s">
        <v>143</v>
      </c>
      <c r="B53" s="1" t="s">
        <v>144</v>
      </c>
      <c r="C53" s="3">
        <v>46</v>
      </c>
      <c r="D53" s="3">
        <v>50</v>
      </c>
      <c r="E53" s="3">
        <v>44</v>
      </c>
      <c r="F53" s="3">
        <v>47</v>
      </c>
      <c r="G53" s="3">
        <v>55</v>
      </c>
      <c r="H53" s="3">
        <v>81</v>
      </c>
      <c r="I53" s="3">
        <v>91</v>
      </c>
      <c r="J53" s="3">
        <v>36</v>
      </c>
      <c r="K53" s="3">
        <v>40</v>
      </c>
      <c r="L53" s="3">
        <v>47</v>
      </c>
      <c r="M53" s="3">
        <v>53</v>
      </c>
      <c r="N53" s="3">
        <v>51</v>
      </c>
      <c r="O53" s="3">
        <v>51</v>
      </c>
      <c r="P53" s="3">
        <v>48</v>
      </c>
      <c r="Q53" s="3">
        <v>50</v>
      </c>
      <c r="R53" s="3">
        <v>50</v>
      </c>
      <c r="S53" s="3">
        <v>60</v>
      </c>
      <c r="T53" s="3">
        <v>75</v>
      </c>
      <c r="U53" s="3">
        <v>93</v>
      </c>
      <c r="V53" s="3">
        <v>41</v>
      </c>
      <c r="W53" s="3">
        <v>45</v>
      </c>
      <c r="X53" s="3">
        <v>52</v>
      </c>
      <c r="Y53" s="3">
        <v>58</v>
      </c>
      <c r="Z53" s="3">
        <v>57</v>
      </c>
      <c r="AA53" s="5">
        <f t="shared" si="0"/>
        <v>680</v>
      </c>
    </row>
    <row r="54" spans="1:27" ht="15" customHeight="1" x14ac:dyDescent="0.2">
      <c r="A54" s="3" t="s">
        <v>145</v>
      </c>
      <c r="B54" s="1" t="s">
        <v>146</v>
      </c>
      <c r="C54" s="3">
        <v>133</v>
      </c>
      <c r="D54" s="3">
        <v>135</v>
      </c>
      <c r="E54" s="3">
        <v>136</v>
      </c>
      <c r="F54" s="3">
        <v>146</v>
      </c>
      <c r="G54" s="3">
        <v>167</v>
      </c>
      <c r="H54" s="3">
        <v>208</v>
      </c>
      <c r="I54" s="3">
        <v>294</v>
      </c>
      <c r="J54" s="3">
        <v>100</v>
      </c>
      <c r="K54" s="3">
        <v>116</v>
      </c>
      <c r="L54" s="3">
        <v>148</v>
      </c>
      <c r="M54" s="3">
        <v>145</v>
      </c>
      <c r="N54" s="3">
        <v>155</v>
      </c>
      <c r="O54" s="3">
        <v>154</v>
      </c>
      <c r="P54" s="3">
        <v>167</v>
      </c>
      <c r="Q54" s="3">
        <v>144</v>
      </c>
      <c r="R54" s="3">
        <v>146</v>
      </c>
      <c r="S54" s="3">
        <v>171</v>
      </c>
      <c r="T54" s="3">
        <v>228</v>
      </c>
      <c r="U54" s="3">
        <v>259</v>
      </c>
      <c r="V54" s="3">
        <v>118</v>
      </c>
      <c r="W54" s="3">
        <v>117</v>
      </c>
      <c r="X54" s="3">
        <v>152</v>
      </c>
      <c r="Y54" s="3">
        <v>168</v>
      </c>
      <c r="Z54" s="3">
        <v>154</v>
      </c>
      <c r="AA54" s="5">
        <f t="shared" si="0"/>
        <v>1978</v>
      </c>
    </row>
    <row r="55" spans="1:27" ht="15" customHeight="1" x14ac:dyDescent="0.2">
      <c r="A55" s="3" t="s">
        <v>147</v>
      </c>
      <c r="B55" s="1" t="s">
        <v>148</v>
      </c>
      <c r="C55" s="3">
        <v>139</v>
      </c>
      <c r="D55" s="3">
        <v>180</v>
      </c>
      <c r="E55" s="3">
        <v>164</v>
      </c>
      <c r="F55" s="3">
        <v>182</v>
      </c>
      <c r="G55" s="3">
        <v>214</v>
      </c>
      <c r="H55" s="3">
        <v>217</v>
      </c>
      <c r="I55" s="3">
        <v>344</v>
      </c>
      <c r="J55" s="3">
        <v>105</v>
      </c>
      <c r="K55" s="3">
        <v>125</v>
      </c>
      <c r="L55" s="3">
        <v>121</v>
      </c>
      <c r="M55" s="3">
        <v>167</v>
      </c>
      <c r="N55" s="3">
        <v>176</v>
      </c>
      <c r="O55" s="3">
        <v>155</v>
      </c>
      <c r="P55" s="3">
        <v>169</v>
      </c>
      <c r="Q55" s="3">
        <v>157</v>
      </c>
      <c r="R55" s="3">
        <v>172</v>
      </c>
      <c r="S55" s="3">
        <v>163</v>
      </c>
      <c r="T55" s="3">
        <v>218</v>
      </c>
      <c r="U55" s="3">
        <v>340</v>
      </c>
      <c r="V55" s="3">
        <v>114</v>
      </c>
      <c r="W55" s="3">
        <v>165</v>
      </c>
      <c r="X55" s="3">
        <v>180</v>
      </c>
      <c r="Y55" s="3">
        <v>162</v>
      </c>
      <c r="Z55" s="3">
        <v>202</v>
      </c>
      <c r="AA55" s="5">
        <f t="shared" si="0"/>
        <v>2197</v>
      </c>
    </row>
    <row r="56" spans="1:27" ht="15" customHeight="1" x14ac:dyDescent="0.2">
      <c r="A56" s="3" t="s">
        <v>150</v>
      </c>
      <c r="B56" s="1" t="s">
        <v>151</v>
      </c>
      <c r="C56" s="3">
        <v>9</v>
      </c>
      <c r="D56" s="3">
        <v>50</v>
      </c>
      <c r="E56" s="3">
        <v>6</v>
      </c>
      <c r="F56" s="3">
        <v>12</v>
      </c>
      <c r="G56" s="3">
        <v>43</v>
      </c>
      <c r="H56" s="3">
        <v>7</v>
      </c>
      <c r="I56" s="3">
        <v>46</v>
      </c>
      <c r="J56" s="3">
        <v>9</v>
      </c>
      <c r="K56" s="3">
        <v>56</v>
      </c>
      <c r="L56" s="3">
        <v>10</v>
      </c>
      <c r="M56" s="3">
        <v>5</v>
      </c>
      <c r="N56" s="3">
        <v>12</v>
      </c>
      <c r="O56" s="3">
        <v>65</v>
      </c>
      <c r="P56" s="3">
        <v>13</v>
      </c>
      <c r="Q56" s="3">
        <v>11</v>
      </c>
      <c r="R56" s="3">
        <v>10</v>
      </c>
      <c r="S56" s="3">
        <v>53</v>
      </c>
      <c r="T56" s="3">
        <v>26</v>
      </c>
      <c r="U56" s="3">
        <v>9</v>
      </c>
      <c r="V56" s="3">
        <v>12</v>
      </c>
      <c r="W56" s="3">
        <v>8</v>
      </c>
      <c r="X56" s="3">
        <v>8</v>
      </c>
      <c r="Y56" s="3">
        <v>75</v>
      </c>
      <c r="Z56" s="3">
        <v>12</v>
      </c>
      <c r="AA56" s="5">
        <f t="shared" si="0"/>
        <v>302</v>
      </c>
    </row>
    <row r="57" spans="1:27" ht="15" customHeight="1" x14ac:dyDescent="0.2">
      <c r="A57" s="3" t="s">
        <v>153</v>
      </c>
      <c r="B57" s="1" t="s">
        <v>154</v>
      </c>
      <c r="C57" s="3">
        <v>10</v>
      </c>
      <c r="D57" s="3">
        <v>9</v>
      </c>
      <c r="E57" s="3">
        <v>9</v>
      </c>
      <c r="F57" s="3">
        <v>9</v>
      </c>
      <c r="G57" s="3">
        <v>12</v>
      </c>
      <c r="H57" s="3">
        <v>16</v>
      </c>
      <c r="I57" s="3">
        <v>17</v>
      </c>
      <c r="J57" s="3">
        <v>6</v>
      </c>
      <c r="K57" s="3">
        <v>8</v>
      </c>
      <c r="L57" s="3">
        <v>10</v>
      </c>
      <c r="M57" s="3">
        <v>11</v>
      </c>
      <c r="N57" s="3">
        <v>9</v>
      </c>
      <c r="O57" s="3">
        <v>10</v>
      </c>
      <c r="P57" s="3">
        <v>10</v>
      </c>
      <c r="Q57" s="3">
        <v>11</v>
      </c>
      <c r="R57" s="3">
        <v>11</v>
      </c>
      <c r="S57" s="3">
        <v>11</v>
      </c>
      <c r="T57" s="3">
        <v>14</v>
      </c>
      <c r="U57" s="3">
        <v>21</v>
      </c>
      <c r="V57" s="3">
        <v>8</v>
      </c>
      <c r="W57" s="3">
        <v>9</v>
      </c>
      <c r="X57" s="3">
        <v>11</v>
      </c>
      <c r="Y57" s="3">
        <v>11</v>
      </c>
      <c r="Z57" s="3">
        <v>13</v>
      </c>
      <c r="AA57" s="5">
        <f t="shared" si="0"/>
        <v>140</v>
      </c>
    </row>
    <row r="58" spans="1:27" ht="15" customHeight="1" x14ac:dyDescent="0.2">
      <c r="A58" s="3" t="s">
        <v>155</v>
      </c>
      <c r="B58" s="1" t="s">
        <v>156</v>
      </c>
      <c r="C58" s="3">
        <v>14</v>
      </c>
      <c r="D58" s="3">
        <v>13</v>
      </c>
      <c r="E58" s="3">
        <v>16</v>
      </c>
      <c r="F58" s="3">
        <v>13</v>
      </c>
      <c r="G58" s="3">
        <v>19</v>
      </c>
      <c r="H58" s="3">
        <v>19</v>
      </c>
      <c r="I58" s="3">
        <v>25</v>
      </c>
      <c r="J58" s="3">
        <v>10</v>
      </c>
      <c r="K58" s="3">
        <v>13</v>
      </c>
      <c r="L58" s="3">
        <v>13</v>
      </c>
      <c r="M58" s="3">
        <v>14</v>
      </c>
      <c r="N58" s="3">
        <v>17</v>
      </c>
      <c r="O58" s="3">
        <v>13</v>
      </c>
      <c r="P58" s="3">
        <v>17</v>
      </c>
      <c r="Q58" s="3">
        <v>15</v>
      </c>
      <c r="R58" s="3">
        <v>13</v>
      </c>
      <c r="S58" s="3">
        <v>17</v>
      </c>
      <c r="T58" s="3">
        <v>20</v>
      </c>
      <c r="U58" s="3">
        <v>28</v>
      </c>
      <c r="V58" s="3">
        <v>11</v>
      </c>
      <c r="W58" s="3">
        <v>11</v>
      </c>
      <c r="X58" s="3">
        <v>16</v>
      </c>
      <c r="Y58" s="3">
        <v>17</v>
      </c>
      <c r="Z58" s="3">
        <v>16</v>
      </c>
      <c r="AA58" s="5">
        <f t="shared" si="0"/>
        <v>194</v>
      </c>
    </row>
    <row r="59" spans="1:27" ht="15" customHeight="1" x14ac:dyDescent="0.2">
      <c r="A59" s="3" t="s">
        <v>157</v>
      </c>
      <c r="B59" s="1" t="s">
        <v>158</v>
      </c>
      <c r="C59" s="3">
        <v>7</v>
      </c>
      <c r="D59" s="3">
        <v>9</v>
      </c>
      <c r="E59" s="3">
        <v>10</v>
      </c>
      <c r="F59" s="3">
        <v>9</v>
      </c>
      <c r="G59" s="3">
        <v>12</v>
      </c>
      <c r="H59" s="3">
        <v>14</v>
      </c>
      <c r="I59" s="3">
        <v>20</v>
      </c>
      <c r="J59" s="3">
        <v>6</v>
      </c>
      <c r="K59" s="3">
        <v>8</v>
      </c>
      <c r="L59" s="3">
        <v>9</v>
      </c>
      <c r="M59" s="3">
        <v>8</v>
      </c>
      <c r="N59" s="3">
        <v>11</v>
      </c>
      <c r="O59" s="3">
        <v>11</v>
      </c>
      <c r="P59" s="3">
        <v>9</v>
      </c>
      <c r="Q59" s="3">
        <v>8</v>
      </c>
      <c r="R59" s="3">
        <v>10</v>
      </c>
      <c r="S59" s="3">
        <v>9</v>
      </c>
      <c r="T59" s="3">
        <v>12</v>
      </c>
      <c r="U59" s="3">
        <v>14</v>
      </c>
      <c r="V59" s="3">
        <v>6</v>
      </c>
      <c r="W59" s="3">
        <v>6</v>
      </c>
      <c r="X59" s="3">
        <v>11</v>
      </c>
      <c r="Y59" s="3">
        <v>8</v>
      </c>
      <c r="Z59" s="3">
        <v>12</v>
      </c>
      <c r="AA59" s="5">
        <f t="shared" si="0"/>
        <v>116</v>
      </c>
    </row>
    <row r="60" spans="1:27" ht="15" customHeight="1" x14ac:dyDescent="0.2">
      <c r="A60" s="3" t="s">
        <v>159</v>
      </c>
      <c r="B60" s="1" t="s">
        <v>160</v>
      </c>
      <c r="C60" s="3">
        <v>49</v>
      </c>
      <c r="D60" s="3">
        <v>45</v>
      </c>
      <c r="E60" s="3">
        <v>44</v>
      </c>
      <c r="F60" s="3">
        <v>54</v>
      </c>
      <c r="G60" s="3">
        <v>58</v>
      </c>
      <c r="H60" s="3">
        <v>72</v>
      </c>
      <c r="I60" s="3">
        <v>103</v>
      </c>
      <c r="J60" s="3">
        <v>39</v>
      </c>
      <c r="K60" s="3">
        <v>41</v>
      </c>
      <c r="L60" s="3">
        <v>51</v>
      </c>
      <c r="M60" s="3">
        <v>59</v>
      </c>
      <c r="N60" s="3">
        <v>59</v>
      </c>
      <c r="O60" s="3">
        <v>55</v>
      </c>
      <c r="P60" s="3">
        <v>55</v>
      </c>
      <c r="Q60" s="3">
        <v>53</v>
      </c>
      <c r="R60" s="3">
        <v>57</v>
      </c>
      <c r="S60" s="3">
        <v>55</v>
      </c>
      <c r="T60" s="3">
        <v>82</v>
      </c>
      <c r="U60" s="3">
        <v>99</v>
      </c>
      <c r="V60" s="3">
        <v>40</v>
      </c>
      <c r="W60" s="3">
        <v>46</v>
      </c>
      <c r="X60" s="3">
        <v>47</v>
      </c>
      <c r="Y60" s="3">
        <v>48</v>
      </c>
      <c r="Z60" s="3">
        <v>49</v>
      </c>
      <c r="AA60" s="5">
        <f t="shared" si="0"/>
        <v>686</v>
      </c>
    </row>
    <row r="61" spans="1:27" ht="15" customHeight="1" x14ac:dyDescent="0.2">
      <c r="A61" s="3" t="s">
        <v>161</v>
      </c>
      <c r="B61" s="1" t="s">
        <v>162</v>
      </c>
      <c r="C61" s="3">
        <v>8</v>
      </c>
      <c r="D61" s="3">
        <v>7</v>
      </c>
      <c r="E61" s="3">
        <v>10</v>
      </c>
      <c r="F61" s="3">
        <v>8</v>
      </c>
      <c r="G61" s="3">
        <v>36</v>
      </c>
      <c r="H61" s="3">
        <v>11</v>
      </c>
      <c r="I61" s="3">
        <v>8</v>
      </c>
      <c r="J61" s="3">
        <v>11</v>
      </c>
      <c r="K61" s="3">
        <v>74</v>
      </c>
      <c r="L61" s="3">
        <v>60</v>
      </c>
      <c r="M61" s="3">
        <v>10</v>
      </c>
      <c r="N61" s="3">
        <v>36</v>
      </c>
      <c r="O61" s="3">
        <v>11</v>
      </c>
      <c r="P61" s="3">
        <v>61</v>
      </c>
      <c r="Q61" s="3">
        <v>9</v>
      </c>
      <c r="R61" s="3">
        <v>9</v>
      </c>
      <c r="S61" s="3">
        <v>57</v>
      </c>
      <c r="T61" s="3">
        <v>9</v>
      </c>
      <c r="U61" s="3">
        <v>9</v>
      </c>
      <c r="V61" s="3">
        <v>9</v>
      </c>
      <c r="W61" s="3">
        <v>29</v>
      </c>
      <c r="X61" s="3">
        <v>9</v>
      </c>
      <c r="Y61" s="3">
        <v>52</v>
      </c>
      <c r="Z61" s="3">
        <v>10</v>
      </c>
      <c r="AA61" s="5">
        <f t="shared" si="0"/>
        <v>274</v>
      </c>
    </row>
    <row r="62" spans="1:27" ht="15" customHeight="1" x14ac:dyDescent="0.2">
      <c r="A62" s="3" t="s">
        <v>163</v>
      </c>
      <c r="B62" s="1" t="s">
        <v>164</v>
      </c>
      <c r="C62" s="3">
        <v>26</v>
      </c>
      <c r="D62" s="3">
        <v>27</v>
      </c>
      <c r="E62" s="3">
        <v>23</v>
      </c>
      <c r="F62" s="3">
        <v>22</v>
      </c>
      <c r="G62" s="3">
        <v>31</v>
      </c>
      <c r="H62" s="3">
        <v>37</v>
      </c>
      <c r="I62" s="3">
        <v>58</v>
      </c>
      <c r="J62" s="3">
        <v>19</v>
      </c>
      <c r="K62" s="3">
        <v>27</v>
      </c>
      <c r="L62" s="3">
        <v>25</v>
      </c>
      <c r="M62" s="3">
        <v>21</v>
      </c>
      <c r="N62" s="3">
        <v>31</v>
      </c>
      <c r="O62" s="3">
        <v>25</v>
      </c>
      <c r="P62" s="3">
        <v>29</v>
      </c>
      <c r="Q62" s="3">
        <v>23</v>
      </c>
      <c r="R62" s="3">
        <v>25</v>
      </c>
      <c r="S62" s="3">
        <v>30</v>
      </c>
      <c r="T62" s="3">
        <v>43</v>
      </c>
      <c r="U62" s="3">
        <v>58</v>
      </c>
      <c r="V62" s="3">
        <v>18</v>
      </c>
      <c r="W62" s="3">
        <v>26</v>
      </c>
      <c r="X62" s="3">
        <v>27</v>
      </c>
      <c r="Y62" s="3">
        <v>28</v>
      </c>
      <c r="Z62" s="3">
        <v>28</v>
      </c>
      <c r="AA62" s="5">
        <f t="shared" si="0"/>
        <v>360</v>
      </c>
    </row>
    <row r="63" spans="1:27" ht="15" customHeight="1" x14ac:dyDescent="0.2">
      <c r="A63" s="3" t="s">
        <v>165</v>
      </c>
      <c r="B63" s="1" t="s">
        <v>166</v>
      </c>
      <c r="C63" s="3">
        <v>59</v>
      </c>
      <c r="D63" s="3">
        <v>46</v>
      </c>
      <c r="E63" s="3">
        <v>64</v>
      </c>
      <c r="F63" s="3">
        <v>64</v>
      </c>
      <c r="G63" s="3">
        <v>58</v>
      </c>
      <c r="H63" s="3">
        <v>89</v>
      </c>
      <c r="I63" s="3">
        <v>121</v>
      </c>
      <c r="J63" s="3">
        <v>46</v>
      </c>
      <c r="K63" s="3">
        <v>57</v>
      </c>
      <c r="L63" s="3">
        <v>59</v>
      </c>
      <c r="M63" s="3">
        <v>48</v>
      </c>
      <c r="N63" s="3">
        <v>73</v>
      </c>
      <c r="O63" s="3">
        <v>55</v>
      </c>
      <c r="P63" s="3">
        <v>60</v>
      </c>
      <c r="Q63" s="3">
        <v>62</v>
      </c>
      <c r="R63" s="3">
        <v>55</v>
      </c>
      <c r="S63" s="3">
        <v>69</v>
      </c>
      <c r="T63" s="3">
        <v>112</v>
      </c>
      <c r="U63" s="3">
        <v>113</v>
      </c>
      <c r="V63" s="3">
        <v>42</v>
      </c>
      <c r="W63" s="3">
        <v>57</v>
      </c>
      <c r="X63" s="3">
        <v>66</v>
      </c>
      <c r="Y63" s="3">
        <v>68</v>
      </c>
      <c r="Z63" s="3">
        <v>63</v>
      </c>
      <c r="AA63" s="5">
        <f t="shared" si="0"/>
        <v>822</v>
      </c>
    </row>
    <row r="64" spans="1:27" ht="15" customHeight="1" x14ac:dyDescent="0.2">
      <c r="A64" s="3" t="s">
        <v>167</v>
      </c>
      <c r="B64" s="1" t="s">
        <v>168</v>
      </c>
      <c r="C64" s="3">
        <v>25</v>
      </c>
      <c r="D64" s="3">
        <v>100</v>
      </c>
      <c r="E64" s="3">
        <v>102</v>
      </c>
      <c r="F64" s="3">
        <v>22</v>
      </c>
      <c r="G64" s="3">
        <v>30</v>
      </c>
      <c r="H64" s="3">
        <v>34</v>
      </c>
      <c r="I64" s="3">
        <v>23</v>
      </c>
      <c r="J64" s="3">
        <v>32</v>
      </c>
      <c r="K64" s="3">
        <v>24</v>
      </c>
      <c r="L64" s="3">
        <v>146</v>
      </c>
      <c r="M64" s="3">
        <v>27</v>
      </c>
      <c r="N64" s="3">
        <v>35</v>
      </c>
      <c r="O64" s="3">
        <v>28</v>
      </c>
      <c r="P64" s="3">
        <v>17</v>
      </c>
      <c r="Q64" s="3">
        <v>24</v>
      </c>
      <c r="R64" s="3">
        <v>32</v>
      </c>
      <c r="S64" s="3">
        <v>176</v>
      </c>
      <c r="T64" s="3">
        <v>25</v>
      </c>
      <c r="U64" s="3">
        <v>88</v>
      </c>
      <c r="V64" s="3">
        <v>26</v>
      </c>
      <c r="W64" s="3">
        <v>28</v>
      </c>
      <c r="X64" s="3">
        <v>28</v>
      </c>
      <c r="Y64" s="3">
        <v>30</v>
      </c>
      <c r="Z64" s="3">
        <v>24</v>
      </c>
      <c r="AA64" s="5">
        <f t="shared" si="0"/>
        <v>526</v>
      </c>
    </row>
    <row r="65" spans="1:27" ht="15" customHeight="1" x14ac:dyDescent="0.2">
      <c r="A65" s="3" t="s">
        <v>169</v>
      </c>
      <c r="B65" s="1" t="s">
        <v>170</v>
      </c>
      <c r="C65" s="3">
        <v>22</v>
      </c>
      <c r="D65" s="3">
        <v>29</v>
      </c>
      <c r="E65" s="3">
        <v>28</v>
      </c>
      <c r="F65" s="3">
        <v>23</v>
      </c>
      <c r="G65" s="3">
        <v>29</v>
      </c>
      <c r="H65" s="3">
        <v>34</v>
      </c>
      <c r="I65" s="3">
        <v>47</v>
      </c>
      <c r="J65" s="3">
        <v>21</v>
      </c>
      <c r="K65" s="3">
        <v>19</v>
      </c>
      <c r="L65" s="3">
        <v>27</v>
      </c>
      <c r="M65" s="3">
        <v>23</v>
      </c>
      <c r="N65" s="3">
        <v>32</v>
      </c>
      <c r="O65" s="3">
        <v>27</v>
      </c>
      <c r="P65" s="3">
        <v>26</v>
      </c>
      <c r="Q65" s="3">
        <v>23</v>
      </c>
      <c r="R65" s="3">
        <v>30</v>
      </c>
      <c r="S65" s="3">
        <v>29</v>
      </c>
      <c r="T65" s="3">
        <v>39</v>
      </c>
      <c r="U65" s="3">
        <v>61</v>
      </c>
      <c r="V65" s="3">
        <v>21</v>
      </c>
      <c r="W65" s="3">
        <v>21</v>
      </c>
      <c r="X65" s="3">
        <v>28</v>
      </c>
      <c r="Y65" s="3">
        <v>23</v>
      </c>
      <c r="Z65" s="3">
        <v>32</v>
      </c>
      <c r="AA65" s="5">
        <f t="shared" si="0"/>
        <v>360</v>
      </c>
    </row>
    <row r="66" spans="1:27" ht="15" customHeight="1" x14ac:dyDescent="0.2">
      <c r="A66" s="3" t="s">
        <v>171</v>
      </c>
      <c r="B66" s="1" t="s">
        <v>172</v>
      </c>
      <c r="C66" s="3">
        <v>16</v>
      </c>
      <c r="D66" s="3">
        <v>15</v>
      </c>
      <c r="E66" s="3">
        <v>16</v>
      </c>
      <c r="F66" s="3">
        <v>16</v>
      </c>
      <c r="G66" s="3">
        <v>19</v>
      </c>
      <c r="H66" s="3">
        <v>24</v>
      </c>
      <c r="I66" s="3">
        <v>30</v>
      </c>
      <c r="J66" s="3">
        <v>12</v>
      </c>
      <c r="K66" s="3">
        <v>13</v>
      </c>
      <c r="L66" s="3">
        <v>15</v>
      </c>
      <c r="M66" s="3">
        <v>16</v>
      </c>
      <c r="N66" s="3">
        <v>18</v>
      </c>
      <c r="O66" s="3">
        <v>18</v>
      </c>
      <c r="P66" s="3">
        <v>16</v>
      </c>
      <c r="Q66" s="3">
        <v>15</v>
      </c>
      <c r="R66" s="3">
        <v>17</v>
      </c>
      <c r="S66" s="3">
        <v>18</v>
      </c>
      <c r="T66" s="3">
        <v>23</v>
      </c>
      <c r="U66" s="3">
        <v>34</v>
      </c>
      <c r="V66" s="3">
        <v>12</v>
      </c>
      <c r="W66" s="3">
        <v>15</v>
      </c>
      <c r="X66" s="3">
        <v>17</v>
      </c>
      <c r="Y66" s="3">
        <v>19</v>
      </c>
      <c r="Z66" s="3">
        <v>19</v>
      </c>
      <c r="AA66" s="5">
        <f t="shared" si="0"/>
        <v>223</v>
      </c>
    </row>
    <row r="67" spans="1:27" ht="15" customHeight="1" x14ac:dyDescent="0.2">
      <c r="A67" s="3" t="s">
        <v>173</v>
      </c>
      <c r="B67" s="1" t="s">
        <v>174</v>
      </c>
      <c r="C67" s="3">
        <v>7</v>
      </c>
      <c r="D67" s="3">
        <v>7</v>
      </c>
      <c r="E67" s="3">
        <v>6</v>
      </c>
      <c r="F67" s="3">
        <v>7</v>
      </c>
      <c r="G67" s="3">
        <v>7</v>
      </c>
      <c r="H67" s="3">
        <v>10</v>
      </c>
      <c r="I67" s="3">
        <v>13</v>
      </c>
      <c r="J67" s="3">
        <v>6</v>
      </c>
      <c r="K67" s="3">
        <v>4</v>
      </c>
      <c r="L67" s="3">
        <v>6</v>
      </c>
      <c r="M67" s="3">
        <v>7</v>
      </c>
      <c r="N67" s="3">
        <v>8</v>
      </c>
      <c r="O67" s="3">
        <v>7</v>
      </c>
      <c r="P67" s="3">
        <v>6</v>
      </c>
      <c r="Q67" s="3">
        <v>5</v>
      </c>
      <c r="R67" s="3">
        <v>7</v>
      </c>
      <c r="S67" s="3">
        <v>8</v>
      </c>
      <c r="T67" s="3">
        <v>11</v>
      </c>
      <c r="U67" s="3">
        <v>16</v>
      </c>
      <c r="V67" s="3">
        <v>5</v>
      </c>
      <c r="W67" s="3">
        <v>7</v>
      </c>
      <c r="X67" s="3">
        <v>5</v>
      </c>
      <c r="Y67" s="3">
        <v>6</v>
      </c>
      <c r="Z67" s="3">
        <v>7</v>
      </c>
      <c r="AA67" s="5">
        <f t="shared" si="0"/>
        <v>90</v>
      </c>
    </row>
    <row r="68" spans="1:27" ht="15" customHeight="1" x14ac:dyDescent="0.2">
      <c r="A68" s="3" t="s">
        <v>175</v>
      </c>
      <c r="B68" s="1" t="s">
        <v>176</v>
      </c>
      <c r="C68" s="3">
        <v>52</v>
      </c>
      <c r="D68" s="3">
        <v>54</v>
      </c>
      <c r="E68" s="3">
        <v>53</v>
      </c>
      <c r="F68" s="3">
        <v>60</v>
      </c>
      <c r="G68" s="3">
        <v>67</v>
      </c>
      <c r="H68" s="3">
        <v>87</v>
      </c>
      <c r="I68" s="3">
        <v>107</v>
      </c>
      <c r="J68" s="3">
        <v>47</v>
      </c>
      <c r="K68" s="3">
        <v>50</v>
      </c>
      <c r="L68" s="3">
        <v>55</v>
      </c>
      <c r="M68" s="3">
        <v>58</v>
      </c>
      <c r="N68" s="3">
        <v>64</v>
      </c>
      <c r="O68" s="3">
        <v>58</v>
      </c>
      <c r="P68" s="3">
        <v>56</v>
      </c>
      <c r="Q68" s="3">
        <v>58</v>
      </c>
      <c r="R68" s="3">
        <v>62</v>
      </c>
      <c r="S68" s="3">
        <v>65</v>
      </c>
      <c r="T68" s="3">
        <v>95</v>
      </c>
      <c r="U68" s="3">
        <v>118</v>
      </c>
      <c r="V68" s="3">
        <v>49</v>
      </c>
      <c r="W68" s="3">
        <v>47</v>
      </c>
      <c r="X68" s="3">
        <v>61</v>
      </c>
      <c r="Y68" s="3">
        <v>62</v>
      </c>
      <c r="Z68" s="3">
        <v>57</v>
      </c>
      <c r="AA68" s="5">
        <f t="shared" si="0"/>
        <v>788</v>
      </c>
    </row>
    <row r="69" spans="1:27" ht="15" customHeight="1" x14ac:dyDescent="0.2">
      <c r="A69" s="3" t="s">
        <v>177</v>
      </c>
      <c r="B69" s="1" t="s">
        <v>178</v>
      </c>
      <c r="C69" s="3">
        <v>20</v>
      </c>
      <c r="D69" s="3">
        <v>27</v>
      </c>
      <c r="E69" s="3">
        <v>20</v>
      </c>
      <c r="F69" s="3">
        <v>27</v>
      </c>
      <c r="G69" s="3">
        <v>32</v>
      </c>
      <c r="H69" s="3">
        <v>41</v>
      </c>
      <c r="I69" s="3">
        <v>43</v>
      </c>
      <c r="J69" s="3">
        <v>16</v>
      </c>
      <c r="K69" s="3">
        <v>24</v>
      </c>
      <c r="L69" s="3">
        <v>21</v>
      </c>
      <c r="M69" s="3">
        <v>23</v>
      </c>
      <c r="N69" s="3">
        <v>21</v>
      </c>
      <c r="O69" s="3">
        <v>27</v>
      </c>
      <c r="P69" s="3">
        <v>26</v>
      </c>
      <c r="Q69" s="3">
        <v>26</v>
      </c>
      <c r="R69" s="3">
        <v>23</v>
      </c>
      <c r="S69" s="3">
        <v>31</v>
      </c>
      <c r="T69" s="3">
        <v>37</v>
      </c>
      <c r="U69" s="3">
        <v>50</v>
      </c>
      <c r="V69" s="3">
        <v>18</v>
      </c>
      <c r="W69" s="3">
        <v>18</v>
      </c>
      <c r="X69" s="3">
        <v>25</v>
      </c>
      <c r="Y69" s="3">
        <v>22</v>
      </c>
      <c r="Z69" s="3">
        <v>27</v>
      </c>
      <c r="AA69" s="5">
        <f t="shared" ref="AA69:AA132" si="1">SUM(O69:Z69)</f>
        <v>330</v>
      </c>
    </row>
    <row r="70" spans="1:27" ht="15" customHeight="1" x14ac:dyDescent="0.2">
      <c r="A70" s="3" t="s">
        <v>179</v>
      </c>
      <c r="B70" s="1" t="s">
        <v>180</v>
      </c>
      <c r="C70" s="3">
        <v>82</v>
      </c>
      <c r="D70" s="3">
        <v>86</v>
      </c>
      <c r="E70" s="3">
        <v>75</v>
      </c>
      <c r="F70" s="3">
        <v>83</v>
      </c>
      <c r="G70" s="3">
        <v>94</v>
      </c>
      <c r="H70" s="3">
        <v>139</v>
      </c>
      <c r="I70" s="3">
        <v>169</v>
      </c>
      <c r="J70" s="3">
        <v>72</v>
      </c>
      <c r="K70" s="3">
        <v>64</v>
      </c>
      <c r="L70" s="3">
        <v>89</v>
      </c>
      <c r="M70" s="3">
        <v>92</v>
      </c>
      <c r="N70" s="3">
        <v>85</v>
      </c>
      <c r="O70" s="3">
        <v>80</v>
      </c>
      <c r="P70" s="3">
        <v>99</v>
      </c>
      <c r="Q70" s="3">
        <v>92</v>
      </c>
      <c r="R70" s="3">
        <v>77</v>
      </c>
      <c r="S70" s="3">
        <v>113</v>
      </c>
      <c r="T70" s="3">
        <v>129</v>
      </c>
      <c r="U70" s="3">
        <v>156</v>
      </c>
      <c r="V70" s="3">
        <v>63</v>
      </c>
      <c r="W70" s="3">
        <v>61</v>
      </c>
      <c r="X70" s="3">
        <v>67</v>
      </c>
      <c r="Y70" s="3">
        <v>105</v>
      </c>
      <c r="Z70" s="3">
        <v>92</v>
      </c>
      <c r="AA70" s="5">
        <f t="shared" si="1"/>
        <v>1134</v>
      </c>
    </row>
    <row r="71" spans="1:27" ht="15" customHeight="1" x14ac:dyDescent="0.2">
      <c r="A71" s="3" t="s">
        <v>181</v>
      </c>
      <c r="B71" s="1" t="s">
        <v>182</v>
      </c>
      <c r="C71" s="3">
        <v>21</v>
      </c>
      <c r="D71" s="3">
        <v>20</v>
      </c>
      <c r="E71" s="3">
        <v>18</v>
      </c>
      <c r="F71" s="3">
        <v>20</v>
      </c>
      <c r="G71" s="3">
        <v>22</v>
      </c>
      <c r="H71" s="3">
        <v>32</v>
      </c>
      <c r="I71" s="3">
        <v>43</v>
      </c>
      <c r="J71" s="3">
        <v>16</v>
      </c>
      <c r="K71" s="3">
        <v>18</v>
      </c>
      <c r="L71" s="3">
        <v>19</v>
      </c>
      <c r="M71" s="3">
        <v>25</v>
      </c>
      <c r="N71" s="3">
        <v>25</v>
      </c>
      <c r="O71" s="3">
        <v>25</v>
      </c>
      <c r="P71" s="3">
        <v>21</v>
      </c>
      <c r="Q71" s="3">
        <v>19</v>
      </c>
      <c r="R71" s="3">
        <v>22</v>
      </c>
      <c r="S71" s="3">
        <v>26</v>
      </c>
      <c r="T71" s="3">
        <v>30</v>
      </c>
      <c r="U71" s="3">
        <v>41</v>
      </c>
      <c r="V71" s="3">
        <v>17</v>
      </c>
      <c r="W71" s="3">
        <v>19</v>
      </c>
      <c r="X71" s="3">
        <v>22</v>
      </c>
      <c r="Y71" s="3">
        <v>23</v>
      </c>
      <c r="Z71" s="3">
        <v>28</v>
      </c>
      <c r="AA71" s="5">
        <f t="shared" si="1"/>
        <v>293</v>
      </c>
    </row>
    <row r="72" spans="1:27" ht="15" customHeight="1" x14ac:dyDescent="0.2">
      <c r="A72" s="3" t="s">
        <v>183</v>
      </c>
      <c r="B72" s="1" t="s">
        <v>184</v>
      </c>
      <c r="C72" s="3">
        <v>9</v>
      </c>
      <c r="D72" s="3">
        <v>9</v>
      </c>
      <c r="E72" s="3">
        <v>9</v>
      </c>
      <c r="F72" s="3">
        <v>10</v>
      </c>
      <c r="G72" s="3">
        <v>11</v>
      </c>
      <c r="H72" s="3">
        <v>13</v>
      </c>
      <c r="I72" s="3">
        <v>19</v>
      </c>
      <c r="J72" s="3">
        <v>8</v>
      </c>
      <c r="K72" s="3">
        <v>10</v>
      </c>
      <c r="L72" s="3">
        <v>10</v>
      </c>
      <c r="M72" s="3">
        <v>9</v>
      </c>
      <c r="N72" s="3">
        <v>9</v>
      </c>
      <c r="O72" s="3">
        <v>8</v>
      </c>
      <c r="P72" s="3">
        <v>10</v>
      </c>
      <c r="Q72" s="3">
        <v>10</v>
      </c>
      <c r="R72" s="3">
        <v>9</v>
      </c>
      <c r="S72" s="3">
        <v>9</v>
      </c>
      <c r="T72" s="3">
        <v>14</v>
      </c>
      <c r="U72" s="3">
        <v>20</v>
      </c>
      <c r="V72" s="3">
        <v>8</v>
      </c>
      <c r="W72" s="3">
        <v>7</v>
      </c>
      <c r="X72" s="3">
        <v>11</v>
      </c>
      <c r="Y72" s="3">
        <v>11</v>
      </c>
      <c r="Z72" s="3">
        <v>12</v>
      </c>
      <c r="AA72" s="5">
        <f t="shared" si="1"/>
        <v>129</v>
      </c>
    </row>
    <row r="73" spans="1:27" ht="15" customHeight="1" x14ac:dyDescent="0.2">
      <c r="A73" s="3" t="s">
        <v>185</v>
      </c>
      <c r="B73" s="1" t="s">
        <v>186</v>
      </c>
      <c r="C73" s="3">
        <v>63</v>
      </c>
      <c r="D73" s="3">
        <v>50</v>
      </c>
      <c r="E73" s="3">
        <v>68</v>
      </c>
      <c r="F73" s="3">
        <v>65</v>
      </c>
      <c r="G73" s="3">
        <v>65</v>
      </c>
      <c r="H73" s="3">
        <v>87</v>
      </c>
      <c r="I73" s="3">
        <v>106</v>
      </c>
      <c r="J73" s="3">
        <v>48</v>
      </c>
      <c r="K73" s="3">
        <v>51</v>
      </c>
      <c r="L73" s="3">
        <v>59</v>
      </c>
      <c r="M73" s="3">
        <v>67</v>
      </c>
      <c r="N73" s="3">
        <v>67</v>
      </c>
      <c r="O73" s="3">
        <v>70</v>
      </c>
      <c r="P73" s="3">
        <v>68</v>
      </c>
      <c r="Q73" s="3">
        <v>61</v>
      </c>
      <c r="R73" s="3">
        <v>58</v>
      </c>
      <c r="S73" s="3">
        <v>71</v>
      </c>
      <c r="T73" s="3">
        <v>94</v>
      </c>
      <c r="U73" s="3">
        <v>113</v>
      </c>
      <c r="V73" s="3">
        <v>41</v>
      </c>
      <c r="W73" s="3">
        <v>48</v>
      </c>
      <c r="X73" s="3">
        <v>75</v>
      </c>
      <c r="Y73" s="3">
        <v>74</v>
      </c>
      <c r="Z73" s="3">
        <v>73</v>
      </c>
      <c r="AA73" s="5">
        <f t="shared" si="1"/>
        <v>846</v>
      </c>
    </row>
    <row r="74" spans="1:27" ht="15" customHeight="1" x14ac:dyDescent="0.2">
      <c r="A74" s="3" t="s">
        <v>187</v>
      </c>
      <c r="B74" s="1" t="s">
        <v>188</v>
      </c>
      <c r="C74" s="3">
        <v>29</v>
      </c>
      <c r="D74" s="3">
        <v>28</v>
      </c>
      <c r="E74" s="3">
        <v>25</v>
      </c>
      <c r="F74" s="3">
        <v>30</v>
      </c>
      <c r="G74" s="3">
        <v>39</v>
      </c>
      <c r="H74" s="3">
        <v>44</v>
      </c>
      <c r="I74" s="3">
        <v>59</v>
      </c>
      <c r="J74" s="3">
        <v>24</v>
      </c>
      <c r="K74" s="3">
        <v>30</v>
      </c>
      <c r="L74" s="3">
        <v>27</v>
      </c>
      <c r="M74" s="3">
        <v>31</v>
      </c>
      <c r="N74" s="3">
        <v>35</v>
      </c>
      <c r="O74" s="3">
        <v>33</v>
      </c>
      <c r="P74" s="3">
        <v>34</v>
      </c>
      <c r="Q74" s="3">
        <v>31</v>
      </c>
      <c r="R74" s="3">
        <v>27</v>
      </c>
      <c r="S74" s="3">
        <v>38</v>
      </c>
      <c r="T74" s="3">
        <v>41</v>
      </c>
      <c r="U74" s="3">
        <v>63</v>
      </c>
      <c r="V74" s="3">
        <v>31</v>
      </c>
      <c r="W74" s="3">
        <v>27</v>
      </c>
      <c r="X74" s="3">
        <v>34</v>
      </c>
      <c r="Y74" s="3">
        <v>36</v>
      </c>
      <c r="Z74" s="3">
        <v>31</v>
      </c>
      <c r="AA74" s="5">
        <f t="shared" si="1"/>
        <v>426</v>
      </c>
    </row>
    <row r="75" spans="1:27" ht="15" customHeight="1" x14ac:dyDescent="0.2">
      <c r="A75" s="3" t="s">
        <v>189</v>
      </c>
      <c r="B75" s="1" t="s">
        <v>190</v>
      </c>
      <c r="C75" s="3">
        <v>28</v>
      </c>
      <c r="D75" s="3">
        <v>30</v>
      </c>
      <c r="E75" s="3">
        <v>29</v>
      </c>
      <c r="F75" s="3">
        <v>32</v>
      </c>
      <c r="G75" s="3">
        <v>29</v>
      </c>
      <c r="H75" s="3">
        <v>49</v>
      </c>
      <c r="I75" s="3">
        <v>58</v>
      </c>
      <c r="J75" s="3">
        <v>26</v>
      </c>
      <c r="K75" s="3">
        <v>29</v>
      </c>
      <c r="L75" s="3">
        <v>23</v>
      </c>
      <c r="M75" s="3">
        <v>34</v>
      </c>
      <c r="N75" s="3">
        <v>29</v>
      </c>
      <c r="O75" s="3">
        <v>31</v>
      </c>
      <c r="P75" s="3">
        <v>32</v>
      </c>
      <c r="Q75" s="3">
        <v>28</v>
      </c>
      <c r="R75" s="3">
        <v>35</v>
      </c>
      <c r="S75" s="3">
        <v>35</v>
      </c>
      <c r="T75" s="3">
        <v>49</v>
      </c>
      <c r="U75" s="3">
        <v>75</v>
      </c>
      <c r="V75" s="3">
        <v>24</v>
      </c>
      <c r="W75" s="3">
        <v>30</v>
      </c>
      <c r="X75" s="3">
        <v>31</v>
      </c>
      <c r="Y75" s="3">
        <v>36</v>
      </c>
      <c r="Z75" s="3">
        <v>32</v>
      </c>
      <c r="AA75" s="5">
        <f t="shared" si="1"/>
        <v>438</v>
      </c>
    </row>
    <row r="76" spans="1:27" ht="15" customHeight="1" x14ac:dyDescent="0.2">
      <c r="A76" s="3" t="s">
        <v>191</v>
      </c>
      <c r="B76" s="1" t="s">
        <v>192</v>
      </c>
      <c r="C76" s="3">
        <v>232</v>
      </c>
      <c r="D76" s="3">
        <v>185</v>
      </c>
      <c r="E76" s="3">
        <v>172</v>
      </c>
      <c r="F76" s="3">
        <v>220</v>
      </c>
      <c r="G76" s="3">
        <v>270</v>
      </c>
      <c r="H76" s="3">
        <v>350</v>
      </c>
      <c r="I76" s="3">
        <v>403</v>
      </c>
      <c r="J76" s="3">
        <v>191</v>
      </c>
      <c r="K76" s="3">
        <v>224</v>
      </c>
      <c r="L76" s="3">
        <v>230</v>
      </c>
      <c r="M76" s="3">
        <v>280</v>
      </c>
      <c r="N76" s="3">
        <v>292</v>
      </c>
      <c r="O76" s="3">
        <v>254</v>
      </c>
      <c r="P76" s="3">
        <v>187</v>
      </c>
      <c r="Q76" s="3">
        <v>191</v>
      </c>
      <c r="R76" s="3">
        <v>244</v>
      </c>
      <c r="S76" s="3">
        <v>290</v>
      </c>
      <c r="T76" s="3">
        <v>326</v>
      </c>
      <c r="U76" s="3">
        <v>467</v>
      </c>
      <c r="V76" s="3">
        <v>166</v>
      </c>
      <c r="W76" s="3">
        <v>210</v>
      </c>
      <c r="X76" s="3">
        <v>245</v>
      </c>
      <c r="Y76" s="3">
        <v>251</v>
      </c>
      <c r="Z76" s="3">
        <v>258</v>
      </c>
      <c r="AA76" s="5">
        <f t="shared" si="1"/>
        <v>3089</v>
      </c>
    </row>
    <row r="77" spans="1:27" ht="15" customHeight="1" x14ac:dyDescent="0.2">
      <c r="A77" s="3" t="s">
        <v>193</v>
      </c>
      <c r="B77" s="1" t="s">
        <v>194</v>
      </c>
      <c r="C77" s="3">
        <v>43</v>
      </c>
      <c r="D77" s="3">
        <v>43</v>
      </c>
      <c r="E77" s="3">
        <v>42</v>
      </c>
      <c r="F77" s="3">
        <v>41</v>
      </c>
      <c r="G77" s="3">
        <v>47</v>
      </c>
      <c r="H77" s="3">
        <v>63</v>
      </c>
      <c r="I77" s="3">
        <v>87</v>
      </c>
      <c r="J77" s="3">
        <v>30</v>
      </c>
      <c r="K77" s="3">
        <v>36</v>
      </c>
      <c r="L77" s="3">
        <v>44</v>
      </c>
      <c r="M77" s="3">
        <v>41</v>
      </c>
      <c r="N77" s="3">
        <v>46</v>
      </c>
      <c r="O77" s="3">
        <v>39</v>
      </c>
      <c r="P77" s="3">
        <v>36</v>
      </c>
      <c r="Q77" s="3">
        <v>39</v>
      </c>
      <c r="R77" s="3">
        <v>44</v>
      </c>
      <c r="S77" s="3">
        <v>39</v>
      </c>
      <c r="T77" s="3">
        <v>61</v>
      </c>
      <c r="U77" s="3">
        <v>74</v>
      </c>
      <c r="V77" s="3">
        <v>35</v>
      </c>
      <c r="W77" s="3">
        <v>34</v>
      </c>
      <c r="X77" s="3">
        <v>38</v>
      </c>
      <c r="Y77" s="3">
        <v>44</v>
      </c>
      <c r="Z77" s="3">
        <v>42</v>
      </c>
      <c r="AA77" s="5">
        <f t="shared" si="1"/>
        <v>525</v>
      </c>
    </row>
    <row r="78" spans="1:27" ht="15" customHeight="1" x14ac:dyDescent="0.2">
      <c r="A78" s="3" t="s">
        <v>195</v>
      </c>
      <c r="B78" s="1" t="s">
        <v>196</v>
      </c>
      <c r="C78" s="3">
        <v>42</v>
      </c>
      <c r="D78" s="3">
        <v>46</v>
      </c>
      <c r="E78" s="3">
        <v>44</v>
      </c>
      <c r="F78" s="3">
        <v>44</v>
      </c>
      <c r="G78" s="3">
        <v>43</v>
      </c>
      <c r="H78" s="3">
        <v>56</v>
      </c>
      <c r="I78" s="3">
        <v>75</v>
      </c>
      <c r="J78" s="3">
        <v>29</v>
      </c>
      <c r="K78" s="3">
        <v>35</v>
      </c>
      <c r="L78" s="3">
        <v>44</v>
      </c>
      <c r="M78" s="3">
        <v>41</v>
      </c>
      <c r="N78" s="3">
        <v>53</v>
      </c>
      <c r="O78" s="3">
        <v>41</v>
      </c>
      <c r="P78" s="3">
        <v>50</v>
      </c>
      <c r="Q78" s="3">
        <v>43</v>
      </c>
      <c r="R78" s="3">
        <v>49</v>
      </c>
      <c r="S78" s="3">
        <v>52</v>
      </c>
      <c r="T78" s="3">
        <v>76</v>
      </c>
      <c r="U78" s="3">
        <v>85</v>
      </c>
      <c r="V78" s="3">
        <v>32</v>
      </c>
      <c r="W78" s="3">
        <v>43</v>
      </c>
      <c r="X78" s="3">
        <v>44</v>
      </c>
      <c r="Y78" s="3">
        <v>46</v>
      </c>
      <c r="Z78" s="3">
        <v>57</v>
      </c>
      <c r="AA78" s="5">
        <f t="shared" si="1"/>
        <v>618</v>
      </c>
    </row>
    <row r="79" spans="1:27" ht="15" customHeight="1" x14ac:dyDescent="0.2">
      <c r="A79" s="3" t="s">
        <v>197</v>
      </c>
      <c r="B79" s="1" t="s">
        <v>198</v>
      </c>
      <c r="C79" s="3">
        <v>22</v>
      </c>
      <c r="D79" s="3">
        <v>23</v>
      </c>
      <c r="E79" s="3">
        <v>24</v>
      </c>
      <c r="F79" s="3">
        <v>24</v>
      </c>
      <c r="G79" s="3">
        <v>28</v>
      </c>
      <c r="H79" s="3">
        <v>31</v>
      </c>
      <c r="I79" s="3">
        <v>47</v>
      </c>
      <c r="J79" s="3">
        <v>18</v>
      </c>
      <c r="K79" s="3">
        <v>20</v>
      </c>
      <c r="L79" s="3">
        <v>24</v>
      </c>
      <c r="M79" s="3">
        <v>26</v>
      </c>
      <c r="N79" s="3">
        <v>27</v>
      </c>
      <c r="O79" s="3">
        <v>22</v>
      </c>
      <c r="P79" s="3">
        <v>27</v>
      </c>
      <c r="Q79" s="3">
        <v>28</v>
      </c>
      <c r="R79" s="3">
        <v>25</v>
      </c>
      <c r="S79" s="3">
        <v>29</v>
      </c>
      <c r="T79" s="3">
        <v>42</v>
      </c>
      <c r="U79" s="3">
        <v>56</v>
      </c>
      <c r="V79" s="3">
        <v>22</v>
      </c>
      <c r="W79" s="3">
        <v>17</v>
      </c>
      <c r="X79" s="3">
        <v>30</v>
      </c>
      <c r="Y79" s="3">
        <v>28</v>
      </c>
      <c r="Z79" s="3">
        <v>24</v>
      </c>
      <c r="AA79" s="5">
        <f t="shared" si="1"/>
        <v>350</v>
      </c>
    </row>
    <row r="80" spans="1:27" ht="15" customHeight="1" x14ac:dyDescent="0.2">
      <c r="A80" s="3" t="s">
        <v>199</v>
      </c>
      <c r="B80" s="1" t="s">
        <v>200</v>
      </c>
      <c r="C80" s="3">
        <v>160</v>
      </c>
      <c r="D80" s="3">
        <v>131</v>
      </c>
      <c r="E80" s="3">
        <v>165</v>
      </c>
      <c r="F80" s="3">
        <v>193</v>
      </c>
      <c r="G80" s="3">
        <v>183</v>
      </c>
      <c r="H80" s="3">
        <v>313</v>
      </c>
      <c r="I80" s="3">
        <v>414</v>
      </c>
      <c r="J80" s="3">
        <v>109</v>
      </c>
      <c r="K80" s="3">
        <v>134</v>
      </c>
      <c r="L80" s="3">
        <v>196</v>
      </c>
      <c r="M80" s="3">
        <v>199</v>
      </c>
      <c r="N80" s="3">
        <v>188</v>
      </c>
      <c r="O80" s="3">
        <v>180</v>
      </c>
      <c r="P80" s="3">
        <v>195</v>
      </c>
      <c r="Q80" s="3">
        <v>211</v>
      </c>
      <c r="R80" s="3">
        <v>195</v>
      </c>
      <c r="S80" s="3">
        <v>226</v>
      </c>
      <c r="T80" s="3">
        <v>281</v>
      </c>
      <c r="U80" s="3">
        <v>388</v>
      </c>
      <c r="V80" s="3">
        <v>143</v>
      </c>
      <c r="W80" s="3">
        <v>158</v>
      </c>
      <c r="X80" s="3">
        <v>190</v>
      </c>
      <c r="Y80" s="3">
        <v>191</v>
      </c>
      <c r="Z80" s="3">
        <v>185</v>
      </c>
      <c r="AA80" s="5">
        <f t="shared" si="1"/>
        <v>2543</v>
      </c>
    </row>
    <row r="81" spans="1:27" ht="15" customHeight="1" x14ac:dyDescent="0.2">
      <c r="A81" s="3" t="s">
        <v>201</v>
      </c>
      <c r="B81" s="1" t="s">
        <v>202</v>
      </c>
      <c r="C81" s="3">
        <v>38</v>
      </c>
      <c r="D81" s="3">
        <v>37</v>
      </c>
      <c r="E81" s="3">
        <v>40</v>
      </c>
      <c r="F81" s="3">
        <v>38</v>
      </c>
      <c r="G81" s="3">
        <v>46</v>
      </c>
      <c r="H81" s="3">
        <v>56</v>
      </c>
      <c r="I81" s="3">
        <v>80</v>
      </c>
      <c r="J81" s="3">
        <v>27</v>
      </c>
      <c r="K81" s="3">
        <v>34</v>
      </c>
      <c r="L81" s="3">
        <v>33</v>
      </c>
      <c r="M81" s="3">
        <v>37</v>
      </c>
      <c r="N81" s="3">
        <v>39</v>
      </c>
      <c r="O81" s="3">
        <v>43</v>
      </c>
      <c r="P81" s="3">
        <v>48</v>
      </c>
      <c r="Q81" s="3">
        <v>41</v>
      </c>
      <c r="R81" s="3">
        <v>42</v>
      </c>
      <c r="S81" s="3">
        <v>48</v>
      </c>
      <c r="T81" s="3">
        <v>68</v>
      </c>
      <c r="U81" s="3">
        <v>80</v>
      </c>
      <c r="V81" s="3">
        <v>34</v>
      </c>
      <c r="W81" s="3">
        <v>39</v>
      </c>
      <c r="X81" s="3">
        <v>39</v>
      </c>
      <c r="Y81" s="3">
        <v>36</v>
      </c>
      <c r="Z81" s="3">
        <v>43</v>
      </c>
      <c r="AA81" s="5">
        <f t="shared" si="1"/>
        <v>561</v>
      </c>
    </row>
    <row r="82" spans="1:27" ht="15" customHeight="1" x14ac:dyDescent="0.2">
      <c r="A82" s="3" t="s">
        <v>203</v>
      </c>
      <c r="B82" s="1" t="s">
        <v>204</v>
      </c>
      <c r="C82" s="3">
        <v>22</v>
      </c>
      <c r="D82" s="3">
        <v>25</v>
      </c>
      <c r="E82" s="3">
        <v>22</v>
      </c>
      <c r="F82" s="3">
        <v>23</v>
      </c>
      <c r="G82" s="3">
        <v>28</v>
      </c>
      <c r="H82" s="3">
        <v>38</v>
      </c>
      <c r="I82" s="3">
        <v>37</v>
      </c>
      <c r="J82" s="3">
        <v>17</v>
      </c>
      <c r="K82" s="3">
        <v>23</v>
      </c>
      <c r="L82" s="3">
        <v>25</v>
      </c>
      <c r="M82" s="3">
        <v>28</v>
      </c>
      <c r="N82" s="3">
        <v>31</v>
      </c>
      <c r="O82" s="3">
        <v>23</v>
      </c>
      <c r="P82" s="3">
        <v>24</v>
      </c>
      <c r="Q82" s="3">
        <v>23</v>
      </c>
      <c r="R82" s="3">
        <v>24</v>
      </c>
      <c r="S82" s="3">
        <v>24</v>
      </c>
      <c r="T82" s="3">
        <v>46</v>
      </c>
      <c r="U82" s="3">
        <v>44</v>
      </c>
      <c r="V82" s="3">
        <v>20</v>
      </c>
      <c r="W82" s="3">
        <v>22</v>
      </c>
      <c r="X82" s="3">
        <v>24</v>
      </c>
      <c r="Y82" s="3">
        <v>22</v>
      </c>
      <c r="Z82" s="3">
        <v>32</v>
      </c>
      <c r="AA82" s="5">
        <f t="shared" si="1"/>
        <v>328</v>
      </c>
    </row>
    <row r="83" spans="1:27" ht="15" customHeight="1" x14ac:dyDescent="0.2">
      <c r="A83" s="3" t="s">
        <v>205</v>
      </c>
      <c r="B83" s="1" t="s">
        <v>206</v>
      </c>
      <c r="C83" s="3">
        <v>30</v>
      </c>
      <c r="D83" s="3">
        <v>25</v>
      </c>
      <c r="E83" s="3">
        <v>22</v>
      </c>
      <c r="F83" s="3">
        <v>24</v>
      </c>
      <c r="G83" s="3">
        <v>35</v>
      </c>
      <c r="H83" s="3">
        <v>40</v>
      </c>
      <c r="I83" s="3">
        <v>62</v>
      </c>
      <c r="J83" s="3">
        <v>21</v>
      </c>
      <c r="K83" s="3">
        <v>24</v>
      </c>
      <c r="L83" s="3">
        <v>26</v>
      </c>
      <c r="M83" s="3">
        <v>30</v>
      </c>
      <c r="N83" s="3">
        <v>29</v>
      </c>
      <c r="O83" s="3">
        <v>25</v>
      </c>
      <c r="P83" s="3">
        <v>28</v>
      </c>
      <c r="Q83" s="3">
        <v>29</v>
      </c>
      <c r="R83" s="3">
        <v>27</v>
      </c>
      <c r="S83" s="3">
        <v>31</v>
      </c>
      <c r="T83" s="3">
        <v>42</v>
      </c>
      <c r="U83" s="3">
        <v>60</v>
      </c>
      <c r="V83" s="3">
        <v>20</v>
      </c>
      <c r="W83" s="3">
        <v>32</v>
      </c>
      <c r="X83" s="3">
        <v>31</v>
      </c>
      <c r="Y83" s="3">
        <v>28</v>
      </c>
      <c r="Z83" s="3">
        <v>33</v>
      </c>
      <c r="AA83" s="5">
        <f t="shared" si="1"/>
        <v>386</v>
      </c>
    </row>
    <row r="84" spans="1:27" ht="15" customHeight="1" x14ac:dyDescent="0.2">
      <c r="A84" s="3" t="s">
        <v>207</v>
      </c>
      <c r="B84" s="1" t="s">
        <v>208</v>
      </c>
      <c r="C84" s="3">
        <v>96</v>
      </c>
      <c r="D84" s="3">
        <v>97</v>
      </c>
      <c r="E84" s="3">
        <v>94</v>
      </c>
      <c r="F84" s="3">
        <v>102</v>
      </c>
      <c r="G84" s="3">
        <v>100</v>
      </c>
      <c r="H84" s="3">
        <v>151</v>
      </c>
      <c r="I84" s="3">
        <v>187</v>
      </c>
      <c r="J84" s="3">
        <v>84</v>
      </c>
      <c r="K84" s="3">
        <v>96</v>
      </c>
      <c r="L84" s="3">
        <v>86</v>
      </c>
      <c r="M84" s="3">
        <v>117</v>
      </c>
      <c r="N84" s="3">
        <v>129</v>
      </c>
      <c r="O84" s="3">
        <v>99</v>
      </c>
      <c r="P84" s="3">
        <v>100</v>
      </c>
      <c r="Q84" s="3">
        <v>118</v>
      </c>
      <c r="R84" s="3">
        <v>112</v>
      </c>
      <c r="S84" s="3">
        <v>125</v>
      </c>
      <c r="T84" s="3">
        <v>170</v>
      </c>
      <c r="U84" s="3">
        <v>242</v>
      </c>
      <c r="V84" s="3">
        <v>75</v>
      </c>
      <c r="W84" s="3">
        <v>90</v>
      </c>
      <c r="X84" s="3">
        <v>88</v>
      </c>
      <c r="Y84" s="3">
        <v>104</v>
      </c>
      <c r="Z84" s="3">
        <v>86</v>
      </c>
      <c r="AA84" s="5">
        <f t="shared" si="1"/>
        <v>1409</v>
      </c>
    </row>
    <row r="85" spans="1:27" ht="15" customHeight="1" x14ac:dyDescent="0.2">
      <c r="A85" s="3" t="s">
        <v>209</v>
      </c>
      <c r="B85" s="1" t="s">
        <v>210</v>
      </c>
      <c r="C85" s="3">
        <v>8</v>
      </c>
      <c r="D85" s="3">
        <v>8</v>
      </c>
      <c r="E85" s="3">
        <v>7</v>
      </c>
      <c r="F85" s="3">
        <v>9</v>
      </c>
      <c r="G85" s="3">
        <v>8</v>
      </c>
      <c r="H85" s="3">
        <v>12</v>
      </c>
      <c r="I85" s="3">
        <v>15</v>
      </c>
      <c r="J85" s="3">
        <v>6</v>
      </c>
      <c r="K85" s="3">
        <v>7</v>
      </c>
      <c r="L85" s="3">
        <v>8</v>
      </c>
      <c r="M85" s="3">
        <v>9</v>
      </c>
      <c r="N85" s="3">
        <v>10</v>
      </c>
      <c r="O85" s="3">
        <v>9</v>
      </c>
      <c r="P85" s="3">
        <v>8</v>
      </c>
      <c r="Q85" s="3">
        <v>8</v>
      </c>
      <c r="R85" s="3">
        <v>8</v>
      </c>
      <c r="S85" s="3">
        <v>9</v>
      </c>
      <c r="T85" s="3">
        <v>14</v>
      </c>
      <c r="U85" s="3">
        <v>15</v>
      </c>
      <c r="V85" s="3">
        <v>7</v>
      </c>
      <c r="W85" s="3">
        <v>9</v>
      </c>
      <c r="X85" s="3">
        <v>8</v>
      </c>
      <c r="Y85" s="3">
        <v>9</v>
      </c>
      <c r="Z85" s="3">
        <v>10</v>
      </c>
      <c r="AA85" s="5">
        <f t="shared" si="1"/>
        <v>114</v>
      </c>
    </row>
    <row r="86" spans="1:27" ht="15" customHeight="1" x14ac:dyDescent="0.2">
      <c r="A86" s="3" t="s">
        <v>211</v>
      </c>
      <c r="B86" s="1" t="s">
        <v>212</v>
      </c>
      <c r="C86" s="3">
        <v>13</v>
      </c>
      <c r="D86" s="3">
        <v>13</v>
      </c>
      <c r="E86" s="3">
        <v>13</v>
      </c>
      <c r="F86" s="3">
        <v>14</v>
      </c>
      <c r="G86" s="3">
        <v>16</v>
      </c>
      <c r="H86" s="3">
        <v>22</v>
      </c>
      <c r="I86" s="3">
        <v>28</v>
      </c>
      <c r="J86" s="3">
        <v>10</v>
      </c>
      <c r="K86" s="3">
        <v>12</v>
      </c>
      <c r="L86" s="3">
        <v>13</v>
      </c>
      <c r="M86" s="3">
        <v>14</v>
      </c>
      <c r="N86" s="3">
        <v>15</v>
      </c>
      <c r="O86" s="3">
        <v>13</v>
      </c>
      <c r="P86" s="3">
        <v>14</v>
      </c>
      <c r="Q86" s="3">
        <v>14</v>
      </c>
      <c r="R86" s="3">
        <v>14</v>
      </c>
      <c r="S86" s="3">
        <v>18</v>
      </c>
      <c r="T86" s="3">
        <v>20</v>
      </c>
      <c r="U86" s="3">
        <v>27</v>
      </c>
      <c r="V86" s="3">
        <v>10</v>
      </c>
      <c r="W86" s="3">
        <v>12</v>
      </c>
      <c r="X86" s="3">
        <v>15</v>
      </c>
      <c r="Y86" s="3">
        <v>16</v>
      </c>
      <c r="Z86" s="3">
        <v>15</v>
      </c>
      <c r="AA86" s="5">
        <f t="shared" si="1"/>
        <v>188</v>
      </c>
    </row>
    <row r="87" spans="1:27" ht="15" customHeight="1" x14ac:dyDescent="0.2">
      <c r="A87" s="3" t="s">
        <v>213</v>
      </c>
      <c r="B87" s="1" t="s">
        <v>214</v>
      </c>
      <c r="C87" s="3">
        <v>38</v>
      </c>
      <c r="D87" s="3">
        <v>45</v>
      </c>
      <c r="E87" s="3">
        <v>46</v>
      </c>
      <c r="F87" s="3">
        <v>49</v>
      </c>
      <c r="G87" s="3">
        <v>46</v>
      </c>
      <c r="H87" s="3">
        <v>69</v>
      </c>
      <c r="I87" s="3">
        <v>90</v>
      </c>
      <c r="J87" s="3">
        <v>38</v>
      </c>
      <c r="K87" s="3">
        <v>34</v>
      </c>
      <c r="L87" s="3">
        <v>42</v>
      </c>
      <c r="M87" s="3">
        <v>45</v>
      </c>
      <c r="N87" s="3">
        <v>46</v>
      </c>
      <c r="O87" s="3">
        <v>44</v>
      </c>
      <c r="P87" s="3">
        <v>53</v>
      </c>
      <c r="Q87" s="3">
        <v>41</v>
      </c>
      <c r="R87" s="3">
        <v>47</v>
      </c>
      <c r="S87" s="3">
        <v>49</v>
      </c>
      <c r="T87" s="3">
        <v>70</v>
      </c>
      <c r="U87" s="3">
        <v>80</v>
      </c>
      <c r="V87" s="3">
        <v>35</v>
      </c>
      <c r="W87" s="3">
        <v>35</v>
      </c>
      <c r="X87" s="3">
        <v>41</v>
      </c>
      <c r="Y87" s="3">
        <v>45</v>
      </c>
      <c r="Z87" s="3">
        <v>41</v>
      </c>
      <c r="AA87" s="5">
        <f t="shared" si="1"/>
        <v>581</v>
      </c>
    </row>
    <row r="88" spans="1:27" ht="15" customHeight="1" x14ac:dyDescent="0.2">
      <c r="A88" s="3" t="s">
        <v>215</v>
      </c>
      <c r="B88" s="1" t="s">
        <v>216</v>
      </c>
      <c r="C88" s="3">
        <v>36</v>
      </c>
      <c r="D88" s="3">
        <v>32</v>
      </c>
      <c r="E88" s="3">
        <v>36</v>
      </c>
      <c r="F88" s="3">
        <v>38</v>
      </c>
      <c r="G88" s="3">
        <v>42</v>
      </c>
      <c r="H88" s="3">
        <v>56</v>
      </c>
      <c r="I88" s="3">
        <v>73</v>
      </c>
      <c r="J88" s="3">
        <v>26</v>
      </c>
      <c r="K88" s="3">
        <v>34</v>
      </c>
      <c r="L88" s="3">
        <v>41</v>
      </c>
      <c r="M88" s="3">
        <v>39</v>
      </c>
      <c r="N88" s="3">
        <v>47</v>
      </c>
      <c r="O88" s="3">
        <v>31</v>
      </c>
      <c r="P88" s="3">
        <v>45</v>
      </c>
      <c r="Q88" s="3">
        <v>41</v>
      </c>
      <c r="R88" s="3">
        <v>38</v>
      </c>
      <c r="S88" s="3">
        <v>51</v>
      </c>
      <c r="T88" s="3">
        <v>56</v>
      </c>
      <c r="U88" s="3">
        <v>80</v>
      </c>
      <c r="V88" s="3">
        <v>27</v>
      </c>
      <c r="W88" s="3">
        <v>33</v>
      </c>
      <c r="X88" s="3">
        <v>39</v>
      </c>
      <c r="Y88" s="3">
        <v>56</v>
      </c>
      <c r="Z88" s="3">
        <v>50</v>
      </c>
      <c r="AA88" s="5">
        <f t="shared" si="1"/>
        <v>547</v>
      </c>
    </row>
    <row r="89" spans="1:27" ht="15" customHeight="1" x14ac:dyDescent="0.2">
      <c r="A89" s="3" t="s">
        <v>217</v>
      </c>
      <c r="B89" s="1" t="s">
        <v>218</v>
      </c>
      <c r="C89" s="3">
        <v>20</v>
      </c>
      <c r="D89" s="3">
        <v>19</v>
      </c>
      <c r="E89" s="3">
        <v>15</v>
      </c>
      <c r="F89" s="3">
        <v>23</v>
      </c>
      <c r="G89" s="3">
        <v>25</v>
      </c>
      <c r="H89" s="3">
        <v>28</v>
      </c>
      <c r="I89" s="3">
        <v>43</v>
      </c>
      <c r="J89" s="3">
        <v>16</v>
      </c>
      <c r="K89" s="3">
        <v>17</v>
      </c>
      <c r="L89" s="3">
        <v>24</v>
      </c>
      <c r="M89" s="3">
        <v>22</v>
      </c>
      <c r="N89" s="3">
        <v>24</v>
      </c>
      <c r="O89" s="3">
        <v>18</v>
      </c>
      <c r="P89" s="3">
        <v>21</v>
      </c>
      <c r="Q89" s="3">
        <v>17</v>
      </c>
      <c r="R89" s="3">
        <v>19</v>
      </c>
      <c r="S89" s="3">
        <v>24</v>
      </c>
      <c r="T89" s="3">
        <v>36</v>
      </c>
      <c r="U89" s="3">
        <v>41</v>
      </c>
      <c r="V89" s="3">
        <v>15</v>
      </c>
      <c r="W89" s="3">
        <v>19</v>
      </c>
      <c r="X89" s="3">
        <v>20</v>
      </c>
      <c r="Y89" s="3">
        <v>26</v>
      </c>
      <c r="Z89" s="3">
        <v>24</v>
      </c>
      <c r="AA89" s="5">
        <f t="shared" si="1"/>
        <v>280</v>
      </c>
    </row>
    <row r="90" spans="1:27" ht="15" customHeight="1" x14ac:dyDescent="0.2">
      <c r="A90" s="3" t="s">
        <v>219</v>
      </c>
      <c r="B90" s="1" t="s">
        <v>220</v>
      </c>
      <c r="C90" s="3">
        <v>16</v>
      </c>
      <c r="D90" s="3">
        <v>15</v>
      </c>
      <c r="E90" s="3">
        <v>17</v>
      </c>
      <c r="F90" s="3">
        <v>15</v>
      </c>
      <c r="G90" s="3">
        <v>19</v>
      </c>
      <c r="H90" s="3">
        <v>27</v>
      </c>
      <c r="I90" s="3">
        <v>32</v>
      </c>
      <c r="J90" s="3">
        <v>14</v>
      </c>
      <c r="K90" s="3">
        <v>15</v>
      </c>
      <c r="L90" s="3">
        <v>20</v>
      </c>
      <c r="M90" s="3">
        <v>19</v>
      </c>
      <c r="N90" s="3">
        <v>21</v>
      </c>
      <c r="O90" s="3">
        <v>18</v>
      </c>
      <c r="P90" s="3">
        <v>21</v>
      </c>
      <c r="Q90" s="3">
        <v>15</v>
      </c>
      <c r="R90" s="3">
        <v>17</v>
      </c>
      <c r="S90" s="3">
        <v>25</v>
      </c>
      <c r="T90" s="3">
        <v>27</v>
      </c>
      <c r="U90" s="3">
        <v>37</v>
      </c>
      <c r="V90" s="3">
        <v>13</v>
      </c>
      <c r="W90" s="3">
        <v>14</v>
      </c>
      <c r="X90" s="3">
        <v>18</v>
      </c>
      <c r="Y90" s="3">
        <v>18</v>
      </c>
      <c r="Z90" s="3">
        <v>19</v>
      </c>
      <c r="AA90" s="5">
        <f t="shared" si="1"/>
        <v>242</v>
      </c>
    </row>
    <row r="91" spans="1:27" ht="15" customHeight="1" x14ac:dyDescent="0.2">
      <c r="A91" s="3" t="s">
        <v>221</v>
      </c>
      <c r="B91" s="1" t="s">
        <v>222</v>
      </c>
      <c r="C91" s="3">
        <v>17</v>
      </c>
      <c r="D91" s="3">
        <v>22</v>
      </c>
      <c r="E91" s="3">
        <v>20</v>
      </c>
      <c r="F91" s="3">
        <v>23</v>
      </c>
      <c r="G91" s="3">
        <v>24</v>
      </c>
      <c r="H91" s="3">
        <v>26</v>
      </c>
      <c r="I91" s="3">
        <v>41</v>
      </c>
      <c r="J91" s="3">
        <v>15</v>
      </c>
      <c r="K91" s="3">
        <v>17</v>
      </c>
      <c r="L91" s="3">
        <v>20</v>
      </c>
      <c r="M91" s="3">
        <v>21</v>
      </c>
      <c r="N91" s="3">
        <v>25</v>
      </c>
      <c r="O91" s="3">
        <v>18</v>
      </c>
      <c r="P91" s="3">
        <v>24</v>
      </c>
      <c r="Q91" s="3">
        <v>17</v>
      </c>
      <c r="R91" s="3">
        <v>19</v>
      </c>
      <c r="S91" s="3">
        <v>29</v>
      </c>
      <c r="T91" s="3">
        <v>36</v>
      </c>
      <c r="U91" s="3">
        <v>41</v>
      </c>
      <c r="V91" s="3">
        <v>18</v>
      </c>
      <c r="W91" s="3">
        <v>21</v>
      </c>
      <c r="X91" s="3">
        <v>17</v>
      </c>
      <c r="Y91" s="3">
        <v>22</v>
      </c>
      <c r="Z91" s="3">
        <v>24</v>
      </c>
      <c r="AA91" s="5">
        <f t="shared" si="1"/>
        <v>286</v>
      </c>
    </row>
    <row r="92" spans="1:27" ht="15" customHeight="1" x14ac:dyDescent="0.2">
      <c r="A92" s="3" t="s">
        <v>223</v>
      </c>
      <c r="B92" s="1" t="s">
        <v>224</v>
      </c>
      <c r="C92" s="3">
        <v>17</v>
      </c>
      <c r="D92" s="3">
        <v>11</v>
      </c>
      <c r="E92" s="3">
        <v>4</v>
      </c>
      <c r="F92" s="3">
        <v>12</v>
      </c>
      <c r="G92" s="3">
        <v>3</v>
      </c>
      <c r="H92" s="3">
        <v>4</v>
      </c>
      <c r="I92" s="3">
        <v>3</v>
      </c>
      <c r="J92" s="3">
        <v>3</v>
      </c>
      <c r="K92" s="3">
        <v>4</v>
      </c>
      <c r="L92" s="3">
        <v>3</v>
      </c>
      <c r="M92" s="3">
        <v>4</v>
      </c>
      <c r="N92" s="3">
        <v>4</v>
      </c>
      <c r="O92" s="3">
        <v>3</v>
      </c>
      <c r="P92" s="3">
        <v>4</v>
      </c>
      <c r="Q92" s="3">
        <v>4</v>
      </c>
      <c r="R92" s="3">
        <v>3</v>
      </c>
      <c r="S92" s="3">
        <v>3</v>
      </c>
      <c r="T92" s="3">
        <v>13</v>
      </c>
      <c r="U92" s="3">
        <v>3</v>
      </c>
      <c r="V92" s="3">
        <v>4</v>
      </c>
      <c r="W92" s="3">
        <v>3</v>
      </c>
      <c r="X92" s="3">
        <v>3</v>
      </c>
      <c r="Y92" s="3">
        <v>19</v>
      </c>
      <c r="Z92" s="3">
        <v>4</v>
      </c>
      <c r="AA92" s="5">
        <f t="shared" si="1"/>
        <v>66</v>
      </c>
    </row>
    <row r="93" spans="1:27" ht="15" customHeight="1" x14ac:dyDescent="0.2">
      <c r="A93" s="3" t="s">
        <v>225</v>
      </c>
      <c r="B93" s="1" t="s">
        <v>226</v>
      </c>
      <c r="C93" s="3">
        <v>22</v>
      </c>
      <c r="D93" s="3">
        <v>25</v>
      </c>
      <c r="E93" s="3">
        <v>24</v>
      </c>
      <c r="F93" s="3">
        <v>24</v>
      </c>
      <c r="G93" s="3">
        <v>24</v>
      </c>
      <c r="H93" s="3">
        <v>39</v>
      </c>
      <c r="I93" s="3">
        <v>47</v>
      </c>
      <c r="J93" s="3">
        <v>19</v>
      </c>
      <c r="K93" s="3">
        <v>19</v>
      </c>
      <c r="L93" s="3">
        <v>22</v>
      </c>
      <c r="M93" s="3">
        <v>20</v>
      </c>
      <c r="N93" s="3">
        <v>27</v>
      </c>
      <c r="O93" s="3">
        <v>24</v>
      </c>
      <c r="P93" s="3">
        <v>23</v>
      </c>
      <c r="Q93" s="3">
        <v>26</v>
      </c>
      <c r="R93" s="3">
        <v>25</v>
      </c>
      <c r="S93" s="3">
        <v>28</v>
      </c>
      <c r="T93" s="3">
        <v>38</v>
      </c>
      <c r="U93" s="3">
        <v>51</v>
      </c>
      <c r="V93" s="3">
        <v>20</v>
      </c>
      <c r="W93" s="3">
        <v>22</v>
      </c>
      <c r="X93" s="3">
        <v>23</v>
      </c>
      <c r="Y93" s="3">
        <v>25</v>
      </c>
      <c r="Z93" s="3">
        <v>26</v>
      </c>
      <c r="AA93" s="5">
        <f t="shared" si="1"/>
        <v>331</v>
      </c>
    </row>
    <row r="94" spans="1:27" ht="15" customHeight="1" x14ac:dyDescent="0.2">
      <c r="A94" s="3" t="s">
        <v>227</v>
      </c>
      <c r="B94" s="1" t="s">
        <v>228</v>
      </c>
      <c r="C94" s="3">
        <v>45</v>
      </c>
      <c r="D94" s="3">
        <v>45</v>
      </c>
      <c r="E94" s="3">
        <v>44</v>
      </c>
      <c r="F94" s="3">
        <v>41</v>
      </c>
      <c r="G94" s="3">
        <v>54</v>
      </c>
      <c r="H94" s="3">
        <v>77</v>
      </c>
      <c r="I94" s="3">
        <v>84</v>
      </c>
      <c r="J94" s="3">
        <v>35</v>
      </c>
      <c r="K94" s="3">
        <v>46</v>
      </c>
      <c r="L94" s="3">
        <v>47</v>
      </c>
      <c r="M94" s="3">
        <v>43</v>
      </c>
      <c r="N94" s="3">
        <v>54</v>
      </c>
      <c r="O94" s="3">
        <v>51</v>
      </c>
      <c r="P94" s="3">
        <v>46</v>
      </c>
      <c r="Q94" s="3">
        <v>56</v>
      </c>
      <c r="R94" s="3">
        <v>54</v>
      </c>
      <c r="S94" s="3">
        <v>53</v>
      </c>
      <c r="T94" s="3">
        <v>64</v>
      </c>
      <c r="U94" s="3">
        <v>88</v>
      </c>
      <c r="V94" s="3">
        <v>43</v>
      </c>
      <c r="W94" s="3">
        <v>54</v>
      </c>
      <c r="X94" s="3">
        <v>55</v>
      </c>
      <c r="Y94" s="3">
        <v>53</v>
      </c>
      <c r="Z94" s="3">
        <v>58</v>
      </c>
      <c r="AA94" s="5">
        <f t="shared" si="1"/>
        <v>675</v>
      </c>
    </row>
    <row r="95" spans="1:27" ht="15" customHeight="1" x14ac:dyDescent="0.2">
      <c r="A95" s="3" t="s">
        <v>229</v>
      </c>
      <c r="B95" s="1" t="s">
        <v>230</v>
      </c>
      <c r="C95" s="3">
        <v>9</v>
      </c>
      <c r="D95" s="3">
        <v>8</v>
      </c>
      <c r="E95" s="3">
        <v>8</v>
      </c>
      <c r="F95" s="3">
        <v>8</v>
      </c>
      <c r="G95" s="3">
        <v>10</v>
      </c>
      <c r="H95" s="3">
        <v>12</v>
      </c>
      <c r="I95" s="3">
        <v>19</v>
      </c>
      <c r="J95" s="3">
        <v>7</v>
      </c>
      <c r="K95" s="3">
        <v>7</v>
      </c>
      <c r="L95" s="3">
        <v>8</v>
      </c>
      <c r="M95" s="3">
        <v>9</v>
      </c>
      <c r="N95" s="3">
        <v>8</v>
      </c>
      <c r="O95" s="3">
        <v>8</v>
      </c>
      <c r="P95" s="3">
        <v>9</v>
      </c>
      <c r="Q95" s="3">
        <v>8</v>
      </c>
      <c r="R95" s="3">
        <v>10</v>
      </c>
      <c r="S95" s="3">
        <v>11</v>
      </c>
      <c r="T95" s="3">
        <v>14</v>
      </c>
      <c r="U95" s="3">
        <v>17</v>
      </c>
      <c r="V95" s="3">
        <v>7</v>
      </c>
      <c r="W95" s="3">
        <v>8</v>
      </c>
      <c r="X95" s="3">
        <v>8</v>
      </c>
      <c r="Y95" s="3">
        <v>9</v>
      </c>
      <c r="Z95" s="3">
        <v>11</v>
      </c>
      <c r="AA95" s="5">
        <f t="shared" si="1"/>
        <v>120</v>
      </c>
    </row>
    <row r="96" spans="1:27" ht="15" customHeight="1" x14ac:dyDescent="0.2">
      <c r="A96" s="3" t="s">
        <v>231</v>
      </c>
      <c r="B96" s="1" t="s">
        <v>232</v>
      </c>
      <c r="C96" s="3">
        <v>46</v>
      </c>
      <c r="D96" s="3">
        <v>51</v>
      </c>
      <c r="E96" s="3">
        <v>41</v>
      </c>
      <c r="F96" s="3">
        <v>47</v>
      </c>
      <c r="G96" s="3">
        <v>61</v>
      </c>
      <c r="H96" s="3">
        <v>65</v>
      </c>
      <c r="I96" s="3">
        <v>81</v>
      </c>
      <c r="J96" s="3">
        <v>35</v>
      </c>
      <c r="K96" s="3">
        <v>43</v>
      </c>
      <c r="L96" s="3">
        <v>43</v>
      </c>
      <c r="M96" s="3">
        <v>42</v>
      </c>
      <c r="N96" s="3">
        <v>54</v>
      </c>
      <c r="O96" s="3">
        <v>61</v>
      </c>
      <c r="P96" s="3">
        <v>52</v>
      </c>
      <c r="Q96" s="3">
        <v>49</v>
      </c>
      <c r="R96" s="3">
        <v>56</v>
      </c>
      <c r="S96" s="3">
        <v>51</v>
      </c>
      <c r="T96" s="3">
        <v>73</v>
      </c>
      <c r="U96" s="3">
        <v>101</v>
      </c>
      <c r="V96" s="3">
        <v>36</v>
      </c>
      <c r="W96" s="3">
        <v>42</v>
      </c>
      <c r="X96" s="3">
        <v>55</v>
      </c>
      <c r="Y96" s="3">
        <v>56</v>
      </c>
      <c r="Z96" s="3">
        <v>58</v>
      </c>
      <c r="AA96" s="5">
        <f t="shared" si="1"/>
        <v>690</v>
      </c>
    </row>
    <row r="97" spans="1:27" ht="15" customHeight="1" x14ac:dyDescent="0.2">
      <c r="A97" s="3" t="s">
        <v>233</v>
      </c>
      <c r="B97" s="1" t="s">
        <v>234</v>
      </c>
      <c r="C97" s="3">
        <v>6</v>
      </c>
      <c r="D97" s="3">
        <v>6</v>
      </c>
      <c r="E97" s="3">
        <v>6</v>
      </c>
      <c r="F97" s="3">
        <v>6</v>
      </c>
      <c r="G97" s="3">
        <v>7</v>
      </c>
      <c r="H97" s="3">
        <v>11</v>
      </c>
      <c r="I97" s="3">
        <v>11</v>
      </c>
      <c r="J97" s="3">
        <v>6</v>
      </c>
      <c r="K97" s="3">
        <v>6</v>
      </c>
      <c r="L97" s="3">
        <v>6</v>
      </c>
      <c r="M97" s="3">
        <v>7</v>
      </c>
      <c r="N97" s="3">
        <v>8</v>
      </c>
      <c r="O97" s="3">
        <v>6</v>
      </c>
      <c r="P97" s="3">
        <v>7</v>
      </c>
      <c r="Q97" s="3">
        <v>6</v>
      </c>
      <c r="R97" s="3">
        <v>8</v>
      </c>
      <c r="S97" s="3">
        <v>7</v>
      </c>
      <c r="T97" s="3">
        <v>12</v>
      </c>
      <c r="U97" s="3">
        <v>11</v>
      </c>
      <c r="V97" s="3">
        <v>5</v>
      </c>
      <c r="W97" s="3">
        <v>7</v>
      </c>
      <c r="X97" s="3">
        <v>8</v>
      </c>
      <c r="Y97" s="3">
        <v>7</v>
      </c>
      <c r="Z97" s="3">
        <v>9</v>
      </c>
      <c r="AA97" s="5">
        <f t="shared" si="1"/>
        <v>93</v>
      </c>
    </row>
    <row r="98" spans="1:27" ht="15" customHeight="1" x14ac:dyDescent="0.2">
      <c r="A98" s="3" t="s">
        <v>235</v>
      </c>
      <c r="B98" s="1" t="s">
        <v>236</v>
      </c>
      <c r="C98" s="3">
        <v>44</v>
      </c>
      <c r="D98" s="3">
        <v>41</v>
      </c>
      <c r="E98" s="3">
        <v>44</v>
      </c>
      <c r="F98" s="3">
        <v>35</v>
      </c>
      <c r="G98" s="3">
        <v>54</v>
      </c>
      <c r="H98" s="3">
        <v>67</v>
      </c>
      <c r="I98" s="3">
        <v>68</v>
      </c>
      <c r="J98" s="3">
        <v>34</v>
      </c>
      <c r="K98" s="3">
        <v>39</v>
      </c>
      <c r="L98" s="3">
        <v>53</v>
      </c>
      <c r="M98" s="3">
        <v>47</v>
      </c>
      <c r="N98" s="3">
        <v>49</v>
      </c>
      <c r="O98" s="3">
        <v>52</v>
      </c>
      <c r="P98" s="3">
        <v>48</v>
      </c>
      <c r="Q98" s="3">
        <v>47</v>
      </c>
      <c r="R98" s="3">
        <v>46</v>
      </c>
      <c r="S98" s="3">
        <v>51</v>
      </c>
      <c r="T98" s="3">
        <v>72</v>
      </c>
      <c r="U98" s="3">
        <v>84</v>
      </c>
      <c r="V98" s="3">
        <v>34</v>
      </c>
      <c r="W98" s="3">
        <v>38</v>
      </c>
      <c r="X98" s="3">
        <v>41</v>
      </c>
      <c r="Y98" s="3">
        <v>44</v>
      </c>
      <c r="Z98" s="3">
        <v>53</v>
      </c>
      <c r="AA98" s="5">
        <f t="shared" si="1"/>
        <v>610</v>
      </c>
    </row>
    <row r="99" spans="1:27" ht="15" customHeight="1" x14ac:dyDescent="0.2">
      <c r="A99" s="3" t="s">
        <v>237</v>
      </c>
      <c r="B99" s="1" t="s">
        <v>238</v>
      </c>
      <c r="C99" s="3">
        <v>28</v>
      </c>
      <c r="D99" s="3">
        <v>33</v>
      </c>
      <c r="E99" s="3">
        <v>27</v>
      </c>
      <c r="F99" s="3">
        <v>39</v>
      </c>
      <c r="G99" s="3">
        <v>34</v>
      </c>
      <c r="H99" s="3">
        <v>50</v>
      </c>
      <c r="I99" s="3">
        <v>71</v>
      </c>
      <c r="J99" s="3">
        <v>28</v>
      </c>
      <c r="K99" s="3">
        <v>33</v>
      </c>
      <c r="L99" s="3">
        <v>28</v>
      </c>
      <c r="M99" s="3">
        <v>32</v>
      </c>
      <c r="N99" s="3">
        <v>35</v>
      </c>
      <c r="O99" s="3">
        <v>33</v>
      </c>
      <c r="P99" s="3">
        <v>33</v>
      </c>
      <c r="Q99" s="3">
        <v>29</v>
      </c>
      <c r="R99" s="3">
        <v>37</v>
      </c>
      <c r="S99" s="3">
        <v>36</v>
      </c>
      <c r="T99" s="3">
        <v>53</v>
      </c>
      <c r="U99" s="3">
        <v>79</v>
      </c>
      <c r="V99" s="3">
        <v>30</v>
      </c>
      <c r="W99" s="3">
        <v>30</v>
      </c>
      <c r="X99" s="3">
        <v>37</v>
      </c>
      <c r="Y99" s="3">
        <v>31</v>
      </c>
      <c r="Z99" s="3">
        <v>39</v>
      </c>
      <c r="AA99" s="5">
        <f t="shared" si="1"/>
        <v>467</v>
      </c>
    </row>
    <row r="100" spans="1:27" ht="15" customHeight="1" x14ac:dyDescent="0.2">
      <c r="A100" s="3" t="s">
        <v>239</v>
      </c>
      <c r="B100" s="1" t="s">
        <v>240</v>
      </c>
      <c r="C100" s="3">
        <v>6</v>
      </c>
      <c r="D100" s="3">
        <v>6</v>
      </c>
      <c r="E100" s="3">
        <v>6</v>
      </c>
      <c r="F100" s="3">
        <v>8</v>
      </c>
      <c r="G100" s="3">
        <v>7</v>
      </c>
      <c r="H100" s="3">
        <v>11</v>
      </c>
      <c r="I100" s="3">
        <v>13</v>
      </c>
      <c r="J100" s="3">
        <v>5</v>
      </c>
      <c r="K100" s="3">
        <v>5</v>
      </c>
      <c r="L100" s="3">
        <v>8</v>
      </c>
      <c r="M100" s="3">
        <v>7</v>
      </c>
      <c r="N100" s="3">
        <v>7</v>
      </c>
      <c r="O100" s="3">
        <v>7</v>
      </c>
      <c r="P100" s="3">
        <v>7</v>
      </c>
      <c r="Q100" s="3">
        <v>6</v>
      </c>
      <c r="R100" s="3">
        <v>7</v>
      </c>
      <c r="S100" s="3">
        <v>8</v>
      </c>
      <c r="T100" s="3">
        <v>11</v>
      </c>
      <c r="U100" s="3">
        <v>13</v>
      </c>
      <c r="V100" s="3">
        <v>6</v>
      </c>
      <c r="W100" s="3">
        <v>6</v>
      </c>
      <c r="X100" s="3">
        <v>7</v>
      </c>
      <c r="Y100" s="3">
        <v>8</v>
      </c>
      <c r="Z100" s="3">
        <v>8</v>
      </c>
      <c r="AA100" s="5">
        <f t="shared" si="1"/>
        <v>94</v>
      </c>
    </row>
    <row r="101" spans="1:27" ht="15" customHeight="1" x14ac:dyDescent="0.2">
      <c r="A101" s="3" t="s">
        <v>241</v>
      </c>
      <c r="B101" s="1" t="s">
        <v>242</v>
      </c>
      <c r="C101" s="3">
        <v>20</v>
      </c>
      <c r="D101" s="3">
        <v>20</v>
      </c>
      <c r="E101" s="3">
        <v>19</v>
      </c>
      <c r="F101" s="3">
        <v>18</v>
      </c>
      <c r="G101" s="3">
        <v>23</v>
      </c>
      <c r="H101" s="3">
        <v>29</v>
      </c>
      <c r="I101" s="3">
        <v>47</v>
      </c>
      <c r="J101" s="3">
        <v>15</v>
      </c>
      <c r="K101" s="3">
        <v>15</v>
      </c>
      <c r="L101" s="3">
        <v>23</v>
      </c>
      <c r="M101" s="3">
        <v>20</v>
      </c>
      <c r="N101" s="3">
        <v>22</v>
      </c>
      <c r="O101" s="3">
        <v>21</v>
      </c>
      <c r="P101" s="3">
        <v>25</v>
      </c>
      <c r="Q101" s="3">
        <v>15</v>
      </c>
      <c r="R101" s="3">
        <v>22</v>
      </c>
      <c r="S101" s="3">
        <v>24</v>
      </c>
      <c r="T101" s="3">
        <v>37</v>
      </c>
      <c r="U101" s="3">
        <v>46</v>
      </c>
      <c r="V101" s="3">
        <v>18</v>
      </c>
      <c r="W101" s="3">
        <v>19</v>
      </c>
      <c r="X101" s="3">
        <v>21</v>
      </c>
      <c r="Y101" s="3">
        <v>18</v>
      </c>
      <c r="Z101" s="3">
        <v>21</v>
      </c>
      <c r="AA101" s="5">
        <f t="shared" si="1"/>
        <v>287</v>
      </c>
    </row>
    <row r="102" spans="1:27" ht="15" customHeight="1" x14ac:dyDescent="0.2">
      <c r="A102" s="3" t="s">
        <v>243</v>
      </c>
      <c r="B102" s="1" t="s">
        <v>244</v>
      </c>
      <c r="C102" s="3">
        <v>24</v>
      </c>
      <c r="D102" s="3">
        <v>25</v>
      </c>
      <c r="E102" s="3">
        <v>19</v>
      </c>
      <c r="F102" s="3">
        <v>20</v>
      </c>
      <c r="G102" s="3">
        <v>34</v>
      </c>
      <c r="H102" s="3">
        <v>39</v>
      </c>
      <c r="I102" s="3">
        <v>45</v>
      </c>
      <c r="J102" s="3">
        <v>19</v>
      </c>
      <c r="K102" s="3">
        <v>23</v>
      </c>
      <c r="L102" s="3">
        <v>24</v>
      </c>
      <c r="M102" s="3">
        <v>26</v>
      </c>
      <c r="N102" s="3">
        <v>28</v>
      </c>
      <c r="O102" s="3">
        <v>26</v>
      </c>
      <c r="P102" s="3">
        <v>26</v>
      </c>
      <c r="Q102" s="3">
        <v>24</v>
      </c>
      <c r="R102" s="3">
        <v>26</v>
      </c>
      <c r="S102" s="3">
        <v>25</v>
      </c>
      <c r="T102" s="3">
        <v>46</v>
      </c>
      <c r="U102" s="3">
        <v>52</v>
      </c>
      <c r="V102" s="3">
        <v>19</v>
      </c>
      <c r="W102" s="3">
        <v>22</v>
      </c>
      <c r="X102" s="3">
        <v>24</v>
      </c>
      <c r="Y102" s="3">
        <v>25</v>
      </c>
      <c r="Z102" s="3">
        <v>32</v>
      </c>
      <c r="AA102" s="5">
        <f t="shared" si="1"/>
        <v>347</v>
      </c>
    </row>
    <row r="103" spans="1:27" ht="15" customHeight="1" x14ac:dyDescent="0.2">
      <c r="A103" s="3" t="s">
        <v>245</v>
      </c>
      <c r="B103" s="1" t="s">
        <v>246</v>
      </c>
      <c r="C103" s="3">
        <v>93</v>
      </c>
      <c r="D103" s="3">
        <v>83</v>
      </c>
      <c r="E103" s="3">
        <v>97</v>
      </c>
      <c r="F103" s="3">
        <v>95</v>
      </c>
      <c r="G103" s="3">
        <v>119</v>
      </c>
      <c r="H103" s="3">
        <v>123</v>
      </c>
      <c r="I103" s="3">
        <v>177</v>
      </c>
      <c r="J103" s="3">
        <v>72</v>
      </c>
      <c r="K103" s="3">
        <v>77</v>
      </c>
      <c r="L103" s="3">
        <v>100</v>
      </c>
      <c r="M103" s="3">
        <v>81</v>
      </c>
      <c r="N103" s="3">
        <v>114</v>
      </c>
      <c r="O103" s="3">
        <v>100</v>
      </c>
      <c r="P103" s="3">
        <v>85</v>
      </c>
      <c r="Q103" s="3">
        <v>91</v>
      </c>
      <c r="R103" s="3">
        <v>92</v>
      </c>
      <c r="S103" s="3">
        <v>116</v>
      </c>
      <c r="T103" s="3">
        <v>165</v>
      </c>
      <c r="U103" s="3">
        <v>202</v>
      </c>
      <c r="V103" s="3">
        <v>66</v>
      </c>
      <c r="W103" s="3">
        <v>93</v>
      </c>
      <c r="X103" s="3">
        <v>117</v>
      </c>
      <c r="Y103" s="3">
        <v>108</v>
      </c>
      <c r="Z103" s="3">
        <v>104</v>
      </c>
      <c r="AA103" s="5">
        <f t="shared" si="1"/>
        <v>1339</v>
      </c>
    </row>
    <row r="104" spans="1:27" ht="15" customHeight="1" x14ac:dyDescent="0.2">
      <c r="A104" s="3" t="s">
        <v>247</v>
      </c>
      <c r="B104" s="1" t="s">
        <v>248</v>
      </c>
      <c r="C104" s="3">
        <v>17</v>
      </c>
      <c r="D104" s="3">
        <v>11</v>
      </c>
      <c r="E104" s="3">
        <v>66</v>
      </c>
      <c r="F104" s="3">
        <v>14</v>
      </c>
      <c r="G104" s="3">
        <v>13</v>
      </c>
      <c r="H104" s="3">
        <v>73</v>
      </c>
      <c r="I104" s="3">
        <v>14</v>
      </c>
      <c r="J104" s="3">
        <v>15</v>
      </c>
      <c r="K104" s="3">
        <v>18</v>
      </c>
      <c r="L104" s="3">
        <v>53</v>
      </c>
      <c r="M104" s="3">
        <v>68</v>
      </c>
      <c r="N104" s="3">
        <v>18</v>
      </c>
      <c r="O104" s="3">
        <v>12</v>
      </c>
      <c r="P104" s="3">
        <v>13</v>
      </c>
      <c r="Q104" s="3">
        <v>12</v>
      </c>
      <c r="R104" s="3">
        <v>104</v>
      </c>
      <c r="S104" s="3">
        <v>16</v>
      </c>
      <c r="T104" s="3">
        <v>12</v>
      </c>
      <c r="U104" s="3">
        <v>11</v>
      </c>
      <c r="V104" s="3">
        <v>17</v>
      </c>
      <c r="W104" s="3">
        <v>79</v>
      </c>
      <c r="X104" s="3">
        <v>51</v>
      </c>
      <c r="Y104" s="3">
        <v>54</v>
      </c>
      <c r="Z104" s="3">
        <v>12</v>
      </c>
      <c r="AA104" s="5">
        <f t="shared" si="1"/>
        <v>393</v>
      </c>
    </row>
    <row r="105" spans="1:27" ht="15" customHeight="1" x14ac:dyDescent="0.2">
      <c r="A105" s="3" t="s">
        <v>249</v>
      </c>
      <c r="B105" s="1" t="s">
        <v>250</v>
      </c>
      <c r="C105" s="3">
        <v>9</v>
      </c>
      <c r="D105" s="3">
        <v>8</v>
      </c>
      <c r="E105" s="3">
        <v>9</v>
      </c>
      <c r="F105" s="3">
        <v>9</v>
      </c>
      <c r="G105" s="3">
        <v>9</v>
      </c>
      <c r="H105" s="3">
        <v>12</v>
      </c>
      <c r="I105" s="3">
        <v>14</v>
      </c>
      <c r="J105" s="3">
        <v>8</v>
      </c>
      <c r="K105" s="3">
        <v>8</v>
      </c>
      <c r="L105" s="3">
        <v>10</v>
      </c>
      <c r="M105" s="3">
        <v>9</v>
      </c>
      <c r="N105" s="3">
        <v>10</v>
      </c>
      <c r="O105" s="3">
        <v>7</v>
      </c>
      <c r="P105" s="3">
        <v>9</v>
      </c>
      <c r="Q105" s="3">
        <v>9</v>
      </c>
      <c r="R105" s="3">
        <v>9</v>
      </c>
      <c r="S105" s="3">
        <v>10</v>
      </c>
      <c r="T105" s="3">
        <v>15</v>
      </c>
      <c r="U105" s="3">
        <v>20</v>
      </c>
      <c r="V105" s="3">
        <v>7</v>
      </c>
      <c r="W105" s="3">
        <v>8</v>
      </c>
      <c r="X105" s="3">
        <v>9</v>
      </c>
      <c r="Y105" s="3">
        <v>9</v>
      </c>
      <c r="Z105" s="3">
        <v>10</v>
      </c>
      <c r="AA105" s="5">
        <f t="shared" si="1"/>
        <v>122</v>
      </c>
    </row>
    <row r="106" spans="1:27" ht="15" customHeight="1" x14ac:dyDescent="0.2">
      <c r="A106" s="3" t="s">
        <v>253</v>
      </c>
      <c r="B106" s="1" t="s">
        <v>254</v>
      </c>
      <c r="C106" s="3">
        <v>92</v>
      </c>
      <c r="D106" s="3">
        <v>104</v>
      </c>
      <c r="E106" s="3">
        <v>18</v>
      </c>
      <c r="F106" s="3">
        <v>124</v>
      </c>
      <c r="G106" s="3">
        <v>14</v>
      </c>
      <c r="H106" s="3">
        <v>22</v>
      </c>
      <c r="I106" s="3">
        <v>130</v>
      </c>
      <c r="J106" s="3">
        <v>19</v>
      </c>
      <c r="K106" s="3">
        <v>18</v>
      </c>
      <c r="L106" s="3">
        <v>74</v>
      </c>
      <c r="M106" s="3">
        <v>67</v>
      </c>
      <c r="N106" s="3">
        <v>15</v>
      </c>
      <c r="O106" s="3">
        <v>18</v>
      </c>
      <c r="P106" s="3">
        <v>47</v>
      </c>
      <c r="Q106" s="3">
        <v>13</v>
      </c>
      <c r="R106" s="3">
        <v>21</v>
      </c>
      <c r="S106" s="3">
        <v>16</v>
      </c>
      <c r="T106" s="3">
        <v>58</v>
      </c>
      <c r="U106" s="3">
        <v>96</v>
      </c>
      <c r="V106" s="3">
        <v>14</v>
      </c>
      <c r="W106" s="3">
        <v>18</v>
      </c>
      <c r="X106" s="3">
        <v>14</v>
      </c>
      <c r="Y106" s="3">
        <v>20</v>
      </c>
      <c r="Z106" s="3">
        <v>56</v>
      </c>
      <c r="AA106" s="5">
        <f t="shared" si="1"/>
        <v>391</v>
      </c>
    </row>
    <row r="107" spans="1:27" ht="15" customHeight="1" x14ac:dyDescent="0.2">
      <c r="A107" s="3" t="s">
        <v>255</v>
      </c>
      <c r="B107" s="1" t="s">
        <v>256</v>
      </c>
      <c r="C107" s="3">
        <v>65</v>
      </c>
      <c r="D107" s="3">
        <v>75</v>
      </c>
      <c r="E107" s="3">
        <v>53</v>
      </c>
      <c r="F107" s="3">
        <v>55</v>
      </c>
      <c r="G107" s="3">
        <v>68</v>
      </c>
      <c r="H107" s="3">
        <v>106</v>
      </c>
      <c r="I107" s="3">
        <v>114</v>
      </c>
      <c r="J107" s="3">
        <v>51</v>
      </c>
      <c r="K107" s="3">
        <v>45</v>
      </c>
      <c r="L107" s="3">
        <v>60</v>
      </c>
      <c r="M107" s="3">
        <v>65</v>
      </c>
      <c r="N107" s="3">
        <v>66</v>
      </c>
      <c r="O107" s="3">
        <v>67</v>
      </c>
      <c r="P107" s="3">
        <v>63</v>
      </c>
      <c r="Q107" s="3">
        <v>53</v>
      </c>
      <c r="R107" s="3">
        <v>70</v>
      </c>
      <c r="S107" s="3">
        <v>87</v>
      </c>
      <c r="T107" s="3">
        <v>89</v>
      </c>
      <c r="U107" s="3">
        <v>137</v>
      </c>
      <c r="V107" s="3">
        <v>50</v>
      </c>
      <c r="W107" s="3">
        <v>59</v>
      </c>
      <c r="X107" s="3">
        <v>63</v>
      </c>
      <c r="Y107" s="3">
        <v>56</v>
      </c>
      <c r="Z107" s="3">
        <v>61</v>
      </c>
      <c r="AA107" s="5">
        <f t="shared" si="1"/>
        <v>855</v>
      </c>
    </row>
    <row r="108" spans="1:27" ht="15" customHeight="1" x14ac:dyDescent="0.2">
      <c r="A108" s="3" t="s">
        <v>257</v>
      </c>
      <c r="B108" s="1" t="s">
        <v>258</v>
      </c>
      <c r="C108" s="3">
        <v>155</v>
      </c>
      <c r="D108" s="3">
        <v>147</v>
      </c>
      <c r="E108" s="3">
        <v>152</v>
      </c>
      <c r="F108" s="3">
        <v>180</v>
      </c>
      <c r="G108" s="3">
        <v>204</v>
      </c>
      <c r="H108" s="3">
        <v>246</v>
      </c>
      <c r="I108" s="3">
        <v>306</v>
      </c>
      <c r="J108" s="3">
        <v>118</v>
      </c>
      <c r="K108" s="3">
        <v>141</v>
      </c>
      <c r="L108" s="3">
        <v>155</v>
      </c>
      <c r="M108" s="3">
        <v>202</v>
      </c>
      <c r="N108" s="3">
        <v>168</v>
      </c>
      <c r="O108" s="3">
        <v>171</v>
      </c>
      <c r="P108" s="3">
        <v>170</v>
      </c>
      <c r="Q108" s="3">
        <v>142</v>
      </c>
      <c r="R108" s="3">
        <v>179</v>
      </c>
      <c r="S108" s="3">
        <v>198</v>
      </c>
      <c r="T108" s="3">
        <v>283</v>
      </c>
      <c r="U108" s="3">
        <v>323</v>
      </c>
      <c r="V108" s="3">
        <v>117</v>
      </c>
      <c r="W108" s="3">
        <v>148</v>
      </c>
      <c r="X108" s="3">
        <v>151</v>
      </c>
      <c r="Y108" s="3">
        <v>186</v>
      </c>
      <c r="Z108" s="3">
        <v>191</v>
      </c>
      <c r="AA108" s="5">
        <f t="shared" si="1"/>
        <v>2259</v>
      </c>
    </row>
    <row r="109" spans="1:27" ht="15" customHeight="1" x14ac:dyDescent="0.2">
      <c r="A109" s="3" t="s">
        <v>259</v>
      </c>
      <c r="B109" s="1" t="s">
        <v>260</v>
      </c>
      <c r="C109" s="3">
        <v>19</v>
      </c>
      <c r="D109" s="3">
        <v>21</v>
      </c>
      <c r="E109" s="3">
        <v>16</v>
      </c>
      <c r="F109" s="3">
        <v>24</v>
      </c>
      <c r="G109" s="3">
        <v>25</v>
      </c>
      <c r="H109" s="3">
        <v>33</v>
      </c>
      <c r="I109" s="3">
        <v>40</v>
      </c>
      <c r="J109" s="3">
        <v>15</v>
      </c>
      <c r="K109" s="3">
        <v>20</v>
      </c>
      <c r="L109" s="3">
        <v>21</v>
      </c>
      <c r="M109" s="3">
        <v>21</v>
      </c>
      <c r="N109" s="3">
        <v>23</v>
      </c>
      <c r="O109" s="3">
        <v>19</v>
      </c>
      <c r="P109" s="3">
        <v>27</v>
      </c>
      <c r="Q109" s="3">
        <v>20</v>
      </c>
      <c r="R109" s="3">
        <v>26</v>
      </c>
      <c r="S109" s="3">
        <v>23</v>
      </c>
      <c r="T109" s="3">
        <v>37</v>
      </c>
      <c r="U109" s="3">
        <v>42</v>
      </c>
      <c r="V109" s="3">
        <v>19</v>
      </c>
      <c r="W109" s="3">
        <v>20</v>
      </c>
      <c r="X109" s="3">
        <v>24</v>
      </c>
      <c r="Y109" s="3">
        <v>29</v>
      </c>
      <c r="Z109" s="3">
        <v>23</v>
      </c>
      <c r="AA109" s="5">
        <f t="shared" si="1"/>
        <v>309</v>
      </c>
    </row>
    <row r="110" spans="1:27" ht="15" customHeight="1" x14ac:dyDescent="0.2">
      <c r="A110" s="3" t="s">
        <v>261</v>
      </c>
      <c r="B110" s="1" t="s">
        <v>262</v>
      </c>
      <c r="C110" s="3">
        <v>10</v>
      </c>
      <c r="D110" s="3">
        <v>10</v>
      </c>
      <c r="E110" s="3">
        <v>10</v>
      </c>
      <c r="F110" s="3">
        <v>8</v>
      </c>
      <c r="G110" s="3">
        <v>12</v>
      </c>
      <c r="H110" s="3">
        <v>14</v>
      </c>
      <c r="I110" s="3">
        <v>16</v>
      </c>
      <c r="J110" s="3">
        <v>10</v>
      </c>
      <c r="K110" s="3">
        <v>10</v>
      </c>
      <c r="L110" s="3">
        <v>10</v>
      </c>
      <c r="M110" s="3">
        <v>10</v>
      </c>
      <c r="N110" s="3">
        <v>9</v>
      </c>
      <c r="O110" s="3">
        <v>13</v>
      </c>
      <c r="P110" s="3">
        <v>10</v>
      </c>
      <c r="Q110" s="3">
        <v>11</v>
      </c>
      <c r="R110" s="3">
        <v>14</v>
      </c>
      <c r="S110" s="3">
        <v>13</v>
      </c>
      <c r="T110" s="3">
        <v>19</v>
      </c>
      <c r="U110" s="3">
        <v>24</v>
      </c>
      <c r="V110" s="3">
        <v>9</v>
      </c>
      <c r="W110" s="3">
        <v>10</v>
      </c>
      <c r="X110" s="3">
        <v>10</v>
      </c>
      <c r="Y110" s="3">
        <v>12</v>
      </c>
      <c r="Z110" s="3">
        <v>11</v>
      </c>
      <c r="AA110" s="5">
        <f t="shared" si="1"/>
        <v>156</v>
      </c>
    </row>
    <row r="111" spans="1:27" ht="15" customHeight="1" x14ac:dyDescent="0.2">
      <c r="A111" s="3" t="s">
        <v>263</v>
      </c>
      <c r="B111" s="1" t="s">
        <v>264</v>
      </c>
      <c r="C111" s="3">
        <v>42</v>
      </c>
      <c r="D111" s="3">
        <v>40</v>
      </c>
      <c r="E111" s="3">
        <v>38</v>
      </c>
      <c r="F111" s="3">
        <v>43</v>
      </c>
      <c r="G111" s="3">
        <v>49</v>
      </c>
      <c r="H111" s="3">
        <v>65</v>
      </c>
      <c r="I111" s="3">
        <v>78</v>
      </c>
      <c r="J111" s="3">
        <v>33</v>
      </c>
      <c r="K111" s="3">
        <v>33</v>
      </c>
      <c r="L111" s="3">
        <v>41</v>
      </c>
      <c r="M111" s="3">
        <v>42</v>
      </c>
      <c r="N111" s="3">
        <v>45</v>
      </c>
      <c r="O111" s="3">
        <v>40</v>
      </c>
      <c r="P111" s="3">
        <v>43</v>
      </c>
      <c r="Q111" s="3">
        <v>47</v>
      </c>
      <c r="R111" s="3">
        <v>42</v>
      </c>
      <c r="S111" s="3">
        <v>49</v>
      </c>
      <c r="T111" s="3">
        <v>63</v>
      </c>
      <c r="U111" s="3">
        <v>84</v>
      </c>
      <c r="V111" s="3">
        <v>29</v>
      </c>
      <c r="W111" s="3">
        <v>36</v>
      </c>
      <c r="X111" s="3">
        <v>46</v>
      </c>
      <c r="Y111" s="3">
        <v>44</v>
      </c>
      <c r="Z111" s="3">
        <v>48</v>
      </c>
      <c r="AA111" s="5">
        <f t="shared" si="1"/>
        <v>571</v>
      </c>
    </row>
    <row r="112" spans="1:27" ht="15" customHeight="1" x14ac:dyDescent="0.2">
      <c r="A112" s="3" t="s">
        <v>265</v>
      </c>
      <c r="B112" s="1" t="s">
        <v>266</v>
      </c>
      <c r="C112" s="3">
        <v>21</v>
      </c>
      <c r="D112" s="3">
        <v>110</v>
      </c>
      <c r="E112" s="3">
        <v>29</v>
      </c>
      <c r="F112" s="3">
        <v>250</v>
      </c>
      <c r="G112" s="3">
        <v>183</v>
      </c>
      <c r="H112" s="3">
        <v>28</v>
      </c>
      <c r="I112" s="3">
        <v>39</v>
      </c>
      <c r="J112" s="3">
        <v>144</v>
      </c>
      <c r="K112" s="3">
        <v>35</v>
      </c>
      <c r="L112" s="3">
        <v>98</v>
      </c>
      <c r="M112" s="3">
        <v>35</v>
      </c>
      <c r="N112" s="3">
        <v>281</v>
      </c>
      <c r="O112" s="3">
        <v>30</v>
      </c>
      <c r="P112" s="3">
        <v>23</v>
      </c>
      <c r="Q112" s="3">
        <v>25</v>
      </c>
      <c r="R112" s="3">
        <v>34</v>
      </c>
      <c r="S112" s="3">
        <v>156</v>
      </c>
      <c r="T112" s="3">
        <v>34</v>
      </c>
      <c r="U112" s="3">
        <v>31</v>
      </c>
      <c r="V112" s="3">
        <v>36</v>
      </c>
      <c r="W112" s="3">
        <v>36</v>
      </c>
      <c r="X112" s="3">
        <v>31</v>
      </c>
      <c r="Y112" s="3">
        <v>36</v>
      </c>
      <c r="Z112" s="3">
        <v>113</v>
      </c>
      <c r="AA112" s="5">
        <f t="shared" si="1"/>
        <v>585</v>
      </c>
    </row>
    <row r="113" spans="1:27" ht="15" customHeight="1" x14ac:dyDescent="0.2">
      <c r="A113" s="3" t="s">
        <v>267</v>
      </c>
      <c r="B113" s="1" t="s">
        <v>268</v>
      </c>
      <c r="C113" s="3">
        <v>56</v>
      </c>
      <c r="D113" s="3">
        <v>48</v>
      </c>
      <c r="E113" s="3">
        <v>41</v>
      </c>
      <c r="F113" s="3">
        <v>47</v>
      </c>
      <c r="G113" s="3">
        <v>53</v>
      </c>
      <c r="H113" s="3">
        <v>67</v>
      </c>
      <c r="I113" s="3">
        <v>80</v>
      </c>
      <c r="J113" s="3">
        <v>35</v>
      </c>
      <c r="K113" s="3">
        <v>41</v>
      </c>
      <c r="L113" s="3">
        <v>42</v>
      </c>
      <c r="M113" s="3">
        <v>44</v>
      </c>
      <c r="N113" s="3">
        <v>52</v>
      </c>
      <c r="O113" s="3">
        <v>45</v>
      </c>
      <c r="P113" s="3">
        <v>44</v>
      </c>
      <c r="Q113" s="3">
        <v>47</v>
      </c>
      <c r="R113" s="3">
        <v>45</v>
      </c>
      <c r="S113" s="3">
        <v>58</v>
      </c>
      <c r="T113" s="3">
        <v>78</v>
      </c>
      <c r="U113" s="3">
        <v>85</v>
      </c>
      <c r="V113" s="3">
        <v>38</v>
      </c>
      <c r="W113" s="3">
        <v>41</v>
      </c>
      <c r="X113" s="3">
        <v>54</v>
      </c>
      <c r="Y113" s="3">
        <v>61</v>
      </c>
      <c r="Z113" s="3">
        <v>47</v>
      </c>
      <c r="AA113" s="5">
        <f t="shared" si="1"/>
        <v>643</v>
      </c>
    </row>
    <row r="114" spans="1:27" ht="15" customHeight="1" x14ac:dyDescent="0.2">
      <c r="A114" s="3" t="s">
        <v>269</v>
      </c>
      <c r="B114" s="1" t="s">
        <v>270</v>
      </c>
      <c r="C114" s="3">
        <v>13</v>
      </c>
      <c r="D114" s="3">
        <v>13</v>
      </c>
      <c r="E114" s="3">
        <v>8</v>
      </c>
      <c r="F114" s="3">
        <v>38</v>
      </c>
      <c r="G114" s="3">
        <v>7</v>
      </c>
      <c r="H114" s="3">
        <v>12</v>
      </c>
      <c r="I114" s="3">
        <v>7</v>
      </c>
      <c r="J114" s="3">
        <v>9</v>
      </c>
      <c r="K114" s="3">
        <v>12</v>
      </c>
      <c r="L114" s="3">
        <v>9</v>
      </c>
      <c r="M114" s="3">
        <v>9</v>
      </c>
      <c r="N114" s="3">
        <v>11</v>
      </c>
      <c r="O114" s="3">
        <v>46</v>
      </c>
      <c r="P114" s="3">
        <v>8</v>
      </c>
      <c r="Q114" s="3">
        <v>57</v>
      </c>
      <c r="R114" s="3">
        <v>63</v>
      </c>
      <c r="S114" s="3">
        <v>44</v>
      </c>
      <c r="T114" s="3">
        <v>39</v>
      </c>
      <c r="U114" s="3">
        <v>12</v>
      </c>
      <c r="V114" s="3">
        <v>63</v>
      </c>
      <c r="W114" s="3">
        <v>6</v>
      </c>
      <c r="X114" s="3">
        <v>9</v>
      </c>
      <c r="Y114" s="3">
        <v>12</v>
      </c>
      <c r="Z114" s="3">
        <v>9</v>
      </c>
      <c r="AA114" s="5">
        <f t="shared" si="1"/>
        <v>368</v>
      </c>
    </row>
    <row r="115" spans="1:27" ht="15" customHeight="1" x14ac:dyDescent="0.2">
      <c r="A115" s="3" t="s">
        <v>271</v>
      </c>
      <c r="B115" s="1" t="s">
        <v>272</v>
      </c>
      <c r="C115" s="3">
        <v>16</v>
      </c>
      <c r="D115" s="3">
        <v>15</v>
      </c>
      <c r="E115" s="3">
        <v>15</v>
      </c>
      <c r="F115" s="3">
        <v>14</v>
      </c>
      <c r="G115" s="3">
        <v>16</v>
      </c>
      <c r="H115" s="3">
        <v>24</v>
      </c>
      <c r="I115" s="3">
        <v>32</v>
      </c>
      <c r="J115" s="3">
        <v>13</v>
      </c>
      <c r="K115" s="3">
        <v>15</v>
      </c>
      <c r="L115" s="3">
        <v>17</v>
      </c>
      <c r="M115" s="3">
        <v>13</v>
      </c>
      <c r="N115" s="3">
        <v>18</v>
      </c>
      <c r="O115" s="3">
        <v>14</v>
      </c>
      <c r="P115" s="3">
        <v>16</v>
      </c>
      <c r="Q115" s="3">
        <v>14</v>
      </c>
      <c r="R115" s="3">
        <v>17</v>
      </c>
      <c r="S115" s="3">
        <v>14</v>
      </c>
      <c r="T115" s="3">
        <v>24</v>
      </c>
      <c r="U115" s="3">
        <v>28</v>
      </c>
      <c r="V115" s="3">
        <v>15</v>
      </c>
      <c r="W115" s="3">
        <v>14</v>
      </c>
      <c r="X115" s="3">
        <v>17</v>
      </c>
      <c r="Y115" s="3">
        <v>16</v>
      </c>
      <c r="Z115" s="3">
        <v>16</v>
      </c>
      <c r="AA115" s="5">
        <f t="shared" si="1"/>
        <v>205</v>
      </c>
    </row>
    <row r="116" spans="1:27" ht="15" customHeight="1" x14ac:dyDescent="0.2">
      <c r="A116" s="3" t="s">
        <v>273</v>
      </c>
      <c r="B116" s="1" t="s">
        <v>274</v>
      </c>
      <c r="C116" s="3">
        <v>7</v>
      </c>
      <c r="D116" s="3">
        <v>7</v>
      </c>
      <c r="E116" s="3">
        <v>7</v>
      </c>
      <c r="F116" s="3">
        <v>7</v>
      </c>
      <c r="G116" s="3">
        <v>8</v>
      </c>
      <c r="H116" s="3">
        <v>10</v>
      </c>
      <c r="I116" s="3">
        <v>14</v>
      </c>
      <c r="J116" s="3">
        <v>5</v>
      </c>
      <c r="K116" s="3">
        <v>6</v>
      </c>
      <c r="L116" s="3">
        <v>7</v>
      </c>
      <c r="M116" s="3">
        <v>8</v>
      </c>
      <c r="N116" s="3">
        <v>7</v>
      </c>
      <c r="O116" s="3">
        <v>7</v>
      </c>
      <c r="P116" s="3">
        <v>8</v>
      </c>
      <c r="Q116" s="3">
        <v>7</v>
      </c>
      <c r="R116" s="3">
        <v>7</v>
      </c>
      <c r="S116" s="3">
        <v>8</v>
      </c>
      <c r="T116" s="3">
        <v>11</v>
      </c>
      <c r="U116" s="3">
        <v>15</v>
      </c>
      <c r="V116" s="3">
        <v>6</v>
      </c>
      <c r="W116" s="3">
        <v>6</v>
      </c>
      <c r="X116" s="3">
        <v>8</v>
      </c>
      <c r="Y116" s="3">
        <v>7</v>
      </c>
      <c r="Z116" s="3">
        <v>8</v>
      </c>
      <c r="AA116" s="5">
        <f t="shared" si="1"/>
        <v>98</v>
      </c>
    </row>
    <row r="117" spans="1:27" ht="15" customHeight="1" x14ac:dyDescent="0.2">
      <c r="A117" s="3" t="s">
        <v>275</v>
      </c>
      <c r="B117" s="1" t="s">
        <v>276</v>
      </c>
      <c r="C117" s="3">
        <v>46</v>
      </c>
      <c r="D117" s="3">
        <v>37</v>
      </c>
      <c r="E117" s="3">
        <v>35</v>
      </c>
      <c r="F117" s="3">
        <v>24</v>
      </c>
      <c r="G117" s="3">
        <v>41</v>
      </c>
      <c r="H117" s="3">
        <v>45</v>
      </c>
      <c r="I117" s="3">
        <v>84</v>
      </c>
      <c r="J117" s="3">
        <v>23</v>
      </c>
      <c r="K117" s="3">
        <v>33</v>
      </c>
      <c r="L117" s="3">
        <v>37</v>
      </c>
      <c r="M117" s="3">
        <v>38</v>
      </c>
      <c r="N117" s="3">
        <v>48</v>
      </c>
      <c r="O117" s="3">
        <v>34</v>
      </c>
      <c r="P117" s="3">
        <v>35</v>
      </c>
      <c r="Q117" s="3">
        <v>38</v>
      </c>
      <c r="R117" s="3">
        <v>43</v>
      </c>
      <c r="S117" s="3">
        <v>44</v>
      </c>
      <c r="T117" s="3">
        <v>43</v>
      </c>
      <c r="U117" s="3">
        <v>78</v>
      </c>
      <c r="V117" s="3">
        <v>36</v>
      </c>
      <c r="W117" s="3">
        <v>27</v>
      </c>
      <c r="X117" s="3">
        <v>45</v>
      </c>
      <c r="Y117" s="3">
        <v>38</v>
      </c>
      <c r="Z117" s="3">
        <v>44</v>
      </c>
      <c r="AA117" s="5">
        <f t="shared" si="1"/>
        <v>505</v>
      </c>
    </row>
    <row r="118" spans="1:27" ht="15" customHeight="1" x14ac:dyDescent="0.2">
      <c r="A118" s="3" t="s">
        <v>277</v>
      </c>
      <c r="B118" s="1" t="s">
        <v>278</v>
      </c>
      <c r="C118" s="3">
        <v>35</v>
      </c>
      <c r="D118" s="3">
        <v>34</v>
      </c>
      <c r="E118" s="3">
        <v>31</v>
      </c>
      <c r="F118" s="3">
        <v>36</v>
      </c>
      <c r="G118" s="3">
        <v>46</v>
      </c>
      <c r="H118" s="3">
        <v>62</v>
      </c>
      <c r="I118" s="3">
        <v>71</v>
      </c>
      <c r="J118" s="3">
        <v>24</v>
      </c>
      <c r="K118" s="3">
        <v>32</v>
      </c>
      <c r="L118" s="3">
        <v>33</v>
      </c>
      <c r="M118" s="3">
        <v>34</v>
      </c>
      <c r="N118" s="3">
        <v>34</v>
      </c>
      <c r="O118" s="3">
        <v>35</v>
      </c>
      <c r="P118" s="3">
        <v>31</v>
      </c>
      <c r="Q118" s="3">
        <v>39</v>
      </c>
      <c r="R118" s="3">
        <v>37</v>
      </c>
      <c r="S118" s="3">
        <v>44</v>
      </c>
      <c r="T118" s="3">
        <v>56</v>
      </c>
      <c r="U118" s="3">
        <v>70</v>
      </c>
      <c r="V118" s="3">
        <v>33</v>
      </c>
      <c r="W118" s="3">
        <v>32</v>
      </c>
      <c r="X118" s="3">
        <v>34</v>
      </c>
      <c r="Y118" s="3">
        <v>42</v>
      </c>
      <c r="Z118" s="3">
        <v>43</v>
      </c>
      <c r="AA118" s="5">
        <f t="shared" si="1"/>
        <v>496</v>
      </c>
    </row>
    <row r="119" spans="1:27" ht="15" customHeight="1" x14ac:dyDescent="0.2">
      <c r="A119" s="3" t="s">
        <v>279</v>
      </c>
      <c r="B119" s="1" t="s">
        <v>280</v>
      </c>
      <c r="C119" s="3">
        <v>9</v>
      </c>
      <c r="D119" s="3">
        <v>7</v>
      </c>
      <c r="E119" s="3">
        <v>8</v>
      </c>
      <c r="F119" s="3">
        <v>9</v>
      </c>
      <c r="G119" s="3">
        <v>11</v>
      </c>
      <c r="H119" s="3">
        <v>11</v>
      </c>
      <c r="I119" s="3">
        <v>17</v>
      </c>
      <c r="J119" s="3">
        <v>5</v>
      </c>
      <c r="K119" s="3">
        <v>8</v>
      </c>
      <c r="L119" s="3">
        <v>7</v>
      </c>
      <c r="M119" s="3">
        <v>8</v>
      </c>
      <c r="N119" s="3">
        <v>8</v>
      </c>
      <c r="O119" s="3">
        <v>9</v>
      </c>
      <c r="P119" s="3">
        <v>8</v>
      </c>
      <c r="Q119" s="3">
        <v>9</v>
      </c>
      <c r="R119" s="3">
        <v>8</v>
      </c>
      <c r="S119" s="3">
        <v>11</v>
      </c>
      <c r="T119" s="3">
        <v>14</v>
      </c>
      <c r="U119" s="3">
        <v>16</v>
      </c>
      <c r="V119" s="3">
        <v>7</v>
      </c>
      <c r="W119" s="3">
        <v>7</v>
      </c>
      <c r="X119" s="3">
        <v>7</v>
      </c>
      <c r="Y119" s="3">
        <v>8</v>
      </c>
      <c r="Z119" s="3">
        <v>9</v>
      </c>
      <c r="AA119" s="5">
        <f t="shared" si="1"/>
        <v>113</v>
      </c>
    </row>
    <row r="120" spans="1:27" ht="15" customHeight="1" x14ac:dyDescent="0.2">
      <c r="A120" s="3" t="s">
        <v>281</v>
      </c>
      <c r="B120" s="1" t="s">
        <v>282</v>
      </c>
      <c r="C120" s="3">
        <v>33</v>
      </c>
      <c r="D120" s="3">
        <v>31</v>
      </c>
      <c r="E120" s="3">
        <v>29</v>
      </c>
      <c r="F120" s="3">
        <v>27</v>
      </c>
      <c r="G120" s="3">
        <v>39</v>
      </c>
      <c r="H120" s="3">
        <v>46</v>
      </c>
      <c r="I120" s="3">
        <v>58</v>
      </c>
      <c r="J120" s="3">
        <v>23</v>
      </c>
      <c r="K120" s="3">
        <v>26</v>
      </c>
      <c r="L120" s="3">
        <v>31</v>
      </c>
      <c r="M120" s="3">
        <v>31</v>
      </c>
      <c r="N120" s="3">
        <v>39</v>
      </c>
      <c r="O120" s="3">
        <v>34</v>
      </c>
      <c r="P120" s="3">
        <v>37</v>
      </c>
      <c r="Q120" s="3">
        <v>33</v>
      </c>
      <c r="R120" s="3">
        <v>37</v>
      </c>
      <c r="S120" s="3">
        <v>39</v>
      </c>
      <c r="T120" s="3">
        <v>56</v>
      </c>
      <c r="U120" s="3">
        <v>62</v>
      </c>
      <c r="V120" s="3">
        <v>23</v>
      </c>
      <c r="W120" s="3">
        <v>27</v>
      </c>
      <c r="X120" s="3">
        <v>31</v>
      </c>
      <c r="Y120" s="3">
        <v>37</v>
      </c>
      <c r="Z120" s="3">
        <v>38</v>
      </c>
      <c r="AA120" s="5">
        <f t="shared" si="1"/>
        <v>454</v>
      </c>
    </row>
    <row r="121" spans="1:27" ht="15" customHeight="1" x14ac:dyDescent="0.2">
      <c r="A121" s="3" t="s">
        <v>283</v>
      </c>
      <c r="B121" s="1" t="s">
        <v>284</v>
      </c>
      <c r="C121" s="3">
        <v>23</v>
      </c>
      <c r="D121" s="3">
        <v>5</v>
      </c>
      <c r="E121" s="3">
        <v>15</v>
      </c>
      <c r="F121" s="3">
        <v>4</v>
      </c>
      <c r="G121" s="3">
        <v>5</v>
      </c>
      <c r="H121" s="3">
        <v>6</v>
      </c>
      <c r="I121" s="3">
        <v>4</v>
      </c>
      <c r="J121" s="3">
        <v>4</v>
      </c>
      <c r="K121" s="3">
        <v>5</v>
      </c>
      <c r="L121" s="3">
        <v>4</v>
      </c>
      <c r="M121" s="3">
        <v>6</v>
      </c>
      <c r="N121" s="3">
        <v>5</v>
      </c>
      <c r="O121" s="3">
        <v>4</v>
      </c>
      <c r="P121" s="3">
        <v>7</v>
      </c>
      <c r="Q121" s="3">
        <v>5</v>
      </c>
      <c r="R121" s="3">
        <v>4</v>
      </c>
      <c r="S121" s="3">
        <v>4</v>
      </c>
      <c r="T121" s="3">
        <v>39</v>
      </c>
      <c r="U121" s="3">
        <v>5</v>
      </c>
      <c r="V121" s="3">
        <v>5</v>
      </c>
      <c r="W121" s="3">
        <v>4</v>
      </c>
      <c r="X121" s="3">
        <v>28</v>
      </c>
      <c r="Y121" s="3">
        <v>3</v>
      </c>
      <c r="Z121" s="3">
        <v>24</v>
      </c>
      <c r="AA121" s="5">
        <f t="shared" si="1"/>
        <v>132</v>
      </c>
    </row>
    <row r="122" spans="1:27" ht="15" customHeight="1" x14ac:dyDescent="0.2">
      <c r="A122" s="3" t="s">
        <v>285</v>
      </c>
      <c r="B122" s="1" t="s">
        <v>286</v>
      </c>
      <c r="C122" s="3">
        <v>27</v>
      </c>
      <c r="D122" s="3">
        <v>32</v>
      </c>
      <c r="E122" s="3">
        <v>34</v>
      </c>
      <c r="F122" s="3">
        <v>31</v>
      </c>
      <c r="G122" s="3">
        <v>34</v>
      </c>
      <c r="H122" s="3">
        <v>42</v>
      </c>
      <c r="I122" s="3">
        <v>71</v>
      </c>
      <c r="J122" s="3">
        <v>20</v>
      </c>
      <c r="K122" s="3">
        <v>29</v>
      </c>
      <c r="L122" s="3">
        <v>23</v>
      </c>
      <c r="M122" s="3">
        <v>33</v>
      </c>
      <c r="N122" s="3">
        <v>38</v>
      </c>
      <c r="O122" s="3">
        <v>32</v>
      </c>
      <c r="P122" s="3">
        <v>36</v>
      </c>
      <c r="Q122" s="3">
        <v>30</v>
      </c>
      <c r="R122" s="3">
        <v>32</v>
      </c>
      <c r="S122" s="3">
        <v>29</v>
      </c>
      <c r="T122" s="3">
        <v>51</v>
      </c>
      <c r="U122" s="3">
        <v>62</v>
      </c>
      <c r="V122" s="3">
        <v>23</v>
      </c>
      <c r="W122" s="3">
        <v>28</v>
      </c>
      <c r="X122" s="3">
        <v>30</v>
      </c>
      <c r="Y122" s="3">
        <v>36</v>
      </c>
      <c r="Z122" s="3">
        <v>38</v>
      </c>
      <c r="AA122" s="5">
        <f t="shared" si="1"/>
        <v>427</v>
      </c>
    </row>
    <row r="123" spans="1:27" ht="15" customHeight="1" x14ac:dyDescent="0.2">
      <c r="A123" s="3" t="s">
        <v>287</v>
      </c>
      <c r="B123" s="1" t="s">
        <v>288</v>
      </c>
      <c r="C123" s="3">
        <v>2</v>
      </c>
      <c r="D123" s="3">
        <v>1</v>
      </c>
      <c r="E123" s="3">
        <v>1</v>
      </c>
      <c r="F123" s="3">
        <v>2</v>
      </c>
      <c r="G123" s="3">
        <v>7</v>
      </c>
      <c r="H123" s="3">
        <v>2</v>
      </c>
      <c r="I123" s="3">
        <v>1</v>
      </c>
      <c r="J123" s="3">
        <v>2</v>
      </c>
      <c r="K123" s="3">
        <v>8</v>
      </c>
      <c r="L123" s="3">
        <v>5</v>
      </c>
      <c r="M123" s="3">
        <v>5</v>
      </c>
      <c r="N123" s="3">
        <v>1</v>
      </c>
      <c r="O123" s="3">
        <v>1</v>
      </c>
      <c r="P123" s="3">
        <v>1</v>
      </c>
      <c r="Q123" s="3">
        <v>9</v>
      </c>
      <c r="R123" s="3">
        <v>1</v>
      </c>
      <c r="S123" s="3">
        <v>2</v>
      </c>
      <c r="T123" s="3">
        <v>2</v>
      </c>
      <c r="U123" s="3">
        <v>2</v>
      </c>
      <c r="V123" s="3">
        <v>2</v>
      </c>
      <c r="W123" s="3">
        <v>1</v>
      </c>
      <c r="X123" s="3">
        <v>4</v>
      </c>
      <c r="Y123" s="3">
        <v>1</v>
      </c>
      <c r="Z123" s="3">
        <v>1</v>
      </c>
      <c r="AA123" s="5">
        <f t="shared" si="1"/>
        <v>27</v>
      </c>
    </row>
    <row r="124" spans="1:27" ht="15" customHeight="1" x14ac:dyDescent="0.2">
      <c r="A124" s="3" t="s">
        <v>289</v>
      </c>
      <c r="B124" s="1" t="s">
        <v>290</v>
      </c>
      <c r="C124" s="3">
        <v>6</v>
      </c>
      <c r="D124" s="3">
        <v>6</v>
      </c>
      <c r="E124" s="3">
        <v>6</v>
      </c>
      <c r="F124" s="3">
        <v>6</v>
      </c>
      <c r="G124" s="3">
        <v>6</v>
      </c>
      <c r="H124" s="3">
        <v>9</v>
      </c>
      <c r="I124" s="3">
        <v>12</v>
      </c>
      <c r="J124" s="3">
        <v>4</v>
      </c>
      <c r="K124" s="3">
        <v>5</v>
      </c>
      <c r="L124" s="3">
        <v>6</v>
      </c>
      <c r="M124" s="3">
        <v>6</v>
      </c>
      <c r="N124" s="3">
        <v>7</v>
      </c>
      <c r="O124" s="3">
        <v>6</v>
      </c>
      <c r="P124" s="3">
        <v>6</v>
      </c>
      <c r="Q124" s="3">
        <v>6</v>
      </c>
      <c r="R124" s="3">
        <v>6</v>
      </c>
      <c r="S124" s="3">
        <v>8</v>
      </c>
      <c r="T124" s="3">
        <v>10</v>
      </c>
      <c r="U124" s="3">
        <v>14</v>
      </c>
      <c r="V124" s="3">
        <v>5</v>
      </c>
      <c r="W124" s="3">
        <v>6</v>
      </c>
      <c r="X124" s="3">
        <v>6</v>
      </c>
      <c r="Y124" s="3">
        <v>7</v>
      </c>
      <c r="Z124" s="3">
        <v>7</v>
      </c>
      <c r="AA124" s="5">
        <f t="shared" si="1"/>
        <v>87</v>
      </c>
    </row>
    <row r="125" spans="1:27" ht="15" customHeight="1" x14ac:dyDescent="0.2">
      <c r="A125" s="3" t="s">
        <v>291</v>
      </c>
      <c r="B125" s="1" t="s">
        <v>292</v>
      </c>
      <c r="C125" s="3">
        <v>36</v>
      </c>
      <c r="D125" s="3">
        <v>35</v>
      </c>
      <c r="E125" s="3">
        <v>33</v>
      </c>
      <c r="F125" s="3">
        <v>34</v>
      </c>
      <c r="G125" s="3">
        <v>38</v>
      </c>
      <c r="H125" s="3">
        <v>59</v>
      </c>
      <c r="I125" s="3">
        <v>67</v>
      </c>
      <c r="J125" s="3">
        <v>30</v>
      </c>
      <c r="K125" s="3">
        <v>34</v>
      </c>
      <c r="L125" s="3">
        <v>33</v>
      </c>
      <c r="M125" s="3">
        <v>45</v>
      </c>
      <c r="N125" s="3">
        <v>43</v>
      </c>
      <c r="O125" s="3">
        <v>38</v>
      </c>
      <c r="P125" s="3">
        <v>38</v>
      </c>
      <c r="Q125" s="3">
        <v>42</v>
      </c>
      <c r="R125" s="3">
        <v>34</v>
      </c>
      <c r="S125" s="3">
        <v>44</v>
      </c>
      <c r="T125" s="3">
        <v>59</v>
      </c>
      <c r="U125" s="3">
        <v>81</v>
      </c>
      <c r="V125" s="3">
        <v>33</v>
      </c>
      <c r="W125" s="3">
        <v>39</v>
      </c>
      <c r="X125" s="3">
        <v>41</v>
      </c>
      <c r="Y125" s="3">
        <v>36</v>
      </c>
      <c r="Z125" s="3">
        <v>50</v>
      </c>
      <c r="AA125" s="5">
        <f t="shared" si="1"/>
        <v>535</v>
      </c>
    </row>
    <row r="126" spans="1:27" ht="15" customHeight="1" x14ac:dyDescent="0.2">
      <c r="A126" s="3" t="s">
        <v>293</v>
      </c>
      <c r="B126" s="1" t="s">
        <v>294</v>
      </c>
      <c r="C126" s="3">
        <v>55</v>
      </c>
      <c r="D126" s="3">
        <v>49</v>
      </c>
      <c r="E126" s="3">
        <v>49</v>
      </c>
      <c r="F126" s="3">
        <v>47</v>
      </c>
      <c r="G126" s="3">
        <v>63</v>
      </c>
      <c r="H126" s="3">
        <v>72</v>
      </c>
      <c r="I126" s="3">
        <v>89</v>
      </c>
      <c r="J126" s="3">
        <v>31</v>
      </c>
      <c r="K126" s="3">
        <v>48</v>
      </c>
      <c r="L126" s="3">
        <v>53</v>
      </c>
      <c r="M126" s="3">
        <v>52</v>
      </c>
      <c r="N126" s="3">
        <v>57</v>
      </c>
      <c r="O126" s="3">
        <v>55</v>
      </c>
      <c r="P126" s="3">
        <v>53</v>
      </c>
      <c r="Q126" s="3">
        <v>36</v>
      </c>
      <c r="R126" s="3">
        <v>60</v>
      </c>
      <c r="S126" s="3">
        <v>69</v>
      </c>
      <c r="T126" s="3">
        <v>87</v>
      </c>
      <c r="U126" s="3">
        <v>95</v>
      </c>
      <c r="V126" s="3">
        <v>45</v>
      </c>
      <c r="W126" s="3">
        <v>41</v>
      </c>
      <c r="X126" s="3">
        <v>49</v>
      </c>
      <c r="Y126" s="3">
        <v>57</v>
      </c>
      <c r="Z126" s="3">
        <v>67</v>
      </c>
      <c r="AA126" s="5">
        <f t="shared" si="1"/>
        <v>714</v>
      </c>
    </row>
    <row r="127" spans="1:27" ht="15" customHeight="1" x14ac:dyDescent="0.2">
      <c r="A127" s="3" t="s">
        <v>295</v>
      </c>
      <c r="B127" s="1" t="s">
        <v>296</v>
      </c>
      <c r="C127" s="3">
        <v>38</v>
      </c>
      <c r="D127" s="3">
        <v>37</v>
      </c>
      <c r="E127" s="3">
        <v>26</v>
      </c>
      <c r="F127" s="3">
        <v>40</v>
      </c>
      <c r="G127" s="3">
        <v>36</v>
      </c>
      <c r="H127" s="3">
        <v>51</v>
      </c>
      <c r="I127" s="3">
        <v>64</v>
      </c>
      <c r="J127" s="3">
        <v>21</v>
      </c>
      <c r="K127" s="3">
        <v>31</v>
      </c>
      <c r="L127" s="3">
        <v>30</v>
      </c>
      <c r="M127" s="3">
        <v>35</v>
      </c>
      <c r="N127" s="3">
        <v>33</v>
      </c>
      <c r="O127" s="3">
        <v>33</v>
      </c>
      <c r="P127" s="3">
        <v>24</v>
      </c>
      <c r="Q127" s="3">
        <v>32</v>
      </c>
      <c r="R127" s="3">
        <v>33</v>
      </c>
      <c r="S127" s="3">
        <v>45</v>
      </c>
      <c r="T127" s="3">
        <v>51</v>
      </c>
      <c r="U127" s="3">
        <v>72</v>
      </c>
      <c r="V127" s="3">
        <v>25</v>
      </c>
      <c r="W127" s="3">
        <v>31</v>
      </c>
      <c r="X127" s="3">
        <v>39</v>
      </c>
      <c r="Y127" s="3">
        <v>34</v>
      </c>
      <c r="Z127" s="3">
        <v>35</v>
      </c>
      <c r="AA127" s="5">
        <f t="shared" si="1"/>
        <v>454</v>
      </c>
    </row>
    <row r="128" spans="1:27" ht="15" customHeight="1" x14ac:dyDescent="0.2">
      <c r="A128" s="3" t="s">
        <v>297</v>
      </c>
      <c r="B128" s="1" t="s">
        <v>298</v>
      </c>
      <c r="C128" s="3">
        <v>38</v>
      </c>
      <c r="D128" s="3">
        <v>38</v>
      </c>
      <c r="E128" s="3">
        <v>35</v>
      </c>
      <c r="F128" s="3">
        <v>34</v>
      </c>
      <c r="G128" s="3">
        <v>42</v>
      </c>
      <c r="H128" s="3">
        <v>56</v>
      </c>
      <c r="I128" s="3">
        <v>69</v>
      </c>
      <c r="J128" s="3">
        <v>26</v>
      </c>
      <c r="K128" s="3">
        <v>36</v>
      </c>
      <c r="L128" s="3">
        <v>37</v>
      </c>
      <c r="M128" s="3">
        <v>35</v>
      </c>
      <c r="N128" s="3">
        <v>40</v>
      </c>
      <c r="O128" s="3">
        <v>38</v>
      </c>
      <c r="P128" s="3">
        <v>39</v>
      </c>
      <c r="Q128" s="3">
        <v>35</v>
      </c>
      <c r="R128" s="3">
        <v>42</v>
      </c>
      <c r="S128" s="3">
        <v>49</v>
      </c>
      <c r="T128" s="3">
        <v>64</v>
      </c>
      <c r="U128" s="3">
        <v>79</v>
      </c>
      <c r="V128" s="3">
        <v>30</v>
      </c>
      <c r="W128" s="3">
        <v>34</v>
      </c>
      <c r="X128" s="3">
        <v>41</v>
      </c>
      <c r="Y128" s="3">
        <v>38</v>
      </c>
      <c r="Z128" s="3">
        <v>44</v>
      </c>
      <c r="AA128" s="5">
        <f t="shared" si="1"/>
        <v>533</v>
      </c>
    </row>
    <row r="129" spans="1:27" ht="15" customHeight="1" x14ac:dyDescent="0.2">
      <c r="A129" s="3" t="s">
        <v>299</v>
      </c>
      <c r="B129" s="1" t="s">
        <v>300</v>
      </c>
      <c r="C129" s="3">
        <v>110</v>
      </c>
      <c r="D129" s="3">
        <v>101</v>
      </c>
      <c r="E129" s="3">
        <v>104</v>
      </c>
      <c r="F129" s="3">
        <v>112</v>
      </c>
      <c r="G129" s="3">
        <v>122</v>
      </c>
      <c r="H129" s="3">
        <v>164</v>
      </c>
      <c r="I129" s="3">
        <v>188</v>
      </c>
      <c r="J129" s="3">
        <v>76</v>
      </c>
      <c r="K129" s="3">
        <v>86</v>
      </c>
      <c r="L129" s="3">
        <v>93</v>
      </c>
      <c r="M129" s="3">
        <v>112</v>
      </c>
      <c r="N129" s="3">
        <v>121</v>
      </c>
      <c r="O129" s="3">
        <v>112</v>
      </c>
      <c r="P129" s="3">
        <v>117</v>
      </c>
      <c r="Q129" s="3">
        <v>95</v>
      </c>
      <c r="R129" s="3">
        <v>117</v>
      </c>
      <c r="S129" s="3">
        <v>126</v>
      </c>
      <c r="T129" s="3">
        <v>167</v>
      </c>
      <c r="U129" s="3">
        <v>211</v>
      </c>
      <c r="V129" s="3">
        <v>102</v>
      </c>
      <c r="W129" s="3">
        <v>92</v>
      </c>
      <c r="X129" s="3">
        <v>110</v>
      </c>
      <c r="Y129" s="3">
        <v>89</v>
      </c>
      <c r="Z129" s="3">
        <v>115</v>
      </c>
      <c r="AA129" s="5">
        <f t="shared" si="1"/>
        <v>1453</v>
      </c>
    </row>
    <row r="130" spans="1:27" ht="15" customHeight="1" x14ac:dyDescent="0.2">
      <c r="A130" s="3" t="s">
        <v>301</v>
      </c>
      <c r="B130" s="1" t="s">
        <v>302</v>
      </c>
      <c r="C130" s="3">
        <v>39</v>
      </c>
      <c r="D130" s="3">
        <v>37</v>
      </c>
      <c r="E130" s="3">
        <v>35</v>
      </c>
      <c r="F130" s="3">
        <v>30</v>
      </c>
      <c r="G130" s="3">
        <v>33</v>
      </c>
      <c r="H130" s="3">
        <v>53</v>
      </c>
      <c r="I130" s="3">
        <v>62</v>
      </c>
      <c r="J130" s="3">
        <v>24</v>
      </c>
      <c r="K130" s="3">
        <v>30</v>
      </c>
      <c r="L130" s="3">
        <v>30</v>
      </c>
      <c r="M130" s="3">
        <v>37</v>
      </c>
      <c r="N130" s="3">
        <v>40</v>
      </c>
      <c r="O130" s="3">
        <v>34</v>
      </c>
      <c r="P130" s="3">
        <v>34</v>
      </c>
      <c r="Q130" s="3">
        <v>30</v>
      </c>
      <c r="R130" s="3">
        <v>37</v>
      </c>
      <c r="S130" s="3">
        <v>42</v>
      </c>
      <c r="T130" s="3">
        <v>49</v>
      </c>
      <c r="U130" s="3">
        <v>71</v>
      </c>
      <c r="V130" s="3">
        <v>23</v>
      </c>
      <c r="W130" s="3">
        <v>35</v>
      </c>
      <c r="X130" s="3">
        <v>30</v>
      </c>
      <c r="Y130" s="3">
        <v>43</v>
      </c>
      <c r="Z130" s="3">
        <v>39</v>
      </c>
      <c r="AA130" s="5">
        <f t="shared" si="1"/>
        <v>467</v>
      </c>
    </row>
    <row r="131" spans="1:27" ht="15" customHeight="1" x14ac:dyDescent="0.2">
      <c r="A131" s="3" t="s">
        <v>303</v>
      </c>
      <c r="B131" s="1" t="s">
        <v>304</v>
      </c>
      <c r="C131" s="3">
        <v>38</v>
      </c>
      <c r="D131" s="3">
        <v>37</v>
      </c>
      <c r="E131" s="3">
        <v>26</v>
      </c>
      <c r="F131" s="3">
        <v>29</v>
      </c>
      <c r="G131" s="3">
        <v>44</v>
      </c>
      <c r="H131" s="3">
        <v>50</v>
      </c>
      <c r="I131" s="3">
        <v>67</v>
      </c>
      <c r="J131" s="3">
        <v>28</v>
      </c>
      <c r="K131" s="3">
        <v>32</v>
      </c>
      <c r="L131" s="3">
        <v>35</v>
      </c>
      <c r="M131" s="3">
        <v>33</v>
      </c>
      <c r="N131" s="3">
        <v>33</v>
      </c>
      <c r="O131" s="3">
        <v>41</v>
      </c>
      <c r="P131" s="3">
        <v>36</v>
      </c>
      <c r="Q131" s="3">
        <v>41</v>
      </c>
      <c r="R131" s="3">
        <v>33</v>
      </c>
      <c r="S131" s="3">
        <v>38</v>
      </c>
      <c r="T131" s="3">
        <v>58</v>
      </c>
      <c r="U131" s="3">
        <v>68</v>
      </c>
      <c r="V131" s="3">
        <v>27</v>
      </c>
      <c r="W131" s="3">
        <v>30</v>
      </c>
      <c r="X131" s="3">
        <v>42</v>
      </c>
      <c r="Y131" s="3">
        <v>42</v>
      </c>
      <c r="Z131" s="3">
        <v>37</v>
      </c>
      <c r="AA131" s="5">
        <f t="shared" si="1"/>
        <v>493</v>
      </c>
    </row>
    <row r="132" spans="1:27" ht="15" customHeight="1" x14ac:dyDescent="0.2">
      <c r="A132" s="3" t="s">
        <v>305</v>
      </c>
      <c r="B132" s="1" t="s">
        <v>306</v>
      </c>
      <c r="C132" s="3">
        <v>45</v>
      </c>
      <c r="D132" s="3">
        <v>42</v>
      </c>
      <c r="E132" s="3">
        <v>50</v>
      </c>
      <c r="F132" s="3">
        <v>43</v>
      </c>
      <c r="G132" s="3">
        <v>54</v>
      </c>
      <c r="H132" s="3">
        <v>63</v>
      </c>
      <c r="I132" s="3">
        <v>89</v>
      </c>
      <c r="J132" s="3">
        <v>32</v>
      </c>
      <c r="K132" s="3">
        <v>43</v>
      </c>
      <c r="L132" s="3">
        <v>51</v>
      </c>
      <c r="M132" s="3">
        <v>49</v>
      </c>
      <c r="N132" s="3">
        <v>55</v>
      </c>
      <c r="O132" s="3">
        <v>43</v>
      </c>
      <c r="P132" s="3">
        <v>57</v>
      </c>
      <c r="Q132" s="3">
        <v>53</v>
      </c>
      <c r="R132" s="3">
        <v>52</v>
      </c>
      <c r="S132" s="3">
        <v>63</v>
      </c>
      <c r="T132" s="3">
        <v>86</v>
      </c>
      <c r="U132" s="3">
        <v>100</v>
      </c>
      <c r="V132" s="3">
        <v>36</v>
      </c>
      <c r="W132" s="3">
        <v>53</v>
      </c>
      <c r="X132" s="3">
        <v>55</v>
      </c>
      <c r="Y132" s="3">
        <v>47</v>
      </c>
      <c r="Z132" s="3">
        <v>54</v>
      </c>
      <c r="AA132" s="5">
        <f t="shared" si="1"/>
        <v>699</v>
      </c>
    </row>
    <row r="133" spans="1:27" ht="15" customHeight="1" x14ac:dyDescent="0.2">
      <c r="A133" s="3" t="s">
        <v>307</v>
      </c>
      <c r="B133" s="1" t="s">
        <v>308</v>
      </c>
      <c r="C133" s="3">
        <v>33</v>
      </c>
      <c r="D133" s="3">
        <v>43</v>
      </c>
      <c r="E133" s="3">
        <v>41</v>
      </c>
      <c r="F133" s="3">
        <v>46</v>
      </c>
      <c r="G133" s="3">
        <v>56</v>
      </c>
      <c r="H133" s="3">
        <v>70</v>
      </c>
      <c r="I133" s="3">
        <v>73</v>
      </c>
      <c r="J133" s="3">
        <v>36</v>
      </c>
      <c r="K133" s="3">
        <v>39</v>
      </c>
      <c r="L133" s="3">
        <v>48</v>
      </c>
      <c r="M133" s="3">
        <v>43</v>
      </c>
      <c r="N133" s="3">
        <v>46</v>
      </c>
      <c r="O133" s="3">
        <v>42</v>
      </c>
      <c r="P133" s="3">
        <v>41</v>
      </c>
      <c r="Q133" s="3">
        <v>48</v>
      </c>
      <c r="R133" s="3">
        <v>50</v>
      </c>
      <c r="S133" s="3">
        <v>48</v>
      </c>
      <c r="T133" s="3">
        <v>73</v>
      </c>
      <c r="U133" s="3">
        <v>82</v>
      </c>
      <c r="V133" s="3">
        <v>39</v>
      </c>
      <c r="W133" s="3">
        <v>44</v>
      </c>
      <c r="X133" s="3">
        <v>51</v>
      </c>
      <c r="Y133" s="3">
        <v>40</v>
      </c>
      <c r="Z133" s="3">
        <v>40</v>
      </c>
      <c r="AA133" s="5">
        <f t="shared" ref="AA133:AA196" si="2">SUM(O133:Z133)</f>
        <v>598</v>
      </c>
    </row>
    <row r="134" spans="1:27" ht="15" customHeight="1" x14ac:dyDescent="0.2">
      <c r="A134" s="3" t="s">
        <v>309</v>
      </c>
      <c r="B134" s="1" t="s">
        <v>310</v>
      </c>
      <c r="C134" s="3">
        <v>10</v>
      </c>
      <c r="D134" s="3">
        <v>11</v>
      </c>
      <c r="E134" s="3">
        <v>11</v>
      </c>
      <c r="F134" s="3">
        <v>11</v>
      </c>
      <c r="G134" s="3">
        <v>15</v>
      </c>
      <c r="H134" s="3">
        <v>17</v>
      </c>
      <c r="I134" s="3">
        <v>24</v>
      </c>
      <c r="J134" s="3">
        <v>9</v>
      </c>
      <c r="K134" s="3">
        <v>10</v>
      </c>
      <c r="L134" s="3">
        <v>9</v>
      </c>
      <c r="M134" s="3">
        <v>11</v>
      </c>
      <c r="N134" s="3">
        <v>11</v>
      </c>
      <c r="O134" s="3">
        <v>13</v>
      </c>
      <c r="P134" s="3">
        <v>13</v>
      </c>
      <c r="Q134" s="3">
        <v>10</v>
      </c>
      <c r="R134" s="3">
        <v>13</v>
      </c>
      <c r="S134" s="3">
        <v>15</v>
      </c>
      <c r="T134" s="3">
        <v>16</v>
      </c>
      <c r="U134" s="3">
        <v>20</v>
      </c>
      <c r="V134" s="3">
        <v>9</v>
      </c>
      <c r="W134" s="3">
        <v>9</v>
      </c>
      <c r="X134" s="3">
        <v>10</v>
      </c>
      <c r="Y134" s="3">
        <v>11</v>
      </c>
      <c r="Z134" s="3">
        <v>13</v>
      </c>
      <c r="AA134" s="5">
        <f t="shared" si="2"/>
        <v>152</v>
      </c>
    </row>
    <row r="135" spans="1:27" ht="15" customHeight="1" x14ac:dyDescent="0.2">
      <c r="A135" s="3" t="s">
        <v>311</v>
      </c>
      <c r="B135" s="1" t="s">
        <v>312</v>
      </c>
      <c r="C135" s="3">
        <v>9</v>
      </c>
      <c r="D135" s="3">
        <v>12</v>
      </c>
      <c r="E135" s="3">
        <v>13</v>
      </c>
      <c r="F135" s="3">
        <v>14</v>
      </c>
      <c r="G135" s="3">
        <v>13</v>
      </c>
      <c r="H135" s="3">
        <v>20</v>
      </c>
      <c r="I135" s="3">
        <v>28</v>
      </c>
      <c r="J135" s="3">
        <v>8</v>
      </c>
      <c r="K135" s="3">
        <v>9</v>
      </c>
      <c r="L135" s="3">
        <v>13</v>
      </c>
      <c r="M135" s="3">
        <v>13</v>
      </c>
      <c r="N135" s="3">
        <v>16</v>
      </c>
      <c r="O135" s="3">
        <v>12</v>
      </c>
      <c r="P135" s="3">
        <v>13</v>
      </c>
      <c r="Q135" s="3">
        <v>13</v>
      </c>
      <c r="R135" s="3">
        <v>11</v>
      </c>
      <c r="S135" s="3">
        <v>14</v>
      </c>
      <c r="T135" s="3">
        <v>20</v>
      </c>
      <c r="U135" s="3">
        <v>26</v>
      </c>
      <c r="V135" s="3">
        <v>10</v>
      </c>
      <c r="W135" s="3">
        <v>12</v>
      </c>
      <c r="X135" s="3">
        <v>14</v>
      </c>
      <c r="Y135" s="3">
        <v>13</v>
      </c>
      <c r="Z135" s="3">
        <v>14</v>
      </c>
      <c r="AA135" s="5">
        <f t="shared" si="2"/>
        <v>172</v>
      </c>
    </row>
    <row r="136" spans="1:27" ht="15" customHeight="1" x14ac:dyDescent="0.2">
      <c r="A136" s="3" t="s">
        <v>313</v>
      </c>
      <c r="B136" s="1" t="s">
        <v>314</v>
      </c>
      <c r="C136" s="3">
        <v>21</v>
      </c>
      <c r="D136" s="3">
        <v>16</v>
      </c>
      <c r="E136" s="3">
        <v>11</v>
      </c>
      <c r="F136" s="3">
        <v>16</v>
      </c>
      <c r="G136" s="3">
        <v>20</v>
      </c>
      <c r="H136" s="3">
        <v>25</v>
      </c>
      <c r="I136" s="3">
        <v>36</v>
      </c>
      <c r="J136" s="3">
        <v>14</v>
      </c>
      <c r="K136" s="3">
        <v>14</v>
      </c>
      <c r="L136" s="3">
        <v>18</v>
      </c>
      <c r="M136" s="3">
        <v>21</v>
      </c>
      <c r="N136" s="3">
        <v>20</v>
      </c>
      <c r="O136" s="3">
        <v>17</v>
      </c>
      <c r="P136" s="3">
        <v>17</v>
      </c>
      <c r="Q136" s="3">
        <v>16</v>
      </c>
      <c r="R136" s="3">
        <v>21</v>
      </c>
      <c r="S136" s="3">
        <v>24</v>
      </c>
      <c r="T136" s="3">
        <v>23</v>
      </c>
      <c r="U136" s="3">
        <v>41</v>
      </c>
      <c r="V136" s="3">
        <v>13</v>
      </c>
      <c r="W136" s="3">
        <v>18</v>
      </c>
      <c r="X136" s="3">
        <v>19</v>
      </c>
      <c r="Y136" s="3">
        <v>21</v>
      </c>
      <c r="Z136" s="3">
        <v>18</v>
      </c>
      <c r="AA136" s="5">
        <f t="shared" si="2"/>
        <v>248</v>
      </c>
    </row>
    <row r="137" spans="1:27" ht="15" customHeight="1" x14ac:dyDescent="0.2">
      <c r="A137" s="3" t="s">
        <v>315</v>
      </c>
      <c r="B137" s="1" t="s">
        <v>316</v>
      </c>
      <c r="C137" s="3">
        <v>14</v>
      </c>
      <c r="D137" s="3">
        <v>15</v>
      </c>
      <c r="E137" s="3">
        <v>11</v>
      </c>
      <c r="F137" s="3">
        <v>14</v>
      </c>
      <c r="G137" s="3">
        <v>15</v>
      </c>
      <c r="H137" s="3">
        <v>18</v>
      </c>
      <c r="I137" s="3">
        <v>26</v>
      </c>
      <c r="J137" s="3">
        <v>11</v>
      </c>
      <c r="K137" s="3">
        <v>12</v>
      </c>
      <c r="L137" s="3">
        <v>12</v>
      </c>
      <c r="M137" s="3">
        <v>17</v>
      </c>
      <c r="N137" s="3">
        <v>17</v>
      </c>
      <c r="O137" s="3">
        <v>16</v>
      </c>
      <c r="P137" s="3">
        <v>16</v>
      </c>
      <c r="Q137" s="3">
        <v>11</v>
      </c>
      <c r="R137" s="3">
        <v>14</v>
      </c>
      <c r="S137" s="3">
        <v>15</v>
      </c>
      <c r="T137" s="3">
        <v>20</v>
      </c>
      <c r="U137" s="3">
        <v>28</v>
      </c>
      <c r="V137" s="3">
        <v>10</v>
      </c>
      <c r="W137" s="3">
        <v>12</v>
      </c>
      <c r="X137" s="3">
        <v>16</v>
      </c>
      <c r="Y137" s="3">
        <v>15</v>
      </c>
      <c r="Z137" s="3">
        <v>16</v>
      </c>
      <c r="AA137" s="5">
        <f t="shared" si="2"/>
        <v>189</v>
      </c>
    </row>
    <row r="138" spans="1:27" ht="15" customHeight="1" x14ac:dyDescent="0.2">
      <c r="A138" s="3" t="s">
        <v>317</v>
      </c>
      <c r="B138" s="1" t="s">
        <v>318</v>
      </c>
      <c r="C138" s="3">
        <v>48</v>
      </c>
      <c r="D138" s="3">
        <v>44</v>
      </c>
      <c r="E138" s="3">
        <v>47</v>
      </c>
      <c r="F138" s="3">
        <v>55</v>
      </c>
      <c r="G138" s="3">
        <v>50</v>
      </c>
      <c r="H138" s="3">
        <v>77</v>
      </c>
      <c r="I138" s="3">
        <v>93</v>
      </c>
      <c r="J138" s="3">
        <v>45</v>
      </c>
      <c r="K138" s="3">
        <v>42</v>
      </c>
      <c r="L138" s="3">
        <v>47</v>
      </c>
      <c r="M138" s="3">
        <v>54</v>
      </c>
      <c r="N138" s="3">
        <v>54</v>
      </c>
      <c r="O138" s="3">
        <v>55</v>
      </c>
      <c r="P138" s="3">
        <v>57</v>
      </c>
      <c r="Q138" s="3">
        <v>49</v>
      </c>
      <c r="R138" s="3">
        <v>52</v>
      </c>
      <c r="S138" s="3">
        <v>63</v>
      </c>
      <c r="T138" s="3">
        <v>81</v>
      </c>
      <c r="U138" s="3">
        <v>107</v>
      </c>
      <c r="V138" s="3">
        <v>38</v>
      </c>
      <c r="W138" s="3">
        <v>45</v>
      </c>
      <c r="X138" s="3">
        <v>49</v>
      </c>
      <c r="Y138" s="3">
        <v>56</v>
      </c>
      <c r="Z138" s="3">
        <v>63</v>
      </c>
      <c r="AA138" s="5">
        <f t="shared" si="2"/>
        <v>715</v>
      </c>
    </row>
    <row r="139" spans="1:27" ht="15" customHeight="1" x14ac:dyDescent="0.2">
      <c r="A139" s="3" t="s">
        <v>319</v>
      </c>
      <c r="B139" s="1" t="s">
        <v>320</v>
      </c>
      <c r="C139" s="3">
        <v>9</v>
      </c>
      <c r="D139" s="3">
        <v>8</v>
      </c>
      <c r="E139" s="3">
        <v>9</v>
      </c>
      <c r="F139" s="3">
        <v>9</v>
      </c>
      <c r="G139" s="3">
        <v>10</v>
      </c>
      <c r="H139" s="3">
        <v>18</v>
      </c>
      <c r="I139" s="3">
        <v>19</v>
      </c>
      <c r="J139" s="3">
        <v>7</v>
      </c>
      <c r="K139" s="3">
        <v>8</v>
      </c>
      <c r="L139" s="3">
        <v>11</v>
      </c>
      <c r="M139" s="3">
        <v>10</v>
      </c>
      <c r="N139" s="3">
        <v>8</v>
      </c>
      <c r="O139" s="3">
        <v>10</v>
      </c>
      <c r="P139" s="3">
        <v>11</v>
      </c>
      <c r="Q139" s="3">
        <v>10</v>
      </c>
      <c r="R139" s="3">
        <v>12</v>
      </c>
      <c r="S139" s="3">
        <v>12</v>
      </c>
      <c r="T139" s="3">
        <v>13</v>
      </c>
      <c r="U139" s="3">
        <v>19</v>
      </c>
      <c r="V139" s="3">
        <v>9</v>
      </c>
      <c r="W139" s="3">
        <v>9</v>
      </c>
      <c r="X139" s="3">
        <v>11</v>
      </c>
      <c r="Y139" s="3">
        <v>10</v>
      </c>
      <c r="Z139" s="3">
        <v>11</v>
      </c>
      <c r="AA139" s="5">
        <f t="shared" si="2"/>
        <v>137</v>
      </c>
    </row>
    <row r="140" spans="1:27" ht="15" customHeight="1" x14ac:dyDescent="0.2">
      <c r="A140" s="3" t="s">
        <v>321</v>
      </c>
      <c r="B140" s="1" t="s">
        <v>322</v>
      </c>
      <c r="C140" s="3">
        <v>5</v>
      </c>
      <c r="D140" s="3">
        <v>6</v>
      </c>
      <c r="E140" s="3">
        <v>5</v>
      </c>
      <c r="F140" s="3">
        <v>5</v>
      </c>
      <c r="G140" s="3">
        <v>6</v>
      </c>
      <c r="H140" s="3">
        <v>10</v>
      </c>
      <c r="I140" s="3">
        <v>10</v>
      </c>
      <c r="J140" s="3">
        <v>5</v>
      </c>
      <c r="K140" s="3">
        <v>5</v>
      </c>
      <c r="L140" s="3">
        <v>5</v>
      </c>
      <c r="M140" s="3">
        <v>6</v>
      </c>
      <c r="N140" s="3">
        <v>7</v>
      </c>
      <c r="O140" s="3">
        <v>5</v>
      </c>
      <c r="P140" s="3">
        <v>6</v>
      </c>
      <c r="Q140" s="3">
        <v>6</v>
      </c>
      <c r="R140" s="3">
        <v>5</v>
      </c>
      <c r="S140" s="3">
        <v>8</v>
      </c>
      <c r="T140" s="3">
        <v>9</v>
      </c>
      <c r="U140" s="3">
        <v>13</v>
      </c>
      <c r="V140" s="3">
        <v>5</v>
      </c>
      <c r="W140" s="3">
        <v>7</v>
      </c>
      <c r="X140" s="3">
        <v>6</v>
      </c>
      <c r="Y140" s="3">
        <v>6</v>
      </c>
      <c r="Z140" s="3">
        <v>6</v>
      </c>
      <c r="AA140" s="5">
        <f t="shared" si="2"/>
        <v>82</v>
      </c>
    </row>
    <row r="141" spans="1:27" ht="15" customHeight="1" x14ac:dyDescent="0.2">
      <c r="A141" s="3" t="s">
        <v>323</v>
      </c>
      <c r="B141" s="1" t="s">
        <v>324</v>
      </c>
      <c r="C141" s="3">
        <v>53</v>
      </c>
      <c r="D141" s="3">
        <v>39</v>
      </c>
      <c r="E141" s="3">
        <v>46</v>
      </c>
      <c r="F141" s="3">
        <v>48</v>
      </c>
      <c r="G141" s="3">
        <v>46</v>
      </c>
      <c r="H141" s="3">
        <v>75</v>
      </c>
      <c r="I141" s="3">
        <v>77</v>
      </c>
      <c r="J141" s="3">
        <v>34</v>
      </c>
      <c r="K141" s="3">
        <v>36</v>
      </c>
      <c r="L141" s="3">
        <v>45</v>
      </c>
      <c r="M141" s="3">
        <v>41</v>
      </c>
      <c r="N141" s="3">
        <v>46</v>
      </c>
      <c r="O141" s="3">
        <v>38</v>
      </c>
      <c r="P141" s="3">
        <v>48</v>
      </c>
      <c r="Q141" s="3">
        <v>38</v>
      </c>
      <c r="R141" s="3">
        <v>40</v>
      </c>
      <c r="S141" s="3">
        <v>57</v>
      </c>
      <c r="T141" s="3">
        <v>72</v>
      </c>
      <c r="U141" s="3">
        <v>87</v>
      </c>
      <c r="V141" s="3">
        <v>38</v>
      </c>
      <c r="W141" s="3">
        <v>45</v>
      </c>
      <c r="X141" s="3">
        <v>48</v>
      </c>
      <c r="Y141" s="3">
        <v>49</v>
      </c>
      <c r="Z141" s="3">
        <v>37</v>
      </c>
      <c r="AA141" s="5">
        <f t="shared" si="2"/>
        <v>597</v>
      </c>
    </row>
    <row r="142" spans="1:27" ht="15" customHeight="1" x14ac:dyDescent="0.2">
      <c r="A142" s="3" t="s">
        <v>325</v>
      </c>
      <c r="B142" s="1" t="s">
        <v>326</v>
      </c>
      <c r="C142" s="3">
        <v>35</v>
      </c>
      <c r="D142" s="3">
        <v>33</v>
      </c>
      <c r="E142" s="3">
        <v>33</v>
      </c>
      <c r="F142" s="3">
        <v>35</v>
      </c>
      <c r="G142" s="3">
        <v>38</v>
      </c>
      <c r="H142" s="3">
        <v>55</v>
      </c>
      <c r="I142" s="3">
        <v>68</v>
      </c>
      <c r="J142" s="3">
        <v>28</v>
      </c>
      <c r="K142" s="3">
        <v>32</v>
      </c>
      <c r="L142" s="3">
        <v>39</v>
      </c>
      <c r="M142" s="3">
        <v>42</v>
      </c>
      <c r="N142" s="3">
        <v>39</v>
      </c>
      <c r="O142" s="3">
        <v>32</v>
      </c>
      <c r="P142" s="3">
        <v>35</v>
      </c>
      <c r="Q142" s="3">
        <v>30</v>
      </c>
      <c r="R142" s="3">
        <v>37</v>
      </c>
      <c r="S142" s="3">
        <v>45</v>
      </c>
      <c r="T142" s="3">
        <v>52</v>
      </c>
      <c r="U142" s="3">
        <v>73</v>
      </c>
      <c r="V142" s="3">
        <v>26</v>
      </c>
      <c r="W142" s="3">
        <v>29</v>
      </c>
      <c r="X142" s="3">
        <v>34</v>
      </c>
      <c r="Y142" s="3">
        <v>37</v>
      </c>
      <c r="Z142" s="3">
        <v>39</v>
      </c>
      <c r="AA142" s="5">
        <f t="shared" si="2"/>
        <v>469</v>
      </c>
    </row>
    <row r="143" spans="1:27" ht="15" customHeight="1" x14ac:dyDescent="0.2">
      <c r="A143" s="3" t="s">
        <v>327</v>
      </c>
      <c r="B143" s="1" t="s">
        <v>328</v>
      </c>
      <c r="C143" s="3">
        <v>195</v>
      </c>
      <c r="D143" s="3">
        <v>174</v>
      </c>
      <c r="E143" s="3">
        <v>155</v>
      </c>
      <c r="F143" s="3">
        <v>224</v>
      </c>
      <c r="G143" s="3">
        <v>184</v>
      </c>
      <c r="H143" s="3">
        <v>308</v>
      </c>
      <c r="I143" s="3">
        <v>408</v>
      </c>
      <c r="J143" s="3">
        <v>163</v>
      </c>
      <c r="K143" s="3">
        <v>174</v>
      </c>
      <c r="L143" s="3">
        <v>170</v>
      </c>
      <c r="M143" s="3">
        <v>207</v>
      </c>
      <c r="N143" s="3">
        <v>183</v>
      </c>
      <c r="O143" s="3">
        <v>225</v>
      </c>
      <c r="P143" s="3">
        <v>209</v>
      </c>
      <c r="Q143" s="3">
        <v>179</v>
      </c>
      <c r="R143" s="3">
        <v>223</v>
      </c>
      <c r="S143" s="3">
        <v>197</v>
      </c>
      <c r="T143" s="3">
        <v>309</v>
      </c>
      <c r="U143" s="3">
        <v>355</v>
      </c>
      <c r="V143" s="3">
        <v>146</v>
      </c>
      <c r="W143" s="3">
        <v>168</v>
      </c>
      <c r="X143" s="3">
        <v>206</v>
      </c>
      <c r="Y143" s="3">
        <v>204</v>
      </c>
      <c r="Z143" s="3">
        <v>206</v>
      </c>
      <c r="AA143" s="5">
        <f t="shared" si="2"/>
        <v>2627</v>
      </c>
    </row>
    <row r="144" spans="1:27" ht="15" customHeight="1" x14ac:dyDescent="0.2">
      <c r="A144" s="3" t="s">
        <v>329</v>
      </c>
      <c r="B144" s="1" t="s">
        <v>330</v>
      </c>
      <c r="C144" s="3">
        <v>13</v>
      </c>
      <c r="D144" s="3">
        <v>13</v>
      </c>
      <c r="E144" s="3">
        <v>13</v>
      </c>
      <c r="F144" s="3">
        <v>12</v>
      </c>
      <c r="G144" s="3">
        <v>13</v>
      </c>
      <c r="H144" s="3">
        <v>17</v>
      </c>
      <c r="I144" s="3">
        <v>24</v>
      </c>
      <c r="J144" s="3">
        <v>10</v>
      </c>
      <c r="K144" s="3">
        <v>11</v>
      </c>
      <c r="L144" s="3">
        <v>12</v>
      </c>
      <c r="M144" s="3">
        <v>17</v>
      </c>
      <c r="N144" s="3">
        <v>12</v>
      </c>
      <c r="O144" s="3">
        <v>13</v>
      </c>
      <c r="P144" s="3">
        <v>13</v>
      </c>
      <c r="Q144" s="3">
        <v>13</v>
      </c>
      <c r="R144" s="3">
        <v>12</v>
      </c>
      <c r="S144" s="3">
        <v>16</v>
      </c>
      <c r="T144" s="3">
        <v>19</v>
      </c>
      <c r="U144" s="3">
        <v>25</v>
      </c>
      <c r="V144" s="3">
        <v>11</v>
      </c>
      <c r="W144" s="3">
        <v>11</v>
      </c>
      <c r="X144" s="3">
        <v>12</v>
      </c>
      <c r="Y144" s="3">
        <v>13</v>
      </c>
      <c r="Z144" s="3">
        <v>16</v>
      </c>
      <c r="AA144" s="5">
        <f t="shared" si="2"/>
        <v>174</v>
      </c>
    </row>
    <row r="145" spans="1:27" ht="15" customHeight="1" x14ac:dyDescent="0.2">
      <c r="A145" s="3" t="s">
        <v>331</v>
      </c>
      <c r="B145" s="1" t="s">
        <v>332</v>
      </c>
      <c r="C145" s="3">
        <v>33</v>
      </c>
      <c r="D145" s="3">
        <v>30</v>
      </c>
      <c r="E145" s="3">
        <v>34</v>
      </c>
      <c r="F145" s="3">
        <v>32</v>
      </c>
      <c r="G145" s="3">
        <v>42</v>
      </c>
      <c r="H145" s="3">
        <v>55</v>
      </c>
      <c r="I145" s="3">
        <v>75</v>
      </c>
      <c r="J145" s="3">
        <v>26</v>
      </c>
      <c r="K145" s="3">
        <v>29</v>
      </c>
      <c r="L145" s="3">
        <v>30</v>
      </c>
      <c r="M145" s="3">
        <v>30</v>
      </c>
      <c r="N145" s="3">
        <v>42</v>
      </c>
      <c r="O145" s="3">
        <v>39</v>
      </c>
      <c r="P145" s="3">
        <v>38</v>
      </c>
      <c r="Q145" s="3">
        <v>27</v>
      </c>
      <c r="R145" s="3">
        <v>37</v>
      </c>
      <c r="S145" s="3">
        <v>38</v>
      </c>
      <c r="T145" s="3">
        <v>56</v>
      </c>
      <c r="U145" s="3">
        <v>84</v>
      </c>
      <c r="V145" s="3">
        <v>31</v>
      </c>
      <c r="W145" s="3">
        <v>28</v>
      </c>
      <c r="X145" s="3">
        <v>36</v>
      </c>
      <c r="Y145" s="3">
        <v>37</v>
      </c>
      <c r="Z145" s="3">
        <v>34</v>
      </c>
      <c r="AA145" s="5">
        <f t="shared" si="2"/>
        <v>485</v>
      </c>
    </row>
    <row r="146" spans="1:27" ht="15" customHeight="1" x14ac:dyDescent="0.2">
      <c r="A146" s="3" t="s">
        <v>333</v>
      </c>
      <c r="B146" s="1" t="s">
        <v>334</v>
      </c>
      <c r="C146" s="3">
        <v>7</v>
      </c>
      <c r="D146" s="3">
        <v>7</v>
      </c>
      <c r="E146" s="3">
        <v>6</v>
      </c>
      <c r="F146" s="3">
        <v>7</v>
      </c>
      <c r="G146" s="3">
        <v>8</v>
      </c>
      <c r="H146" s="3">
        <v>12</v>
      </c>
      <c r="I146" s="3">
        <v>15</v>
      </c>
      <c r="J146" s="3">
        <v>6</v>
      </c>
      <c r="K146" s="3">
        <v>8</v>
      </c>
      <c r="L146" s="3">
        <v>7</v>
      </c>
      <c r="M146" s="3">
        <v>8</v>
      </c>
      <c r="N146" s="3">
        <v>7</v>
      </c>
      <c r="O146" s="3">
        <v>9</v>
      </c>
      <c r="P146" s="3">
        <v>8</v>
      </c>
      <c r="Q146" s="3">
        <v>8</v>
      </c>
      <c r="R146" s="3">
        <v>8</v>
      </c>
      <c r="S146" s="3">
        <v>9</v>
      </c>
      <c r="T146" s="3">
        <v>13</v>
      </c>
      <c r="U146" s="3">
        <v>16</v>
      </c>
      <c r="V146" s="3">
        <v>6</v>
      </c>
      <c r="W146" s="3">
        <v>7</v>
      </c>
      <c r="X146" s="3">
        <v>8</v>
      </c>
      <c r="Y146" s="3">
        <v>9</v>
      </c>
      <c r="Z146" s="3">
        <v>10</v>
      </c>
      <c r="AA146" s="5">
        <f t="shared" si="2"/>
        <v>111</v>
      </c>
    </row>
    <row r="147" spans="1:27" ht="15" customHeight="1" x14ac:dyDescent="0.2">
      <c r="A147" s="3" t="s">
        <v>335</v>
      </c>
      <c r="B147" s="1" t="s">
        <v>336</v>
      </c>
      <c r="C147" s="3">
        <v>48</v>
      </c>
      <c r="D147" s="3">
        <v>44</v>
      </c>
      <c r="E147" s="3">
        <v>48</v>
      </c>
      <c r="F147" s="3">
        <v>45</v>
      </c>
      <c r="G147" s="3">
        <v>60</v>
      </c>
      <c r="H147" s="3">
        <v>71</v>
      </c>
      <c r="I147" s="3">
        <v>101</v>
      </c>
      <c r="J147" s="3">
        <v>38</v>
      </c>
      <c r="K147" s="3">
        <v>40</v>
      </c>
      <c r="L147" s="3">
        <v>50</v>
      </c>
      <c r="M147" s="3">
        <v>51</v>
      </c>
      <c r="N147" s="3">
        <v>64</v>
      </c>
      <c r="O147" s="3">
        <v>52</v>
      </c>
      <c r="P147" s="3">
        <v>53</v>
      </c>
      <c r="Q147" s="3">
        <v>47</v>
      </c>
      <c r="R147" s="3">
        <v>56</v>
      </c>
      <c r="S147" s="3">
        <v>51</v>
      </c>
      <c r="T147" s="3">
        <v>80</v>
      </c>
      <c r="U147" s="3">
        <v>110</v>
      </c>
      <c r="V147" s="3">
        <v>43</v>
      </c>
      <c r="W147" s="3">
        <v>49</v>
      </c>
      <c r="X147" s="3">
        <v>56</v>
      </c>
      <c r="Y147" s="3">
        <v>51</v>
      </c>
      <c r="Z147" s="3">
        <v>57</v>
      </c>
      <c r="AA147" s="5">
        <f t="shared" si="2"/>
        <v>705</v>
      </c>
    </row>
    <row r="148" spans="1:27" ht="15" customHeight="1" x14ac:dyDescent="0.2">
      <c r="A148" s="3" t="s">
        <v>337</v>
      </c>
      <c r="B148" s="1" t="s">
        <v>338</v>
      </c>
      <c r="C148" s="3">
        <v>19</v>
      </c>
      <c r="D148" s="3">
        <v>21</v>
      </c>
      <c r="E148" s="3">
        <v>20</v>
      </c>
      <c r="F148" s="3">
        <v>21</v>
      </c>
      <c r="G148" s="3">
        <v>19</v>
      </c>
      <c r="H148" s="3">
        <v>25</v>
      </c>
      <c r="I148" s="3">
        <v>34</v>
      </c>
      <c r="J148" s="3">
        <v>13</v>
      </c>
      <c r="K148" s="3">
        <v>17</v>
      </c>
      <c r="L148" s="3">
        <v>15</v>
      </c>
      <c r="M148" s="3">
        <v>24</v>
      </c>
      <c r="N148" s="3">
        <v>21</v>
      </c>
      <c r="O148" s="3">
        <v>19</v>
      </c>
      <c r="P148" s="3">
        <v>19</v>
      </c>
      <c r="Q148" s="3">
        <v>20</v>
      </c>
      <c r="R148" s="3">
        <v>24</v>
      </c>
      <c r="S148" s="3">
        <v>22</v>
      </c>
      <c r="T148" s="3">
        <v>32</v>
      </c>
      <c r="U148" s="3">
        <v>39</v>
      </c>
      <c r="V148" s="3">
        <v>13</v>
      </c>
      <c r="W148" s="3">
        <v>19</v>
      </c>
      <c r="X148" s="3">
        <v>17</v>
      </c>
      <c r="Y148" s="3">
        <v>19</v>
      </c>
      <c r="Z148" s="3">
        <v>23</v>
      </c>
      <c r="AA148" s="5">
        <f t="shared" si="2"/>
        <v>266</v>
      </c>
    </row>
    <row r="149" spans="1:27" ht="15" customHeight="1" x14ac:dyDescent="0.2">
      <c r="A149" s="3" t="s">
        <v>339</v>
      </c>
      <c r="B149" s="1" t="s">
        <v>340</v>
      </c>
      <c r="C149" s="3">
        <v>41</v>
      </c>
      <c r="D149" s="3">
        <v>50</v>
      </c>
      <c r="E149" s="3">
        <v>46</v>
      </c>
      <c r="F149" s="3">
        <v>48</v>
      </c>
      <c r="G149" s="3">
        <v>58</v>
      </c>
      <c r="H149" s="3">
        <v>71</v>
      </c>
      <c r="I149" s="3">
        <v>95</v>
      </c>
      <c r="J149" s="3">
        <v>34</v>
      </c>
      <c r="K149" s="3">
        <v>37</v>
      </c>
      <c r="L149" s="3">
        <v>42</v>
      </c>
      <c r="M149" s="3">
        <v>41</v>
      </c>
      <c r="N149" s="3">
        <v>50</v>
      </c>
      <c r="O149" s="3">
        <v>49</v>
      </c>
      <c r="P149" s="3">
        <v>48</v>
      </c>
      <c r="Q149" s="3">
        <v>45</v>
      </c>
      <c r="R149" s="3">
        <v>51</v>
      </c>
      <c r="S149" s="3">
        <v>53</v>
      </c>
      <c r="T149" s="3">
        <v>80</v>
      </c>
      <c r="U149" s="3">
        <v>96</v>
      </c>
      <c r="V149" s="3">
        <v>38</v>
      </c>
      <c r="W149" s="3">
        <v>45</v>
      </c>
      <c r="X149" s="3">
        <v>49</v>
      </c>
      <c r="Y149" s="3">
        <v>56</v>
      </c>
      <c r="Z149" s="3">
        <v>54</v>
      </c>
      <c r="AA149" s="5">
        <f t="shared" si="2"/>
        <v>664</v>
      </c>
    </row>
    <row r="150" spans="1:27" ht="15" customHeight="1" x14ac:dyDescent="0.2">
      <c r="A150" s="3" t="s">
        <v>341</v>
      </c>
      <c r="B150" s="1" t="s">
        <v>342</v>
      </c>
      <c r="C150" s="3">
        <v>11</v>
      </c>
      <c r="D150" s="3">
        <v>11</v>
      </c>
      <c r="E150" s="3">
        <v>15</v>
      </c>
      <c r="F150" s="3">
        <v>14</v>
      </c>
      <c r="G150" s="3">
        <v>16</v>
      </c>
      <c r="H150" s="3">
        <v>21</v>
      </c>
      <c r="I150" s="3">
        <v>26</v>
      </c>
      <c r="J150" s="3">
        <v>12</v>
      </c>
      <c r="K150" s="3">
        <v>14</v>
      </c>
      <c r="L150" s="3">
        <v>16</v>
      </c>
      <c r="M150" s="3">
        <v>18</v>
      </c>
      <c r="N150" s="3">
        <v>15</v>
      </c>
      <c r="O150" s="3">
        <v>15</v>
      </c>
      <c r="P150" s="3">
        <v>15</v>
      </c>
      <c r="Q150" s="3">
        <v>18</v>
      </c>
      <c r="R150" s="3">
        <v>17</v>
      </c>
      <c r="S150" s="3">
        <v>15</v>
      </c>
      <c r="T150" s="3">
        <v>18</v>
      </c>
      <c r="U150" s="3">
        <v>31</v>
      </c>
      <c r="V150" s="3">
        <v>11</v>
      </c>
      <c r="W150" s="3">
        <v>14</v>
      </c>
      <c r="X150" s="3">
        <v>16</v>
      </c>
      <c r="Y150" s="3">
        <v>14</v>
      </c>
      <c r="Z150" s="3">
        <v>15</v>
      </c>
      <c r="AA150" s="5">
        <f t="shared" si="2"/>
        <v>199</v>
      </c>
    </row>
    <row r="151" spans="1:27" ht="15" customHeight="1" x14ac:dyDescent="0.2">
      <c r="A151" s="3" t="s">
        <v>343</v>
      </c>
      <c r="B151" s="1" t="s">
        <v>344</v>
      </c>
      <c r="C151" s="3">
        <v>7</v>
      </c>
      <c r="D151" s="3">
        <v>10</v>
      </c>
      <c r="E151" s="3">
        <v>8</v>
      </c>
      <c r="F151" s="3">
        <v>9</v>
      </c>
      <c r="G151" s="3">
        <v>9</v>
      </c>
      <c r="H151" s="3">
        <v>61</v>
      </c>
      <c r="I151" s="3">
        <v>10</v>
      </c>
      <c r="J151" s="3">
        <v>12</v>
      </c>
      <c r="K151" s="3">
        <v>59</v>
      </c>
      <c r="L151" s="3">
        <v>9</v>
      </c>
      <c r="M151" s="3">
        <v>9</v>
      </c>
      <c r="N151" s="3">
        <v>9</v>
      </c>
      <c r="O151" s="3">
        <v>12</v>
      </c>
      <c r="P151" s="3">
        <v>12</v>
      </c>
      <c r="Q151" s="3">
        <v>12</v>
      </c>
      <c r="R151" s="3">
        <v>64</v>
      </c>
      <c r="S151" s="3">
        <v>7</v>
      </c>
      <c r="T151" s="3">
        <v>13</v>
      </c>
      <c r="U151" s="3">
        <v>7</v>
      </c>
      <c r="V151" s="3">
        <v>11</v>
      </c>
      <c r="W151" s="3">
        <v>9</v>
      </c>
      <c r="X151" s="3">
        <v>76</v>
      </c>
      <c r="Y151" s="3">
        <v>65</v>
      </c>
      <c r="Z151" s="3">
        <v>11</v>
      </c>
      <c r="AA151" s="5">
        <f t="shared" si="2"/>
        <v>299</v>
      </c>
    </row>
    <row r="152" spans="1:27" ht="15" customHeight="1" x14ac:dyDescent="0.2">
      <c r="A152" s="3" t="s">
        <v>345</v>
      </c>
      <c r="B152" s="1" t="s">
        <v>346</v>
      </c>
      <c r="C152" s="3">
        <v>31</v>
      </c>
      <c r="D152" s="3">
        <v>40</v>
      </c>
      <c r="E152" s="3">
        <v>38</v>
      </c>
      <c r="F152" s="3">
        <v>43</v>
      </c>
      <c r="G152" s="3">
        <v>45</v>
      </c>
      <c r="H152" s="3">
        <v>62</v>
      </c>
      <c r="I152" s="3">
        <v>72</v>
      </c>
      <c r="J152" s="3">
        <v>30</v>
      </c>
      <c r="K152" s="3">
        <v>31</v>
      </c>
      <c r="L152" s="3">
        <v>44</v>
      </c>
      <c r="M152" s="3">
        <v>41</v>
      </c>
      <c r="N152" s="3">
        <v>45</v>
      </c>
      <c r="O152" s="3">
        <v>38</v>
      </c>
      <c r="P152" s="3">
        <v>38</v>
      </c>
      <c r="Q152" s="3">
        <v>38</v>
      </c>
      <c r="R152" s="3">
        <v>42</v>
      </c>
      <c r="S152" s="3">
        <v>34</v>
      </c>
      <c r="T152" s="3">
        <v>44</v>
      </c>
      <c r="U152" s="3">
        <v>68</v>
      </c>
      <c r="V152" s="3">
        <v>38</v>
      </c>
      <c r="W152" s="3">
        <v>34</v>
      </c>
      <c r="X152" s="3">
        <v>33</v>
      </c>
      <c r="Y152" s="3">
        <v>41</v>
      </c>
      <c r="Z152" s="3">
        <v>40</v>
      </c>
      <c r="AA152" s="5">
        <f t="shared" si="2"/>
        <v>488</v>
      </c>
    </row>
    <row r="153" spans="1:27" ht="15" customHeight="1" x14ac:dyDescent="0.2">
      <c r="A153" s="3" t="s">
        <v>347</v>
      </c>
      <c r="B153" s="1" t="s">
        <v>348</v>
      </c>
      <c r="C153" s="3">
        <v>56</v>
      </c>
      <c r="D153" s="3">
        <v>59</v>
      </c>
      <c r="E153" s="3">
        <v>56</v>
      </c>
      <c r="F153" s="3">
        <v>51</v>
      </c>
      <c r="G153" s="3">
        <v>64</v>
      </c>
      <c r="H153" s="3">
        <v>90</v>
      </c>
      <c r="I153" s="3">
        <v>90</v>
      </c>
      <c r="J153" s="3">
        <v>40</v>
      </c>
      <c r="K153" s="3">
        <v>47</v>
      </c>
      <c r="L153" s="3">
        <v>49</v>
      </c>
      <c r="M153" s="3">
        <v>55</v>
      </c>
      <c r="N153" s="3">
        <v>67</v>
      </c>
      <c r="O153" s="3">
        <v>61</v>
      </c>
      <c r="P153" s="3">
        <v>57</v>
      </c>
      <c r="Q153" s="3">
        <v>60</v>
      </c>
      <c r="R153" s="3">
        <v>61</v>
      </c>
      <c r="S153" s="3">
        <v>65</v>
      </c>
      <c r="T153" s="3">
        <v>88</v>
      </c>
      <c r="U153" s="3">
        <v>107</v>
      </c>
      <c r="V153" s="3">
        <v>48</v>
      </c>
      <c r="W153" s="3">
        <v>48</v>
      </c>
      <c r="X153" s="3">
        <v>49</v>
      </c>
      <c r="Y153" s="3">
        <v>59</v>
      </c>
      <c r="Z153" s="3">
        <v>60</v>
      </c>
      <c r="AA153" s="5">
        <f t="shared" si="2"/>
        <v>763</v>
      </c>
    </row>
    <row r="154" spans="1:27" ht="15" customHeight="1" x14ac:dyDescent="0.2">
      <c r="A154" s="3" t="s">
        <v>349</v>
      </c>
      <c r="B154" s="1" t="s">
        <v>350</v>
      </c>
      <c r="C154" s="3">
        <v>37</v>
      </c>
      <c r="D154" s="3">
        <v>37</v>
      </c>
      <c r="E154" s="3">
        <v>42</v>
      </c>
      <c r="F154" s="3">
        <v>46</v>
      </c>
      <c r="G154" s="3">
        <v>58</v>
      </c>
      <c r="H154" s="3">
        <v>59</v>
      </c>
      <c r="I154" s="3">
        <v>61</v>
      </c>
      <c r="J154" s="3">
        <v>29</v>
      </c>
      <c r="K154" s="3">
        <v>38</v>
      </c>
      <c r="L154" s="3">
        <v>45</v>
      </c>
      <c r="M154" s="3">
        <v>53</v>
      </c>
      <c r="N154" s="3">
        <v>52</v>
      </c>
      <c r="O154" s="3">
        <v>48</v>
      </c>
      <c r="P154" s="3">
        <v>37</v>
      </c>
      <c r="Q154" s="3">
        <v>42</v>
      </c>
      <c r="R154" s="3">
        <v>50</v>
      </c>
      <c r="S154" s="3">
        <v>59</v>
      </c>
      <c r="T154" s="3">
        <v>55</v>
      </c>
      <c r="U154" s="3">
        <v>84</v>
      </c>
      <c r="V154" s="3">
        <v>30</v>
      </c>
      <c r="W154" s="3">
        <v>41</v>
      </c>
      <c r="X154" s="3">
        <v>43</v>
      </c>
      <c r="Y154" s="3">
        <v>41</v>
      </c>
      <c r="Z154" s="3">
        <v>42</v>
      </c>
      <c r="AA154" s="5">
        <f t="shared" si="2"/>
        <v>572</v>
      </c>
    </row>
    <row r="155" spans="1:27" ht="15" customHeight="1" x14ac:dyDescent="0.2">
      <c r="A155" s="3" t="s">
        <v>351</v>
      </c>
      <c r="B155" s="1" t="s">
        <v>352</v>
      </c>
      <c r="C155" s="3">
        <v>5</v>
      </c>
      <c r="D155" s="3">
        <v>4</v>
      </c>
      <c r="E155" s="3">
        <v>6</v>
      </c>
      <c r="F155" s="3">
        <v>5</v>
      </c>
      <c r="G155" s="3">
        <v>5</v>
      </c>
      <c r="H155" s="3">
        <v>3</v>
      </c>
      <c r="I155" s="3">
        <v>3</v>
      </c>
      <c r="J155" s="3">
        <v>3</v>
      </c>
      <c r="K155" s="3">
        <v>3</v>
      </c>
      <c r="L155" s="3">
        <v>4</v>
      </c>
      <c r="M155" s="3">
        <v>3</v>
      </c>
      <c r="N155" s="3">
        <v>3</v>
      </c>
      <c r="O155" s="3">
        <v>2</v>
      </c>
      <c r="P155" s="3">
        <v>2</v>
      </c>
      <c r="Q155" s="3">
        <v>2</v>
      </c>
      <c r="R155" s="3">
        <v>2</v>
      </c>
      <c r="S155" s="3">
        <v>1</v>
      </c>
      <c r="T155" s="3">
        <v>2</v>
      </c>
      <c r="U155" s="3">
        <v>1</v>
      </c>
      <c r="V155" s="3">
        <v>1</v>
      </c>
      <c r="W155" s="3">
        <v>1</v>
      </c>
      <c r="X155" s="3">
        <v>1</v>
      </c>
      <c r="Y155" s="3">
        <v>1</v>
      </c>
      <c r="Z155" s="3">
        <v>1</v>
      </c>
      <c r="AA155" s="5">
        <f t="shared" si="2"/>
        <v>17</v>
      </c>
    </row>
    <row r="156" spans="1:27" ht="15" customHeight="1" x14ac:dyDescent="0.2">
      <c r="A156" s="3" t="s">
        <v>355</v>
      </c>
      <c r="B156" s="1" t="s">
        <v>356</v>
      </c>
      <c r="C156" s="3">
        <v>424</v>
      </c>
      <c r="D156" s="3">
        <v>529</v>
      </c>
      <c r="E156" s="3">
        <v>379</v>
      </c>
      <c r="F156" s="3">
        <v>516</v>
      </c>
      <c r="G156" s="3">
        <v>596</v>
      </c>
      <c r="H156" s="3">
        <v>506</v>
      </c>
      <c r="I156" s="3">
        <v>639</v>
      </c>
      <c r="J156" s="3">
        <v>329</v>
      </c>
      <c r="K156" s="3">
        <v>488</v>
      </c>
      <c r="L156" s="3">
        <v>442</v>
      </c>
      <c r="M156" s="3">
        <v>488</v>
      </c>
      <c r="N156" s="3">
        <v>526</v>
      </c>
      <c r="O156" s="3">
        <v>468</v>
      </c>
      <c r="P156" s="3">
        <v>424</v>
      </c>
      <c r="Q156" s="3">
        <v>385</v>
      </c>
      <c r="R156" s="3">
        <v>498</v>
      </c>
      <c r="S156" s="3">
        <v>541</v>
      </c>
      <c r="T156" s="3">
        <v>693</v>
      </c>
      <c r="U156" s="3">
        <v>808</v>
      </c>
      <c r="V156" s="3">
        <v>342</v>
      </c>
      <c r="W156" s="3">
        <v>431</v>
      </c>
      <c r="X156" s="3">
        <v>513</v>
      </c>
      <c r="Y156" s="3">
        <v>392</v>
      </c>
      <c r="Z156" s="3">
        <v>621</v>
      </c>
      <c r="AA156" s="5">
        <f t="shared" si="2"/>
        <v>6116</v>
      </c>
    </row>
    <row r="157" spans="1:27" ht="15" customHeight="1" x14ac:dyDescent="0.2">
      <c r="A157" s="3" t="s">
        <v>358</v>
      </c>
      <c r="B157" s="1" t="s">
        <v>359</v>
      </c>
      <c r="C157" s="3">
        <v>122</v>
      </c>
      <c r="D157" s="3">
        <v>172</v>
      </c>
      <c r="E157" s="3">
        <v>159</v>
      </c>
      <c r="F157" s="3">
        <v>138</v>
      </c>
      <c r="G157" s="3">
        <v>165</v>
      </c>
      <c r="H157" s="3">
        <v>248</v>
      </c>
      <c r="I157" s="3">
        <v>382</v>
      </c>
      <c r="J157" s="3">
        <v>117</v>
      </c>
      <c r="K157" s="3">
        <v>143</v>
      </c>
      <c r="L157" s="3">
        <v>131</v>
      </c>
      <c r="M157" s="3">
        <v>177</v>
      </c>
      <c r="N157" s="3">
        <v>158</v>
      </c>
      <c r="O157" s="3">
        <v>172</v>
      </c>
      <c r="P157" s="3">
        <v>186</v>
      </c>
      <c r="Q157" s="3">
        <v>174</v>
      </c>
      <c r="R157" s="3">
        <v>155</v>
      </c>
      <c r="S157" s="3">
        <v>202</v>
      </c>
      <c r="T157" s="3">
        <v>267</v>
      </c>
      <c r="U157" s="3">
        <v>382</v>
      </c>
      <c r="V157" s="3">
        <v>125</v>
      </c>
      <c r="W157" s="3">
        <v>137</v>
      </c>
      <c r="X157" s="3">
        <v>199</v>
      </c>
      <c r="Y157" s="3">
        <v>191</v>
      </c>
      <c r="Z157" s="3">
        <v>174</v>
      </c>
      <c r="AA157" s="5">
        <f t="shared" si="2"/>
        <v>2364</v>
      </c>
    </row>
    <row r="158" spans="1:27" ht="15" customHeight="1" x14ac:dyDescent="0.2">
      <c r="A158" s="3" t="s">
        <v>360</v>
      </c>
      <c r="B158" s="1" t="s">
        <v>361</v>
      </c>
      <c r="C158" s="3">
        <v>89</v>
      </c>
      <c r="D158" s="3">
        <v>91</v>
      </c>
      <c r="E158" s="3">
        <v>81</v>
      </c>
      <c r="F158" s="3">
        <v>91</v>
      </c>
      <c r="G158" s="3">
        <v>111</v>
      </c>
      <c r="H158" s="3">
        <v>132</v>
      </c>
      <c r="I158" s="3">
        <v>164</v>
      </c>
      <c r="J158" s="3">
        <v>58</v>
      </c>
      <c r="K158" s="3">
        <v>79</v>
      </c>
      <c r="L158" s="3">
        <v>81</v>
      </c>
      <c r="M158" s="3">
        <v>106</v>
      </c>
      <c r="N158" s="3">
        <v>96</v>
      </c>
      <c r="O158" s="3">
        <v>79</v>
      </c>
      <c r="P158" s="3">
        <v>106</v>
      </c>
      <c r="Q158" s="3">
        <v>80</v>
      </c>
      <c r="R158" s="3">
        <v>98</v>
      </c>
      <c r="S158" s="3">
        <v>118</v>
      </c>
      <c r="T158" s="3">
        <v>161</v>
      </c>
      <c r="U158" s="3">
        <v>190</v>
      </c>
      <c r="V158" s="3">
        <v>61</v>
      </c>
      <c r="W158" s="3">
        <v>94</v>
      </c>
      <c r="X158" s="3">
        <v>91</v>
      </c>
      <c r="Y158" s="3">
        <v>95</v>
      </c>
      <c r="Z158" s="3">
        <v>101</v>
      </c>
      <c r="AA158" s="5">
        <f t="shared" si="2"/>
        <v>1274</v>
      </c>
    </row>
    <row r="159" spans="1:27" ht="15" customHeight="1" x14ac:dyDescent="0.2">
      <c r="A159" s="3" t="s">
        <v>362</v>
      </c>
      <c r="B159" s="1" t="s">
        <v>363</v>
      </c>
      <c r="C159" s="3">
        <v>777</v>
      </c>
      <c r="D159" s="3">
        <v>660</v>
      </c>
      <c r="E159" s="3">
        <v>608</v>
      </c>
      <c r="F159" s="3">
        <v>729</v>
      </c>
      <c r="G159" s="3">
        <v>795</v>
      </c>
      <c r="H159" s="3">
        <v>1085</v>
      </c>
      <c r="I159" s="3">
        <v>1206</v>
      </c>
      <c r="J159" s="3">
        <v>451</v>
      </c>
      <c r="K159" s="3">
        <v>598</v>
      </c>
      <c r="L159" s="3">
        <v>640</v>
      </c>
      <c r="M159" s="3">
        <v>723</v>
      </c>
      <c r="N159" s="3">
        <v>612</v>
      </c>
      <c r="O159" s="3">
        <v>771</v>
      </c>
      <c r="P159" s="3">
        <v>817</v>
      </c>
      <c r="Q159" s="3">
        <v>731</v>
      </c>
      <c r="R159" s="3">
        <v>675</v>
      </c>
      <c r="S159" s="3">
        <v>911</v>
      </c>
      <c r="T159" s="3">
        <v>1100</v>
      </c>
      <c r="U159" s="3">
        <v>1340</v>
      </c>
      <c r="V159" s="3">
        <v>468</v>
      </c>
      <c r="W159" s="3">
        <v>578</v>
      </c>
      <c r="X159" s="3">
        <v>573</v>
      </c>
      <c r="Y159" s="3">
        <v>766</v>
      </c>
      <c r="Z159" s="3">
        <v>761</v>
      </c>
      <c r="AA159" s="5">
        <f t="shared" si="2"/>
        <v>9491</v>
      </c>
    </row>
    <row r="160" spans="1:27" ht="15" customHeight="1" x14ac:dyDescent="0.2">
      <c r="A160" s="3" t="s">
        <v>364</v>
      </c>
      <c r="B160" s="1" t="s">
        <v>365</v>
      </c>
      <c r="C160" s="3">
        <v>524</v>
      </c>
      <c r="D160" s="3">
        <v>586</v>
      </c>
      <c r="E160" s="3">
        <v>458</v>
      </c>
      <c r="F160" s="3">
        <v>495</v>
      </c>
      <c r="G160" s="3">
        <v>572</v>
      </c>
      <c r="H160" s="3">
        <v>857</v>
      </c>
      <c r="I160" s="3">
        <v>1058</v>
      </c>
      <c r="J160" s="3">
        <v>393</v>
      </c>
      <c r="K160" s="3">
        <v>482</v>
      </c>
      <c r="L160" s="3">
        <v>517</v>
      </c>
      <c r="M160" s="3">
        <v>583</v>
      </c>
      <c r="N160" s="3">
        <v>547</v>
      </c>
      <c r="O160" s="3">
        <v>610</v>
      </c>
      <c r="P160" s="3">
        <v>635</v>
      </c>
      <c r="Q160" s="3">
        <v>568</v>
      </c>
      <c r="R160" s="3">
        <v>581</v>
      </c>
      <c r="S160" s="3">
        <v>650</v>
      </c>
      <c r="T160" s="3">
        <v>622</v>
      </c>
      <c r="U160" s="3">
        <v>1037</v>
      </c>
      <c r="V160" s="3">
        <v>457</v>
      </c>
      <c r="W160" s="3">
        <v>472</v>
      </c>
      <c r="X160" s="3">
        <v>385</v>
      </c>
      <c r="Y160" s="3">
        <v>637</v>
      </c>
      <c r="Z160" s="3">
        <v>561</v>
      </c>
      <c r="AA160" s="5">
        <f t="shared" si="2"/>
        <v>7215</v>
      </c>
    </row>
    <row r="161" spans="1:27" ht="15" customHeight="1" x14ac:dyDescent="0.2">
      <c r="A161" s="3" t="s">
        <v>366</v>
      </c>
      <c r="B161" s="1" t="s">
        <v>367</v>
      </c>
      <c r="C161" s="3">
        <v>98</v>
      </c>
      <c r="D161" s="3">
        <v>87</v>
      </c>
      <c r="E161" s="3">
        <v>82</v>
      </c>
      <c r="F161" s="3">
        <v>100</v>
      </c>
      <c r="G161" s="3">
        <v>112</v>
      </c>
      <c r="H161" s="3">
        <v>153</v>
      </c>
      <c r="I161" s="3">
        <v>200</v>
      </c>
      <c r="J161" s="3">
        <v>68</v>
      </c>
      <c r="K161" s="3">
        <v>89</v>
      </c>
      <c r="L161" s="3">
        <v>96</v>
      </c>
      <c r="M161" s="3">
        <v>104</v>
      </c>
      <c r="N161" s="3">
        <v>81</v>
      </c>
      <c r="O161" s="3">
        <v>94</v>
      </c>
      <c r="P161" s="3">
        <v>88</v>
      </c>
      <c r="Q161" s="3">
        <v>102</v>
      </c>
      <c r="R161" s="3">
        <v>115</v>
      </c>
      <c r="S161" s="3">
        <v>115</v>
      </c>
      <c r="T161" s="3">
        <v>159</v>
      </c>
      <c r="U161" s="3">
        <v>223</v>
      </c>
      <c r="V161" s="3">
        <v>80</v>
      </c>
      <c r="W161" s="3">
        <v>92</v>
      </c>
      <c r="X161" s="3">
        <v>101</v>
      </c>
      <c r="Y161" s="3">
        <v>105</v>
      </c>
      <c r="Z161" s="3">
        <v>110</v>
      </c>
      <c r="AA161" s="5">
        <f t="shared" si="2"/>
        <v>1384</v>
      </c>
    </row>
    <row r="162" spans="1:27" ht="15" customHeight="1" x14ac:dyDescent="0.2">
      <c r="A162" s="3" t="s">
        <v>368</v>
      </c>
      <c r="B162" s="1" t="s">
        <v>369</v>
      </c>
      <c r="C162" s="3">
        <v>47</v>
      </c>
      <c r="D162" s="3">
        <v>44</v>
      </c>
      <c r="E162" s="3">
        <v>35</v>
      </c>
      <c r="F162" s="3">
        <v>37</v>
      </c>
      <c r="G162" s="3">
        <v>46</v>
      </c>
      <c r="H162" s="3">
        <v>43</v>
      </c>
      <c r="I162" s="3">
        <v>80</v>
      </c>
      <c r="J162" s="3">
        <v>33</v>
      </c>
      <c r="K162" s="3">
        <v>34</v>
      </c>
      <c r="L162" s="3">
        <v>35</v>
      </c>
      <c r="M162" s="3">
        <v>38</v>
      </c>
      <c r="N162" s="3">
        <v>40</v>
      </c>
      <c r="O162" s="3">
        <v>42</v>
      </c>
      <c r="P162" s="3">
        <v>46</v>
      </c>
      <c r="Q162" s="3">
        <v>41</v>
      </c>
      <c r="R162" s="3">
        <v>41</v>
      </c>
      <c r="S162" s="3">
        <v>53</v>
      </c>
      <c r="T162" s="3">
        <v>52</v>
      </c>
      <c r="U162" s="3">
        <v>101</v>
      </c>
      <c r="V162" s="3">
        <v>33</v>
      </c>
      <c r="W162" s="3">
        <v>29</v>
      </c>
      <c r="X162" s="3">
        <v>39</v>
      </c>
      <c r="Y162" s="3">
        <v>47</v>
      </c>
      <c r="Z162" s="3">
        <v>46</v>
      </c>
      <c r="AA162" s="5">
        <f t="shared" si="2"/>
        <v>570</v>
      </c>
    </row>
    <row r="163" spans="1:27" ht="15" customHeight="1" x14ac:dyDescent="0.2">
      <c r="A163" s="3" t="s">
        <v>370</v>
      </c>
      <c r="B163" s="1" t="s">
        <v>371</v>
      </c>
      <c r="C163" s="3">
        <v>484</v>
      </c>
      <c r="D163" s="3">
        <v>459</v>
      </c>
      <c r="E163" s="3">
        <v>467</v>
      </c>
      <c r="F163" s="3">
        <v>445</v>
      </c>
      <c r="G163" s="3">
        <v>581</v>
      </c>
      <c r="H163" s="3">
        <v>880</v>
      </c>
      <c r="I163" s="3">
        <v>1083</v>
      </c>
      <c r="J163" s="3">
        <v>375</v>
      </c>
      <c r="K163" s="3">
        <v>473</v>
      </c>
      <c r="L163" s="3">
        <v>566</v>
      </c>
      <c r="M163" s="3">
        <v>586</v>
      </c>
      <c r="N163" s="3">
        <v>427</v>
      </c>
      <c r="O163" s="3">
        <v>444</v>
      </c>
      <c r="P163" s="3">
        <v>567</v>
      </c>
      <c r="Q163" s="3">
        <v>462</v>
      </c>
      <c r="R163" s="3">
        <v>412</v>
      </c>
      <c r="S163" s="3">
        <v>614</v>
      </c>
      <c r="T163" s="3">
        <v>865</v>
      </c>
      <c r="U163" s="3">
        <v>943</v>
      </c>
      <c r="V163" s="3">
        <v>369</v>
      </c>
      <c r="W163" s="3">
        <v>476</v>
      </c>
      <c r="X163" s="3">
        <v>491</v>
      </c>
      <c r="Y163" s="3">
        <v>611</v>
      </c>
      <c r="Z163" s="3">
        <v>496</v>
      </c>
      <c r="AA163" s="5">
        <f t="shared" si="2"/>
        <v>6750</v>
      </c>
    </row>
    <row r="164" spans="1:27" ht="15" customHeight="1" x14ac:dyDescent="0.2">
      <c r="A164" s="3" t="s">
        <v>372</v>
      </c>
      <c r="B164" s="1" t="s">
        <v>373</v>
      </c>
      <c r="C164" s="3">
        <v>125</v>
      </c>
      <c r="D164" s="3">
        <v>107</v>
      </c>
      <c r="E164" s="3">
        <v>134</v>
      </c>
      <c r="F164" s="3">
        <v>94</v>
      </c>
      <c r="G164" s="3">
        <v>120</v>
      </c>
      <c r="H164" s="3">
        <v>162</v>
      </c>
      <c r="I164" s="3">
        <v>197</v>
      </c>
      <c r="J164" s="3">
        <v>89</v>
      </c>
      <c r="K164" s="3">
        <v>98</v>
      </c>
      <c r="L164" s="3">
        <v>111</v>
      </c>
      <c r="M164" s="3">
        <v>124</v>
      </c>
      <c r="N164" s="3">
        <v>112</v>
      </c>
      <c r="O164" s="3">
        <v>131</v>
      </c>
      <c r="P164" s="3">
        <v>123</v>
      </c>
      <c r="Q164" s="3">
        <v>110</v>
      </c>
      <c r="R164" s="3">
        <v>136</v>
      </c>
      <c r="S164" s="3">
        <v>169</v>
      </c>
      <c r="T164" s="3">
        <v>207</v>
      </c>
      <c r="U164" s="3">
        <v>216</v>
      </c>
      <c r="V164" s="3">
        <v>82</v>
      </c>
      <c r="W164" s="3">
        <v>98</v>
      </c>
      <c r="X164" s="3">
        <v>127</v>
      </c>
      <c r="Y164" s="3">
        <v>115</v>
      </c>
      <c r="Z164" s="3">
        <v>137</v>
      </c>
      <c r="AA164" s="5">
        <f t="shared" si="2"/>
        <v>1651</v>
      </c>
    </row>
    <row r="165" spans="1:27" ht="15" customHeight="1" x14ac:dyDescent="0.2">
      <c r="A165" s="3" t="s">
        <v>374</v>
      </c>
      <c r="B165" s="1" t="s">
        <v>375</v>
      </c>
      <c r="C165" s="3">
        <v>154</v>
      </c>
      <c r="D165" s="3">
        <v>152</v>
      </c>
      <c r="E165" s="3">
        <v>161</v>
      </c>
      <c r="F165" s="3">
        <v>156</v>
      </c>
      <c r="G165" s="3">
        <v>205</v>
      </c>
      <c r="H165" s="3">
        <v>239</v>
      </c>
      <c r="I165" s="3">
        <v>251</v>
      </c>
      <c r="J165" s="3">
        <v>119</v>
      </c>
      <c r="K165" s="3">
        <v>143</v>
      </c>
      <c r="L165" s="3">
        <v>186</v>
      </c>
      <c r="M165" s="3">
        <v>135</v>
      </c>
      <c r="N165" s="3">
        <v>195</v>
      </c>
      <c r="O165" s="3">
        <v>169</v>
      </c>
      <c r="P165" s="3">
        <v>157</v>
      </c>
      <c r="Q165" s="3">
        <v>179</v>
      </c>
      <c r="R165" s="3">
        <v>174</v>
      </c>
      <c r="S165" s="3">
        <v>213</v>
      </c>
      <c r="T165" s="3">
        <v>296</v>
      </c>
      <c r="U165" s="3">
        <v>296</v>
      </c>
      <c r="V165" s="3">
        <v>118</v>
      </c>
      <c r="W165" s="3">
        <v>151</v>
      </c>
      <c r="X165" s="3">
        <v>168</v>
      </c>
      <c r="Y165" s="3">
        <v>161</v>
      </c>
      <c r="Z165" s="3">
        <v>206</v>
      </c>
      <c r="AA165" s="5">
        <f t="shared" si="2"/>
        <v>2288</v>
      </c>
    </row>
    <row r="166" spans="1:27" ht="15" customHeight="1" x14ac:dyDescent="0.2">
      <c r="A166" s="3" t="s">
        <v>376</v>
      </c>
      <c r="B166" s="1" t="s">
        <v>377</v>
      </c>
      <c r="C166" s="3">
        <v>165</v>
      </c>
      <c r="D166" s="3">
        <v>168</v>
      </c>
      <c r="E166" s="3">
        <v>138</v>
      </c>
      <c r="F166" s="3">
        <v>166</v>
      </c>
      <c r="G166" s="3">
        <v>198</v>
      </c>
      <c r="H166" s="3">
        <v>238</v>
      </c>
      <c r="I166" s="3">
        <v>318</v>
      </c>
      <c r="J166" s="3">
        <v>114</v>
      </c>
      <c r="K166" s="3">
        <v>135</v>
      </c>
      <c r="L166" s="3">
        <v>140</v>
      </c>
      <c r="M166" s="3">
        <v>178</v>
      </c>
      <c r="N166" s="3">
        <v>168</v>
      </c>
      <c r="O166" s="3">
        <v>152</v>
      </c>
      <c r="P166" s="3">
        <v>167</v>
      </c>
      <c r="Q166" s="3">
        <v>164</v>
      </c>
      <c r="R166" s="3">
        <v>160</v>
      </c>
      <c r="S166" s="3">
        <v>243</v>
      </c>
      <c r="T166" s="3">
        <v>272</v>
      </c>
      <c r="U166" s="3">
        <v>319</v>
      </c>
      <c r="V166" s="3">
        <v>125</v>
      </c>
      <c r="W166" s="3">
        <v>141</v>
      </c>
      <c r="X166" s="3">
        <v>179</v>
      </c>
      <c r="Y166" s="3">
        <v>179</v>
      </c>
      <c r="Z166" s="3">
        <v>214</v>
      </c>
      <c r="AA166" s="5">
        <f t="shared" si="2"/>
        <v>2315</v>
      </c>
    </row>
    <row r="167" spans="1:27" ht="15" customHeight="1" x14ac:dyDescent="0.2">
      <c r="A167" s="3" t="s">
        <v>378</v>
      </c>
      <c r="B167" s="1" t="s">
        <v>379</v>
      </c>
      <c r="C167" s="3">
        <v>33</v>
      </c>
      <c r="D167" s="3">
        <v>34</v>
      </c>
      <c r="E167" s="3">
        <v>32</v>
      </c>
      <c r="F167" s="3">
        <v>36</v>
      </c>
      <c r="G167" s="3">
        <v>41</v>
      </c>
      <c r="H167" s="3">
        <v>50</v>
      </c>
      <c r="I167" s="3">
        <v>67</v>
      </c>
      <c r="J167" s="3">
        <v>26</v>
      </c>
      <c r="K167" s="3">
        <v>29</v>
      </c>
      <c r="L167" s="3">
        <v>32</v>
      </c>
      <c r="M167" s="3">
        <v>34</v>
      </c>
      <c r="N167" s="3">
        <v>38</v>
      </c>
      <c r="O167" s="3">
        <v>38</v>
      </c>
      <c r="P167" s="3">
        <v>37</v>
      </c>
      <c r="Q167" s="3">
        <v>31</v>
      </c>
      <c r="R167" s="3">
        <v>38</v>
      </c>
      <c r="S167" s="3">
        <v>42</v>
      </c>
      <c r="T167" s="3">
        <v>55</v>
      </c>
      <c r="U167" s="3">
        <v>78</v>
      </c>
      <c r="V167" s="3">
        <v>27</v>
      </c>
      <c r="W167" s="3">
        <v>35</v>
      </c>
      <c r="X167" s="3">
        <v>36</v>
      </c>
      <c r="Y167" s="3">
        <v>39</v>
      </c>
      <c r="Z167" s="3">
        <v>45</v>
      </c>
      <c r="AA167" s="5">
        <f t="shared" si="2"/>
        <v>501</v>
      </c>
    </row>
    <row r="168" spans="1:27" ht="15" customHeight="1" x14ac:dyDescent="0.2">
      <c r="A168" s="3" t="s">
        <v>380</v>
      </c>
      <c r="B168" s="1" t="s">
        <v>381</v>
      </c>
      <c r="C168" s="3">
        <v>59</v>
      </c>
      <c r="D168" s="3">
        <v>64</v>
      </c>
      <c r="E168" s="3">
        <v>54</v>
      </c>
      <c r="F168" s="3">
        <v>63</v>
      </c>
      <c r="G168" s="3">
        <v>74</v>
      </c>
      <c r="H168" s="3">
        <v>99</v>
      </c>
      <c r="I168" s="3">
        <v>124</v>
      </c>
      <c r="J168" s="3">
        <v>49</v>
      </c>
      <c r="K168" s="3">
        <v>52</v>
      </c>
      <c r="L168" s="3">
        <v>63</v>
      </c>
      <c r="M168" s="3">
        <v>66</v>
      </c>
      <c r="N168" s="3">
        <v>75</v>
      </c>
      <c r="O168" s="3">
        <v>60</v>
      </c>
      <c r="P168" s="3">
        <v>72</v>
      </c>
      <c r="Q168" s="3">
        <v>67</v>
      </c>
      <c r="R168" s="3">
        <v>67</v>
      </c>
      <c r="S168" s="3">
        <v>70</v>
      </c>
      <c r="T168" s="3">
        <v>102</v>
      </c>
      <c r="U168" s="3">
        <v>151</v>
      </c>
      <c r="V168" s="3">
        <v>52</v>
      </c>
      <c r="W168" s="3">
        <v>54</v>
      </c>
      <c r="X168" s="3">
        <v>79</v>
      </c>
      <c r="Y168" s="3">
        <v>74</v>
      </c>
      <c r="Z168" s="3">
        <v>80</v>
      </c>
      <c r="AA168" s="5">
        <f t="shared" si="2"/>
        <v>928</v>
      </c>
    </row>
    <row r="169" spans="1:27" ht="15" customHeight="1" x14ac:dyDescent="0.2">
      <c r="A169" s="3" t="s">
        <v>382</v>
      </c>
      <c r="B169" s="1" t="s">
        <v>383</v>
      </c>
      <c r="C169" s="3">
        <v>368</v>
      </c>
      <c r="D169" s="3">
        <v>371</v>
      </c>
      <c r="E169" s="3">
        <v>321</v>
      </c>
      <c r="F169" s="3">
        <v>303</v>
      </c>
      <c r="G169" s="3">
        <v>366</v>
      </c>
      <c r="H169" s="3">
        <v>540</v>
      </c>
      <c r="I169" s="3">
        <v>605</v>
      </c>
      <c r="J169" s="3">
        <v>241</v>
      </c>
      <c r="K169" s="3">
        <v>304</v>
      </c>
      <c r="L169" s="3">
        <v>387</v>
      </c>
      <c r="M169" s="3">
        <v>335</v>
      </c>
      <c r="N169" s="3">
        <v>324</v>
      </c>
      <c r="O169" s="3">
        <v>291</v>
      </c>
      <c r="P169" s="3">
        <v>333</v>
      </c>
      <c r="Q169" s="3">
        <v>285</v>
      </c>
      <c r="R169" s="3">
        <v>361</v>
      </c>
      <c r="S169" s="3">
        <v>349</v>
      </c>
      <c r="T169" s="3">
        <v>511</v>
      </c>
      <c r="U169" s="3">
        <v>584</v>
      </c>
      <c r="V169" s="3">
        <v>251</v>
      </c>
      <c r="W169" s="3">
        <v>359</v>
      </c>
      <c r="X169" s="3">
        <v>316</v>
      </c>
      <c r="Y169" s="3">
        <v>389</v>
      </c>
      <c r="Z169" s="3">
        <v>410</v>
      </c>
      <c r="AA169" s="5">
        <f t="shared" si="2"/>
        <v>4439</v>
      </c>
    </row>
    <row r="170" spans="1:27" ht="15" customHeight="1" x14ac:dyDescent="0.2">
      <c r="A170" s="3" t="s">
        <v>384</v>
      </c>
      <c r="B170" s="1" t="s">
        <v>385</v>
      </c>
      <c r="C170" s="3">
        <v>20</v>
      </c>
      <c r="D170" s="3">
        <v>20</v>
      </c>
      <c r="E170" s="3">
        <v>16</v>
      </c>
      <c r="F170" s="3">
        <v>18</v>
      </c>
      <c r="G170" s="3">
        <v>24</v>
      </c>
      <c r="H170" s="3">
        <v>29</v>
      </c>
      <c r="I170" s="3">
        <v>30</v>
      </c>
      <c r="J170" s="3">
        <v>15</v>
      </c>
      <c r="K170" s="3">
        <v>16</v>
      </c>
      <c r="L170" s="3">
        <v>20</v>
      </c>
      <c r="M170" s="3">
        <v>19</v>
      </c>
      <c r="N170" s="3">
        <v>17</v>
      </c>
      <c r="O170" s="3">
        <v>23</v>
      </c>
      <c r="P170" s="3">
        <v>24</v>
      </c>
      <c r="Q170" s="3">
        <v>17</v>
      </c>
      <c r="R170" s="3">
        <v>17</v>
      </c>
      <c r="S170" s="3">
        <v>24</v>
      </c>
      <c r="T170" s="3">
        <v>32</v>
      </c>
      <c r="U170" s="3">
        <v>44</v>
      </c>
      <c r="V170" s="3">
        <v>18</v>
      </c>
      <c r="W170" s="3">
        <v>19</v>
      </c>
      <c r="X170" s="3">
        <v>23</v>
      </c>
      <c r="Y170" s="3">
        <v>23</v>
      </c>
      <c r="Z170" s="3">
        <v>24</v>
      </c>
      <c r="AA170" s="5">
        <f t="shared" si="2"/>
        <v>288</v>
      </c>
    </row>
    <row r="171" spans="1:27" ht="15" customHeight="1" x14ac:dyDescent="0.2">
      <c r="A171" s="3" t="s">
        <v>386</v>
      </c>
      <c r="B171" s="1" t="s">
        <v>387</v>
      </c>
      <c r="C171" s="3">
        <v>365</v>
      </c>
      <c r="D171" s="3">
        <v>375</v>
      </c>
      <c r="E171" s="3">
        <v>371</v>
      </c>
      <c r="F171" s="3">
        <v>364</v>
      </c>
      <c r="G171" s="3">
        <v>387</v>
      </c>
      <c r="H171" s="3">
        <v>632</v>
      </c>
      <c r="I171" s="3">
        <v>724</v>
      </c>
      <c r="J171" s="3">
        <v>327</v>
      </c>
      <c r="K171" s="3">
        <v>301</v>
      </c>
      <c r="L171" s="3">
        <v>352</v>
      </c>
      <c r="M171" s="3">
        <v>431</v>
      </c>
      <c r="N171" s="3">
        <v>452</v>
      </c>
      <c r="O171" s="3">
        <v>474</v>
      </c>
      <c r="P171" s="3">
        <v>390</v>
      </c>
      <c r="Q171" s="3">
        <v>404</v>
      </c>
      <c r="R171" s="3">
        <v>381</v>
      </c>
      <c r="S171" s="3">
        <v>375</v>
      </c>
      <c r="T171" s="3">
        <v>635</v>
      </c>
      <c r="U171" s="3">
        <v>704</v>
      </c>
      <c r="V171" s="3">
        <v>287</v>
      </c>
      <c r="W171" s="3">
        <v>350</v>
      </c>
      <c r="X171" s="3">
        <v>393</v>
      </c>
      <c r="Y171" s="3">
        <v>463</v>
      </c>
      <c r="Z171" s="3">
        <v>411</v>
      </c>
      <c r="AA171" s="5">
        <f t="shared" si="2"/>
        <v>5267</v>
      </c>
    </row>
    <row r="172" spans="1:27" ht="15" customHeight="1" x14ac:dyDescent="0.2">
      <c r="A172" s="3" t="s">
        <v>388</v>
      </c>
      <c r="B172" s="1" t="s">
        <v>389</v>
      </c>
      <c r="C172" s="3">
        <v>76</v>
      </c>
      <c r="D172" s="3">
        <v>69</v>
      </c>
      <c r="E172" s="3">
        <v>76</v>
      </c>
      <c r="F172" s="3">
        <v>83</v>
      </c>
      <c r="G172" s="3">
        <v>85</v>
      </c>
      <c r="H172" s="3">
        <v>116</v>
      </c>
      <c r="I172" s="3">
        <v>127</v>
      </c>
      <c r="J172" s="3">
        <v>54</v>
      </c>
      <c r="K172" s="3">
        <v>65</v>
      </c>
      <c r="L172" s="3">
        <v>73</v>
      </c>
      <c r="M172" s="3">
        <v>66</v>
      </c>
      <c r="N172" s="3">
        <v>92</v>
      </c>
      <c r="O172" s="3">
        <v>65</v>
      </c>
      <c r="P172" s="3">
        <v>59</v>
      </c>
      <c r="Q172" s="3">
        <v>74</v>
      </c>
      <c r="R172" s="3">
        <v>60</v>
      </c>
      <c r="S172" s="3">
        <v>83</v>
      </c>
      <c r="T172" s="3">
        <v>120</v>
      </c>
      <c r="U172" s="3">
        <v>143</v>
      </c>
      <c r="V172" s="3">
        <v>56</v>
      </c>
      <c r="W172" s="3">
        <v>73</v>
      </c>
      <c r="X172" s="3">
        <v>75</v>
      </c>
      <c r="Y172" s="3">
        <v>77</v>
      </c>
      <c r="Z172" s="3">
        <v>92</v>
      </c>
      <c r="AA172" s="5">
        <f t="shared" si="2"/>
        <v>977</v>
      </c>
    </row>
    <row r="173" spans="1:27" ht="15" customHeight="1" x14ac:dyDescent="0.2">
      <c r="A173" s="3" t="s">
        <v>390</v>
      </c>
      <c r="B173" s="1" t="s">
        <v>391</v>
      </c>
      <c r="C173" s="3">
        <v>125</v>
      </c>
      <c r="D173" s="3">
        <v>112</v>
      </c>
      <c r="E173" s="3">
        <v>124</v>
      </c>
      <c r="F173" s="3">
        <v>121</v>
      </c>
      <c r="G173" s="3">
        <v>141</v>
      </c>
      <c r="H173" s="3">
        <v>189</v>
      </c>
      <c r="I173" s="3">
        <v>228</v>
      </c>
      <c r="J173" s="3">
        <v>89</v>
      </c>
      <c r="K173" s="3">
        <v>106</v>
      </c>
      <c r="L173" s="3">
        <v>111</v>
      </c>
      <c r="M173" s="3">
        <v>137</v>
      </c>
      <c r="N173" s="3">
        <v>135</v>
      </c>
      <c r="O173" s="3">
        <v>131</v>
      </c>
      <c r="P173" s="3">
        <v>115</v>
      </c>
      <c r="Q173" s="3">
        <v>126</v>
      </c>
      <c r="R173" s="3">
        <v>136</v>
      </c>
      <c r="S173" s="3">
        <v>133</v>
      </c>
      <c r="T173" s="3">
        <v>210</v>
      </c>
      <c r="U173" s="3">
        <v>253</v>
      </c>
      <c r="V173" s="3">
        <v>104</v>
      </c>
      <c r="W173" s="3">
        <v>117</v>
      </c>
      <c r="X173" s="3">
        <v>131</v>
      </c>
      <c r="Y173" s="3">
        <v>143</v>
      </c>
      <c r="Z173" s="3">
        <v>147</v>
      </c>
      <c r="AA173" s="5">
        <f t="shared" si="2"/>
        <v>1746</v>
      </c>
    </row>
    <row r="174" spans="1:27" ht="15" customHeight="1" x14ac:dyDescent="0.2">
      <c r="A174" s="3" t="s">
        <v>392</v>
      </c>
      <c r="B174" s="1" t="s">
        <v>393</v>
      </c>
      <c r="C174" s="3">
        <v>95</v>
      </c>
      <c r="D174" s="3">
        <v>93</v>
      </c>
      <c r="E174" s="3">
        <v>84</v>
      </c>
      <c r="F174" s="3">
        <v>77</v>
      </c>
      <c r="G174" s="3">
        <v>108</v>
      </c>
      <c r="H174" s="3">
        <v>137</v>
      </c>
      <c r="I174" s="3">
        <v>184</v>
      </c>
      <c r="J174" s="3">
        <v>84</v>
      </c>
      <c r="K174" s="3">
        <v>83</v>
      </c>
      <c r="L174" s="3">
        <v>76</v>
      </c>
      <c r="M174" s="3">
        <v>94</v>
      </c>
      <c r="N174" s="3">
        <v>92</v>
      </c>
      <c r="O174" s="3">
        <v>85</v>
      </c>
      <c r="P174" s="3">
        <v>98</v>
      </c>
      <c r="Q174" s="3">
        <v>79</v>
      </c>
      <c r="R174" s="3">
        <v>88</v>
      </c>
      <c r="S174" s="3">
        <v>93</v>
      </c>
      <c r="T174" s="3">
        <v>146</v>
      </c>
      <c r="U174" s="3">
        <v>205</v>
      </c>
      <c r="V174" s="3">
        <v>73</v>
      </c>
      <c r="W174" s="3">
        <v>72</v>
      </c>
      <c r="X174" s="3">
        <v>100</v>
      </c>
      <c r="Y174" s="3">
        <v>88</v>
      </c>
      <c r="Z174" s="3">
        <v>96</v>
      </c>
      <c r="AA174" s="5">
        <f t="shared" si="2"/>
        <v>1223</v>
      </c>
    </row>
    <row r="175" spans="1:27" ht="15" customHeight="1" x14ac:dyDescent="0.2">
      <c r="A175" s="3" t="s">
        <v>394</v>
      </c>
      <c r="B175" s="1" t="s">
        <v>395</v>
      </c>
      <c r="C175" s="3">
        <v>208</v>
      </c>
      <c r="D175" s="3">
        <v>161</v>
      </c>
      <c r="E175" s="3">
        <v>204</v>
      </c>
      <c r="F175" s="3">
        <v>190</v>
      </c>
      <c r="G175" s="3">
        <v>252</v>
      </c>
      <c r="H175" s="3">
        <v>234</v>
      </c>
      <c r="I175" s="3">
        <v>392</v>
      </c>
      <c r="J175" s="3">
        <v>174</v>
      </c>
      <c r="K175" s="3">
        <v>157</v>
      </c>
      <c r="L175" s="3">
        <v>186</v>
      </c>
      <c r="M175" s="3">
        <v>211</v>
      </c>
      <c r="N175" s="3">
        <v>164</v>
      </c>
      <c r="O175" s="3">
        <v>181</v>
      </c>
      <c r="P175" s="3">
        <v>159</v>
      </c>
      <c r="Q175" s="3">
        <v>213</v>
      </c>
      <c r="R175" s="3">
        <v>190</v>
      </c>
      <c r="S175" s="3">
        <v>226</v>
      </c>
      <c r="T175" s="3">
        <v>298</v>
      </c>
      <c r="U175" s="3">
        <v>368</v>
      </c>
      <c r="V175" s="3">
        <v>155</v>
      </c>
      <c r="W175" s="3">
        <v>190</v>
      </c>
      <c r="X175" s="3">
        <v>199</v>
      </c>
      <c r="Y175" s="3">
        <v>212</v>
      </c>
      <c r="Z175" s="3">
        <v>249</v>
      </c>
      <c r="AA175" s="5">
        <f t="shared" si="2"/>
        <v>2640</v>
      </c>
    </row>
    <row r="176" spans="1:27" ht="15" customHeight="1" x14ac:dyDescent="0.2">
      <c r="A176" s="3" t="s">
        <v>396</v>
      </c>
      <c r="B176" s="1" t="s">
        <v>397</v>
      </c>
      <c r="C176" s="3">
        <v>39</v>
      </c>
      <c r="D176" s="3">
        <v>44</v>
      </c>
      <c r="E176" s="3">
        <v>54</v>
      </c>
      <c r="F176" s="3">
        <v>63</v>
      </c>
      <c r="G176" s="3">
        <v>266</v>
      </c>
      <c r="H176" s="3">
        <v>46</v>
      </c>
      <c r="I176" s="3">
        <v>42</v>
      </c>
      <c r="J176" s="3">
        <v>40</v>
      </c>
      <c r="K176" s="3">
        <v>47</v>
      </c>
      <c r="L176" s="3">
        <v>40</v>
      </c>
      <c r="M176" s="3">
        <v>53</v>
      </c>
      <c r="N176" s="3">
        <v>53</v>
      </c>
      <c r="O176" s="3">
        <v>333</v>
      </c>
      <c r="P176" s="3">
        <v>346</v>
      </c>
      <c r="Q176" s="3">
        <v>51</v>
      </c>
      <c r="R176" s="3">
        <v>43</v>
      </c>
      <c r="S176" s="3">
        <v>106</v>
      </c>
      <c r="T176" s="3">
        <v>45</v>
      </c>
      <c r="U176" s="3">
        <v>46</v>
      </c>
      <c r="V176" s="3">
        <v>42</v>
      </c>
      <c r="W176" s="3">
        <v>49</v>
      </c>
      <c r="X176" s="3">
        <v>39</v>
      </c>
      <c r="Y176" s="3">
        <v>45</v>
      </c>
      <c r="Z176" s="3">
        <v>59</v>
      </c>
      <c r="AA176" s="5">
        <f t="shared" si="2"/>
        <v>1204</v>
      </c>
    </row>
    <row r="177" spans="1:27" ht="15" customHeight="1" x14ac:dyDescent="0.2">
      <c r="A177" s="3" t="s">
        <v>398</v>
      </c>
      <c r="B177" s="1" t="s">
        <v>399</v>
      </c>
      <c r="C177" s="3">
        <v>23</v>
      </c>
      <c r="D177" s="3">
        <v>18</v>
      </c>
      <c r="E177" s="3">
        <v>99</v>
      </c>
      <c r="F177" s="3">
        <v>19</v>
      </c>
      <c r="G177" s="3">
        <v>18</v>
      </c>
      <c r="H177" s="3">
        <v>128</v>
      </c>
      <c r="I177" s="3">
        <v>6</v>
      </c>
      <c r="J177" s="3">
        <v>17</v>
      </c>
      <c r="K177" s="3">
        <v>27</v>
      </c>
      <c r="L177" s="3">
        <v>133</v>
      </c>
      <c r="M177" s="3">
        <v>147</v>
      </c>
      <c r="N177" s="3">
        <v>17</v>
      </c>
      <c r="O177" s="3">
        <v>24</v>
      </c>
      <c r="P177" s="3">
        <v>23</v>
      </c>
      <c r="Q177" s="3">
        <v>23</v>
      </c>
      <c r="R177" s="3">
        <v>20</v>
      </c>
      <c r="S177" s="3">
        <v>24</v>
      </c>
      <c r="T177" s="3">
        <v>20</v>
      </c>
      <c r="U177" s="3">
        <v>15</v>
      </c>
      <c r="V177" s="3">
        <v>57</v>
      </c>
      <c r="W177" s="3">
        <v>91</v>
      </c>
      <c r="X177" s="3">
        <v>22</v>
      </c>
      <c r="Y177" s="3">
        <v>22</v>
      </c>
      <c r="Z177" s="3">
        <v>123</v>
      </c>
      <c r="AA177" s="5">
        <f t="shared" si="2"/>
        <v>464</v>
      </c>
    </row>
    <row r="178" spans="1:27" ht="15" customHeight="1" x14ac:dyDescent="0.2">
      <c r="A178" s="3" t="s">
        <v>400</v>
      </c>
      <c r="B178" s="1" t="s">
        <v>401</v>
      </c>
      <c r="C178" s="3">
        <v>46</v>
      </c>
      <c r="D178" s="3">
        <v>54</v>
      </c>
      <c r="E178" s="3">
        <v>47</v>
      </c>
      <c r="F178" s="3">
        <v>51</v>
      </c>
      <c r="G178" s="3">
        <v>61</v>
      </c>
      <c r="H178" s="3">
        <v>74</v>
      </c>
      <c r="I178" s="3">
        <v>90</v>
      </c>
      <c r="J178" s="3">
        <v>44</v>
      </c>
      <c r="K178" s="3">
        <v>47</v>
      </c>
      <c r="L178" s="3">
        <v>44</v>
      </c>
      <c r="M178" s="3">
        <v>49</v>
      </c>
      <c r="N178" s="3">
        <v>53</v>
      </c>
      <c r="O178" s="3">
        <v>57</v>
      </c>
      <c r="P178" s="3">
        <v>44</v>
      </c>
      <c r="Q178" s="3">
        <v>49</v>
      </c>
      <c r="R178" s="3">
        <v>51</v>
      </c>
      <c r="S178" s="3">
        <v>66</v>
      </c>
      <c r="T178" s="3">
        <v>80</v>
      </c>
      <c r="U178" s="3">
        <v>106</v>
      </c>
      <c r="V178" s="3">
        <v>40</v>
      </c>
      <c r="W178" s="3">
        <v>48</v>
      </c>
      <c r="X178" s="3">
        <v>56</v>
      </c>
      <c r="Y178" s="3">
        <v>60</v>
      </c>
      <c r="Z178" s="3">
        <v>57</v>
      </c>
      <c r="AA178" s="5">
        <f t="shared" si="2"/>
        <v>714</v>
      </c>
    </row>
    <row r="179" spans="1:27" ht="15" customHeight="1" x14ac:dyDescent="0.2">
      <c r="A179" s="3" t="s">
        <v>402</v>
      </c>
      <c r="B179" s="1" t="s">
        <v>403</v>
      </c>
      <c r="C179" s="3">
        <v>26</v>
      </c>
      <c r="D179" s="3">
        <v>86</v>
      </c>
      <c r="E179" s="3">
        <v>117</v>
      </c>
      <c r="F179" s="3">
        <v>103</v>
      </c>
      <c r="G179" s="3">
        <v>19</v>
      </c>
      <c r="H179" s="3">
        <v>152</v>
      </c>
      <c r="I179" s="3">
        <v>21</v>
      </c>
      <c r="J179" s="3">
        <v>29</v>
      </c>
      <c r="K179" s="3">
        <v>26</v>
      </c>
      <c r="L179" s="3">
        <v>19</v>
      </c>
      <c r="M179" s="3">
        <v>25</v>
      </c>
      <c r="N179" s="3">
        <v>20</v>
      </c>
      <c r="O179" s="3">
        <v>145</v>
      </c>
      <c r="P179" s="3">
        <v>170</v>
      </c>
      <c r="Q179" s="3">
        <v>28</v>
      </c>
      <c r="R179" s="3">
        <v>24</v>
      </c>
      <c r="S179" s="3">
        <v>25</v>
      </c>
      <c r="T179" s="3">
        <v>22</v>
      </c>
      <c r="U179" s="3">
        <v>94</v>
      </c>
      <c r="V179" s="3">
        <v>30</v>
      </c>
      <c r="W179" s="3">
        <v>24</v>
      </c>
      <c r="X179" s="3">
        <v>17</v>
      </c>
      <c r="Y179" s="3">
        <v>98</v>
      </c>
      <c r="Z179" s="3">
        <v>60</v>
      </c>
      <c r="AA179" s="5">
        <f t="shared" si="2"/>
        <v>737</v>
      </c>
    </row>
    <row r="180" spans="1:27" ht="15" customHeight="1" x14ac:dyDescent="0.2">
      <c r="A180" s="3" t="s">
        <v>404</v>
      </c>
      <c r="B180" s="1" t="s">
        <v>405</v>
      </c>
      <c r="C180" s="3">
        <v>61</v>
      </c>
      <c r="D180" s="3">
        <v>59</v>
      </c>
      <c r="E180" s="3">
        <v>51</v>
      </c>
      <c r="F180" s="3">
        <v>61</v>
      </c>
      <c r="G180" s="3">
        <v>67</v>
      </c>
      <c r="H180" s="3">
        <v>80</v>
      </c>
      <c r="I180" s="3">
        <v>107</v>
      </c>
      <c r="J180" s="3">
        <v>42</v>
      </c>
      <c r="K180" s="3">
        <v>50</v>
      </c>
      <c r="L180" s="3">
        <v>58</v>
      </c>
      <c r="M180" s="3">
        <v>62</v>
      </c>
      <c r="N180" s="3">
        <v>61</v>
      </c>
      <c r="O180" s="3">
        <v>60</v>
      </c>
      <c r="P180" s="3">
        <v>62</v>
      </c>
      <c r="Q180" s="3">
        <v>62</v>
      </c>
      <c r="R180" s="3">
        <v>63</v>
      </c>
      <c r="S180" s="3">
        <v>69</v>
      </c>
      <c r="T180" s="3">
        <v>93</v>
      </c>
      <c r="U180" s="3">
        <v>113</v>
      </c>
      <c r="V180" s="3">
        <v>38</v>
      </c>
      <c r="W180" s="3">
        <v>54</v>
      </c>
      <c r="X180" s="3">
        <v>59</v>
      </c>
      <c r="Y180" s="3">
        <v>65</v>
      </c>
      <c r="Z180" s="3">
        <v>56</v>
      </c>
      <c r="AA180" s="5">
        <f t="shared" si="2"/>
        <v>794</v>
      </c>
    </row>
    <row r="181" spans="1:27" ht="15" customHeight="1" x14ac:dyDescent="0.2">
      <c r="A181" s="3" t="s">
        <v>406</v>
      </c>
      <c r="B181" s="1" t="s">
        <v>407</v>
      </c>
      <c r="C181" s="3">
        <v>102</v>
      </c>
      <c r="D181" s="3">
        <v>106</v>
      </c>
      <c r="E181" s="3">
        <v>85</v>
      </c>
      <c r="F181" s="3">
        <v>115</v>
      </c>
      <c r="G181" s="3">
        <v>115</v>
      </c>
      <c r="H181" s="3">
        <v>138</v>
      </c>
      <c r="I181" s="3">
        <v>197</v>
      </c>
      <c r="J181" s="3">
        <v>72</v>
      </c>
      <c r="K181" s="3">
        <v>82</v>
      </c>
      <c r="L181" s="3">
        <v>97</v>
      </c>
      <c r="M181" s="3">
        <v>110</v>
      </c>
      <c r="N181" s="3">
        <v>108</v>
      </c>
      <c r="O181" s="3">
        <v>124</v>
      </c>
      <c r="P181" s="3">
        <v>102</v>
      </c>
      <c r="Q181" s="3">
        <v>93</v>
      </c>
      <c r="R181" s="3">
        <v>128</v>
      </c>
      <c r="S181" s="3">
        <v>129</v>
      </c>
      <c r="T181" s="3">
        <v>181</v>
      </c>
      <c r="U181" s="3">
        <v>221</v>
      </c>
      <c r="V181" s="3">
        <v>89</v>
      </c>
      <c r="W181" s="3">
        <v>105</v>
      </c>
      <c r="X181" s="3">
        <v>120</v>
      </c>
      <c r="Y181" s="3">
        <v>118</v>
      </c>
      <c r="Z181" s="3">
        <v>121</v>
      </c>
      <c r="AA181" s="5">
        <f t="shared" si="2"/>
        <v>1531</v>
      </c>
    </row>
    <row r="182" spans="1:27" ht="15" customHeight="1" x14ac:dyDescent="0.2">
      <c r="A182" s="3" t="s">
        <v>408</v>
      </c>
      <c r="B182" s="1" t="s">
        <v>409</v>
      </c>
      <c r="C182" s="3">
        <v>98</v>
      </c>
      <c r="D182" s="3">
        <v>87</v>
      </c>
      <c r="E182" s="3">
        <v>79</v>
      </c>
      <c r="F182" s="3">
        <v>91</v>
      </c>
      <c r="G182" s="3">
        <v>94</v>
      </c>
      <c r="H182" s="3">
        <v>124</v>
      </c>
      <c r="I182" s="3">
        <v>165</v>
      </c>
      <c r="J182" s="3">
        <v>57</v>
      </c>
      <c r="K182" s="3">
        <v>77</v>
      </c>
      <c r="L182" s="3">
        <v>73</v>
      </c>
      <c r="M182" s="3">
        <v>83</v>
      </c>
      <c r="N182" s="3">
        <v>91</v>
      </c>
      <c r="O182" s="3">
        <v>99</v>
      </c>
      <c r="P182" s="3">
        <v>91</v>
      </c>
      <c r="Q182" s="3">
        <v>67</v>
      </c>
      <c r="R182" s="3">
        <v>86</v>
      </c>
      <c r="S182" s="3">
        <v>95</v>
      </c>
      <c r="T182" s="3">
        <v>166</v>
      </c>
      <c r="U182" s="3">
        <v>178</v>
      </c>
      <c r="V182" s="3">
        <v>63</v>
      </c>
      <c r="W182" s="3">
        <v>91</v>
      </c>
      <c r="X182" s="3">
        <v>85</v>
      </c>
      <c r="Y182" s="3">
        <v>84</v>
      </c>
      <c r="Z182" s="3">
        <v>104</v>
      </c>
      <c r="AA182" s="5">
        <f t="shared" si="2"/>
        <v>1209</v>
      </c>
    </row>
    <row r="183" spans="1:27" ht="15" customHeight="1" x14ac:dyDescent="0.2">
      <c r="A183" s="3" t="s">
        <v>410</v>
      </c>
      <c r="B183" s="1" t="s">
        <v>411</v>
      </c>
      <c r="C183" s="3">
        <v>209</v>
      </c>
      <c r="D183" s="3">
        <v>171</v>
      </c>
      <c r="E183" s="3">
        <v>43</v>
      </c>
      <c r="F183" s="3">
        <v>32</v>
      </c>
      <c r="G183" s="3">
        <v>34</v>
      </c>
      <c r="H183" s="3">
        <v>39</v>
      </c>
      <c r="I183" s="3">
        <v>29</v>
      </c>
      <c r="J183" s="3">
        <v>40</v>
      </c>
      <c r="K183" s="3">
        <v>32</v>
      </c>
      <c r="L183" s="3">
        <v>41</v>
      </c>
      <c r="M183" s="3">
        <v>33</v>
      </c>
      <c r="N183" s="3">
        <v>35</v>
      </c>
      <c r="O183" s="3">
        <v>31</v>
      </c>
      <c r="P183" s="3">
        <v>111</v>
      </c>
      <c r="Q183" s="3">
        <v>31</v>
      </c>
      <c r="R183" s="3">
        <v>31</v>
      </c>
      <c r="S183" s="3">
        <v>32</v>
      </c>
      <c r="T183" s="3">
        <v>23</v>
      </c>
      <c r="U183" s="3">
        <v>38</v>
      </c>
      <c r="V183" s="3">
        <v>27</v>
      </c>
      <c r="W183" s="3">
        <v>71</v>
      </c>
      <c r="X183" s="3">
        <v>38</v>
      </c>
      <c r="Y183" s="3">
        <v>112</v>
      </c>
      <c r="Z183" s="3">
        <v>37</v>
      </c>
      <c r="AA183" s="5">
        <f t="shared" si="2"/>
        <v>582</v>
      </c>
    </row>
    <row r="184" spans="1:27" ht="15" customHeight="1" x14ac:dyDescent="0.2">
      <c r="A184" s="3" t="s">
        <v>412</v>
      </c>
      <c r="B184" s="1" t="s">
        <v>413</v>
      </c>
      <c r="C184" s="3">
        <v>194</v>
      </c>
      <c r="D184" s="3">
        <v>192</v>
      </c>
      <c r="E184" s="3">
        <v>224</v>
      </c>
      <c r="F184" s="3">
        <v>208</v>
      </c>
      <c r="G184" s="3">
        <v>253</v>
      </c>
      <c r="H184" s="3">
        <v>303</v>
      </c>
      <c r="I184" s="3">
        <v>397</v>
      </c>
      <c r="J184" s="3">
        <v>169</v>
      </c>
      <c r="K184" s="3">
        <v>159</v>
      </c>
      <c r="L184" s="3">
        <v>157</v>
      </c>
      <c r="M184" s="3">
        <v>189</v>
      </c>
      <c r="N184" s="3">
        <v>166</v>
      </c>
      <c r="O184" s="3">
        <v>166</v>
      </c>
      <c r="P184" s="3">
        <v>173</v>
      </c>
      <c r="Q184" s="3">
        <v>197</v>
      </c>
      <c r="R184" s="3">
        <v>189</v>
      </c>
      <c r="S184" s="3">
        <v>184</v>
      </c>
      <c r="T184" s="3">
        <v>325</v>
      </c>
      <c r="U184" s="3">
        <v>363</v>
      </c>
      <c r="V184" s="3">
        <v>132</v>
      </c>
      <c r="W184" s="3">
        <v>175</v>
      </c>
      <c r="X184" s="3">
        <v>204</v>
      </c>
      <c r="Y184" s="3">
        <v>255</v>
      </c>
      <c r="Z184" s="3">
        <v>244</v>
      </c>
      <c r="AA184" s="5">
        <f t="shared" si="2"/>
        <v>2607</v>
      </c>
    </row>
    <row r="185" spans="1:27" ht="15" customHeight="1" x14ac:dyDescent="0.2">
      <c r="A185" s="3" t="s">
        <v>414</v>
      </c>
      <c r="B185" s="1" t="s">
        <v>415</v>
      </c>
      <c r="C185" s="3">
        <v>42</v>
      </c>
      <c r="D185" s="3">
        <v>50</v>
      </c>
      <c r="E185" s="3">
        <v>40</v>
      </c>
      <c r="F185" s="3">
        <v>48</v>
      </c>
      <c r="G185" s="3">
        <v>50</v>
      </c>
      <c r="H185" s="3">
        <v>69</v>
      </c>
      <c r="I185" s="3">
        <v>93</v>
      </c>
      <c r="J185" s="3">
        <v>37</v>
      </c>
      <c r="K185" s="3">
        <v>45</v>
      </c>
      <c r="L185" s="3">
        <v>49</v>
      </c>
      <c r="M185" s="3">
        <v>53</v>
      </c>
      <c r="N185" s="3">
        <v>59</v>
      </c>
      <c r="O185" s="3">
        <v>42</v>
      </c>
      <c r="P185" s="3">
        <v>54</v>
      </c>
      <c r="Q185" s="3">
        <v>42</v>
      </c>
      <c r="R185" s="3">
        <v>54</v>
      </c>
      <c r="S185" s="3">
        <v>57</v>
      </c>
      <c r="T185" s="3">
        <v>69</v>
      </c>
      <c r="U185" s="3">
        <v>102</v>
      </c>
      <c r="V185" s="3">
        <v>34</v>
      </c>
      <c r="W185" s="3">
        <v>52</v>
      </c>
      <c r="X185" s="3">
        <v>53</v>
      </c>
      <c r="Y185" s="3">
        <v>55</v>
      </c>
      <c r="Z185" s="3">
        <v>69</v>
      </c>
      <c r="AA185" s="5">
        <f t="shared" si="2"/>
        <v>683</v>
      </c>
    </row>
    <row r="186" spans="1:27" ht="15" customHeight="1" x14ac:dyDescent="0.2">
      <c r="A186" s="3" t="s">
        <v>416</v>
      </c>
      <c r="B186" s="1" t="s">
        <v>417</v>
      </c>
      <c r="C186" s="3">
        <v>80</v>
      </c>
      <c r="D186" s="3">
        <v>54</v>
      </c>
      <c r="E186" s="3">
        <v>60</v>
      </c>
      <c r="F186" s="3">
        <v>71</v>
      </c>
      <c r="G186" s="3">
        <v>77</v>
      </c>
      <c r="H186" s="3">
        <v>105</v>
      </c>
      <c r="I186" s="3">
        <v>128</v>
      </c>
      <c r="J186" s="3">
        <v>52</v>
      </c>
      <c r="K186" s="3">
        <v>65</v>
      </c>
      <c r="L186" s="3">
        <v>75</v>
      </c>
      <c r="M186" s="3">
        <v>73</v>
      </c>
      <c r="N186" s="3">
        <v>73</v>
      </c>
      <c r="O186" s="3">
        <v>60</v>
      </c>
      <c r="P186" s="3">
        <v>64</v>
      </c>
      <c r="Q186" s="3">
        <v>62</v>
      </c>
      <c r="R186" s="3">
        <v>73</v>
      </c>
      <c r="S186" s="3">
        <v>83</v>
      </c>
      <c r="T186" s="3">
        <v>126</v>
      </c>
      <c r="U186" s="3">
        <v>140</v>
      </c>
      <c r="V186" s="3">
        <v>53</v>
      </c>
      <c r="W186" s="3">
        <v>69</v>
      </c>
      <c r="X186" s="3">
        <v>61</v>
      </c>
      <c r="Y186" s="3">
        <v>80</v>
      </c>
      <c r="Z186" s="3">
        <v>86</v>
      </c>
      <c r="AA186" s="5">
        <f t="shared" si="2"/>
        <v>957</v>
      </c>
    </row>
    <row r="187" spans="1:27" ht="15" customHeight="1" x14ac:dyDescent="0.2">
      <c r="A187" s="3" t="s">
        <v>418</v>
      </c>
      <c r="B187" s="1" t="s">
        <v>419</v>
      </c>
      <c r="C187" s="3">
        <v>132</v>
      </c>
      <c r="D187" s="3">
        <v>136</v>
      </c>
      <c r="E187" s="3">
        <v>112</v>
      </c>
      <c r="F187" s="3">
        <v>134</v>
      </c>
      <c r="G187" s="3">
        <v>149</v>
      </c>
      <c r="H187" s="3">
        <v>208</v>
      </c>
      <c r="I187" s="3">
        <v>249</v>
      </c>
      <c r="J187" s="3">
        <v>77</v>
      </c>
      <c r="K187" s="3">
        <v>92</v>
      </c>
      <c r="L187" s="3">
        <v>119</v>
      </c>
      <c r="M187" s="3">
        <v>142</v>
      </c>
      <c r="N187" s="3">
        <v>137</v>
      </c>
      <c r="O187" s="3">
        <v>148</v>
      </c>
      <c r="P187" s="3">
        <v>130</v>
      </c>
      <c r="Q187" s="3">
        <v>123</v>
      </c>
      <c r="R187" s="3">
        <v>133</v>
      </c>
      <c r="S187" s="3">
        <v>159</v>
      </c>
      <c r="T187" s="3">
        <v>192</v>
      </c>
      <c r="U187" s="3">
        <v>216</v>
      </c>
      <c r="V187" s="3">
        <v>105</v>
      </c>
      <c r="W187" s="3">
        <v>117</v>
      </c>
      <c r="X187" s="3">
        <v>137</v>
      </c>
      <c r="Y187" s="3">
        <v>155</v>
      </c>
      <c r="Z187" s="3">
        <v>139</v>
      </c>
      <c r="AA187" s="5">
        <f t="shared" si="2"/>
        <v>1754</v>
      </c>
    </row>
    <row r="188" spans="1:27" ht="15" customHeight="1" x14ac:dyDescent="0.2">
      <c r="A188" s="3" t="s">
        <v>420</v>
      </c>
      <c r="B188" s="1" t="s">
        <v>421</v>
      </c>
      <c r="C188" s="3">
        <v>61</v>
      </c>
      <c r="D188" s="3">
        <v>56</v>
      </c>
      <c r="E188" s="3">
        <v>62</v>
      </c>
      <c r="F188" s="3">
        <v>66</v>
      </c>
      <c r="G188" s="3">
        <v>80</v>
      </c>
      <c r="H188" s="3">
        <v>96</v>
      </c>
      <c r="I188" s="3">
        <v>117</v>
      </c>
      <c r="J188" s="3">
        <v>52</v>
      </c>
      <c r="K188" s="3">
        <v>52</v>
      </c>
      <c r="L188" s="3">
        <v>69</v>
      </c>
      <c r="M188" s="3">
        <v>63</v>
      </c>
      <c r="N188" s="3">
        <v>60</v>
      </c>
      <c r="O188" s="3">
        <v>70</v>
      </c>
      <c r="P188" s="3">
        <v>63</v>
      </c>
      <c r="Q188" s="3">
        <v>66</v>
      </c>
      <c r="R188" s="3">
        <v>75</v>
      </c>
      <c r="S188" s="3">
        <v>70</v>
      </c>
      <c r="T188" s="3">
        <v>110</v>
      </c>
      <c r="U188" s="3">
        <v>145</v>
      </c>
      <c r="V188" s="3">
        <v>55</v>
      </c>
      <c r="W188" s="3">
        <v>66</v>
      </c>
      <c r="X188" s="3">
        <v>73</v>
      </c>
      <c r="Y188" s="3">
        <v>68</v>
      </c>
      <c r="Z188" s="3">
        <v>62</v>
      </c>
      <c r="AA188" s="5">
        <f t="shared" si="2"/>
        <v>923</v>
      </c>
    </row>
    <row r="189" spans="1:27" ht="15" customHeight="1" x14ac:dyDescent="0.2">
      <c r="A189" s="3" t="s">
        <v>422</v>
      </c>
      <c r="B189" s="1" t="s">
        <v>423</v>
      </c>
      <c r="C189" s="3">
        <v>343</v>
      </c>
      <c r="D189" s="3">
        <v>322</v>
      </c>
      <c r="E189" s="3">
        <v>283</v>
      </c>
      <c r="F189" s="3">
        <v>314</v>
      </c>
      <c r="G189" s="3">
        <v>351</v>
      </c>
      <c r="H189" s="3">
        <v>552</v>
      </c>
      <c r="I189" s="3">
        <v>646</v>
      </c>
      <c r="J189" s="3">
        <v>244</v>
      </c>
      <c r="K189" s="3">
        <v>257</v>
      </c>
      <c r="L189" s="3">
        <v>375</v>
      </c>
      <c r="M189" s="3">
        <v>348</v>
      </c>
      <c r="N189" s="3">
        <v>378</v>
      </c>
      <c r="O189" s="3">
        <v>376</v>
      </c>
      <c r="P189" s="3">
        <v>357</v>
      </c>
      <c r="Q189" s="3">
        <v>341</v>
      </c>
      <c r="R189" s="3">
        <v>340</v>
      </c>
      <c r="S189" s="3">
        <v>436</v>
      </c>
      <c r="T189" s="3">
        <v>698</v>
      </c>
      <c r="U189" s="3">
        <v>695</v>
      </c>
      <c r="V189" s="3">
        <v>286</v>
      </c>
      <c r="W189" s="3">
        <v>327</v>
      </c>
      <c r="X189" s="3">
        <v>352</v>
      </c>
      <c r="Y189" s="3">
        <v>341</v>
      </c>
      <c r="Z189" s="3">
        <v>426</v>
      </c>
      <c r="AA189" s="5">
        <f t="shared" si="2"/>
        <v>4975</v>
      </c>
    </row>
    <row r="190" spans="1:27" ht="15" customHeight="1" x14ac:dyDescent="0.2">
      <c r="A190" s="3" t="s">
        <v>424</v>
      </c>
      <c r="B190" s="1" t="s">
        <v>425</v>
      </c>
      <c r="C190" s="3">
        <v>172</v>
      </c>
      <c r="D190" s="3">
        <v>160</v>
      </c>
      <c r="E190" s="3">
        <v>170</v>
      </c>
      <c r="F190" s="3">
        <v>176</v>
      </c>
      <c r="G190" s="3">
        <v>216</v>
      </c>
      <c r="H190" s="3">
        <v>282</v>
      </c>
      <c r="I190" s="3">
        <v>330</v>
      </c>
      <c r="J190" s="3">
        <v>134</v>
      </c>
      <c r="K190" s="3">
        <v>159</v>
      </c>
      <c r="L190" s="3">
        <v>176</v>
      </c>
      <c r="M190" s="3">
        <v>162</v>
      </c>
      <c r="N190" s="3">
        <v>170</v>
      </c>
      <c r="O190" s="3">
        <v>183</v>
      </c>
      <c r="P190" s="3">
        <v>172</v>
      </c>
      <c r="Q190" s="3">
        <v>163</v>
      </c>
      <c r="R190" s="3">
        <v>195</v>
      </c>
      <c r="S190" s="3">
        <v>216</v>
      </c>
      <c r="T190" s="3">
        <v>278</v>
      </c>
      <c r="U190" s="3">
        <v>357</v>
      </c>
      <c r="V190" s="3">
        <v>143</v>
      </c>
      <c r="W190" s="3">
        <v>171</v>
      </c>
      <c r="X190" s="3">
        <v>172</v>
      </c>
      <c r="Y190" s="3">
        <v>186</v>
      </c>
      <c r="Z190" s="3">
        <v>184</v>
      </c>
      <c r="AA190" s="5">
        <f t="shared" si="2"/>
        <v>2420</v>
      </c>
    </row>
    <row r="191" spans="1:27" ht="15" customHeight="1" x14ac:dyDescent="0.2">
      <c r="A191" s="3" t="s">
        <v>426</v>
      </c>
      <c r="B191" s="1" t="s">
        <v>427</v>
      </c>
      <c r="C191" s="3">
        <v>254</v>
      </c>
      <c r="D191" s="3">
        <v>269</v>
      </c>
      <c r="E191" s="3">
        <v>224</v>
      </c>
      <c r="F191" s="3">
        <v>268</v>
      </c>
      <c r="G191" s="3">
        <v>310</v>
      </c>
      <c r="H191" s="3">
        <v>362</v>
      </c>
      <c r="I191" s="3">
        <v>405</v>
      </c>
      <c r="J191" s="3">
        <v>153</v>
      </c>
      <c r="K191" s="3">
        <v>176</v>
      </c>
      <c r="L191" s="3">
        <v>262</v>
      </c>
      <c r="M191" s="3">
        <v>250</v>
      </c>
      <c r="N191" s="3">
        <v>280</v>
      </c>
      <c r="O191" s="3">
        <v>246</v>
      </c>
      <c r="P191" s="3">
        <v>276</v>
      </c>
      <c r="Q191" s="3">
        <v>218</v>
      </c>
      <c r="R191" s="3">
        <v>222</v>
      </c>
      <c r="S191" s="3">
        <v>300</v>
      </c>
      <c r="T191" s="3">
        <v>356</v>
      </c>
      <c r="U191" s="3">
        <v>441</v>
      </c>
      <c r="V191" s="3">
        <v>202</v>
      </c>
      <c r="W191" s="3">
        <v>194</v>
      </c>
      <c r="X191" s="3">
        <v>278</v>
      </c>
      <c r="Y191" s="3">
        <v>242</v>
      </c>
      <c r="Z191" s="3">
        <v>215</v>
      </c>
      <c r="AA191" s="5">
        <f t="shared" si="2"/>
        <v>3190</v>
      </c>
    </row>
    <row r="192" spans="1:27" ht="15" customHeight="1" x14ac:dyDescent="0.2">
      <c r="A192" s="3" t="s">
        <v>428</v>
      </c>
      <c r="B192" s="1" t="s">
        <v>429</v>
      </c>
      <c r="C192" s="3">
        <v>88</v>
      </c>
      <c r="D192" s="3">
        <v>93</v>
      </c>
      <c r="E192" s="3">
        <v>81</v>
      </c>
      <c r="F192" s="3">
        <v>92</v>
      </c>
      <c r="G192" s="3">
        <v>108</v>
      </c>
      <c r="H192" s="3">
        <v>142</v>
      </c>
      <c r="I192" s="3">
        <v>175</v>
      </c>
      <c r="J192" s="3">
        <v>70</v>
      </c>
      <c r="K192" s="3">
        <v>70</v>
      </c>
      <c r="L192" s="3">
        <v>81</v>
      </c>
      <c r="M192" s="3">
        <v>91</v>
      </c>
      <c r="N192" s="3">
        <v>105</v>
      </c>
      <c r="O192" s="3">
        <v>93</v>
      </c>
      <c r="P192" s="3">
        <v>97</v>
      </c>
      <c r="Q192" s="3">
        <v>92</v>
      </c>
      <c r="R192" s="3">
        <v>92</v>
      </c>
      <c r="S192" s="3">
        <v>104</v>
      </c>
      <c r="T192" s="3">
        <v>136</v>
      </c>
      <c r="U192" s="3">
        <v>167</v>
      </c>
      <c r="V192" s="3">
        <v>74</v>
      </c>
      <c r="W192" s="3">
        <v>79</v>
      </c>
      <c r="X192" s="3">
        <v>96</v>
      </c>
      <c r="Y192" s="3">
        <v>100</v>
      </c>
      <c r="Z192" s="3">
        <v>97</v>
      </c>
      <c r="AA192" s="5">
        <f t="shared" si="2"/>
        <v>1227</v>
      </c>
    </row>
    <row r="193" spans="1:27" ht="15" customHeight="1" x14ac:dyDescent="0.2">
      <c r="A193" s="3" t="s">
        <v>430</v>
      </c>
      <c r="B193" s="1" t="s">
        <v>431</v>
      </c>
      <c r="C193" s="3">
        <v>122</v>
      </c>
      <c r="D193" s="3">
        <v>101</v>
      </c>
      <c r="E193" s="3">
        <v>83</v>
      </c>
      <c r="F193" s="3">
        <v>92</v>
      </c>
      <c r="G193" s="3">
        <v>145</v>
      </c>
      <c r="H193" s="3">
        <v>176</v>
      </c>
      <c r="I193" s="3">
        <v>252</v>
      </c>
      <c r="J193" s="3">
        <v>79</v>
      </c>
      <c r="K193" s="3">
        <v>90</v>
      </c>
      <c r="L193" s="3">
        <v>94</v>
      </c>
      <c r="M193" s="3">
        <v>117</v>
      </c>
      <c r="N193" s="3">
        <v>128</v>
      </c>
      <c r="O193" s="3">
        <v>100</v>
      </c>
      <c r="P193" s="3">
        <v>130</v>
      </c>
      <c r="Q193" s="3">
        <v>116</v>
      </c>
      <c r="R193" s="3">
        <v>121</v>
      </c>
      <c r="S193" s="3">
        <v>141</v>
      </c>
      <c r="T193" s="3">
        <v>198</v>
      </c>
      <c r="U193" s="3">
        <v>209</v>
      </c>
      <c r="V193" s="3">
        <v>74</v>
      </c>
      <c r="W193" s="3">
        <v>98</v>
      </c>
      <c r="X193" s="3">
        <v>129</v>
      </c>
      <c r="Y193" s="3">
        <v>157</v>
      </c>
      <c r="Z193" s="3">
        <v>144</v>
      </c>
      <c r="AA193" s="5">
        <f t="shared" si="2"/>
        <v>1617</v>
      </c>
    </row>
    <row r="194" spans="1:27" ht="15" customHeight="1" x14ac:dyDescent="0.2">
      <c r="A194" s="3" t="s">
        <v>432</v>
      </c>
      <c r="B194" s="1" t="s">
        <v>433</v>
      </c>
      <c r="C194" s="3">
        <v>187</v>
      </c>
      <c r="D194" s="3">
        <v>172</v>
      </c>
      <c r="E194" s="3">
        <v>166</v>
      </c>
      <c r="F194" s="3">
        <v>178</v>
      </c>
      <c r="G194" s="3">
        <v>193</v>
      </c>
      <c r="H194" s="3">
        <v>276</v>
      </c>
      <c r="I194" s="3">
        <v>370</v>
      </c>
      <c r="J194" s="3">
        <v>138</v>
      </c>
      <c r="K194" s="3">
        <v>157</v>
      </c>
      <c r="L194" s="3">
        <v>181</v>
      </c>
      <c r="M194" s="3">
        <v>180</v>
      </c>
      <c r="N194" s="3">
        <v>210</v>
      </c>
      <c r="O194" s="3">
        <v>179</v>
      </c>
      <c r="P194" s="3">
        <v>184</v>
      </c>
      <c r="Q194" s="3">
        <v>192</v>
      </c>
      <c r="R194" s="3">
        <v>206</v>
      </c>
      <c r="S194" s="3">
        <v>230</v>
      </c>
      <c r="T194" s="3">
        <v>286</v>
      </c>
      <c r="U194" s="3">
        <v>426</v>
      </c>
      <c r="V194" s="3">
        <v>142</v>
      </c>
      <c r="W194" s="3">
        <v>172</v>
      </c>
      <c r="X194" s="3">
        <v>208</v>
      </c>
      <c r="Y194" s="3">
        <v>213</v>
      </c>
      <c r="Z194" s="3">
        <v>208</v>
      </c>
      <c r="AA194" s="5">
        <f t="shared" si="2"/>
        <v>2646</v>
      </c>
    </row>
    <row r="195" spans="1:27" ht="15" customHeight="1" x14ac:dyDescent="0.2">
      <c r="A195" s="3" t="s">
        <v>434</v>
      </c>
      <c r="B195" s="1" t="s">
        <v>435</v>
      </c>
      <c r="C195" s="3">
        <v>80</v>
      </c>
      <c r="D195" s="3">
        <v>60</v>
      </c>
      <c r="E195" s="3">
        <v>63</v>
      </c>
      <c r="F195" s="3">
        <v>71</v>
      </c>
      <c r="G195" s="3">
        <v>101</v>
      </c>
      <c r="H195" s="3">
        <v>97</v>
      </c>
      <c r="I195" s="3">
        <v>131</v>
      </c>
      <c r="J195" s="3">
        <v>64</v>
      </c>
      <c r="K195" s="3">
        <v>49</v>
      </c>
      <c r="L195" s="3">
        <v>72</v>
      </c>
      <c r="M195" s="3">
        <v>73</v>
      </c>
      <c r="N195" s="3">
        <v>68</v>
      </c>
      <c r="O195" s="3">
        <v>79</v>
      </c>
      <c r="P195" s="3">
        <v>72</v>
      </c>
      <c r="Q195" s="3">
        <v>80</v>
      </c>
      <c r="R195" s="3">
        <v>72</v>
      </c>
      <c r="S195" s="3">
        <v>120</v>
      </c>
      <c r="T195" s="3">
        <v>113</v>
      </c>
      <c r="U195" s="3">
        <v>123</v>
      </c>
      <c r="V195" s="3">
        <v>48</v>
      </c>
      <c r="W195" s="3">
        <v>63</v>
      </c>
      <c r="X195" s="3">
        <v>80</v>
      </c>
      <c r="Y195" s="3">
        <v>76</v>
      </c>
      <c r="Z195" s="3">
        <v>66</v>
      </c>
      <c r="AA195" s="5">
        <f t="shared" si="2"/>
        <v>992</v>
      </c>
    </row>
    <row r="196" spans="1:27" ht="15" customHeight="1" x14ac:dyDescent="0.2">
      <c r="A196" s="3" t="s">
        <v>436</v>
      </c>
      <c r="B196" s="1" t="s">
        <v>437</v>
      </c>
      <c r="C196" s="3">
        <v>27</v>
      </c>
      <c r="D196" s="3">
        <v>34</v>
      </c>
      <c r="E196" s="3">
        <v>32</v>
      </c>
      <c r="F196" s="3">
        <v>38</v>
      </c>
      <c r="G196" s="3">
        <v>38</v>
      </c>
      <c r="H196" s="3">
        <v>55</v>
      </c>
      <c r="I196" s="3">
        <v>76</v>
      </c>
      <c r="J196" s="3">
        <v>30</v>
      </c>
      <c r="K196" s="3">
        <v>34</v>
      </c>
      <c r="L196" s="3">
        <v>27</v>
      </c>
      <c r="M196" s="3">
        <v>45</v>
      </c>
      <c r="N196" s="3">
        <v>37</v>
      </c>
      <c r="O196" s="3">
        <v>38</v>
      </c>
      <c r="P196" s="3">
        <v>41</v>
      </c>
      <c r="Q196" s="3">
        <v>36</v>
      </c>
      <c r="R196" s="3">
        <v>41</v>
      </c>
      <c r="S196" s="3">
        <v>44</v>
      </c>
      <c r="T196" s="3">
        <v>65</v>
      </c>
      <c r="U196" s="3">
        <v>55</v>
      </c>
      <c r="V196" s="3">
        <v>28</v>
      </c>
      <c r="W196" s="3">
        <v>34</v>
      </c>
      <c r="X196" s="3">
        <v>39</v>
      </c>
      <c r="Y196" s="3">
        <v>41</v>
      </c>
      <c r="Z196" s="3">
        <v>49</v>
      </c>
      <c r="AA196" s="5">
        <f t="shared" si="2"/>
        <v>511</v>
      </c>
    </row>
    <row r="197" spans="1:27" ht="15" customHeight="1" x14ac:dyDescent="0.2">
      <c r="A197" s="3" t="s">
        <v>438</v>
      </c>
      <c r="B197" s="1" t="s">
        <v>439</v>
      </c>
      <c r="C197" s="3">
        <v>128</v>
      </c>
      <c r="D197" s="3">
        <v>139</v>
      </c>
      <c r="E197" s="3">
        <v>129</v>
      </c>
      <c r="F197" s="3">
        <v>137</v>
      </c>
      <c r="G197" s="3">
        <v>165</v>
      </c>
      <c r="H197" s="3">
        <v>257</v>
      </c>
      <c r="I197" s="3">
        <v>249</v>
      </c>
      <c r="J197" s="3">
        <v>108</v>
      </c>
      <c r="K197" s="3">
        <v>109</v>
      </c>
      <c r="L197" s="3">
        <v>119</v>
      </c>
      <c r="M197" s="3">
        <v>125</v>
      </c>
      <c r="N197" s="3">
        <v>170</v>
      </c>
      <c r="O197" s="3">
        <v>115</v>
      </c>
      <c r="P197" s="3">
        <v>149</v>
      </c>
      <c r="Q197" s="3">
        <v>142</v>
      </c>
      <c r="R197" s="3">
        <v>162</v>
      </c>
      <c r="S197" s="3">
        <v>171</v>
      </c>
      <c r="T197" s="3">
        <v>211</v>
      </c>
      <c r="U197" s="3">
        <v>274</v>
      </c>
      <c r="V197" s="3">
        <v>109</v>
      </c>
      <c r="W197" s="3">
        <v>125</v>
      </c>
      <c r="X197" s="3">
        <v>137</v>
      </c>
      <c r="Y197" s="3">
        <v>146</v>
      </c>
      <c r="Z197" s="3">
        <v>134</v>
      </c>
      <c r="AA197" s="5">
        <f t="shared" ref="AA197:AA260" si="3">SUM(O197:Z197)</f>
        <v>1875</v>
      </c>
    </row>
    <row r="198" spans="1:27" ht="15" customHeight="1" x14ac:dyDescent="0.2">
      <c r="A198" s="3" t="s">
        <v>440</v>
      </c>
      <c r="B198" s="1" t="s">
        <v>441</v>
      </c>
      <c r="C198" s="3">
        <v>14</v>
      </c>
      <c r="D198" s="3">
        <v>17</v>
      </c>
      <c r="E198" s="3">
        <v>14</v>
      </c>
      <c r="F198" s="3">
        <v>15</v>
      </c>
      <c r="G198" s="3">
        <v>15</v>
      </c>
      <c r="H198" s="3">
        <v>21</v>
      </c>
      <c r="I198" s="3">
        <v>28</v>
      </c>
      <c r="J198" s="3">
        <v>11</v>
      </c>
      <c r="K198" s="3">
        <v>14</v>
      </c>
      <c r="L198" s="3">
        <v>17</v>
      </c>
      <c r="M198" s="3">
        <v>15</v>
      </c>
      <c r="N198" s="3">
        <v>13</v>
      </c>
      <c r="O198" s="3">
        <v>13</v>
      </c>
      <c r="P198" s="3">
        <v>14</v>
      </c>
      <c r="Q198" s="3">
        <v>12</v>
      </c>
      <c r="R198" s="3">
        <v>17</v>
      </c>
      <c r="S198" s="3">
        <v>19</v>
      </c>
      <c r="T198" s="3">
        <v>28</v>
      </c>
      <c r="U198" s="3">
        <v>31</v>
      </c>
      <c r="V198" s="3">
        <v>12</v>
      </c>
      <c r="W198" s="3">
        <v>14</v>
      </c>
      <c r="X198" s="3">
        <v>15</v>
      </c>
      <c r="Y198" s="3">
        <v>16</v>
      </c>
      <c r="Z198" s="3">
        <v>18</v>
      </c>
      <c r="AA198" s="5">
        <f t="shared" si="3"/>
        <v>209</v>
      </c>
    </row>
    <row r="199" spans="1:27" ht="15" customHeight="1" x14ac:dyDescent="0.2">
      <c r="A199" s="3" t="s">
        <v>442</v>
      </c>
      <c r="B199" s="1" t="s">
        <v>443</v>
      </c>
      <c r="C199" s="3">
        <v>424</v>
      </c>
      <c r="D199" s="3">
        <v>318</v>
      </c>
      <c r="E199" s="3">
        <v>356</v>
      </c>
      <c r="F199" s="3">
        <v>355</v>
      </c>
      <c r="G199" s="3">
        <v>344</v>
      </c>
      <c r="H199" s="3">
        <v>336</v>
      </c>
      <c r="I199" s="3">
        <v>214</v>
      </c>
      <c r="J199" s="3">
        <v>308</v>
      </c>
      <c r="K199" s="3">
        <v>182</v>
      </c>
      <c r="L199" s="3">
        <v>257</v>
      </c>
      <c r="M199" s="3">
        <v>154</v>
      </c>
      <c r="N199" s="3">
        <v>143</v>
      </c>
      <c r="O199" s="3">
        <v>187</v>
      </c>
      <c r="P199" s="3">
        <v>166</v>
      </c>
      <c r="Q199" s="3">
        <v>109</v>
      </c>
      <c r="R199" s="3">
        <v>121</v>
      </c>
      <c r="S199" s="3">
        <v>119</v>
      </c>
      <c r="T199" s="3">
        <v>90</v>
      </c>
      <c r="U199" s="3">
        <v>80</v>
      </c>
      <c r="V199" s="3">
        <v>52</v>
      </c>
      <c r="W199" s="3">
        <v>27</v>
      </c>
      <c r="X199" s="3">
        <v>16</v>
      </c>
      <c r="Y199" s="3">
        <v>23</v>
      </c>
      <c r="Z199" s="3">
        <v>18</v>
      </c>
      <c r="AA199" s="5">
        <f t="shared" si="3"/>
        <v>1008</v>
      </c>
    </row>
    <row r="200" spans="1:27" ht="15" customHeight="1" x14ac:dyDescent="0.2">
      <c r="A200" s="3" t="s">
        <v>444</v>
      </c>
      <c r="B200" s="1" t="s">
        <v>445</v>
      </c>
      <c r="C200" s="3">
        <v>132</v>
      </c>
      <c r="D200" s="3">
        <v>126</v>
      </c>
      <c r="E200" s="3">
        <v>120</v>
      </c>
      <c r="F200" s="3">
        <v>150</v>
      </c>
      <c r="G200" s="3">
        <v>163</v>
      </c>
      <c r="H200" s="3">
        <v>197</v>
      </c>
      <c r="I200" s="3">
        <v>248</v>
      </c>
      <c r="J200" s="3">
        <v>123</v>
      </c>
      <c r="K200" s="3">
        <v>115</v>
      </c>
      <c r="L200" s="3">
        <v>124</v>
      </c>
      <c r="M200" s="3">
        <v>129</v>
      </c>
      <c r="N200" s="3">
        <v>148</v>
      </c>
      <c r="O200" s="3">
        <v>141</v>
      </c>
      <c r="P200" s="3">
        <v>156</v>
      </c>
      <c r="Q200" s="3">
        <v>136</v>
      </c>
      <c r="R200" s="3">
        <v>148</v>
      </c>
      <c r="S200" s="3">
        <v>180</v>
      </c>
      <c r="T200" s="3">
        <v>248</v>
      </c>
      <c r="U200" s="3">
        <v>285</v>
      </c>
      <c r="V200" s="3">
        <v>136</v>
      </c>
      <c r="W200" s="3">
        <v>133</v>
      </c>
      <c r="X200" s="3">
        <v>138</v>
      </c>
      <c r="Y200" s="3">
        <v>155</v>
      </c>
      <c r="Z200" s="3">
        <v>160</v>
      </c>
      <c r="AA200" s="5">
        <f t="shared" si="3"/>
        <v>2016</v>
      </c>
    </row>
    <row r="201" spans="1:27" ht="15" customHeight="1" x14ac:dyDescent="0.2">
      <c r="A201" s="3" t="s">
        <v>446</v>
      </c>
      <c r="B201" s="1" t="s">
        <v>447</v>
      </c>
      <c r="C201" s="3">
        <v>415</v>
      </c>
      <c r="D201" s="3">
        <v>405</v>
      </c>
      <c r="E201" s="3">
        <v>331</v>
      </c>
      <c r="F201" s="3">
        <v>430</v>
      </c>
      <c r="G201" s="3">
        <v>510</v>
      </c>
      <c r="H201" s="3">
        <v>679</v>
      </c>
      <c r="I201" s="3">
        <v>680</v>
      </c>
      <c r="J201" s="3">
        <v>302</v>
      </c>
      <c r="K201" s="3">
        <v>343</v>
      </c>
      <c r="L201" s="3">
        <v>417</v>
      </c>
      <c r="M201" s="3">
        <v>379</v>
      </c>
      <c r="N201" s="3">
        <v>438</v>
      </c>
      <c r="O201" s="3">
        <v>378</v>
      </c>
      <c r="P201" s="3">
        <v>366</v>
      </c>
      <c r="Q201" s="3">
        <v>323</v>
      </c>
      <c r="R201" s="3">
        <v>365</v>
      </c>
      <c r="S201" s="3">
        <v>520</v>
      </c>
      <c r="T201" s="3">
        <v>553</v>
      </c>
      <c r="U201" s="3">
        <v>913</v>
      </c>
      <c r="V201" s="3">
        <v>304</v>
      </c>
      <c r="W201" s="3">
        <v>314</v>
      </c>
      <c r="X201" s="3">
        <v>368</v>
      </c>
      <c r="Y201" s="3">
        <v>387</v>
      </c>
      <c r="Z201" s="3">
        <v>460</v>
      </c>
      <c r="AA201" s="5">
        <f t="shared" si="3"/>
        <v>5251</v>
      </c>
    </row>
    <row r="202" spans="1:27" ht="15" customHeight="1" x14ac:dyDescent="0.2">
      <c r="A202" s="3" t="s">
        <v>448</v>
      </c>
      <c r="B202" s="1" t="s">
        <v>449</v>
      </c>
      <c r="C202" s="3">
        <v>29</v>
      </c>
      <c r="D202" s="3">
        <v>27</v>
      </c>
      <c r="E202" s="3">
        <v>29</v>
      </c>
      <c r="F202" s="3">
        <v>24</v>
      </c>
      <c r="G202" s="3">
        <v>37</v>
      </c>
      <c r="H202" s="3">
        <v>41</v>
      </c>
      <c r="I202" s="3">
        <v>55</v>
      </c>
      <c r="J202" s="3">
        <v>23</v>
      </c>
      <c r="K202" s="3">
        <v>25</v>
      </c>
      <c r="L202" s="3">
        <v>32</v>
      </c>
      <c r="M202" s="3">
        <v>33</v>
      </c>
      <c r="N202" s="3">
        <v>28</v>
      </c>
      <c r="O202" s="3">
        <v>31</v>
      </c>
      <c r="P202" s="3">
        <v>28</v>
      </c>
      <c r="Q202" s="3">
        <v>32</v>
      </c>
      <c r="R202" s="3">
        <v>32</v>
      </c>
      <c r="S202" s="3">
        <v>37</v>
      </c>
      <c r="T202" s="3">
        <v>54</v>
      </c>
      <c r="U202" s="3">
        <v>73</v>
      </c>
      <c r="V202" s="3">
        <v>25</v>
      </c>
      <c r="W202" s="3">
        <v>30</v>
      </c>
      <c r="X202" s="3">
        <v>29</v>
      </c>
      <c r="Y202" s="3">
        <v>35</v>
      </c>
      <c r="Z202" s="3">
        <v>36</v>
      </c>
      <c r="AA202" s="5">
        <f t="shared" si="3"/>
        <v>442</v>
      </c>
    </row>
    <row r="203" spans="1:27" ht="15" customHeight="1" x14ac:dyDescent="0.2">
      <c r="A203" s="3" t="s">
        <v>450</v>
      </c>
      <c r="B203" s="1" t="s">
        <v>451</v>
      </c>
      <c r="C203" s="3">
        <v>31</v>
      </c>
      <c r="D203" s="3">
        <v>20</v>
      </c>
      <c r="E203" s="3">
        <v>28</v>
      </c>
      <c r="F203" s="3">
        <v>22</v>
      </c>
      <c r="G203" s="3">
        <v>19</v>
      </c>
      <c r="H203" s="3">
        <v>22</v>
      </c>
      <c r="I203" s="3">
        <v>20</v>
      </c>
      <c r="J203" s="3">
        <v>12</v>
      </c>
      <c r="K203" s="3">
        <v>15</v>
      </c>
      <c r="L203" s="3">
        <v>16</v>
      </c>
      <c r="M203" s="3">
        <v>13</v>
      </c>
      <c r="N203" s="3">
        <v>14</v>
      </c>
      <c r="O203" s="3">
        <v>8</v>
      </c>
      <c r="P203" s="3">
        <v>10</v>
      </c>
      <c r="Q203" s="3">
        <v>11</v>
      </c>
      <c r="R203" s="3">
        <v>9</v>
      </c>
      <c r="S203" s="3">
        <v>7</v>
      </c>
      <c r="T203" s="3">
        <v>7</v>
      </c>
      <c r="U203" s="3">
        <v>5</v>
      </c>
      <c r="V203" s="3">
        <v>3</v>
      </c>
      <c r="W203" s="3">
        <v>3</v>
      </c>
      <c r="X203" s="3">
        <v>2</v>
      </c>
      <c r="Y203" s="3">
        <v>2</v>
      </c>
      <c r="Z203" s="3">
        <v>1</v>
      </c>
      <c r="AA203" s="5">
        <f t="shared" si="3"/>
        <v>68</v>
      </c>
    </row>
    <row r="204" spans="1:27" ht="15" customHeight="1" x14ac:dyDescent="0.2">
      <c r="A204" s="3" t="s">
        <v>452</v>
      </c>
      <c r="B204" s="1" t="s">
        <v>453</v>
      </c>
      <c r="C204" s="3">
        <v>418</v>
      </c>
      <c r="D204" s="3">
        <v>406</v>
      </c>
      <c r="E204" s="3">
        <v>340</v>
      </c>
      <c r="F204" s="3">
        <v>396</v>
      </c>
      <c r="G204" s="3">
        <v>503</v>
      </c>
      <c r="H204" s="3">
        <v>638</v>
      </c>
      <c r="I204" s="3">
        <v>679</v>
      </c>
      <c r="J204" s="3">
        <v>313</v>
      </c>
      <c r="K204" s="3">
        <v>381</v>
      </c>
      <c r="L204" s="3">
        <v>335</v>
      </c>
      <c r="M204" s="3">
        <v>431</v>
      </c>
      <c r="N204" s="3">
        <v>458</v>
      </c>
      <c r="O204" s="3">
        <v>390</v>
      </c>
      <c r="P204" s="3">
        <v>498</v>
      </c>
      <c r="Q204" s="3">
        <v>415</v>
      </c>
      <c r="R204" s="3">
        <v>445</v>
      </c>
      <c r="S204" s="3">
        <v>505</v>
      </c>
      <c r="T204" s="3">
        <v>597</v>
      </c>
      <c r="U204" s="3">
        <v>717</v>
      </c>
      <c r="V204" s="3">
        <v>317</v>
      </c>
      <c r="W204" s="3">
        <v>394</v>
      </c>
      <c r="X204" s="3">
        <v>510</v>
      </c>
      <c r="Y204" s="3">
        <v>408</v>
      </c>
      <c r="Z204" s="3">
        <v>408</v>
      </c>
      <c r="AA204" s="5">
        <f t="shared" si="3"/>
        <v>5604</v>
      </c>
    </row>
    <row r="205" spans="1:27" ht="15" customHeight="1" x14ac:dyDescent="0.2">
      <c r="A205" s="3" t="s">
        <v>454</v>
      </c>
      <c r="B205" s="1" t="s">
        <v>455</v>
      </c>
      <c r="C205" s="3">
        <v>9</v>
      </c>
      <c r="D205" s="3">
        <v>5</v>
      </c>
      <c r="E205" s="3">
        <v>8</v>
      </c>
      <c r="F205" s="3">
        <v>8</v>
      </c>
      <c r="G205" s="3">
        <v>9</v>
      </c>
      <c r="H205" s="3">
        <v>47</v>
      </c>
      <c r="I205" s="3">
        <v>67</v>
      </c>
      <c r="J205" s="3">
        <v>9</v>
      </c>
      <c r="K205" s="3">
        <v>7</v>
      </c>
      <c r="L205" s="3">
        <v>10</v>
      </c>
      <c r="M205" s="3">
        <v>9</v>
      </c>
      <c r="N205" s="3">
        <v>7</v>
      </c>
      <c r="O205" s="3">
        <v>8</v>
      </c>
      <c r="P205" s="3">
        <v>11</v>
      </c>
      <c r="Q205" s="3">
        <v>8</v>
      </c>
      <c r="R205" s="3">
        <v>12</v>
      </c>
      <c r="S205" s="3">
        <v>33</v>
      </c>
      <c r="T205" s="3">
        <v>9</v>
      </c>
      <c r="U205" s="3">
        <v>10</v>
      </c>
      <c r="V205" s="3">
        <v>9</v>
      </c>
      <c r="W205" s="3">
        <v>12</v>
      </c>
      <c r="X205" s="3">
        <v>9</v>
      </c>
      <c r="Y205" s="3">
        <v>43</v>
      </c>
      <c r="Z205" s="3">
        <v>8</v>
      </c>
      <c r="AA205" s="5">
        <f t="shared" si="3"/>
        <v>172</v>
      </c>
    </row>
    <row r="206" spans="1:27" ht="15" customHeight="1" x14ac:dyDescent="0.2">
      <c r="A206" s="3" t="s">
        <v>457</v>
      </c>
      <c r="B206" s="1" t="s">
        <v>458</v>
      </c>
      <c r="C206" s="3">
        <v>55</v>
      </c>
      <c r="D206" s="3">
        <v>56</v>
      </c>
      <c r="E206" s="3">
        <v>50</v>
      </c>
      <c r="F206" s="3">
        <v>56</v>
      </c>
      <c r="G206" s="3">
        <v>59</v>
      </c>
      <c r="H206" s="3">
        <v>72</v>
      </c>
      <c r="I206" s="3">
        <v>112</v>
      </c>
      <c r="J206" s="3">
        <v>44</v>
      </c>
      <c r="K206" s="3">
        <v>54</v>
      </c>
      <c r="L206" s="3">
        <v>56</v>
      </c>
      <c r="M206" s="3">
        <v>50</v>
      </c>
      <c r="N206" s="3">
        <v>63</v>
      </c>
      <c r="O206" s="3">
        <v>61</v>
      </c>
      <c r="P206" s="3">
        <v>57</v>
      </c>
      <c r="Q206" s="3">
        <v>46</v>
      </c>
      <c r="R206" s="3">
        <v>61</v>
      </c>
      <c r="S206" s="3">
        <v>61</v>
      </c>
      <c r="T206" s="3">
        <v>84</v>
      </c>
      <c r="U206" s="3">
        <v>113</v>
      </c>
      <c r="V206" s="3">
        <v>48</v>
      </c>
      <c r="W206" s="3">
        <v>49</v>
      </c>
      <c r="X206" s="3">
        <v>55</v>
      </c>
      <c r="Y206" s="3">
        <v>59</v>
      </c>
      <c r="Z206" s="3">
        <v>66</v>
      </c>
      <c r="AA206" s="5">
        <f t="shared" si="3"/>
        <v>760</v>
      </c>
    </row>
    <row r="207" spans="1:27" ht="15" customHeight="1" x14ac:dyDescent="0.2">
      <c r="A207" s="3" t="s">
        <v>459</v>
      </c>
      <c r="B207" s="1" t="s">
        <v>460</v>
      </c>
      <c r="C207" s="3">
        <v>39</v>
      </c>
      <c r="D207" s="3">
        <v>30</v>
      </c>
      <c r="E207" s="3">
        <v>34</v>
      </c>
      <c r="F207" s="3">
        <v>28</v>
      </c>
      <c r="G207" s="3">
        <v>40</v>
      </c>
      <c r="H207" s="3">
        <v>47</v>
      </c>
      <c r="I207" s="3">
        <v>63</v>
      </c>
      <c r="J207" s="3">
        <v>26</v>
      </c>
      <c r="K207" s="3">
        <v>30</v>
      </c>
      <c r="L207" s="3">
        <v>34</v>
      </c>
      <c r="M207" s="3">
        <v>34</v>
      </c>
      <c r="N207" s="3">
        <v>39</v>
      </c>
      <c r="O207" s="3">
        <v>44</v>
      </c>
      <c r="P207" s="3">
        <v>29</v>
      </c>
      <c r="Q207" s="3">
        <v>38</v>
      </c>
      <c r="R207" s="3">
        <v>35</v>
      </c>
      <c r="S207" s="3">
        <v>46</v>
      </c>
      <c r="T207" s="3">
        <v>53</v>
      </c>
      <c r="U207" s="3">
        <v>79</v>
      </c>
      <c r="V207" s="3">
        <v>31</v>
      </c>
      <c r="W207" s="3">
        <v>34</v>
      </c>
      <c r="X207" s="3">
        <v>33</v>
      </c>
      <c r="Y207" s="3">
        <v>37</v>
      </c>
      <c r="Z207" s="3">
        <v>42</v>
      </c>
      <c r="AA207" s="5">
        <f t="shared" si="3"/>
        <v>501</v>
      </c>
    </row>
    <row r="208" spans="1:27" ht="15" customHeight="1" x14ac:dyDescent="0.2">
      <c r="A208" s="3" t="s">
        <v>461</v>
      </c>
      <c r="B208" s="1" t="s">
        <v>462</v>
      </c>
      <c r="C208" s="3">
        <v>126</v>
      </c>
      <c r="D208" s="3">
        <v>125</v>
      </c>
      <c r="E208" s="3">
        <v>126</v>
      </c>
      <c r="F208" s="3">
        <v>117</v>
      </c>
      <c r="G208" s="3">
        <v>144</v>
      </c>
      <c r="H208" s="3">
        <v>207</v>
      </c>
      <c r="I208" s="3">
        <v>268</v>
      </c>
      <c r="J208" s="3">
        <v>92</v>
      </c>
      <c r="K208" s="3">
        <v>102</v>
      </c>
      <c r="L208" s="3">
        <v>133</v>
      </c>
      <c r="M208" s="3">
        <v>131</v>
      </c>
      <c r="N208" s="3">
        <v>155</v>
      </c>
      <c r="O208" s="3">
        <v>119</v>
      </c>
      <c r="P208" s="3">
        <v>150</v>
      </c>
      <c r="Q208" s="3">
        <v>120</v>
      </c>
      <c r="R208" s="3">
        <v>145</v>
      </c>
      <c r="S208" s="3">
        <v>193</v>
      </c>
      <c r="T208" s="3">
        <v>203</v>
      </c>
      <c r="U208" s="3">
        <v>260</v>
      </c>
      <c r="V208" s="3">
        <v>96</v>
      </c>
      <c r="W208" s="3">
        <v>101</v>
      </c>
      <c r="X208" s="3">
        <v>146</v>
      </c>
      <c r="Y208" s="3">
        <v>169</v>
      </c>
      <c r="Z208" s="3">
        <v>141</v>
      </c>
      <c r="AA208" s="5">
        <f t="shared" si="3"/>
        <v>1843</v>
      </c>
    </row>
    <row r="209" spans="1:27" ht="15" customHeight="1" x14ac:dyDescent="0.2">
      <c r="A209" s="3" t="s">
        <v>463</v>
      </c>
      <c r="B209" s="1" t="s">
        <v>464</v>
      </c>
      <c r="C209" s="3">
        <v>89</v>
      </c>
      <c r="D209" s="3">
        <v>87</v>
      </c>
      <c r="E209" s="3">
        <v>79</v>
      </c>
      <c r="F209" s="3">
        <v>91</v>
      </c>
      <c r="G209" s="3">
        <v>94</v>
      </c>
      <c r="H209" s="3">
        <v>136</v>
      </c>
      <c r="I209" s="3">
        <v>185</v>
      </c>
      <c r="J209" s="3">
        <v>69</v>
      </c>
      <c r="K209" s="3">
        <v>79</v>
      </c>
      <c r="L209" s="3">
        <v>80</v>
      </c>
      <c r="M209" s="3">
        <v>85</v>
      </c>
      <c r="N209" s="3">
        <v>88</v>
      </c>
      <c r="O209" s="3">
        <v>99</v>
      </c>
      <c r="P209" s="3">
        <v>99</v>
      </c>
      <c r="Q209" s="3">
        <v>86</v>
      </c>
      <c r="R209" s="3">
        <v>92</v>
      </c>
      <c r="S209" s="3">
        <v>105</v>
      </c>
      <c r="T209" s="3">
        <v>153</v>
      </c>
      <c r="U209" s="3">
        <v>174</v>
      </c>
      <c r="V209" s="3">
        <v>69</v>
      </c>
      <c r="W209" s="3">
        <v>83</v>
      </c>
      <c r="X209" s="3">
        <v>104</v>
      </c>
      <c r="Y209" s="3">
        <v>100</v>
      </c>
      <c r="Z209" s="3">
        <v>96</v>
      </c>
      <c r="AA209" s="5">
        <f t="shared" si="3"/>
        <v>1260</v>
      </c>
    </row>
    <row r="210" spans="1:27" ht="15" customHeight="1" x14ac:dyDescent="0.2">
      <c r="A210" s="3" t="s">
        <v>465</v>
      </c>
      <c r="B210" s="1" t="s">
        <v>466</v>
      </c>
      <c r="C210" s="3">
        <v>117</v>
      </c>
      <c r="D210" s="3">
        <v>90</v>
      </c>
      <c r="E210" s="3">
        <v>93</v>
      </c>
      <c r="F210" s="3">
        <v>93</v>
      </c>
      <c r="G210" s="3">
        <v>129</v>
      </c>
      <c r="H210" s="3">
        <v>169</v>
      </c>
      <c r="I210" s="3">
        <v>166</v>
      </c>
      <c r="J210" s="3">
        <v>84</v>
      </c>
      <c r="K210" s="3">
        <v>97</v>
      </c>
      <c r="L210" s="3">
        <v>118</v>
      </c>
      <c r="M210" s="3">
        <v>96</v>
      </c>
      <c r="N210" s="3">
        <v>93</v>
      </c>
      <c r="O210" s="3">
        <v>100</v>
      </c>
      <c r="P210" s="3">
        <v>108</v>
      </c>
      <c r="Q210" s="3">
        <v>120</v>
      </c>
      <c r="R210" s="3">
        <v>114</v>
      </c>
      <c r="S210" s="3">
        <v>131</v>
      </c>
      <c r="T210" s="3">
        <v>138</v>
      </c>
      <c r="U210" s="3">
        <v>200</v>
      </c>
      <c r="V210" s="3">
        <v>78</v>
      </c>
      <c r="W210" s="3">
        <v>99</v>
      </c>
      <c r="X210" s="3">
        <v>116</v>
      </c>
      <c r="Y210" s="3">
        <v>124</v>
      </c>
      <c r="Z210" s="3">
        <v>143</v>
      </c>
      <c r="AA210" s="5">
        <f t="shared" si="3"/>
        <v>1471</v>
      </c>
    </row>
    <row r="211" spans="1:27" ht="15" customHeight="1" x14ac:dyDescent="0.2">
      <c r="A211" s="3" t="s">
        <v>467</v>
      </c>
      <c r="B211" s="1" t="s">
        <v>468</v>
      </c>
      <c r="C211" s="3">
        <v>65</v>
      </c>
      <c r="D211" s="3">
        <v>79</v>
      </c>
      <c r="E211" s="3">
        <v>80</v>
      </c>
      <c r="F211" s="3">
        <v>76</v>
      </c>
      <c r="G211" s="3">
        <v>69</v>
      </c>
      <c r="H211" s="3">
        <v>100</v>
      </c>
      <c r="I211" s="3">
        <v>118</v>
      </c>
      <c r="J211" s="3">
        <v>54</v>
      </c>
      <c r="K211" s="3">
        <v>63</v>
      </c>
      <c r="L211" s="3">
        <v>83</v>
      </c>
      <c r="M211" s="3">
        <v>67</v>
      </c>
      <c r="N211" s="3">
        <v>97</v>
      </c>
      <c r="O211" s="3">
        <v>79</v>
      </c>
      <c r="P211" s="3">
        <v>75</v>
      </c>
      <c r="Q211" s="3">
        <v>86</v>
      </c>
      <c r="R211" s="3">
        <v>75</v>
      </c>
      <c r="S211" s="3">
        <v>93</v>
      </c>
      <c r="T211" s="3">
        <v>111</v>
      </c>
      <c r="U211" s="3">
        <v>148</v>
      </c>
      <c r="V211" s="3">
        <v>64</v>
      </c>
      <c r="W211" s="3">
        <v>65</v>
      </c>
      <c r="X211" s="3">
        <v>87</v>
      </c>
      <c r="Y211" s="3">
        <v>71</v>
      </c>
      <c r="Z211" s="3">
        <v>87</v>
      </c>
      <c r="AA211" s="5">
        <f t="shared" si="3"/>
        <v>1041</v>
      </c>
    </row>
    <row r="212" spans="1:27" ht="15" customHeight="1" x14ac:dyDescent="0.2">
      <c r="A212" s="3" t="s">
        <v>469</v>
      </c>
      <c r="B212" s="1" t="s">
        <v>470</v>
      </c>
      <c r="C212" s="3">
        <v>319</v>
      </c>
      <c r="D212" s="3">
        <v>287</v>
      </c>
      <c r="E212" s="3">
        <v>292</v>
      </c>
      <c r="F212" s="3">
        <v>279</v>
      </c>
      <c r="G212" s="3">
        <v>315</v>
      </c>
      <c r="H212" s="3">
        <v>353</v>
      </c>
      <c r="I212" s="3">
        <v>571</v>
      </c>
      <c r="J212" s="3">
        <v>191</v>
      </c>
      <c r="K212" s="3">
        <v>221</v>
      </c>
      <c r="L212" s="3">
        <v>258</v>
      </c>
      <c r="M212" s="3">
        <v>279</v>
      </c>
      <c r="N212" s="3">
        <v>327</v>
      </c>
      <c r="O212" s="3">
        <v>253</v>
      </c>
      <c r="P212" s="3">
        <v>231</v>
      </c>
      <c r="Q212" s="3">
        <v>304</v>
      </c>
      <c r="R212" s="3">
        <v>272</v>
      </c>
      <c r="S212" s="3">
        <v>361</v>
      </c>
      <c r="T212" s="3">
        <v>472</v>
      </c>
      <c r="U212" s="3">
        <v>444</v>
      </c>
      <c r="V212" s="3">
        <v>218</v>
      </c>
      <c r="W212" s="3">
        <v>211</v>
      </c>
      <c r="X212" s="3">
        <v>255</v>
      </c>
      <c r="Y212" s="3">
        <v>247</v>
      </c>
      <c r="Z212" s="3">
        <v>311</v>
      </c>
      <c r="AA212" s="5">
        <f t="shared" si="3"/>
        <v>3579</v>
      </c>
    </row>
    <row r="213" spans="1:27" ht="15" customHeight="1" x14ac:dyDescent="0.2">
      <c r="A213" s="3" t="s">
        <v>471</v>
      </c>
      <c r="B213" s="1" t="s">
        <v>472</v>
      </c>
      <c r="C213" s="3">
        <v>356</v>
      </c>
      <c r="D213" s="3">
        <v>358</v>
      </c>
      <c r="E213" s="3">
        <v>342</v>
      </c>
      <c r="F213" s="3">
        <v>370</v>
      </c>
      <c r="G213" s="3">
        <v>383</v>
      </c>
      <c r="H213" s="3">
        <v>624</v>
      </c>
      <c r="I213" s="3">
        <v>707</v>
      </c>
      <c r="J213" s="3">
        <v>317</v>
      </c>
      <c r="K213" s="3">
        <v>310</v>
      </c>
      <c r="L213" s="3">
        <v>360</v>
      </c>
      <c r="M213" s="3">
        <v>322</v>
      </c>
      <c r="N213" s="3">
        <v>435</v>
      </c>
      <c r="O213" s="3">
        <v>367</v>
      </c>
      <c r="P213" s="3">
        <v>332</v>
      </c>
      <c r="Q213" s="3">
        <v>298</v>
      </c>
      <c r="R213" s="3">
        <v>381</v>
      </c>
      <c r="S213" s="3">
        <v>422</v>
      </c>
      <c r="T213" s="3">
        <v>511</v>
      </c>
      <c r="U213" s="3">
        <v>585</v>
      </c>
      <c r="V213" s="3">
        <v>305</v>
      </c>
      <c r="W213" s="3">
        <v>344</v>
      </c>
      <c r="X213" s="3">
        <v>378</v>
      </c>
      <c r="Y213" s="3">
        <v>377</v>
      </c>
      <c r="Z213" s="3">
        <v>397</v>
      </c>
      <c r="AA213" s="5">
        <f t="shared" si="3"/>
        <v>4697</v>
      </c>
    </row>
    <row r="214" spans="1:27" ht="15" customHeight="1" x14ac:dyDescent="0.2">
      <c r="A214" s="3" t="s">
        <v>473</v>
      </c>
      <c r="B214" s="1" t="s">
        <v>474</v>
      </c>
      <c r="C214" s="3">
        <v>109</v>
      </c>
      <c r="D214" s="3">
        <v>117</v>
      </c>
      <c r="E214" s="3">
        <v>108</v>
      </c>
      <c r="F214" s="3">
        <v>114</v>
      </c>
      <c r="G214" s="3">
        <v>133</v>
      </c>
      <c r="H214" s="3">
        <v>170</v>
      </c>
      <c r="I214" s="3">
        <v>220</v>
      </c>
      <c r="J214" s="3">
        <v>95</v>
      </c>
      <c r="K214" s="3">
        <v>90</v>
      </c>
      <c r="L214" s="3">
        <v>112</v>
      </c>
      <c r="M214" s="3">
        <v>104</v>
      </c>
      <c r="N214" s="3">
        <v>128</v>
      </c>
      <c r="O214" s="3">
        <v>105</v>
      </c>
      <c r="P214" s="3">
        <v>118</v>
      </c>
      <c r="Q214" s="3">
        <v>116</v>
      </c>
      <c r="R214" s="3">
        <v>101</v>
      </c>
      <c r="S214" s="3">
        <v>133</v>
      </c>
      <c r="T214" s="3">
        <v>173</v>
      </c>
      <c r="U214" s="3">
        <v>225</v>
      </c>
      <c r="V214" s="3">
        <v>93</v>
      </c>
      <c r="W214" s="3">
        <v>99</v>
      </c>
      <c r="X214" s="3">
        <v>112</v>
      </c>
      <c r="Y214" s="3">
        <v>109</v>
      </c>
      <c r="Z214" s="3">
        <v>144</v>
      </c>
      <c r="AA214" s="5">
        <f t="shared" si="3"/>
        <v>1528</v>
      </c>
    </row>
    <row r="215" spans="1:27" ht="15" customHeight="1" x14ac:dyDescent="0.2">
      <c r="A215" s="3" t="s">
        <v>475</v>
      </c>
      <c r="B215" s="1" t="s">
        <v>476</v>
      </c>
      <c r="C215" s="3">
        <v>459</v>
      </c>
      <c r="D215" s="3">
        <v>379</v>
      </c>
      <c r="E215" s="3">
        <v>381</v>
      </c>
      <c r="F215" s="3">
        <v>392</v>
      </c>
      <c r="G215" s="3">
        <v>492</v>
      </c>
      <c r="H215" s="3">
        <v>609</v>
      </c>
      <c r="I215" s="3">
        <v>799</v>
      </c>
      <c r="J215" s="3">
        <v>283</v>
      </c>
      <c r="K215" s="3">
        <v>384</v>
      </c>
      <c r="L215" s="3">
        <v>401</v>
      </c>
      <c r="M215" s="3">
        <v>423</v>
      </c>
      <c r="N215" s="3">
        <v>479</v>
      </c>
      <c r="O215" s="3">
        <v>404</v>
      </c>
      <c r="P215" s="3">
        <v>421</v>
      </c>
      <c r="Q215" s="3">
        <v>352</v>
      </c>
      <c r="R215" s="3">
        <v>418</v>
      </c>
      <c r="S215" s="3">
        <v>509</v>
      </c>
      <c r="T215" s="3">
        <v>651</v>
      </c>
      <c r="U215" s="3">
        <v>891</v>
      </c>
      <c r="V215" s="3">
        <v>323</v>
      </c>
      <c r="W215" s="3">
        <v>345</v>
      </c>
      <c r="X215" s="3">
        <v>394</v>
      </c>
      <c r="Y215" s="3">
        <v>443</v>
      </c>
      <c r="Z215" s="3">
        <v>427</v>
      </c>
      <c r="AA215" s="5">
        <f t="shared" si="3"/>
        <v>5578</v>
      </c>
    </row>
    <row r="216" spans="1:27" ht="15" customHeight="1" x14ac:dyDescent="0.2">
      <c r="A216" s="3" t="s">
        <v>477</v>
      </c>
      <c r="B216" s="1" t="s">
        <v>478</v>
      </c>
      <c r="C216" s="3">
        <v>62</v>
      </c>
      <c r="D216" s="3">
        <v>73</v>
      </c>
      <c r="E216" s="3">
        <v>65</v>
      </c>
      <c r="F216" s="3">
        <v>67</v>
      </c>
      <c r="G216" s="3">
        <v>70</v>
      </c>
      <c r="H216" s="3">
        <v>97</v>
      </c>
      <c r="I216" s="3">
        <v>124</v>
      </c>
      <c r="J216" s="3">
        <v>47</v>
      </c>
      <c r="K216" s="3">
        <v>60</v>
      </c>
      <c r="L216" s="3">
        <v>61</v>
      </c>
      <c r="M216" s="3">
        <v>59</v>
      </c>
      <c r="N216" s="3">
        <v>81</v>
      </c>
      <c r="O216" s="3">
        <v>70</v>
      </c>
      <c r="P216" s="3">
        <v>79</v>
      </c>
      <c r="Q216" s="3">
        <v>60</v>
      </c>
      <c r="R216" s="3">
        <v>57</v>
      </c>
      <c r="S216" s="3">
        <v>77</v>
      </c>
      <c r="T216" s="3">
        <v>96</v>
      </c>
      <c r="U216" s="3">
        <v>126</v>
      </c>
      <c r="V216" s="3">
        <v>45</v>
      </c>
      <c r="W216" s="3">
        <v>70</v>
      </c>
      <c r="X216" s="3">
        <v>79</v>
      </c>
      <c r="Y216" s="3">
        <v>68</v>
      </c>
      <c r="Z216" s="3">
        <v>78</v>
      </c>
      <c r="AA216" s="5">
        <f t="shared" si="3"/>
        <v>905</v>
      </c>
    </row>
    <row r="217" spans="1:27" ht="15" customHeight="1" x14ac:dyDescent="0.2">
      <c r="A217" s="3" t="s">
        <v>479</v>
      </c>
      <c r="B217" s="1" t="s">
        <v>480</v>
      </c>
      <c r="C217" s="3">
        <v>290</v>
      </c>
      <c r="D217" s="3">
        <v>329</v>
      </c>
      <c r="E217" s="3">
        <v>293</v>
      </c>
      <c r="F217" s="3">
        <v>272</v>
      </c>
      <c r="G217" s="3">
        <v>347</v>
      </c>
      <c r="H217" s="3">
        <v>455</v>
      </c>
      <c r="I217" s="3">
        <v>585</v>
      </c>
      <c r="J217" s="3">
        <v>225</v>
      </c>
      <c r="K217" s="3">
        <v>235</v>
      </c>
      <c r="L217" s="3">
        <v>250</v>
      </c>
      <c r="M217" s="3">
        <v>301</v>
      </c>
      <c r="N217" s="3">
        <v>294</v>
      </c>
      <c r="O217" s="3">
        <v>343</v>
      </c>
      <c r="P217" s="3">
        <v>244</v>
      </c>
      <c r="Q217" s="3">
        <v>255</v>
      </c>
      <c r="R217" s="3">
        <v>237</v>
      </c>
      <c r="S217" s="3">
        <v>285</v>
      </c>
      <c r="T217" s="3">
        <v>492</v>
      </c>
      <c r="U217" s="3">
        <v>539</v>
      </c>
      <c r="V217" s="3">
        <v>200</v>
      </c>
      <c r="W217" s="3">
        <v>291</v>
      </c>
      <c r="X217" s="3">
        <v>263</v>
      </c>
      <c r="Y217" s="3">
        <v>293</v>
      </c>
      <c r="Z217" s="3">
        <v>309</v>
      </c>
      <c r="AA217" s="5">
        <f t="shared" si="3"/>
        <v>3751</v>
      </c>
    </row>
    <row r="218" spans="1:27" ht="15" customHeight="1" x14ac:dyDescent="0.2">
      <c r="A218" s="3" t="s">
        <v>481</v>
      </c>
      <c r="B218" s="1" t="s">
        <v>482</v>
      </c>
      <c r="C218" s="3">
        <v>62</v>
      </c>
      <c r="D218" s="3">
        <v>58</v>
      </c>
      <c r="E218" s="3">
        <v>71</v>
      </c>
      <c r="F218" s="3">
        <v>63</v>
      </c>
      <c r="G218" s="3">
        <v>77</v>
      </c>
      <c r="H218" s="3">
        <v>103</v>
      </c>
      <c r="I218" s="3">
        <v>115</v>
      </c>
      <c r="J218" s="3">
        <v>39</v>
      </c>
      <c r="K218" s="3">
        <v>52</v>
      </c>
      <c r="L218" s="3">
        <v>60</v>
      </c>
      <c r="M218" s="3">
        <v>55</v>
      </c>
      <c r="N218" s="3">
        <v>66</v>
      </c>
      <c r="O218" s="3">
        <v>60</v>
      </c>
      <c r="P218" s="3">
        <v>55</v>
      </c>
      <c r="Q218" s="3">
        <v>53</v>
      </c>
      <c r="R218" s="3">
        <v>68</v>
      </c>
      <c r="S218" s="3">
        <v>78</v>
      </c>
      <c r="T218" s="3">
        <v>99</v>
      </c>
      <c r="U218" s="3">
        <v>146</v>
      </c>
      <c r="V218" s="3">
        <v>58</v>
      </c>
      <c r="W218" s="3">
        <v>67</v>
      </c>
      <c r="X218" s="3">
        <v>63</v>
      </c>
      <c r="Y218" s="3">
        <v>70</v>
      </c>
      <c r="Z218" s="3">
        <v>83</v>
      </c>
      <c r="AA218" s="5">
        <f t="shared" si="3"/>
        <v>900</v>
      </c>
    </row>
    <row r="219" spans="1:27" ht="15" customHeight="1" x14ac:dyDescent="0.2">
      <c r="A219" s="3" t="s">
        <v>483</v>
      </c>
      <c r="B219" s="1" t="s">
        <v>484</v>
      </c>
      <c r="C219" s="3">
        <v>157</v>
      </c>
      <c r="D219" s="3">
        <v>130</v>
      </c>
      <c r="E219" s="3">
        <v>172</v>
      </c>
      <c r="F219" s="3">
        <v>155</v>
      </c>
      <c r="G219" s="3">
        <v>172</v>
      </c>
      <c r="H219" s="3">
        <v>216</v>
      </c>
      <c r="I219" s="3">
        <v>273</v>
      </c>
      <c r="J219" s="3">
        <v>114</v>
      </c>
      <c r="K219" s="3">
        <v>135</v>
      </c>
      <c r="L219" s="3">
        <v>145</v>
      </c>
      <c r="M219" s="3">
        <v>165</v>
      </c>
      <c r="N219" s="3">
        <v>153</v>
      </c>
      <c r="O219" s="3">
        <v>163</v>
      </c>
      <c r="P219" s="3">
        <v>154</v>
      </c>
      <c r="Q219" s="3">
        <v>141</v>
      </c>
      <c r="R219" s="3">
        <v>154</v>
      </c>
      <c r="S219" s="3">
        <v>184</v>
      </c>
      <c r="T219" s="3">
        <v>233</v>
      </c>
      <c r="U219" s="3">
        <v>315</v>
      </c>
      <c r="V219" s="3">
        <v>113</v>
      </c>
      <c r="W219" s="3">
        <v>126</v>
      </c>
      <c r="X219" s="3">
        <v>162</v>
      </c>
      <c r="Y219" s="3">
        <v>170</v>
      </c>
      <c r="Z219" s="3">
        <v>197</v>
      </c>
      <c r="AA219" s="5">
        <f t="shared" si="3"/>
        <v>2112</v>
      </c>
    </row>
    <row r="220" spans="1:27" ht="15" customHeight="1" x14ac:dyDescent="0.2">
      <c r="A220" s="3" t="s">
        <v>485</v>
      </c>
      <c r="B220" s="1" t="s">
        <v>486</v>
      </c>
      <c r="C220" s="3">
        <v>163</v>
      </c>
      <c r="D220" s="3">
        <v>165</v>
      </c>
      <c r="E220" s="3">
        <v>155</v>
      </c>
      <c r="F220" s="3">
        <v>149</v>
      </c>
      <c r="G220" s="3">
        <v>192</v>
      </c>
      <c r="H220" s="3">
        <v>259</v>
      </c>
      <c r="I220" s="3">
        <v>342</v>
      </c>
      <c r="J220" s="3">
        <v>125</v>
      </c>
      <c r="K220" s="3">
        <v>142</v>
      </c>
      <c r="L220" s="3">
        <v>153</v>
      </c>
      <c r="M220" s="3">
        <v>142</v>
      </c>
      <c r="N220" s="3">
        <v>191</v>
      </c>
      <c r="O220" s="3">
        <v>165</v>
      </c>
      <c r="P220" s="3">
        <v>158</v>
      </c>
      <c r="Q220" s="3">
        <v>164</v>
      </c>
      <c r="R220" s="3">
        <v>154</v>
      </c>
      <c r="S220" s="3">
        <v>225</v>
      </c>
      <c r="T220" s="3">
        <v>300</v>
      </c>
      <c r="U220" s="3">
        <v>295</v>
      </c>
      <c r="V220" s="3">
        <v>140</v>
      </c>
      <c r="W220" s="3">
        <v>137</v>
      </c>
      <c r="X220" s="3">
        <v>160</v>
      </c>
      <c r="Y220" s="3">
        <v>189</v>
      </c>
      <c r="Z220" s="3">
        <v>182</v>
      </c>
      <c r="AA220" s="5">
        <f t="shared" si="3"/>
        <v>2269</v>
      </c>
    </row>
    <row r="221" spans="1:27" ht="15" customHeight="1" x14ac:dyDescent="0.2">
      <c r="A221" s="3" t="s">
        <v>487</v>
      </c>
      <c r="B221" s="1" t="s">
        <v>488</v>
      </c>
      <c r="C221" s="3">
        <v>136</v>
      </c>
      <c r="D221" s="3">
        <v>119</v>
      </c>
      <c r="E221" s="3">
        <v>129</v>
      </c>
      <c r="F221" s="3">
        <v>113</v>
      </c>
      <c r="G221" s="3">
        <v>143</v>
      </c>
      <c r="H221" s="3">
        <v>215</v>
      </c>
      <c r="I221" s="3">
        <v>270</v>
      </c>
      <c r="J221" s="3">
        <v>102</v>
      </c>
      <c r="K221" s="3">
        <v>95</v>
      </c>
      <c r="L221" s="3">
        <v>117</v>
      </c>
      <c r="M221" s="3">
        <v>122</v>
      </c>
      <c r="N221" s="3">
        <v>159</v>
      </c>
      <c r="O221" s="3">
        <v>126</v>
      </c>
      <c r="P221" s="3">
        <v>146</v>
      </c>
      <c r="Q221" s="3">
        <v>138</v>
      </c>
      <c r="R221" s="3">
        <v>128</v>
      </c>
      <c r="S221" s="3">
        <v>157</v>
      </c>
      <c r="T221" s="3">
        <v>224</v>
      </c>
      <c r="U221" s="3">
        <v>219</v>
      </c>
      <c r="V221" s="3">
        <v>112</v>
      </c>
      <c r="W221" s="3">
        <v>97</v>
      </c>
      <c r="X221" s="3">
        <v>126</v>
      </c>
      <c r="Y221" s="3">
        <v>144</v>
      </c>
      <c r="Z221" s="3">
        <v>164</v>
      </c>
      <c r="AA221" s="5">
        <f t="shared" si="3"/>
        <v>1781</v>
      </c>
    </row>
    <row r="222" spans="1:27" ht="15" customHeight="1" x14ac:dyDescent="0.2">
      <c r="A222" s="3" t="s">
        <v>489</v>
      </c>
      <c r="B222" s="1" t="s">
        <v>490</v>
      </c>
      <c r="C222" s="3">
        <v>10</v>
      </c>
      <c r="D222" s="3">
        <v>13</v>
      </c>
      <c r="E222" s="3">
        <v>8</v>
      </c>
      <c r="F222" s="3">
        <v>12</v>
      </c>
      <c r="G222" s="3">
        <v>15</v>
      </c>
      <c r="H222" s="3">
        <v>17</v>
      </c>
      <c r="I222" s="3">
        <v>23</v>
      </c>
      <c r="J222" s="3">
        <v>9</v>
      </c>
      <c r="K222" s="3">
        <v>9</v>
      </c>
      <c r="L222" s="3">
        <v>12</v>
      </c>
      <c r="M222" s="3">
        <v>12</v>
      </c>
      <c r="N222" s="3">
        <v>14</v>
      </c>
      <c r="O222" s="3">
        <v>12</v>
      </c>
      <c r="P222" s="3">
        <v>12</v>
      </c>
      <c r="Q222" s="3">
        <v>12</v>
      </c>
      <c r="R222" s="3">
        <v>12</v>
      </c>
      <c r="S222" s="3">
        <v>12</v>
      </c>
      <c r="T222" s="3">
        <v>18</v>
      </c>
      <c r="U222" s="3">
        <v>21</v>
      </c>
      <c r="V222" s="3">
        <v>10</v>
      </c>
      <c r="W222" s="3">
        <v>12</v>
      </c>
      <c r="X222" s="3">
        <v>12</v>
      </c>
      <c r="Y222" s="3">
        <v>15</v>
      </c>
      <c r="Z222" s="3">
        <v>11</v>
      </c>
      <c r="AA222" s="5">
        <f t="shared" si="3"/>
        <v>159</v>
      </c>
    </row>
    <row r="223" spans="1:27" ht="15" customHeight="1" x14ac:dyDescent="0.2">
      <c r="A223" s="3" t="s">
        <v>491</v>
      </c>
      <c r="B223" s="1" t="s">
        <v>492</v>
      </c>
      <c r="C223" s="3">
        <v>95</v>
      </c>
      <c r="D223" s="3">
        <v>99</v>
      </c>
      <c r="E223" s="3">
        <v>96</v>
      </c>
      <c r="F223" s="3">
        <v>93</v>
      </c>
      <c r="G223" s="3">
        <v>103</v>
      </c>
      <c r="H223" s="3">
        <v>157</v>
      </c>
      <c r="I223" s="3">
        <v>167</v>
      </c>
      <c r="J223" s="3">
        <v>74</v>
      </c>
      <c r="K223" s="3">
        <v>79</v>
      </c>
      <c r="L223" s="3">
        <v>92</v>
      </c>
      <c r="M223" s="3">
        <v>99</v>
      </c>
      <c r="N223" s="3">
        <v>101</v>
      </c>
      <c r="O223" s="3">
        <v>110</v>
      </c>
      <c r="P223" s="3">
        <v>101</v>
      </c>
      <c r="Q223" s="3">
        <v>86</v>
      </c>
      <c r="R223" s="3">
        <v>116</v>
      </c>
      <c r="S223" s="3">
        <v>112</v>
      </c>
      <c r="T223" s="3">
        <v>168</v>
      </c>
      <c r="U223" s="3">
        <v>185</v>
      </c>
      <c r="V223" s="3">
        <v>88</v>
      </c>
      <c r="W223" s="3">
        <v>94</v>
      </c>
      <c r="X223" s="3">
        <v>93</v>
      </c>
      <c r="Y223" s="3">
        <v>89</v>
      </c>
      <c r="Z223" s="3">
        <v>132</v>
      </c>
      <c r="AA223" s="5">
        <f t="shared" si="3"/>
        <v>1374</v>
      </c>
    </row>
    <row r="224" spans="1:27" ht="15" customHeight="1" x14ac:dyDescent="0.2">
      <c r="A224" s="3" t="s">
        <v>493</v>
      </c>
      <c r="B224" s="1" t="s">
        <v>494</v>
      </c>
      <c r="C224" s="3">
        <v>28</v>
      </c>
      <c r="D224" s="3">
        <v>34</v>
      </c>
      <c r="E224" s="3">
        <v>23</v>
      </c>
      <c r="F224" s="3">
        <v>30</v>
      </c>
      <c r="G224" s="3">
        <v>34</v>
      </c>
      <c r="H224" s="3">
        <v>46</v>
      </c>
      <c r="I224" s="3">
        <v>61</v>
      </c>
      <c r="J224" s="3">
        <v>26</v>
      </c>
      <c r="K224" s="3">
        <v>28</v>
      </c>
      <c r="L224" s="3">
        <v>33</v>
      </c>
      <c r="M224" s="3">
        <v>34</v>
      </c>
      <c r="N224" s="3">
        <v>34</v>
      </c>
      <c r="O224" s="3">
        <v>34</v>
      </c>
      <c r="P224" s="3">
        <v>31</v>
      </c>
      <c r="Q224" s="3">
        <v>29</v>
      </c>
      <c r="R224" s="3">
        <v>34</v>
      </c>
      <c r="S224" s="3">
        <v>32</v>
      </c>
      <c r="T224" s="3">
        <v>55</v>
      </c>
      <c r="U224" s="3">
        <v>68</v>
      </c>
      <c r="V224" s="3">
        <v>28</v>
      </c>
      <c r="W224" s="3">
        <v>27</v>
      </c>
      <c r="X224" s="3">
        <v>34</v>
      </c>
      <c r="Y224" s="3">
        <v>33</v>
      </c>
      <c r="Z224" s="3">
        <v>34</v>
      </c>
      <c r="AA224" s="5">
        <f t="shared" si="3"/>
        <v>439</v>
      </c>
    </row>
    <row r="225" spans="1:27" ht="15" customHeight="1" x14ac:dyDescent="0.2">
      <c r="A225" s="3" t="s">
        <v>495</v>
      </c>
      <c r="B225" s="1" t="s">
        <v>496</v>
      </c>
      <c r="C225" s="3">
        <v>62</v>
      </c>
      <c r="D225" s="3">
        <v>58</v>
      </c>
      <c r="E225" s="3">
        <v>47</v>
      </c>
      <c r="F225" s="3">
        <v>46</v>
      </c>
      <c r="G225" s="3">
        <v>64</v>
      </c>
      <c r="H225" s="3">
        <v>84</v>
      </c>
      <c r="I225" s="3">
        <v>125</v>
      </c>
      <c r="J225" s="3">
        <v>48</v>
      </c>
      <c r="K225" s="3">
        <v>50</v>
      </c>
      <c r="L225" s="3">
        <v>56</v>
      </c>
      <c r="M225" s="3">
        <v>52</v>
      </c>
      <c r="N225" s="3">
        <v>56</v>
      </c>
      <c r="O225" s="3">
        <v>46</v>
      </c>
      <c r="P225" s="3">
        <v>49</v>
      </c>
      <c r="Q225" s="3">
        <v>51</v>
      </c>
      <c r="R225" s="3">
        <v>60</v>
      </c>
      <c r="S225" s="3">
        <v>58</v>
      </c>
      <c r="T225" s="3">
        <v>87</v>
      </c>
      <c r="U225" s="3">
        <v>115</v>
      </c>
      <c r="V225" s="3">
        <v>40</v>
      </c>
      <c r="W225" s="3">
        <v>44</v>
      </c>
      <c r="X225" s="3">
        <v>48</v>
      </c>
      <c r="Y225" s="3">
        <v>55</v>
      </c>
      <c r="Z225" s="3">
        <v>71</v>
      </c>
      <c r="AA225" s="5">
        <f t="shared" si="3"/>
        <v>724</v>
      </c>
    </row>
    <row r="226" spans="1:27" ht="15" customHeight="1" x14ac:dyDescent="0.2">
      <c r="A226" s="3" t="s">
        <v>497</v>
      </c>
      <c r="B226" s="1" t="s">
        <v>498</v>
      </c>
      <c r="C226" s="3">
        <v>19</v>
      </c>
      <c r="D226" s="3">
        <v>19</v>
      </c>
      <c r="E226" s="3">
        <v>20</v>
      </c>
      <c r="F226" s="3">
        <v>29</v>
      </c>
      <c r="G226" s="3">
        <v>24</v>
      </c>
      <c r="H226" s="3">
        <v>33</v>
      </c>
      <c r="I226" s="3">
        <v>39</v>
      </c>
      <c r="J226" s="3">
        <v>15</v>
      </c>
      <c r="K226" s="3">
        <v>18</v>
      </c>
      <c r="L226" s="3">
        <v>20</v>
      </c>
      <c r="M226" s="3">
        <v>21</v>
      </c>
      <c r="N226" s="3">
        <v>19</v>
      </c>
      <c r="O226" s="3">
        <v>22</v>
      </c>
      <c r="P226" s="3">
        <v>20</v>
      </c>
      <c r="Q226" s="3">
        <v>22</v>
      </c>
      <c r="R226" s="3">
        <v>19</v>
      </c>
      <c r="S226" s="3">
        <v>27</v>
      </c>
      <c r="T226" s="3">
        <v>39</v>
      </c>
      <c r="U226" s="3">
        <v>46</v>
      </c>
      <c r="V226" s="3">
        <v>17</v>
      </c>
      <c r="W226" s="3">
        <v>19</v>
      </c>
      <c r="X226" s="3">
        <v>23</v>
      </c>
      <c r="Y226" s="3">
        <v>24</v>
      </c>
      <c r="Z226" s="3">
        <v>28</v>
      </c>
      <c r="AA226" s="5">
        <f t="shared" si="3"/>
        <v>306</v>
      </c>
    </row>
    <row r="227" spans="1:27" ht="15" customHeight="1" x14ac:dyDescent="0.2">
      <c r="A227" s="3" t="s">
        <v>499</v>
      </c>
      <c r="B227" s="1" t="s">
        <v>500</v>
      </c>
      <c r="C227" s="3">
        <v>58</v>
      </c>
      <c r="D227" s="3">
        <v>55</v>
      </c>
      <c r="E227" s="3">
        <v>48</v>
      </c>
      <c r="F227" s="3">
        <v>54</v>
      </c>
      <c r="G227" s="3">
        <v>71</v>
      </c>
      <c r="H227" s="3">
        <v>79</v>
      </c>
      <c r="I227" s="3">
        <v>112</v>
      </c>
      <c r="J227" s="3">
        <v>43</v>
      </c>
      <c r="K227" s="3">
        <v>46</v>
      </c>
      <c r="L227" s="3">
        <v>56</v>
      </c>
      <c r="M227" s="3">
        <v>63</v>
      </c>
      <c r="N227" s="3">
        <v>53</v>
      </c>
      <c r="O227" s="3">
        <v>64</v>
      </c>
      <c r="P227" s="3">
        <v>62</v>
      </c>
      <c r="Q227" s="3">
        <v>51</v>
      </c>
      <c r="R227" s="3">
        <v>62</v>
      </c>
      <c r="S227" s="3">
        <v>63</v>
      </c>
      <c r="T227" s="3">
        <v>92</v>
      </c>
      <c r="U227" s="3">
        <v>92</v>
      </c>
      <c r="V227" s="3">
        <v>49</v>
      </c>
      <c r="W227" s="3">
        <v>48</v>
      </c>
      <c r="X227" s="3">
        <v>60</v>
      </c>
      <c r="Y227" s="3">
        <v>56</v>
      </c>
      <c r="Z227" s="3">
        <v>66</v>
      </c>
      <c r="AA227" s="5">
        <f t="shared" si="3"/>
        <v>765</v>
      </c>
    </row>
    <row r="228" spans="1:27" ht="15" customHeight="1" x14ac:dyDescent="0.2">
      <c r="A228" s="3" t="s">
        <v>501</v>
      </c>
      <c r="B228" s="1" t="s">
        <v>502</v>
      </c>
      <c r="C228" s="3">
        <v>59</v>
      </c>
      <c r="D228" s="3">
        <v>66</v>
      </c>
      <c r="E228" s="3">
        <v>47</v>
      </c>
      <c r="F228" s="3">
        <v>66</v>
      </c>
      <c r="G228" s="3">
        <v>75</v>
      </c>
      <c r="H228" s="3">
        <v>86</v>
      </c>
      <c r="I228" s="3">
        <v>107</v>
      </c>
      <c r="J228" s="3">
        <v>41</v>
      </c>
      <c r="K228" s="3">
        <v>54</v>
      </c>
      <c r="L228" s="3">
        <v>62</v>
      </c>
      <c r="M228" s="3">
        <v>68</v>
      </c>
      <c r="N228" s="3">
        <v>58</v>
      </c>
      <c r="O228" s="3">
        <v>64</v>
      </c>
      <c r="P228" s="3">
        <v>50</v>
      </c>
      <c r="Q228" s="3">
        <v>50</v>
      </c>
      <c r="R228" s="3">
        <v>62</v>
      </c>
      <c r="S228" s="3">
        <v>77</v>
      </c>
      <c r="T228" s="3">
        <v>96</v>
      </c>
      <c r="U228" s="3">
        <v>124</v>
      </c>
      <c r="V228" s="3">
        <v>46</v>
      </c>
      <c r="W228" s="3">
        <v>50</v>
      </c>
      <c r="X228" s="3">
        <v>54</v>
      </c>
      <c r="Y228" s="3">
        <v>52</v>
      </c>
      <c r="Z228" s="3">
        <v>66</v>
      </c>
      <c r="AA228" s="5">
        <f t="shared" si="3"/>
        <v>791</v>
      </c>
    </row>
    <row r="229" spans="1:27" ht="15" customHeight="1" x14ac:dyDescent="0.2">
      <c r="A229" s="3" t="s">
        <v>503</v>
      </c>
      <c r="B229" s="1" t="s">
        <v>504</v>
      </c>
      <c r="C229" s="3">
        <v>28</v>
      </c>
      <c r="D229" s="3">
        <v>26</v>
      </c>
      <c r="E229" s="3">
        <v>29</v>
      </c>
      <c r="F229" s="3">
        <v>27</v>
      </c>
      <c r="G229" s="3">
        <v>33</v>
      </c>
      <c r="H229" s="3">
        <v>37</v>
      </c>
      <c r="I229" s="3">
        <v>48</v>
      </c>
      <c r="J229" s="3">
        <v>21</v>
      </c>
      <c r="K229" s="3">
        <v>27</v>
      </c>
      <c r="L229" s="3">
        <v>27</v>
      </c>
      <c r="M229" s="3">
        <v>28</v>
      </c>
      <c r="N229" s="3">
        <v>34</v>
      </c>
      <c r="O229" s="3">
        <v>29</v>
      </c>
      <c r="P229" s="3">
        <v>31</v>
      </c>
      <c r="Q229" s="3">
        <v>26</v>
      </c>
      <c r="R229" s="3">
        <v>27</v>
      </c>
      <c r="S229" s="3">
        <v>34</v>
      </c>
      <c r="T229" s="3">
        <v>52</v>
      </c>
      <c r="U229" s="3">
        <v>54</v>
      </c>
      <c r="V229" s="3">
        <v>25</v>
      </c>
      <c r="W229" s="3">
        <v>22</v>
      </c>
      <c r="X229" s="3">
        <v>31</v>
      </c>
      <c r="Y229" s="3">
        <v>30</v>
      </c>
      <c r="Z229" s="3">
        <v>34</v>
      </c>
      <c r="AA229" s="5">
        <f t="shared" si="3"/>
        <v>395</v>
      </c>
    </row>
    <row r="230" spans="1:27" ht="15" customHeight="1" x14ac:dyDescent="0.2">
      <c r="A230" s="3" t="s">
        <v>505</v>
      </c>
      <c r="B230" s="1" t="s">
        <v>506</v>
      </c>
      <c r="C230" s="3">
        <v>48</v>
      </c>
      <c r="D230" s="3">
        <v>44</v>
      </c>
      <c r="E230" s="3">
        <v>42</v>
      </c>
      <c r="F230" s="3">
        <v>36</v>
      </c>
      <c r="G230" s="3">
        <v>46</v>
      </c>
      <c r="H230" s="3">
        <v>68</v>
      </c>
      <c r="I230" s="3">
        <v>82</v>
      </c>
      <c r="J230" s="3">
        <v>29</v>
      </c>
      <c r="K230" s="3">
        <v>37</v>
      </c>
      <c r="L230" s="3">
        <v>46</v>
      </c>
      <c r="M230" s="3">
        <v>43</v>
      </c>
      <c r="N230" s="3">
        <v>48</v>
      </c>
      <c r="O230" s="3">
        <v>39</v>
      </c>
      <c r="P230" s="3">
        <v>53</v>
      </c>
      <c r="Q230" s="3">
        <v>40</v>
      </c>
      <c r="R230" s="3">
        <v>45</v>
      </c>
      <c r="S230" s="3">
        <v>50</v>
      </c>
      <c r="T230" s="3">
        <v>70</v>
      </c>
      <c r="U230" s="3">
        <v>94</v>
      </c>
      <c r="V230" s="3">
        <v>38</v>
      </c>
      <c r="W230" s="3">
        <v>39</v>
      </c>
      <c r="X230" s="3">
        <v>48</v>
      </c>
      <c r="Y230" s="3">
        <v>46</v>
      </c>
      <c r="Z230" s="3">
        <v>55</v>
      </c>
      <c r="AA230" s="5">
        <f t="shared" si="3"/>
        <v>617</v>
      </c>
    </row>
    <row r="231" spans="1:27" ht="15" customHeight="1" x14ac:dyDescent="0.2">
      <c r="A231" s="3" t="s">
        <v>507</v>
      </c>
      <c r="B231" s="1" t="s">
        <v>508</v>
      </c>
      <c r="C231" s="3">
        <v>45</v>
      </c>
      <c r="D231" s="3">
        <v>43</v>
      </c>
      <c r="E231" s="3">
        <v>43</v>
      </c>
      <c r="F231" s="3">
        <v>39</v>
      </c>
      <c r="G231" s="3">
        <v>58</v>
      </c>
      <c r="H231" s="3">
        <v>59</v>
      </c>
      <c r="I231" s="3">
        <v>92</v>
      </c>
      <c r="J231" s="3">
        <v>34</v>
      </c>
      <c r="K231" s="3">
        <v>41</v>
      </c>
      <c r="L231" s="3">
        <v>40</v>
      </c>
      <c r="M231" s="3">
        <v>47</v>
      </c>
      <c r="N231" s="3">
        <v>44</v>
      </c>
      <c r="O231" s="3">
        <v>48</v>
      </c>
      <c r="P231" s="3">
        <v>42</v>
      </c>
      <c r="Q231" s="3">
        <v>46</v>
      </c>
      <c r="R231" s="3">
        <v>48</v>
      </c>
      <c r="S231" s="3">
        <v>57</v>
      </c>
      <c r="T231" s="3">
        <v>67</v>
      </c>
      <c r="U231" s="3">
        <v>86</v>
      </c>
      <c r="V231" s="3">
        <v>31</v>
      </c>
      <c r="W231" s="3">
        <v>40</v>
      </c>
      <c r="X231" s="3">
        <v>39</v>
      </c>
      <c r="Y231" s="3">
        <v>41</v>
      </c>
      <c r="Z231" s="3">
        <v>47</v>
      </c>
      <c r="AA231" s="5">
        <f t="shared" si="3"/>
        <v>592</v>
      </c>
    </row>
    <row r="232" spans="1:27" ht="15" customHeight="1" x14ac:dyDescent="0.2">
      <c r="A232" s="3" t="s">
        <v>509</v>
      </c>
      <c r="B232" s="1" t="s">
        <v>510</v>
      </c>
      <c r="C232" s="3">
        <v>166</v>
      </c>
      <c r="D232" s="3">
        <v>173</v>
      </c>
      <c r="E232" s="3">
        <v>159</v>
      </c>
      <c r="F232" s="3">
        <v>189</v>
      </c>
      <c r="G232" s="3">
        <v>175</v>
      </c>
      <c r="H232" s="3">
        <v>223</v>
      </c>
      <c r="I232" s="3">
        <v>351</v>
      </c>
      <c r="J232" s="3">
        <v>104</v>
      </c>
      <c r="K232" s="3">
        <v>147</v>
      </c>
      <c r="L232" s="3">
        <v>165</v>
      </c>
      <c r="M232" s="3">
        <v>186</v>
      </c>
      <c r="N232" s="3">
        <v>213</v>
      </c>
      <c r="O232" s="3">
        <v>181</v>
      </c>
      <c r="P232" s="3">
        <v>162</v>
      </c>
      <c r="Q232" s="3">
        <v>183</v>
      </c>
      <c r="R232" s="3">
        <v>173</v>
      </c>
      <c r="S232" s="3">
        <v>203</v>
      </c>
      <c r="T232" s="3">
        <v>252</v>
      </c>
      <c r="U232" s="3">
        <v>340</v>
      </c>
      <c r="V232" s="3">
        <v>106</v>
      </c>
      <c r="W232" s="3">
        <v>150</v>
      </c>
      <c r="X232" s="3">
        <v>181</v>
      </c>
      <c r="Y232" s="3">
        <v>179</v>
      </c>
      <c r="Z232" s="3">
        <v>159</v>
      </c>
      <c r="AA232" s="5">
        <f t="shared" si="3"/>
        <v>2269</v>
      </c>
    </row>
    <row r="233" spans="1:27" ht="15" customHeight="1" x14ac:dyDescent="0.2">
      <c r="A233" s="3" t="s">
        <v>511</v>
      </c>
      <c r="B233" s="1" t="s">
        <v>512</v>
      </c>
      <c r="C233" s="3">
        <v>35</v>
      </c>
      <c r="D233" s="3">
        <v>55</v>
      </c>
      <c r="E233" s="3">
        <v>41</v>
      </c>
      <c r="F233" s="3">
        <v>40</v>
      </c>
      <c r="G233" s="3">
        <v>57</v>
      </c>
      <c r="H233" s="3">
        <v>62</v>
      </c>
      <c r="I233" s="3">
        <v>96</v>
      </c>
      <c r="J233" s="3">
        <v>41</v>
      </c>
      <c r="K233" s="3">
        <v>39</v>
      </c>
      <c r="L233" s="3">
        <v>41</v>
      </c>
      <c r="M233" s="3">
        <v>42</v>
      </c>
      <c r="N233" s="3">
        <v>48</v>
      </c>
      <c r="O233" s="3">
        <v>53</v>
      </c>
      <c r="P233" s="3">
        <v>55</v>
      </c>
      <c r="Q233" s="3">
        <v>43</v>
      </c>
      <c r="R233" s="3">
        <v>55</v>
      </c>
      <c r="S233" s="3">
        <v>59</v>
      </c>
      <c r="T233" s="3">
        <v>66</v>
      </c>
      <c r="U233" s="3">
        <v>92</v>
      </c>
      <c r="V233" s="3">
        <v>40</v>
      </c>
      <c r="W233" s="3">
        <v>49</v>
      </c>
      <c r="X233" s="3">
        <v>47</v>
      </c>
      <c r="Y233" s="3">
        <v>49</v>
      </c>
      <c r="Z233" s="3">
        <v>48</v>
      </c>
      <c r="AA233" s="5">
        <f t="shared" si="3"/>
        <v>656</v>
      </c>
    </row>
    <row r="234" spans="1:27" ht="15" customHeight="1" x14ac:dyDescent="0.2">
      <c r="A234" s="3" t="s">
        <v>513</v>
      </c>
      <c r="B234" s="1" t="s">
        <v>514</v>
      </c>
      <c r="C234" s="3">
        <v>7</v>
      </c>
      <c r="D234" s="3">
        <v>8</v>
      </c>
      <c r="E234" s="3">
        <v>7</v>
      </c>
      <c r="F234" s="3">
        <v>8</v>
      </c>
      <c r="G234" s="3">
        <v>8</v>
      </c>
      <c r="H234" s="3">
        <v>11</v>
      </c>
      <c r="I234" s="3">
        <v>13</v>
      </c>
      <c r="J234" s="3">
        <v>5</v>
      </c>
      <c r="K234" s="3">
        <v>7</v>
      </c>
      <c r="L234" s="3">
        <v>8</v>
      </c>
      <c r="M234" s="3">
        <v>8</v>
      </c>
      <c r="N234" s="3">
        <v>9</v>
      </c>
      <c r="O234" s="3">
        <v>7</v>
      </c>
      <c r="P234" s="3">
        <v>8</v>
      </c>
      <c r="Q234" s="3">
        <v>7</v>
      </c>
      <c r="R234" s="3">
        <v>7</v>
      </c>
      <c r="S234" s="3">
        <v>9</v>
      </c>
      <c r="T234" s="3">
        <v>11</v>
      </c>
      <c r="U234" s="3">
        <v>16</v>
      </c>
      <c r="V234" s="3">
        <v>5</v>
      </c>
      <c r="W234" s="3">
        <v>6</v>
      </c>
      <c r="X234" s="3">
        <v>9</v>
      </c>
      <c r="Y234" s="3">
        <v>8</v>
      </c>
      <c r="Z234" s="3">
        <v>8</v>
      </c>
      <c r="AA234" s="5">
        <f t="shared" si="3"/>
        <v>101</v>
      </c>
    </row>
    <row r="235" spans="1:27" ht="15" customHeight="1" x14ac:dyDescent="0.2">
      <c r="A235" s="3" t="s">
        <v>515</v>
      </c>
      <c r="B235" s="1" t="s">
        <v>516</v>
      </c>
      <c r="C235" s="3">
        <v>199</v>
      </c>
      <c r="D235" s="3">
        <v>199</v>
      </c>
      <c r="E235" s="3">
        <v>160</v>
      </c>
      <c r="F235" s="3">
        <v>208</v>
      </c>
      <c r="G235" s="3">
        <v>225</v>
      </c>
      <c r="H235" s="3">
        <v>285</v>
      </c>
      <c r="I235" s="3">
        <v>417</v>
      </c>
      <c r="J235" s="3">
        <v>140</v>
      </c>
      <c r="K235" s="3">
        <v>171</v>
      </c>
      <c r="L235" s="3">
        <v>228</v>
      </c>
      <c r="M235" s="3">
        <v>190</v>
      </c>
      <c r="N235" s="3">
        <v>173</v>
      </c>
      <c r="O235" s="3">
        <v>210</v>
      </c>
      <c r="P235" s="3">
        <v>214</v>
      </c>
      <c r="Q235" s="3">
        <v>198</v>
      </c>
      <c r="R235" s="3">
        <v>223</v>
      </c>
      <c r="S235" s="3">
        <v>261</v>
      </c>
      <c r="T235" s="3">
        <v>307</v>
      </c>
      <c r="U235" s="3">
        <v>410</v>
      </c>
      <c r="V235" s="3">
        <v>193</v>
      </c>
      <c r="W235" s="3">
        <v>199</v>
      </c>
      <c r="X235" s="3">
        <v>243</v>
      </c>
      <c r="Y235" s="3">
        <v>204</v>
      </c>
      <c r="Z235" s="3">
        <v>222</v>
      </c>
      <c r="AA235" s="5">
        <f t="shared" si="3"/>
        <v>2884</v>
      </c>
    </row>
    <row r="236" spans="1:27" ht="15" customHeight="1" x14ac:dyDescent="0.2">
      <c r="A236" s="3" t="s">
        <v>517</v>
      </c>
      <c r="B236" s="1" t="s">
        <v>518</v>
      </c>
      <c r="C236" s="3">
        <v>173</v>
      </c>
      <c r="D236" s="3">
        <v>213</v>
      </c>
      <c r="E236" s="3">
        <v>171</v>
      </c>
      <c r="F236" s="3">
        <v>167</v>
      </c>
      <c r="G236" s="3">
        <v>279</v>
      </c>
      <c r="H236" s="3">
        <v>304</v>
      </c>
      <c r="I236" s="3">
        <v>439</v>
      </c>
      <c r="J236" s="3">
        <v>134</v>
      </c>
      <c r="K236" s="3">
        <v>152</v>
      </c>
      <c r="L236" s="3">
        <v>188</v>
      </c>
      <c r="M236" s="3">
        <v>203</v>
      </c>
      <c r="N236" s="3">
        <v>202</v>
      </c>
      <c r="O236" s="3">
        <v>181</v>
      </c>
      <c r="P236" s="3">
        <v>214</v>
      </c>
      <c r="Q236" s="3">
        <v>205</v>
      </c>
      <c r="R236" s="3">
        <v>181</v>
      </c>
      <c r="S236" s="3">
        <v>237</v>
      </c>
      <c r="T236" s="3">
        <v>339</v>
      </c>
      <c r="U236" s="3">
        <v>394</v>
      </c>
      <c r="V236" s="3">
        <v>151</v>
      </c>
      <c r="W236" s="3">
        <v>184</v>
      </c>
      <c r="X236" s="3">
        <v>227</v>
      </c>
      <c r="Y236" s="3">
        <v>202</v>
      </c>
      <c r="Z236" s="3">
        <v>201</v>
      </c>
      <c r="AA236" s="5">
        <f t="shared" si="3"/>
        <v>2716</v>
      </c>
    </row>
    <row r="237" spans="1:27" ht="15" customHeight="1" x14ac:dyDescent="0.2">
      <c r="A237" s="3" t="s">
        <v>519</v>
      </c>
      <c r="B237" s="1" t="s">
        <v>520</v>
      </c>
      <c r="C237" s="3">
        <v>41</v>
      </c>
      <c r="D237" s="3">
        <v>39</v>
      </c>
      <c r="E237" s="3">
        <v>40</v>
      </c>
      <c r="F237" s="3">
        <v>37</v>
      </c>
      <c r="G237" s="3">
        <v>42</v>
      </c>
      <c r="H237" s="3">
        <v>59</v>
      </c>
      <c r="I237" s="3">
        <v>70</v>
      </c>
      <c r="J237" s="3">
        <v>30</v>
      </c>
      <c r="K237" s="3">
        <v>34</v>
      </c>
      <c r="L237" s="3">
        <v>39</v>
      </c>
      <c r="M237" s="3">
        <v>40</v>
      </c>
      <c r="N237" s="3">
        <v>43</v>
      </c>
      <c r="O237" s="3">
        <v>37</v>
      </c>
      <c r="P237" s="3">
        <v>40</v>
      </c>
      <c r="Q237" s="3">
        <v>38</v>
      </c>
      <c r="R237" s="3">
        <v>38</v>
      </c>
      <c r="S237" s="3">
        <v>47</v>
      </c>
      <c r="T237" s="3">
        <v>60</v>
      </c>
      <c r="U237" s="3">
        <v>73</v>
      </c>
      <c r="V237" s="3">
        <v>30</v>
      </c>
      <c r="W237" s="3">
        <v>35</v>
      </c>
      <c r="X237" s="3">
        <v>39</v>
      </c>
      <c r="Y237" s="3">
        <v>42</v>
      </c>
      <c r="Z237" s="3">
        <v>43</v>
      </c>
      <c r="AA237" s="5">
        <f t="shared" si="3"/>
        <v>522</v>
      </c>
    </row>
    <row r="238" spans="1:27" ht="15" customHeight="1" x14ac:dyDescent="0.2">
      <c r="A238" s="3" t="s">
        <v>521</v>
      </c>
      <c r="B238" s="1" t="s">
        <v>522</v>
      </c>
      <c r="C238" s="3">
        <v>55</v>
      </c>
      <c r="D238" s="3">
        <v>59</v>
      </c>
      <c r="E238" s="3">
        <v>65</v>
      </c>
      <c r="F238" s="3">
        <v>65</v>
      </c>
      <c r="G238" s="3">
        <v>59</v>
      </c>
      <c r="H238" s="3">
        <v>100</v>
      </c>
      <c r="I238" s="3">
        <v>122</v>
      </c>
      <c r="J238" s="3">
        <v>50</v>
      </c>
      <c r="K238" s="3">
        <v>52</v>
      </c>
      <c r="L238" s="3">
        <v>60</v>
      </c>
      <c r="M238" s="3">
        <v>64</v>
      </c>
      <c r="N238" s="3">
        <v>80</v>
      </c>
      <c r="O238" s="3">
        <v>66</v>
      </c>
      <c r="P238" s="3">
        <v>75</v>
      </c>
      <c r="Q238" s="3">
        <v>59</v>
      </c>
      <c r="R238" s="3">
        <v>73</v>
      </c>
      <c r="S238" s="3">
        <v>85</v>
      </c>
      <c r="T238" s="3">
        <v>95</v>
      </c>
      <c r="U238" s="3">
        <v>135</v>
      </c>
      <c r="V238" s="3">
        <v>55</v>
      </c>
      <c r="W238" s="3">
        <v>69</v>
      </c>
      <c r="X238" s="3">
        <v>76</v>
      </c>
      <c r="Y238" s="3">
        <v>70</v>
      </c>
      <c r="Z238" s="3">
        <v>78</v>
      </c>
      <c r="AA238" s="5">
        <f t="shared" si="3"/>
        <v>936</v>
      </c>
    </row>
    <row r="239" spans="1:27" ht="15" customHeight="1" x14ac:dyDescent="0.2">
      <c r="A239" s="3" t="s">
        <v>523</v>
      </c>
      <c r="B239" s="1" t="s">
        <v>524</v>
      </c>
      <c r="C239" s="3">
        <v>25</v>
      </c>
      <c r="D239" s="3">
        <v>33</v>
      </c>
      <c r="E239" s="3">
        <v>24</v>
      </c>
      <c r="F239" s="3">
        <v>29</v>
      </c>
      <c r="G239" s="3">
        <v>33</v>
      </c>
      <c r="H239" s="3">
        <v>42</v>
      </c>
      <c r="I239" s="3">
        <v>51</v>
      </c>
      <c r="J239" s="3">
        <v>19</v>
      </c>
      <c r="K239" s="3">
        <v>20</v>
      </c>
      <c r="L239" s="3">
        <v>27</v>
      </c>
      <c r="M239" s="3">
        <v>30</v>
      </c>
      <c r="N239" s="3">
        <v>29</v>
      </c>
      <c r="O239" s="3">
        <v>32</v>
      </c>
      <c r="P239" s="3">
        <v>35</v>
      </c>
      <c r="Q239" s="3">
        <v>25</v>
      </c>
      <c r="R239" s="3">
        <v>30</v>
      </c>
      <c r="S239" s="3">
        <v>32</v>
      </c>
      <c r="T239" s="3">
        <v>32</v>
      </c>
      <c r="U239" s="3">
        <v>62</v>
      </c>
      <c r="V239" s="3">
        <v>22</v>
      </c>
      <c r="W239" s="3">
        <v>27</v>
      </c>
      <c r="X239" s="3">
        <v>29</v>
      </c>
      <c r="Y239" s="3">
        <v>33</v>
      </c>
      <c r="Z239" s="3">
        <v>35</v>
      </c>
      <c r="AA239" s="5">
        <f t="shared" si="3"/>
        <v>394</v>
      </c>
    </row>
    <row r="240" spans="1:27" ht="15" customHeight="1" x14ac:dyDescent="0.2">
      <c r="A240" s="3" t="s">
        <v>525</v>
      </c>
      <c r="B240" s="1" t="s">
        <v>526</v>
      </c>
      <c r="C240" s="3">
        <v>213</v>
      </c>
      <c r="D240" s="3">
        <v>32</v>
      </c>
      <c r="E240" s="3">
        <v>38</v>
      </c>
      <c r="F240" s="3">
        <v>32</v>
      </c>
      <c r="G240" s="3">
        <v>39</v>
      </c>
      <c r="H240" s="3">
        <v>50</v>
      </c>
      <c r="I240" s="3">
        <v>39</v>
      </c>
      <c r="J240" s="3">
        <v>46</v>
      </c>
      <c r="K240" s="3">
        <v>35</v>
      </c>
      <c r="L240" s="3">
        <v>258</v>
      </c>
      <c r="M240" s="3">
        <v>59</v>
      </c>
      <c r="N240" s="3">
        <v>39</v>
      </c>
      <c r="O240" s="3">
        <v>191</v>
      </c>
      <c r="P240" s="3">
        <v>49</v>
      </c>
      <c r="Q240" s="3">
        <v>217</v>
      </c>
      <c r="R240" s="3">
        <v>34</v>
      </c>
      <c r="S240" s="3">
        <v>166</v>
      </c>
      <c r="T240" s="3">
        <v>35</v>
      </c>
      <c r="U240" s="3">
        <v>198</v>
      </c>
      <c r="V240" s="3">
        <v>34</v>
      </c>
      <c r="W240" s="3">
        <v>57</v>
      </c>
      <c r="X240" s="3">
        <v>39</v>
      </c>
      <c r="Y240" s="3">
        <v>137</v>
      </c>
      <c r="Z240" s="3">
        <v>40</v>
      </c>
      <c r="AA240" s="5">
        <f t="shared" si="3"/>
        <v>1197</v>
      </c>
    </row>
    <row r="241" spans="1:27" ht="15" customHeight="1" x14ac:dyDescent="0.2">
      <c r="A241" s="3" t="s">
        <v>527</v>
      </c>
      <c r="B241" s="1" t="s">
        <v>528</v>
      </c>
      <c r="C241" s="3">
        <v>147</v>
      </c>
      <c r="D241" s="3">
        <v>156</v>
      </c>
      <c r="E241" s="3">
        <v>144</v>
      </c>
      <c r="F241" s="3">
        <v>156</v>
      </c>
      <c r="G241" s="3">
        <v>176</v>
      </c>
      <c r="H241" s="3">
        <v>226</v>
      </c>
      <c r="I241" s="3">
        <v>304</v>
      </c>
      <c r="J241" s="3">
        <v>121</v>
      </c>
      <c r="K241" s="3">
        <v>133</v>
      </c>
      <c r="L241" s="3">
        <v>151</v>
      </c>
      <c r="M241" s="3">
        <v>168</v>
      </c>
      <c r="N241" s="3">
        <v>178</v>
      </c>
      <c r="O241" s="3">
        <v>174</v>
      </c>
      <c r="P241" s="3">
        <v>173</v>
      </c>
      <c r="Q241" s="3">
        <v>167</v>
      </c>
      <c r="R241" s="3">
        <v>160</v>
      </c>
      <c r="S241" s="3">
        <v>192</v>
      </c>
      <c r="T241" s="3">
        <v>246</v>
      </c>
      <c r="U241" s="3">
        <v>323</v>
      </c>
      <c r="V241" s="3">
        <v>135</v>
      </c>
      <c r="W241" s="3">
        <v>132</v>
      </c>
      <c r="X241" s="3">
        <v>162</v>
      </c>
      <c r="Y241" s="3">
        <v>157</v>
      </c>
      <c r="Z241" s="3">
        <v>175</v>
      </c>
      <c r="AA241" s="5">
        <f t="shared" si="3"/>
        <v>2196</v>
      </c>
    </row>
    <row r="242" spans="1:27" ht="15" customHeight="1" x14ac:dyDescent="0.2">
      <c r="A242" s="3" t="s">
        <v>529</v>
      </c>
      <c r="B242" s="1" t="s">
        <v>530</v>
      </c>
      <c r="C242" s="3">
        <v>126</v>
      </c>
      <c r="D242" s="3">
        <v>132</v>
      </c>
      <c r="E242" s="3">
        <v>147</v>
      </c>
      <c r="F242" s="3">
        <v>105</v>
      </c>
      <c r="G242" s="3">
        <v>157</v>
      </c>
      <c r="H242" s="3">
        <v>196</v>
      </c>
      <c r="I242" s="3">
        <v>274</v>
      </c>
      <c r="J242" s="3">
        <v>106</v>
      </c>
      <c r="K242" s="3">
        <v>119</v>
      </c>
      <c r="L242" s="3">
        <v>121</v>
      </c>
      <c r="M242" s="3">
        <v>136</v>
      </c>
      <c r="N242" s="3">
        <v>146</v>
      </c>
      <c r="O242" s="3">
        <v>145</v>
      </c>
      <c r="P242" s="3">
        <v>155</v>
      </c>
      <c r="Q242" s="3">
        <v>124</v>
      </c>
      <c r="R242" s="3">
        <v>128</v>
      </c>
      <c r="S242" s="3">
        <v>122</v>
      </c>
      <c r="T242" s="3">
        <v>205</v>
      </c>
      <c r="U242" s="3">
        <v>247</v>
      </c>
      <c r="V242" s="3">
        <v>111</v>
      </c>
      <c r="W242" s="3">
        <v>118</v>
      </c>
      <c r="X242" s="3">
        <v>126</v>
      </c>
      <c r="Y242" s="3">
        <v>106</v>
      </c>
      <c r="Z242" s="3">
        <v>159</v>
      </c>
      <c r="AA242" s="5">
        <f t="shared" si="3"/>
        <v>1746</v>
      </c>
    </row>
    <row r="243" spans="1:27" ht="15" customHeight="1" x14ac:dyDescent="0.2">
      <c r="A243" s="3" t="s">
        <v>531</v>
      </c>
      <c r="B243" s="1" t="s">
        <v>532</v>
      </c>
      <c r="C243" s="3">
        <v>21</v>
      </c>
      <c r="D243" s="3">
        <v>23</v>
      </c>
      <c r="E243" s="3">
        <v>19</v>
      </c>
      <c r="F243" s="3">
        <v>15</v>
      </c>
      <c r="G243" s="3">
        <v>27</v>
      </c>
      <c r="H243" s="3">
        <v>28</v>
      </c>
      <c r="I243" s="3">
        <v>41</v>
      </c>
      <c r="J243" s="3">
        <v>16</v>
      </c>
      <c r="K243" s="3">
        <v>16</v>
      </c>
      <c r="L243" s="3">
        <v>20</v>
      </c>
      <c r="M243" s="3">
        <v>19</v>
      </c>
      <c r="N243" s="3">
        <v>26</v>
      </c>
      <c r="O243" s="3">
        <v>22</v>
      </c>
      <c r="P243" s="3">
        <v>22</v>
      </c>
      <c r="Q243" s="3">
        <v>22</v>
      </c>
      <c r="R243" s="3">
        <v>19</v>
      </c>
      <c r="S243" s="3">
        <v>27</v>
      </c>
      <c r="T243" s="3">
        <v>35</v>
      </c>
      <c r="U243" s="3">
        <v>45</v>
      </c>
      <c r="V243" s="3">
        <v>16</v>
      </c>
      <c r="W243" s="3">
        <v>20</v>
      </c>
      <c r="X243" s="3">
        <v>22</v>
      </c>
      <c r="Y243" s="3">
        <v>23</v>
      </c>
      <c r="Z243" s="3">
        <v>27</v>
      </c>
      <c r="AA243" s="5">
        <f t="shared" si="3"/>
        <v>300</v>
      </c>
    </row>
    <row r="244" spans="1:27" ht="15" customHeight="1" x14ac:dyDescent="0.2">
      <c r="A244" s="3" t="s">
        <v>533</v>
      </c>
      <c r="B244" s="1" t="s">
        <v>534</v>
      </c>
      <c r="C244" s="3">
        <v>65</v>
      </c>
      <c r="D244" s="3">
        <v>75</v>
      </c>
      <c r="E244" s="3">
        <v>69</v>
      </c>
      <c r="F244" s="3">
        <v>74</v>
      </c>
      <c r="G244" s="3">
        <v>81</v>
      </c>
      <c r="H244" s="3">
        <v>115</v>
      </c>
      <c r="I244" s="3">
        <v>138</v>
      </c>
      <c r="J244" s="3">
        <v>58</v>
      </c>
      <c r="K244" s="3">
        <v>65</v>
      </c>
      <c r="L244" s="3">
        <v>73</v>
      </c>
      <c r="M244" s="3">
        <v>70</v>
      </c>
      <c r="N244" s="3">
        <v>77</v>
      </c>
      <c r="O244" s="3">
        <v>67</v>
      </c>
      <c r="P244" s="3">
        <v>62</v>
      </c>
      <c r="Q244" s="3">
        <v>69</v>
      </c>
      <c r="R244" s="3">
        <v>85</v>
      </c>
      <c r="S244" s="3">
        <v>79</v>
      </c>
      <c r="T244" s="3">
        <v>102</v>
      </c>
      <c r="U244" s="3">
        <v>131</v>
      </c>
      <c r="V244" s="3">
        <v>58</v>
      </c>
      <c r="W244" s="3">
        <v>77</v>
      </c>
      <c r="X244" s="3">
        <v>85</v>
      </c>
      <c r="Y244" s="3">
        <v>86</v>
      </c>
      <c r="Z244" s="3">
        <v>90</v>
      </c>
      <c r="AA244" s="5">
        <f t="shared" si="3"/>
        <v>991</v>
      </c>
    </row>
    <row r="245" spans="1:27" ht="15" customHeight="1" x14ac:dyDescent="0.2">
      <c r="A245" s="3" t="s">
        <v>535</v>
      </c>
      <c r="B245" s="1" t="s">
        <v>536</v>
      </c>
      <c r="C245" s="3">
        <v>11</v>
      </c>
      <c r="D245" s="3">
        <v>13</v>
      </c>
      <c r="E245" s="3">
        <v>11</v>
      </c>
      <c r="F245" s="3">
        <v>12</v>
      </c>
      <c r="G245" s="3">
        <v>14</v>
      </c>
      <c r="H245" s="3">
        <v>17</v>
      </c>
      <c r="I245" s="3">
        <v>26</v>
      </c>
      <c r="J245" s="3">
        <v>9</v>
      </c>
      <c r="K245" s="3">
        <v>10</v>
      </c>
      <c r="L245" s="3">
        <v>14</v>
      </c>
      <c r="M245" s="3">
        <v>15</v>
      </c>
      <c r="N245" s="3">
        <v>13</v>
      </c>
      <c r="O245" s="3">
        <v>12</v>
      </c>
      <c r="P245" s="3">
        <v>13</v>
      </c>
      <c r="Q245" s="3">
        <v>14</v>
      </c>
      <c r="R245" s="3">
        <v>14</v>
      </c>
      <c r="S245" s="3">
        <v>15</v>
      </c>
      <c r="T245" s="3">
        <v>22</v>
      </c>
      <c r="U245" s="3">
        <v>30</v>
      </c>
      <c r="V245" s="3">
        <v>9</v>
      </c>
      <c r="W245" s="3">
        <v>13</v>
      </c>
      <c r="X245" s="3">
        <v>15</v>
      </c>
      <c r="Y245" s="3">
        <v>15</v>
      </c>
      <c r="Z245" s="3">
        <v>12</v>
      </c>
      <c r="AA245" s="5">
        <f t="shared" si="3"/>
        <v>184</v>
      </c>
    </row>
    <row r="246" spans="1:27" ht="15" customHeight="1" x14ac:dyDescent="0.2">
      <c r="A246" s="3" t="s">
        <v>537</v>
      </c>
      <c r="B246" s="1" t="s">
        <v>526</v>
      </c>
      <c r="C246" s="3">
        <v>665</v>
      </c>
      <c r="D246" s="3">
        <v>936</v>
      </c>
      <c r="E246" s="3">
        <v>685</v>
      </c>
      <c r="F246" s="3">
        <v>893</v>
      </c>
      <c r="G246" s="3">
        <v>919</v>
      </c>
      <c r="H246" s="3">
        <v>1398</v>
      </c>
      <c r="I246" s="3">
        <v>1482</v>
      </c>
      <c r="J246" s="3">
        <v>497</v>
      </c>
      <c r="K246" s="3">
        <v>601</v>
      </c>
      <c r="L246" s="3">
        <v>614</v>
      </c>
      <c r="M246" s="3">
        <v>935</v>
      </c>
      <c r="N246" s="3">
        <v>799</v>
      </c>
      <c r="O246" s="3">
        <v>795</v>
      </c>
      <c r="P246" s="3">
        <v>803</v>
      </c>
      <c r="Q246" s="3">
        <v>801</v>
      </c>
      <c r="R246" s="3">
        <v>882</v>
      </c>
      <c r="S246" s="3">
        <v>1003</v>
      </c>
      <c r="T246" s="3">
        <v>1326</v>
      </c>
      <c r="U246" s="3">
        <v>1619</v>
      </c>
      <c r="V246" s="3">
        <v>599</v>
      </c>
      <c r="W246" s="3">
        <v>760</v>
      </c>
      <c r="X246" s="3">
        <v>862</v>
      </c>
      <c r="Y246" s="3">
        <v>932</v>
      </c>
      <c r="Z246" s="3">
        <v>815</v>
      </c>
      <c r="AA246" s="5">
        <f t="shared" si="3"/>
        <v>11197</v>
      </c>
    </row>
    <row r="247" spans="1:27" ht="15" customHeight="1" x14ac:dyDescent="0.2">
      <c r="A247" s="3" t="s">
        <v>538</v>
      </c>
      <c r="B247" s="1" t="s">
        <v>539</v>
      </c>
      <c r="C247" s="3">
        <v>84</v>
      </c>
      <c r="D247" s="3">
        <v>90</v>
      </c>
      <c r="E247" s="3">
        <v>70</v>
      </c>
      <c r="F247" s="3">
        <v>77</v>
      </c>
      <c r="G247" s="3">
        <v>102</v>
      </c>
      <c r="H247" s="3">
        <v>140</v>
      </c>
      <c r="I247" s="3">
        <v>160</v>
      </c>
      <c r="J247" s="3">
        <v>58</v>
      </c>
      <c r="K247" s="3">
        <v>77</v>
      </c>
      <c r="L247" s="3">
        <v>75</v>
      </c>
      <c r="M247" s="3">
        <v>78</v>
      </c>
      <c r="N247" s="3">
        <v>91</v>
      </c>
      <c r="O247" s="3">
        <v>98</v>
      </c>
      <c r="P247" s="3">
        <v>81</v>
      </c>
      <c r="Q247" s="3">
        <v>85</v>
      </c>
      <c r="R247" s="3">
        <v>85</v>
      </c>
      <c r="S247" s="3">
        <v>97</v>
      </c>
      <c r="T247" s="3">
        <v>141</v>
      </c>
      <c r="U247" s="3">
        <v>161</v>
      </c>
      <c r="V247" s="3">
        <v>64</v>
      </c>
      <c r="W247" s="3">
        <v>77</v>
      </c>
      <c r="X247" s="3">
        <v>82</v>
      </c>
      <c r="Y247" s="3">
        <v>93</v>
      </c>
      <c r="Z247" s="3">
        <v>75</v>
      </c>
      <c r="AA247" s="5">
        <f t="shared" si="3"/>
        <v>1139</v>
      </c>
    </row>
    <row r="248" spans="1:27" ht="15" customHeight="1" x14ac:dyDescent="0.2">
      <c r="A248" s="3" t="s">
        <v>540</v>
      </c>
      <c r="B248" s="1" t="s">
        <v>541</v>
      </c>
      <c r="C248" s="3">
        <v>125</v>
      </c>
      <c r="D248" s="3">
        <v>127</v>
      </c>
      <c r="E248" s="3">
        <v>146</v>
      </c>
      <c r="F248" s="3">
        <v>137</v>
      </c>
      <c r="G248" s="3">
        <v>149</v>
      </c>
      <c r="H248" s="3">
        <v>205</v>
      </c>
      <c r="I248" s="3">
        <v>241</v>
      </c>
      <c r="J248" s="3">
        <v>103</v>
      </c>
      <c r="K248" s="3">
        <v>120</v>
      </c>
      <c r="L248" s="3">
        <v>122</v>
      </c>
      <c r="M248" s="3">
        <v>144</v>
      </c>
      <c r="N248" s="3">
        <v>150</v>
      </c>
      <c r="O248" s="3">
        <v>126</v>
      </c>
      <c r="P248" s="3">
        <v>140</v>
      </c>
      <c r="Q248" s="3">
        <v>136</v>
      </c>
      <c r="R248" s="3">
        <v>132</v>
      </c>
      <c r="S248" s="3">
        <v>156</v>
      </c>
      <c r="T248" s="3">
        <v>207</v>
      </c>
      <c r="U248" s="3">
        <v>278</v>
      </c>
      <c r="V248" s="3">
        <v>109</v>
      </c>
      <c r="W248" s="3">
        <v>121</v>
      </c>
      <c r="X248" s="3">
        <v>135</v>
      </c>
      <c r="Y248" s="3">
        <v>146</v>
      </c>
      <c r="Z248" s="3">
        <v>156</v>
      </c>
      <c r="AA248" s="5">
        <f t="shared" si="3"/>
        <v>1842</v>
      </c>
    </row>
    <row r="249" spans="1:27" ht="15" customHeight="1" x14ac:dyDescent="0.2">
      <c r="A249" s="3" t="s">
        <v>542</v>
      </c>
      <c r="B249" s="1" t="s">
        <v>543</v>
      </c>
      <c r="C249" s="3">
        <v>121</v>
      </c>
      <c r="D249" s="3">
        <v>130</v>
      </c>
      <c r="E249" s="3">
        <v>104</v>
      </c>
      <c r="F249" s="3">
        <v>110</v>
      </c>
      <c r="G249" s="3">
        <v>126</v>
      </c>
      <c r="H249" s="3">
        <v>219</v>
      </c>
      <c r="I249" s="3">
        <v>207</v>
      </c>
      <c r="J249" s="3">
        <v>92</v>
      </c>
      <c r="K249" s="3">
        <v>92</v>
      </c>
      <c r="L249" s="3">
        <v>95</v>
      </c>
      <c r="M249" s="3">
        <v>113</v>
      </c>
      <c r="N249" s="3">
        <v>116</v>
      </c>
      <c r="O249" s="3">
        <v>106</v>
      </c>
      <c r="P249" s="3">
        <v>112</v>
      </c>
      <c r="Q249" s="3">
        <v>109</v>
      </c>
      <c r="R249" s="3">
        <v>143</v>
      </c>
      <c r="S249" s="3">
        <v>145</v>
      </c>
      <c r="T249" s="3">
        <v>148</v>
      </c>
      <c r="U249" s="3">
        <v>268</v>
      </c>
      <c r="V249" s="3">
        <v>95</v>
      </c>
      <c r="W249" s="3">
        <v>120</v>
      </c>
      <c r="X249" s="3">
        <v>137</v>
      </c>
      <c r="Y249" s="3">
        <v>111</v>
      </c>
      <c r="Z249" s="3">
        <v>135</v>
      </c>
      <c r="AA249" s="5">
        <f t="shared" si="3"/>
        <v>1629</v>
      </c>
    </row>
    <row r="250" spans="1:27" ht="15" customHeight="1" x14ac:dyDescent="0.2">
      <c r="A250" s="3" t="s">
        <v>544</v>
      </c>
      <c r="B250" s="1" t="s">
        <v>545</v>
      </c>
      <c r="C250" s="3">
        <v>43</v>
      </c>
      <c r="D250" s="3">
        <v>40</v>
      </c>
      <c r="E250" s="3">
        <v>41</v>
      </c>
      <c r="F250" s="3">
        <v>32</v>
      </c>
      <c r="G250" s="3">
        <v>37</v>
      </c>
      <c r="H250" s="3">
        <v>55</v>
      </c>
      <c r="I250" s="3">
        <v>68</v>
      </c>
      <c r="J250" s="3">
        <v>25</v>
      </c>
      <c r="K250" s="3">
        <v>34</v>
      </c>
      <c r="L250" s="3">
        <v>28</v>
      </c>
      <c r="M250" s="3">
        <v>37</v>
      </c>
      <c r="N250" s="3">
        <v>40</v>
      </c>
      <c r="O250" s="3">
        <v>33</v>
      </c>
      <c r="P250" s="3">
        <v>39</v>
      </c>
      <c r="Q250" s="3">
        <v>33</v>
      </c>
      <c r="R250" s="3">
        <v>30</v>
      </c>
      <c r="S250" s="3">
        <v>52</v>
      </c>
      <c r="T250" s="3">
        <v>49</v>
      </c>
      <c r="U250" s="3">
        <v>66</v>
      </c>
      <c r="V250" s="3">
        <v>24</v>
      </c>
      <c r="W250" s="3">
        <v>38</v>
      </c>
      <c r="X250" s="3">
        <v>42</v>
      </c>
      <c r="Y250" s="3">
        <v>39</v>
      </c>
      <c r="Z250" s="3">
        <v>40</v>
      </c>
      <c r="AA250" s="5">
        <f t="shared" si="3"/>
        <v>485</v>
      </c>
    </row>
    <row r="251" spans="1:27" ht="15" customHeight="1" x14ac:dyDescent="0.2">
      <c r="A251" s="3" t="s">
        <v>546</v>
      </c>
      <c r="B251" s="1" t="s">
        <v>547</v>
      </c>
      <c r="C251" s="3">
        <v>318</v>
      </c>
      <c r="D251" s="3">
        <v>322</v>
      </c>
      <c r="E251" s="3">
        <v>313</v>
      </c>
      <c r="F251" s="3">
        <v>288</v>
      </c>
      <c r="G251" s="3">
        <v>390</v>
      </c>
      <c r="H251" s="3">
        <v>493</v>
      </c>
      <c r="I251" s="3">
        <v>584</v>
      </c>
      <c r="J251" s="3">
        <v>255</v>
      </c>
      <c r="K251" s="3">
        <v>259</v>
      </c>
      <c r="L251" s="3">
        <v>325</v>
      </c>
      <c r="M251" s="3">
        <v>345</v>
      </c>
      <c r="N251" s="3">
        <v>339</v>
      </c>
      <c r="O251" s="3">
        <v>340</v>
      </c>
      <c r="P251" s="3">
        <v>341</v>
      </c>
      <c r="Q251" s="3">
        <v>338</v>
      </c>
      <c r="R251" s="3">
        <v>349</v>
      </c>
      <c r="S251" s="3">
        <v>395</v>
      </c>
      <c r="T251" s="3">
        <v>493</v>
      </c>
      <c r="U251" s="3">
        <v>614</v>
      </c>
      <c r="V251" s="3">
        <v>273</v>
      </c>
      <c r="W251" s="3">
        <v>297</v>
      </c>
      <c r="X251" s="3">
        <v>347</v>
      </c>
      <c r="Y251" s="3">
        <v>374</v>
      </c>
      <c r="Z251" s="3">
        <v>363</v>
      </c>
      <c r="AA251" s="5">
        <f t="shared" si="3"/>
        <v>4524</v>
      </c>
    </row>
    <row r="252" spans="1:27" ht="15" customHeight="1" x14ac:dyDescent="0.2">
      <c r="A252" s="3" t="s">
        <v>548</v>
      </c>
      <c r="B252" s="1" t="s">
        <v>549</v>
      </c>
      <c r="C252" s="3">
        <v>38</v>
      </c>
      <c r="D252" s="3">
        <v>43</v>
      </c>
      <c r="E252" s="3">
        <v>39</v>
      </c>
      <c r="F252" s="3">
        <v>33</v>
      </c>
      <c r="G252" s="3">
        <v>50</v>
      </c>
      <c r="H252" s="3">
        <v>63</v>
      </c>
      <c r="I252" s="3">
        <v>73</v>
      </c>
      <c r="J252" s="3">
        <v>31</v>
      </c>
      <c r="K252" s="3">
        <v>34</v>
      </c>
      <c r="L252" s="3">
        <v>45</v>
      </c>
      <c r="M252" s="3">
        <v>42</v>
      </c>
      <c r="N252" s="3">
        <v>50</v>
      </c>
      <c r="O252" s="3">
        <v>48</v>
      </c>
      <c r="P252" s="3">
        <v>38</v>
      </c>
      <c r="Q252" s="3">
        <v>40</v>
      </c>
      <c r="R252" s="3">
        <v>47</v>
      </c>
      <c r="S252" s="3">
        <v>49</v>
      </c>
      <c r="T252" s="3">
        <v>72</v>
      </c>
      <c r="U252" s="3">
        <v>92</v>
      </c>
      <c r="V252" s="3">
        <v>38</v>
      </c>
      <c r="W252" s="3">
        <v>36</v>
      </c>
      <c r="X252" s="3">
        <v>42</v>
      </c>
      <c r="Y252" s="3">
        <v>44</v>
      </c>
      <c r="Z252" s="3">
        <v>47</v>
      </c>
      <c r="AA252" s="5">
        <f t="shared" si="3"/>
        <v>593</v>
      </c>
    </row>
    <row r="253" spans="1:27" ht="15" customHeight="1" x14ac:dyDescent="0.2">
      <c r="A253" s="3" t="s">
        <v>550</v>
      </c>
      <c r="B253" s="1" t="s">
        <v>551</v>
      </c>
      <c r="C253" s="3">
        <v>488</v>
      </c>
      <c r="D253" s="3">
        <v>451</v>
      </c>
      <c r="E253" s="3">
        <v>446</v>
      </c>
      <c r="F253" s="3">
        <v>521</v>
      </c>
      <c r="G253" s="3">
        <v>553</v>
      </c>
      <c r="H253" s="3">
        <v>702</v>
      </c>
      <c r="I253" s="3">
        <v>878</v>
      </c>
      <c r="J253" s="3">
        <v>364</v>
      </c>
      <c r="K253" s="3">
        <v>437</v>
      </c>
      <c r="L253" s="3">
        <v>461</v>
      </c>
      <c r="M253" s="3">
        <v>509</v>
      </c>
      <c r="N253" s="3">
        <v>510</v>
      </c>
      <c r="O253" s="3">
        <v>514</v>
      </c>
      <c r="P253" s="3">
        <v>535</v>
      </c>
      <c r="Q253" s="3">
        <v>499</v>
      </c>
      <c r="R253" s="3">
        <v>538</v>
      </c>
      <c r="S253" s="3">
        <v>691</v>
      </c>
      <c r="T253" s="3">
        <v>765</v>
      </c>
      <c r="U253" s="3">
        <v>955</v>
      </c>
      <c r="V253" s="3">
        <v>384</v>
      </c>
      <c r="W253" s="3">
        <v>463</v>
      </c>
      <c r="X253" s="3">
        <v>567</v>
      </c>
      <c r="Y253" s="3">
        <v>540</v>
      </c>
      <c r="Z253" s="3">
        <v>595</v>
      </c>
      <c r="AA253" s="5">
        <f t="shared" si="3"/>
        <v>7046</v>
      </c>
    </row>
    <row r="254" spans="1:27" ht="15" customHeight="1" x14ac:dyDescent="0.2">
      <c r="A254" s="3" t="s">
        <v>552</v>
      </c>
      <c r="B254" s="1" t="s">
        <v>553</v>
      </c>
      <c r="C254" s="3">
        <v>36</v>
      </c>
      <c r="D254" s="3">
        <v>38</v>
      </c>
      <c r="E254" s="3">
        <v>42</v>
      </c>
      <c r="F254" s="3">
        <v>38</v>
      </c>
      <c r="G254" s="3">
        <v>40</v>
      </c>
      <c r="H254" s="3">
        <v>61</v>
      </c>
      <c r="I254" s="3">
        <v>57</v>
      </c>
      <c r="J254" s="3">
        <v>27</v>
      </c>
      <c r="K254" s="3">
        <v>31</v>
      </c>
      <c r="L254" s="3">
        <v>43</v>
      </c>
      <c r="M254" s="3">
        <v>50</v>
      </c>
      <c r="N254" s="3">
        <v>45</v>
      </c>
      <c r="O254" s="3">
        <v>41</v>
      </c>
      <c r="P254" s="3">
        <v>36</v>
      </c>
      <c r="Q254" s="3">
        <v>38</v>
      </c>
      <c r="R254" s="3">
        <v>41</v>
      </c>
      <c r="S254" s="3">
        <v>59</v>
      </c>
      <c r="T254" s="3">
        <v>73</v>
      </c>
      <c r="U254" s="3">
        <v>79</v>
      </c>
      <c r="V254" s="3">
        <v>33</v>
      </c>
      <c r="W254" s="3">
        <v>36</v>
      </c>
      <c r="X254" s="3">
        <v>42</v>
      </c>
      <c r="Y254" s="3">
        <v>38</v>
      </c>
      <c r="Z254" s="3">
        <v>45</v>
      </c>
      <c r="AA254" s="5">
        <f t="shared" si="3"/>
        <v>561</v>
      </c>
    </row>
    <row r="255" spans="1:27" ht="15" customHeight="1" x14ac:dyDescent="0.2">
      <c r="A255" s="3" t="s">
        <v>554</v>
      </c>
      <c r="B255" s="1" t="s">
        <v>555</v>
      </c>
      <c r="C255" s="3">
        <v>41</v>
      </c>
      <c r="D255" s="3">
        <v>48</v>
      </c>
      <c r="E255" s="3">
        <v>45</v>
      </c>
      <c r="F255" s="3">
        <v>47</v>
      </c>
      <c r="G255" s="3">
        <v>55</v>
      </c>
      <c r="H255" s="3">
        <v>70</v>
      </c>
      <c r="I255" s="3">
        <v>83</v>
      </c>
      <c r="J255" s="3">
        <v>37</v>
      </c>
      <c r="K255" s="3">
        <v>48</v>
      </c>
      <c r="L255" s="3">
        <v>43</v>
      </c>
      <c r="M255" s="3">
        <v>48</v>
      </c>
      <c r="N255" s="3">
        <v>58</v>
      </c>
      <c r="O255" s="3">
        <v>53</v>
      </c>
      <c r="P255" s="3">
        <v>55</v>
      </c>
      <c r="Q255" s="3">
        <v>45</v>
      </c>
      <c r="R255" s="3">
        <v>47</v>
      </c>
      <c r="S255" s="3">
        <v>52</v>
      </c>
      <c r="T255" s="3">
        <v>73</v>
      </c>
      <c r="U255" s="3">
        <v>90</v>
      </c>
      <c r="V255" s="3">
        <v>44</v>
      </c>
      <c r="W255" s="3">
        <v>39</v>
      </c>
      <c r="X255" s="3">
        <v>50</v>
      </c>
      <c r="Y255" s="3">
        <v>53</v>
      </c>
      <c r="Z255" s="3">
        <v>51</v>
      </c>
      <c r="AA255" s="5">
        <f t="shared" si="3"/>
        <v>652</v>
      </c>
    </row>
    <row r="256" spans="1:27" ht="15" customHeight="1" x14ac:dyDescent="0.2">
      <c r="A256" s="3" t="s">
        <v>558</v>
      </c>
      <c r="B256" s="1" t="s">
        <v>559</v>
      </c>
      <c r="C256" s="3">
        <v>43</v>
      </c>
      <c r="D256" s="3">
        <v>34</v>
      </c>
      <c r="E256" s="3">
        <v>46</v>
      </c>
      <c r="F256" s="3">
        <v>47</v>
      </c>
      <c r="G256" s="3">
        <v>54</v>
      </c>
      <c r="H256" s="3">
        <v>60</v>
      </c>
      <c r="I256" s="3">
        <v>92</v>
      </c>
      <c r="J256" s="3">
        <v>34</v>
      </c>
      <c r="K256" s="3">
        <v>38</v>
      </c>
      <c r="L256" s="3">
        <v>45</v>
      </c>
      <c r="M256" s="3">
        <v>46</v>
      </c>
      <c r="N256" s="3">
        <v>49</v>
      </c>
      <c r="O256" s="3">
        <v>47</v>
      </c>
      <c r="P256" s="3">
        <v>51</v>
      </c>
      <c r="Q256" s="3">
        <v>36</v>
      </c>
      <c r="R256" s="3">
        <v>48</v>
      </c>
      <c r="S256" s="3">
        <v>50</v>
      </c>
      <c r="T256" s="3">
        <v>64</v>
      </c>
      <c r="U256" s="3">
        <v>87</v>
      </c>
      <c r="V256" s="3">
        <v>37</v>
      </c>
      <c r="W256" s="3">
        <v>42</v>
      </c>
      <c r="X256" s="3">
        <v>40</v>
      </c>
      <c r="Y256" s="3">
        <v>47</v>
      </c>
      <c r="Z256" s="3">
        <v>53</v>
      </c>
      <c r="AA256" s="5">
        <f t="shared" si="3"/>
        <v>602</v>
      </c>
    </row>
    <row r="257" spans="1:27" ht="15" customHeight="1" x14ac:dyDescent="0.2">
      <c r="A257" s="3" t="s">
        <v>560</v>
      </c>
      <c r="B257" s="1" t="s">
        <v>561</v>
      </c>
      <c r="C257" s="3">
        <v>41</v>
      </c>
      <c r="D257" s="3">
        <v>45</v>
      </c>
      <c r="E257" s="3">
        <v>37</v>
      </c>
      <c r="F257" s="3">
        <v>33</v>
      </c>
      <c r="G257" s="3">
        <v>51</v>
      </c>
      <c r="H257" s="3">
        <v>61</v>
      </c>
      <c r="I257" s="3">
        <v>85</v>
      </c>
      <c r="J257" s="3">
        <v>30</v>
      </c>
      <c r="K257" s="3">
        <v>30</v>
      </c>
      <c r="L257" s="3">
        <v>40</v>
      </c>
      <c r="M257" s="3">
        <v>45</v>
      </c>
      <c r="N257" s="3">
        <v>47</v>
      </c>
      <c r="O257" s="3">
        <v>41</v>
      </c>
      <c r="P257" s="3">
        <v>46</v>
      </c>
      <c r="Q257" s="3">
        <v>46</v>
      </c>
      <c r="R257" s="3">
        <v>44</v>
      </c>
      <c r="S257" s="3">
        <v>41</v>
      </c>
      <c r="T257" s="3">
        <v>49</v>
      </c>
      <c r="U257" s="3">
        <v>70</v>
      </c>
      <c r="V257" s="3">
        <v>38</v>
      </c>
      <c r="W257" s="3">
        <v>41</v>
      </c>
      <c r="X257" s="3">
        <v>41</v>
      </c>
      <c r="Y257" s="3">
        <v>39</v>
      </c>
      <c r="Z257" s="3">
        <v>45</v>
      </c>
      <c r="AA257" s="5">
        <f t="shared" si="3"/>
        <v>541</v>
      </c>
    </row>
    <row r="258" spans="1:27" ht="15" customHeight="1" x14ac:dyDescent="0.2">
      <c r="A258" s="3" t="s">
        <v>562</v>
      </c>
      <c r="B258" s="1" t="s">
        <v>563</v>
      </c>
      <c r="C258" s="3">
        <v>164</v>
      </c>
      <c r="D258" s="3">
        <v>169</v>
      </c>
      <c r="E258" s="3">
        <v>168</v>
      </c>
      <c r="F258" s="3">
        <v>190</v>
      </c>
      <c r="G258" s="3">
        <v>226</v>
      </c>
      <c r="H258" s="3">
        <v>287</v>
      </c>
      <c r="I258" s="3">
        <v>371</v>
      </c>
      <c r="J258" s="3">
        <v>143</v>
      </c>
      <c r="K258" s="3">
        <v>136</v>
      </c>
      <c r="L258" s="3">
        <v>193</v>
      </c>
      <c r="M258" s="3">
        <v>193</v>
      </c>
      <c r="N258" s="3">
        <v>219</v>
      </c>
      <c r="O258" s="3">
        <v>174</v>
      </c>
      <c r="P258" s="3">
        <v>178</v>
      </c>
      <c r="Q258" s="3">
        <v>212</v>
      </c>
      <c r="R258" s="3">
        <v>191</v>
      </c>
      <c r="S258" s="3">
        <v>198</v>
      </c>
      <c r="T258" s="3">
        <v>286</v>
      </c>
      <c r="U258" s="3">
        <v>389</v>
      </c>
      <c r="V258" s="3">
        <v>167</v>
      </c>
      <c r="W258" s="3">
        <v>156</v>
      </c>
      <c r="X258" s="3">
        <v>156</v>
      </c>
      <c r="Y258" s="3">
        <v>194</v>
      </c>
      <c r="Z258" s="3">
        <v>224</v>
      </c>
      <c r="AA258" s="5">
        <f t="shared" si="3"/>
        <v>2525</v>
      </c>
    </row>
    <row r="259" spans="1:27" ht="15" customHeight="1" x14ac:dyDescent="0.2">
      <c r="A259" s="3" t="s">
        <v>564</v>
      </c>
      <c r="B259" s="1" t="s">
        <v>565</v>
      </c>
      <c r="C259" s="3">
        <v>159</v>
      </c>
      <c r="D259" s="3">
        <v>173</v>
      </c>
      <c r="E259" s="3">
        <v>180</v>
      </c>
      <c r="F259" s="3">
        <v>159</v>
      </c>
      <c r="G259" s="3">
        <v>204</v>
      </c>
      <c r="H259" s="3">
        <v>272</v>
      </c>
      <c r="I259" s="3">
        <v>289</v>
      </c>
      <c r="J259" s="3">
        <v>128</v>
      </c>
      <c r="K259" s="3">
        <v>165</v>
      </c>
      <c r="L259" s="3">
        <v>165</v>
      </c>
      <c r="M259" s="3">
        <v>137</v>
      </c>
      <c r="N259" s="3">
        <v>230</v>
      </c>
      <c r="O259" s="3">
        <v>188</v>
      </c>
      <c r="P259" s="3">
        <v>177</v>
      </c>
      <c r="Q259" s="3">
        <v>157</v>
      </c>
      <c r="R259" s="3">
        <v>192</v>
      </c>
      <c r="S259" s="3">
        <v>209</v>
      </c>
      <c r="T259" s="3">
        <v>257</v>
      </c>
      <c r="U259" s="3">
        <v>293</v>
      </c>
      <c r="V259" s="3">
        <v>128</v>
      </c>
      <c r="W259" s="3">
        <v>153</v>
      </c>
      <c r="X259" s="3">
        <v>148</v>
      </c>
      <c r="Y259" s="3">
        <v>232</v>
      </c>
      <c r="Z259" s="3">
        <v>204</v>
      </c>
      <c r="AA259" s="5">
        <f t="shared" si="3"/>
        <v>2338</v>
      </c>
    </row>
    <row r="260" spans="1:27" ht="15" customHeight="1" x14ac:dyDescent="0.2">
      <c r="A260" s="3" t="s">
        <v>566</v>
      </c>
      <c r="B260" s="1" t="s">
        <v>567</v>
      </c>
      <c r="C260" s="3">
        <v>155</v>
      </c>
      <c r="D260" s="3">
        <v>136</v>
      </c>
      <c r="E260" s="3">
        <v>124</v>
      </c>
      <c r="F260" s="3">
        <v>153</v>
      </c>
      <c r="G260" s="3">
        <v>166</v>
      </c>
      <c r="H260" s="3">
        <v>222</v>
      </c>
      <c r="I260" s="3">
        <v>276</v>
      </c>
      <c r="J260" s="3">
        <v>91</v>
      </c>
      <c r="K260" s="3">
        <v>114</v>
      </c>
      <c r="L260" s="3">
        <v>118</v>
      </c>
      <c r="M260" s="3">
        <v>130</v>
      </c>
      <c r="N260" s="3">
        <v>133</v>
      </c>
      <c r="O260" s="3">
        <v>171</v>
      </c>
      <c r="P260" s="3">
        <v>144</v>
      </c>
      <c r="Q260" s="3">
        <v>142</v>
      </c>
      <c r="R260" s="3">
        <v>151</v>
      </c>
      <c r="S260" s="3">
        <v>119</v>
      </c>
      <c r="T260" s="3">
        <v>216</v>
      </c>
      <c r="U260" s="3">
        <v>236</v>
      </c>
      <c r="V260" s="3">
        <v>118</v>
      </c>
      <c r="W260" s="3">
        <v>122</v>
      </c>
      <c r="X260" s="3">
        <v>134</v>
      </c>
      <c r="Y260" s="3">
        <v>134</v>
      </c>
      <c r="Z260" s="3">
        <v>173</v>
      </c>
      <c r="AA260" s="5">
        <f t="shared" si="3"/>
        <v>1860</v>
      </c>
    </row>
    <row r="261" spans="1:27" ht="15" customHeight="1" x14ac:dyDescent="0.2">
      <c r="A261" s="3" t="s">
        <v>568</v>
      </c>
      <c r="B261" s="1" t="s">
        <v>569</v>
      </c>
      <c r="C261" s="3">
        <v>178</v>
      </c>
      <c r="D261" s="3">
        <v>157</v>
      </c>
      <c r="E261" s="3">
        <v>133</v>
      </c>
      <c r="F261" s="3">
        <v>118</v>
      </c>
      <c r="G261" s="3">
        <v>153</v>
      </c>
      <c r="H261" s="3">
        <v>232</v>
      </c>
      <c r="I261" s="3">
        <v>294</v>
      </c>
      <c r="J261" s="3">
        <v>113</v>
      </c>
      <c r="K261" s="3">
        <v>174</v>
      </c>
      <c r="L261" s="3">
        <v>169</v>
      </c>
      <c r="M261" s="3">
        <v>168</v>
      </c>
      <c r="N261" s="3">
        <v>191</v>
      </c>
      <c r="O261" s="3">
        <v>202</v>
      </c>
      <c r="P261" s="3">
        <v>185</v>
      </c>
      <c r="Q261" s="3">
        <v>149</v>
      </c>
      <c r="R261" s="3">
        <v>159</v>
      </c>
      <c r="S261" s="3">
        <v>217</v>
      </c>
      <c r="T261" s="3">
        <v>265</v>
      </c>
      <c r="U261" s="3">
        <v>350</v>
      </c>
      <c r="V261" s="3">
        <v>120</v>
      </c>
      <c r="W261" s="3">
        <v>165</v>
      </c>
      <c r="X261" s="3">
        <v>147</v>
      </c>
      <c r="Y261" s="3">
        <v>212</v>
      </c>
      <c r="Z261" s="3">
        <v>182</v>
      </c>
      <c r="AA261" s="5">
        <f t="shared" ref="AA261:AA324" si="4">SUM(O261:Z261)</f>
        <v>2353</v>
      </c>
    </row>
    <row r="262" spans="1:27" ht="15" customHeight="1" x14ac:dyDescent="0.2">
      <c r="A262" s="3" t="s">
        <v>570</v>
      </c>
      <c r="B262" s="1" t="s">
        <v>571</v>
      </c>
      <c r="C262" s="3">
        <v>48</v>
      </c>
      <c r="D262" s="3">
        <v>60</v>
      </c>
      <c r="E262" s="3">
        <v>59</v>
      </c>
      <c r="F262" s="3">
        <v>60</v>
      </c>
      <c r="G262" s="3">
        <v>65</v>
      </c>
      <c r="H262" s="3">
        <v>91</v>
      </c>
      <c r="I262" s="3">
        <v>97</v>
      </c>
      <c r="J262" s="3">
        <v>47</v>
      </c>
      <c r="K262" s="3">
        <v>50</v>
      </c>
      <c r="L262" s="3">
        <v>55</v>
      </c>
      <c r="M262" s="3">
        <v>67</v>
      </c>
      <c r="N262" s="3">
        <v>62</v>
      </c>
      <c r="O262" s="3">
        <v>56</v>
      </c>
      <c r="P262" s="3">
        <v>54</v>
      </c>
      <c r="Q262" s="3">
        <v>69</v>
      </c>
      <c r="R262" s="3">
        <v>62</v>
      </c>
      <c r="S262" s="3">
        <v>69</v>
      </c>
      <c r="T262" s="3">
        <v>95</v>
      </c>
      <c r="U262" s="3">
        <v>109</v>
      </c>
      <c r="V262" s="3">
        <v>49</v>
      </c>
      <c r="W262" s="3">
        <v>54</v>
      </c>
      <c r="X262" s="3">
        <v>63</v>
      </c>
      <c r="Y262" s="3">
        <v>61</v>
      </c>
      <c r="Z262" s="3">
        <v>73</v>
      </c>
      <c r="AA262" s="5">
        <f t="shared" si="4"/>
        <v>814</v>
      </c>
    </row>
    <row r="263" spans="1:27" ht="15" customHeight="1" x14ac:dyDescent="0.2">
      <c r="A263" s="3" t="s">
        <v>572</v>
      </c>
      <c r="B263" s="1" t="s">
        <v>573</v>
      </c>
      <c r="C263" s="3">
        <v>37</v>
      </c>
      <c r="D263" s="3">
        <v>41</v>
      </c>
      <c r="E263" s="3">
        <v>38</v>
      </c>
      <c r="F263" s="3">
        <v>33</v>
      </c>
      <c r="G263" s="3">
        <v>34</v>
      </c>
      <c r="H263" s="3">
        <v>47</v>
      </c>
      <c r="I263" s="3">
        <v>69</v>
      </c>
      <c r="J263" s="3">
        <v>24</v>
      </c>
      <c r="K263" s="3">
        <v>28</v>
      </c>
      <c r="L263" s="3">
        <v>30</v>
      </c>
      <c r="M263" s="3">
        <v>34</v>
      </c>
      <c r="N263" s="3">
        <v>36</v>
      </c>
      <c r="O263" s="3">
        <v>32</v>
      </c>
      <c r="P263" s="3">
        <v>31</v>
      </c>
      <c r="Q263" s="3">
        <v>26</v>
      </c>
      <c r="R263" s="3">
        <v>35</v>
      </c>
      <c r="S263" s="3">
        <v>39</v>
      </c>
      <c r="T263" s="3">
        <v>46</v>
      </c>
      <c r="U263" s="3">
        <v>63</v>
      </c>
      <c r="V263" s="3">
        <v>26</v>
      </c>
      <c r="W263" s="3">
        <v>23</v>
      </c>
      <c r="X263" s="3">
        <v>40</v>
      </c>
      <c r="Y263" s="3">
        <v>35</v>
      </c>
      <c r="Z263" s="3">
        <v>34</v>
      </c>
      <c r="AA263" s="5">
        <f t="shared" si="4"/>
        <v>430</v>
      </c>
    </row>
    <row r="264" spans="1:27" ht="15" customHeight="1" x14ac:dyDescent="0.2">
      <c r="A264" s="3" t="s">
        <v>574</v>
      </c>
      <c r="B264" s="1" t="s">
        <v>575</v>
      </c>
      <c r="C264" s="3">
        <v>144</v>
      </c>
      <c r="D264" s="3">
        <v>161</v>
      </c>
      <c r="E264" s="3">
        <v>131</v>
      </c>
      <c r="F264" s="3">
        <v>138</v>
      </c>
      <c r="G264" s="3">
        <v>168</v>
      </c>
      <c r="H264" s="3">
        <v>198</v>
      </c>
      <c r="I264" s="3">
        <v>287</v>
      </c>
      <c r="J264" s="3">
        <v>99</v>
      </c>
      <c r="K264" s="3">
        <v>108</v>
      </c>
      <c r="L264" s="3">
        <v>137</v>
      </c>
      <c r="M264" s="3">
        <v>132</v>
      </c>
      <c r="N264" s="3">
        <v>137</v>
      </c>
      <c r="O264" s="3">
        <v>140</v>
      </c>
      <c r="P264" s="3">
        <v>165</v>
      </c>
      <c r="Q264" s="3">
        <v>134</v>
      </c>
      <c r="R264" s="3">
        <v>152</v>
      </c>
      <c r="S264" s="3">
        <v>204</v>
      </c>
      <c r="T264" s="3">
        <v>246</v>
      </c>
      <c r="U264" s="3">
        <v>276</v>
      </c>
      <c r="V264" s="3">
        <v>117</v>
      </c>
      <c r="W264" s="3">
        <v>125</v>
      </c>
      <c r="X264" s="3">
        <v>124</v>
      </c>
      <c r="Y264" s="3">
        <v>166</v>
      </c>
      <c r="Z264" s="3">
        <v>136</v>
      </c>
      <c r="AA264" s="5">
        <f t="shared" si="4"/>
        <v>1985</v>
      </c>
    </row>
    <row r="265" spans="1:27" ht="15" customHeight="1" x14ac:dyDescent="0.2">
      <c r="A265" s="3" t="s">
        <v>576</v>
      </c>
      <c r="B265" s="1" t="s">
        <v>577</v>
      </c>
      <c r="C265" s="3">
        <v>40</v>
      </c>
      <c r="D265" s="3">
        <v>36</v>
      </c>
      <c r="E265" s="3">
        <v>43</v>
      </c>
      <c r="F265" s="3">
        <v>38</v>
      </c>
      <c r="G265" s="3">
        <v>49</v>
      </c>
      <c r="H265" s="3">
        <v>63</v>
      </c>
      <c r="I265" s="3">
        <v>74</v>
      </c>
      <c r="J265" s="3">
        <v>26</v>
      </c>
      <c r="K265" s="3">
        <v>30</v>
      </c>
      <c r="L265" s="3">
        <v>39</v>
      </c>
      <c r="M265" s="3">
        <v>38</v>
      </c>
      <c r="N265" s="3">
        <v>45</v>
      </c>
      <c r="O265" s="3">
        <v>43</v>
      </c>
      <c r="P265" s="3">
        <v>40</v>
      </c>
      <c r="Q265" s="3">
        <v>41</v>
      </c>
      <c r="R265" s="3">
        <v>39</v>
      </c>
      <c r="S265" s="3">
        <v>46</v>
      </c>
      <c r="T265" s="3">
        <v>71</v>
      </c>
      <c r="U265" s="3">
        <v>83</v>
      </c>
      <c r="V265" s="3">
        <v>40</v>
      </c>
      <c r="W265" s="3">
        <v>44</v>
      </c>
      <c r="X265" s="3">
        <v>37</v>
      </c>
      <c r="Y265" s="3">
        <v>57</v>
      </c>
      <c r="Z265" s="3">
        <v>42</v>
      </c>
      <c r="AA265" s="5">
        <f t="shared" si="4"/>
        <v>583</v>
      </c>
    </row>
    <row r="266" spans="1:27" ht="15" customHeight="1" x14ac:dyDescent="0.2">
      <c r="A266" s="3" t="s">
        <v>578</v>
      </c>
      <c r="B266" s="1" t="s">
        <v>579</v>
      </c>
      <c r="C266" s="3">
        <v>143</v>
      </c>
      <c r="D266" s="3">
        <v>157</v>
      </c>
      <c r="E266" s="3">
        <v>158</v>
      </c>
      <c r="F266" s="3">
        <v>174</v>
      </c>
      <c r="G266" s="3">
        <v>246</v>
      </c>
      <c r="H266" s="3">
        <v>279</v>
      </c>
      <c r="I266" s="3">
        <v>351</v>
      </c>
      <c r="J266" s="3">
        <v>123</v>
      </c>
      <c r="K266" s="3">
        <v>133</v>
      </c>
      <c r="L266" s="3">
        <v>187</v>
      </c>
      <c r="M266" s="3">
        <v>199</v>
      </c>
      <c r="N266" s="3">
        <v>174</v>
      </c>
      <c r="O266" s="3">
        <v>189</v>
      </c>
      <c r="P266" s="3">
        <v>212</v>
      </c>
      <c r="Q266" s="3">
        <v>164</v>
      </c>
      <c r="R266" s="3">
        <v>193</v>
      </c>
      <c r="S266" s="3">
        <v>217</v>
      </c>
      <c r="T266" s="3">
        <v>293</v>
      </c>
      <c r="U266" s="3">
        <v>340</v>
      </c>
      <c r="V266" s="3">
        <v>141</v>
      </c>
      <c r="W266" s="3">
        <v>180</v>
      </c>
      <c r="X266" s="3">
        <v>175</v>
      </c>
      <c r="Y266" s="3">
        <v>225</v>
      </c>
      <c r="Z266" s="3">
        <v>191</v>
      </c>
      <c r="AA266" s="5">
        <f t="shared" si="4"/>
        <v>2520</v>
      </c>
    </row>
    <row r="267" spans="1:27" ht="15" customHeight="1" x14ac:dyDescent="0.2">
      <c r="A267" s="3" t="s">
        <v>580</v>
      </c>
      <c r="B267" s="1" t="s">
        <v>581</v>
      </c>
      <c r="C267" s="3">
        <v>38</v>
      </c>
      <c r="D267" s="3">
        <v>35</v>
      </c>
      <c r="E267" s="3">
        <v>31</v>
      </c>
      <c r="F267" s="3">
        <v>41</v>
      </c>
      <c r="G267" s="3">
        <v>38</v>
      </c>
      <c r="H267" s="3">
        <v>53</v>
      </c>
      <c r="I267" s="3">
        <v>65</v>
      </c>
      <c r="J267" s="3">
        <v>31</v>
      </c>
      <c r="K267" s="3">
        <v>33</v>
      </c>
      <c r="L267" s="3">
        <v>36</v>
      </c>
      <c r="M267" s="3">
        <v>40</v>
      </c>
      <c r="N267" s="3">
        <v>37</v>
      </c>
      <c r="O267" s="3">
        <v>33</v>
      </c>
      <c r="P267" s="3">
        <v>37</v>
      </c>
      <c r="Q267" s="3">
        <v>36</v>
      </c>
      <c r="R267" s="3">
        <v>39</v>
      </c>
      <c r="S267" s="3">
        <v>44</v>
      </c>
      <c r="T267" s="3">
        <v>50</v>
      </c>
      <c r="U267" s="3">
        <v>74</v>
      </c>
      <c r="V267" s="3">
        <v>32</v>
      </c>
      <c r="W267" s="3">
        <v>28</v>
      </c>
      <c r="X267" s="3">
        <v>32</v>
      </c>
      <c r="Y267" s="3">
        <v>37</v>
      </c>
      <c r="Z267" s="3">
        <v>45</v>
      </c>
      <c r="AA267" s="5">
        <f t="shared" si="4"/>
        <v>487</v>
      </c>
    </row>
    <row r="268" spans="1:27" ht="15" customHeight="1" x14ac:dyDescent="0.2">
      <c r="A268" s="3" t="s">
        <v>582</v>
      </c>
      <c r="B268" s="1" t="s">
        <v>583</v>
      </c>
      <c r="C268" s="3">
        <v>37</v>
      </c>
      <c r="D268" s="3">
        <v>40</v>
      </c>
      <c r="E268" s="3">
        <v>36</v>
      </c>
      <c r="F268" s="3">
        <v>34</v>
      </c>
      <c r="G268" s="3">
        <v>54</v>
      </c>
      <c r="H268" s="3">
        <v>61</v>
      </c>
      <c r="I268" s="3">
        <v>72</v>
      </c>
      <c r="J268" s="3">
        <v>26</v>
      </c>
      <c r="K268" s="3">
        <v>40</v>
      </c>
      <c r="L268" s="3">
        <v>47</v>
      </c>
      <c r="M268" s="3">
        <v>54</v>
      </c>
      <c r="N268" s="3">
        <v>43</v>
      </c>
      <c r="O268" s="3">
        <v>47</v>
      </c>
      <c r="P268" s="3">
        <v>46</v>
      </c>
      <c r="Q268" s="3">
        <v>34</v>
      </c>
      <c r="R268" s="3">
        <v>44</v>
      </c>
      <c r="S268" s="3">
        <v>55</v>
      </c>
      <c r="T268" s="3">
        <v>65</v>
      </c>
      <c r="U268" s="3">
        <v>103</v>
      </c>
      <c r="V268" s="3">
        <v>35</v>
      </c>
      <c r="W268" s="3">
        <v>43</v>
      </c>
      <c r="X268" s="3">
        <v>48</v>
      </c>
      <c r="Y268" s="3">
        <v>46</v>
      </c>
      <c r="Z268" s="3">
        <v>53</v>
      </c>
      <c r="AA268" s="5">
        <f t="shared" si="4"/>
        <v>619</v>
      </c>
    </row>
    <row r="269" spans="1:27" ht="15" customHeight="1" x14ac:dyDescent="0.2">
      <c r="A269" s="3" t="s">
        <v>584</v>
      </c>
      <c r="B269" s="1" t="s">
        <v>585</v>
      </c>
      <c r="C269" s="3">
        <v>11</v>
      </c>
      <c r="D269" s="3">
        <v>12</v>
      </c>
      <c r="E269" s="3">
        <v>12</v>
      </c>
      <c r="F269" s="3">
        <v>15</v>
      </c>
      <c r="G269" s="3">
        <v>16</v>
      </c>
      <c r="H269" s="3">
        <v>21</v>
      </c>
      <c r="I269" s="3">
        <v>25</v>
      </c>
      <c r="J269" s="3">
        <v>10</v>
      </c>
      <c r="K269" s="3">
        <v>11</v>
      </c>
      <c r="L269" s="3">
        <v>13</v>
      </c>
      <c r="M269" s="3">
        <v>10</v>
      </c>
      <c r="N269" s="3">
        <v>15</v>
      </c>
      <c r="O269" s="3">
        <v>12</v>
      </c>
      <c r="P269" s="3">
        <v>12</v>
      </c>
      <c r="Q269" s="3">
        <v>11</v>
      </c>
      <c r="R269" s="3">
        <v>15</v>
      </c>
      <c r="S269" s="3">
        <v>12</v>
      </c>
      <c r="T269" s="3">
        <v>20</v>
      </c>
      <c r="U269" s="3">
        <v>24</v>
      </c>
      <c r="V269" s="3">
        <v>9</v>
      </c>
      <c r="W269" s="3">
        <v>14</v>
      </c>
      <c r="X269" s="3">
        <v>12</v>
      </c>
      <c r="Y269" s="3">
        <v>15</v>
      </c>
      <c r="Z269" s="3">
        <v>16</v>
      </c>
      <c r="AA269" s="5">
        <f t="shared" si="4"/>
        <v>172</v>
      </c>
    </row>
    <row r="270" spans="1:27" ht="15" customHeight="1" x14ac:dyDescent="0.2">
      <c r="A270" s="3" t="s">
        <v>586</v>
      </c>
      <c r="B270" s="1" t="s">
        <v>587</v>
      </c>
      <c r="C270" s="3">
        <v>265</v>
      </c>
      <c r="D270" s="3">
        <v>312</v>
      </c>
      <c r="E270" s="3">
        <v>276</v>
      </c>
      <c r="F270" s="3">
        <v>318</v>
      </c>
      <c r="G270" s="3">
        <v>319</v>
      </c>
      <c r="H270" s="3">
        <v>420</v>
      </c>
      <c r="I270" s="3">
        <v>608</v>
      </c>
      <c r="J270" s="3">
        <v>248</v>
      </c>
      <c r="K270" s="3">
        <v>247</v>
      </c>
      <c r="L270" s="3">
        <v>283</v>
      </c>
      <c r="M270" s="3">
        <v>307</v>
      </c>
      <c r="N270" s="3">
        <v>317</v>
      </c>
      <c r="O270" s="3">
        <v>325</v>
      </c>
      <c r="P270" s="3">
        <v>282</v>
      </c>
      <c r="Q270" s="3">
        <v>309</v>
      </c>
      <c r="R270" s="3">
        <v>276</v>
      </c>
      <c r="S270" s="3">
        <v>307</v>
      </c>
      <c r="T270" s="3">
        <v>410</v>
      </c>
      <c r="U270" s="3">
        <v>618</v>
      </c>
      <c r="V270" s="3">
        <v>233</v>
      </c>
      <c r="W270" s="3">
        <v>203</v>
      </c>
      <c r="X270" s="3">
        <v>373</v>
      </c>
      <c r="Y270" s="3">
        <v>345</v>
      </c>
      <c r="Z270" s="3">
        <v>276</v>
      </c>
      <c r="AA270" s="5">
        <f t="shared" si="4"/>
        <v>3957</v>
      </c>
    </row>
    <row r="271" spans="1:27" ht="15" customHeight="1" x14ac:dyDescent="0.2">
      <c r="A271" s="3" t="s">
        <v>588</v>
      </c>
      <c r="B271" s="1" t="s">
        <v>589</v>
      </c>
      <c r="C271" s="3">
        <v>38</v>
      </c>
      <c r="D271" s="3">
        <v>30</v>
      </c>
      <c r="E271" s="3">
        <v>33</v>
      </c>
      <c r="F271" s="3">
        <v>36</v>
      </c>
      <c r="G271" s="3">
        <v>46</v>
      </c>
      <c r="H271" s="3">
        <v>48</v>
      </c>
      <c r="I271" s="3">
        <v>73</v>
      </c>
      <c r="J271" s="3">
        <v>28</v>
      </c>
      <c r="K271" s="3">
        <v>32</v>
      </c>
      <c r="L271" s="3">
        <v>30</v>
      </c>
      <c r="M271" s="3">
        <v>37</v>
      </c>
      <c r="N271" s="3">
        <v>51</v>
      </c>
      <c r="O271" s="3">
        <v>32</v>
      </c>
      <c r="P271" s="3">
        <v>40</v>
      </c>
      <c r="Q271" s="3">
        <v>37</v>
      </c>
      <c r="R271" s="3">
        <v>40</v>
      </c>
      <c r="S271" s="3">
        <v>36</v>
      </c>
      <c r="T271" s="3">
        <v>63</v>
      </c>
      <c r="U271" s="3">
        <v>69</v>
      </c>
      <c r="V271" s="3">
        <v>27</v>
      </c>
      <c r="W271" s="3">
        <v>32</v>
      </c>
      <c r="X271" s="3">
        <v>34</v>
      </c>
      <c r="Y271" s="3">
        <v>37</v>
      </c>
      <c r="Z271" s="3">
        <v>36</v>
      </c>
      <c r="AA271" s="5">
        <f t="shared" si="4"/>
        <v>483</v>
      </c>
    </row>
    <row r="272" spans="1:27" ht="15" customHeight="1" x14ac:dyDescent="0.2">
      <c r="A272" s="3" t="s">
        <v>590</v>
      </c>
      <c r="B272" s="1" t="s">
        <v>591</v>
      </c>
      <c r="C272" s="3">
        <v>40</v>
      </c>
      <c r="D272" s="3">
        <v>48</v>
      </c>
      <c r="E272" s="3">
        <v>48</v>
      </c>
      <c r="F272" s="3">
        <v>44</v>
      </c>
      <c r="G272" s="3">
        <v>48</v>
      </c>
      <c r="H272" s="3">
        <v>67</v>
      </c>
      <c r="I272" s="3">
        <v>78</v>
      </c>
      <c r="J272" s="3">
        <v>34</v>
      </c>
      <c r="K272" s="3">
        <v>36</v>
      </c>
      <c r="L272" s="3">
        <v>49</v>
      </c>
      <c r="M272" s="3">
        <v>47</v>
      </c>
      <c r="N272" s="3">
        <v>48</v>
      </c>
      <c r="O272" s="3">
        <v>35</v>
      </c>
      <c r="P272" s="3">
        <v>48</v>
      </c>
      <c r="Q272" s="3">
        <v>44</v>
      </c>
      <c r="R272" s="3">
        <v>52</v>
      </c>
      <c r="S272" s="3">
        <v>52</v>
      </c>
      <c r="T272" s="3">
        <v>66</v>
      </c>
      <c r="U272" s="3">
        <v>108</v>
      </c>
      <c r="V272" s="3">
        <v>40</v>
      </c>
      <c r="W272" s="3">
        <v>46</v>
      </c>
      <c r="X272" s="3">
        <v>42</v>
      </c>
      <c r="Y272" s="3">
        <v>55</v>
      </c>
      <c r="Z272" s="3">
        <v>39</v>
      </c>
      <c r="AA272" s="5">
        <f t="shared" si="4"/>
        <v>627</v>
      </c>
    </row>
    <row r="273" spans="1:27" ht="15" customHeight="1" x14ac:dyDescent="0.2">
      <c r="A273" s="3" t="s">
        <v>592</v>
      </c>
      <c r="B273" s="1" t="s">
        <v>593</v>
      </c>
      <c r="C273" s="3">
        <v>65</v>
      </c>
      <c r="D273" s="3">
        <v>57</v>
      </c>
      <c r="E273" s="3">
        <v>58</v>
      </c>
      <c r="F273" s="3">
        <v>64</v>
      </c>
      <c r="G273" s="3">
        <v>70</v>
      </c>
      <c r="H273" s="3">
        <v>93</v>
      </c>
      <c r="I273" s="3">
        <v>123</v>
      </c>
      <c r="J273" s="3">
        <v>52</v>
      </c>
      <c r="K273" s="3">
        <v>59</v>
      </c>
      <c r="L273" s="3">
        <v>57</v>
      </c>
      <c r="M273" s="3">
        <v>61</v>
      </c>
      <c r="N273" s="3">
        <v>64</v>
      </c>
      <c r="O273" s="3">
        <v>67</v>
      </c>
      <c r="P273" s="3">
        <v>69</v>
      </c>
      <c r="Q273" s="3">
        <v>72</v>
      </c>
      <c r="R273" s="3">
        <v>64</v>
      </c>
      <c r="S273" s="3">
        <v>67</v>
      </c>
      <c r="T273" s="3">
        <v>113</v>
      </c>
      <c r="U273" s="3">
        <v>162</v>
      </c>
      <c r="V273" s="3">
        <v>58</v>
      </c>
      <c r="W273" s="3">
        <v>63</v>
      </c>
      <c r="X273" s="3">
        <v>57</v>
      </c>
      <c r="Y273" s="3">
        <v>73</v>
      </c>
      <c r="Z273" s="3">
        <v>83</v>
      </c>
      <c r="AA273" s="5">
        <f t="shared" si="4"/>
        <v>948</v>
      </c>
    </row>
    <row r="274" spans="1:27" ht="15" customHeight="1" x14ac:dyDescent="0.2">
      <c r="A274" s="3" t="s">
        <v>594</v>
      </c>
      <c r="B274" s="1" t="s">
        <v>595</v>
      </c>
      <c r="C274" s="3">
        <v>129</v>
      </c>
      <c r="D274" s="3">
        <v>106</v>
      </c>
      <c r="E274" s="3">
        <v>86</v>
      </c>
      <c r="F274" s="3">
        <v>116</v>
      </c>
      <c r="G274" s="3">
        <v>136</v>
      </c>
      <c r="H274" s="3">
        <v>159</v>
      </c>
      <c r="I274" s="3">
        <v>212</v>
      </c>
      <c r="J274" s="3">
        <v>83</v>
      </c>
      <c r="K274" s="3">
        <v>102</v>
      </c>
      <c r="L274" s="3">
        <v>121</v>
      </c>
      <c r="M274" s="3">
        <v>147</v>
      </c>
      <c r="N274" s="3">
        <v>136</v>
      </c>
      <c r="O274" s="3">
        <v>135</v>
      </c>
      <c r="P274" s="3">
        <v>126</v>
      </c>
      <c r="Q274" s="3">
        <v>104</v>
      </c>
      <c r="R274" s="3">
        <v>128</v>
      </c>
      <c r="S274" s="3">
        <v>134</v>
      </c>
      <c r="T274" s="3">
        <v>189</v>
      </c>
      <c r="U274" s="3">
        <v>251</v>
      </c>
      <c r="V274" s="3">
        <v>75</v>
      </c>
      <c r="W274" s="3">
        <v>89</v>
      </c>
      <c r="X274" s="3">
        <v>111</v>
      </c>
      <c r="Y274" s="3">
        <v>118</v>
      </c>
      <c r="Z274" s="3">
        <v>134</v>
      </c>
      <c r="AA274" s="5">
        <f t="shared" si="4"/>
        <v>1594</v>
      </c>
    </row>
    <row r="275" spans="1:27" ht="15" customHeight="1" x14ac:dyDescent="0.2">
      <c r="A275" s="3" t="s">
        <v>596</v>
      </c>
      <c r="B275" s="1" t="s">
        <v>597</v>
      </c>
      <c r="C275" s="3">
        <v>326</v>
      </c>
      <c r="D275" s="3">
        <v>366</v>
      </c>
      <c r="E275" s="3">
        <v>270</v>
      </c>
      <c r="F275" s="3">
        <v>333</v>
      </c>
      <c r="G275" s="3">
        <v>395</v>
      </c>
      <c r="H275" s="3">
        <v>524</v>
      </c>
      <c r="I275" s="3">
        <v>693</v>
      </c>
      <c r="J275" s="3">
        <v>264</v>
      </c>
      <c r="K275" s="3">
        <v>266</v>
      </c>
      <c r="L275" s="3">
        <v>329</v>
      </c>
      <c r="M275" s="3">
        <v>358</v>
      </c>
      <c r="N275" s="3">
        <v>377</v>
      </c>
      <c r="O275" s="3">
        <v>370</v>
      </c>
      <c r="P275" s="3">
        <v>350</v>
      </c>
      <c r="Q275" s="3">
        <v>331</v>
      </c>
      <c r="R275" s="3">
        <v>381</v>
      </c>
      <c r="S275" s="3">
        <v>428</v>
      </c>
      <c r="T275" s="3">
        <v>502</v>
      </c>
      <c r="U275" s="3">
        <v>738</v>
      </c>
      <c r="V275" s="3">
        <v>297</v>
      </c>
      <c r="W275" s="3">
        <v>302</v>
      </c>
      <c r="X275" s="3">
        <v>349</v>
      </c>
      <c r="Y275" s="3">
        <v>319</v>
      </c>
      <c r="Z275" s="3">
        <v>415</v>
      </c>
      <c r="AA275" s="5">
        <f t="shared" si="4"/>
        <v>4782</v>
      </c>
    </row>
    <row r="276" spans="1:27" ht="15" customHeight="1" x14ac:dyDescent="0.2">
      <c r="A276" s="3" t="s">
        <v>598</v>
      </c>
      <c r="B276" s="1" t="s">
        <v>599</v>
      </c>
      <c r="C276" s="3">
        <v>126</v>
      </c>
      <c r="D276" s="3">
        <v>159</v>
      </c>
      <c r="E276" s="3">
        <v>128</v>
      </c>
      <c r="F276" s="3">
        <v>139</v>
      </c>
      <c r="G276" s="3">
        <v>145</v>
      </c>
      <c r="H276" s="3">
        <v>203</v>
      </c>
      <c r="I276" s="3">
        <v>277</v>
      </c>
      <c r="J276" s="3">
        <v>99</v>
      </c>
      <c r="K276" s="3">
        <v>139</v>
      </c>
      <c r="L276" s="3">
        <v>149</v>
      </c>
      <c r="M276" s="3">
        <v>159</v>
      </c>
      <c r="N276" s="3">
        <v>155</v>
      </c>
      <c r="O276" s="3">
        <v>131</v>
      </c>
      <c r="P276" s="3">
        <v>146</v>
      </c>
      <c r="Q276" s="3">
        <v>163</v>
      </c>
      <c r="R276" s="3">
        <v>164</v>
      </c>
      <c r="S276" s="3">
        <v>195</v>
      </c>
      <c r="T276" s="3">
        <v>228</v>
      </c>
      <c r="U276" s="3">
        <v>268</v>
      </c>
      <c r="V276" s="3">
        <v>102</v>
      </c>
      <c r="W276" s="3">
        <v>136</v>
      </c>
      <c r="X276" s="3">
        <v>149</v>
      </c>
      <c r="Y276" s="3">
        <v>169</v>
      </c>
      <c r="Z276" s="3">
        <v>158</v>
      </c>
      <c r="AA276" s="5">
        <f t="shared" si="4"/>
        <v>2009</v>
      </c>
    </row>
    <row r="277" spans="1:27" ht="15" customHeight="1" x14ac:dyDescent="0.2">
      <c r="A277" s="3" t="s">
        <v>600</v>
      </c>
      <c r="B277" s="1" t="s">
        <v>601</v>
      </c>
      <c r="C277" s="3">
        <v>64</v>
      </c>
      <c r="D277" s="3">
        <v>72</v>
      </c>
      <c r="E277" s="3">
        <v>67</v>
      </c>
      <c r="F277" s="3">
        <v>69</v>
      </c>
      <c r="G277" s="3">
        <v>78</v>
      </c>
      <c r="H277" s="3">
        <v>97</v>
      </c>
      <c r="I277" s="3">
        <v>127</v>
      </c>
      <c r="J277" s="3">
        <v>52</v>
      </c>
      <c r="K277" s="3">
        <v>59</v>
      </c>
      <c r="L277" s="3">
        <v>68</v>
      </c>
      <c r="M277" s="3">
        <v>73</v>
      </c>
      <c r="N277" s="3">
        <v>74</v>
      </c>
      <c r="O277" s="3">
        <v>66</v>
      </c>
      <c r="P277" s="3">
        <v>72</v>
      </c>
      <c r="Q277" s="3">
        <v>65</v>
      </c>
      <c r="R277" s="3">
        <v>68</v>
      </c>
      <c r="S277" s="3">
        <v>81</v>
      </c>
      <c r="T277" s="3">
        <v>103</v>
      </c>
      <c r="U277" s="3">
        <v>144</v>
      </c>
      <c r="V277" s="3">
        <v>56</v>
      </c>
      <c r="W277" s="3">
        <v>71</v>
      </c>
      <c r="X277" s="3">
        <v>61</v>
      </c>
      <c r="Y277" s="3">
        <v>74</v>
      </c>
      <c r="Z277" s="3">
        <v>77</v>
      </c>
      <c r="AA277" s="5">
        <f t="shared" si="4"/>
        <v>938</v>
      </c>
    </row>
    <row r="278" spans="1:27" ht="15" customHeight="1" x14ac:dyDescent="0.2">
      <c r="A278" s="3" t="s">
        <v>602</v>
      </c>
      <c r="B278" s="1" t="s">
        <v>603</v>
      </c>
      <c r="C278" s="3">
        <v>220</v>
      </c>
      <c r="D278" s="3">
        <v>165</v>
      </c>
      <c r="E278" s="3">
        <v>174</v>
      </c>
      <c r="F278" s="3">
        <v>175</v>
      </c>
      <c r="G278" s="3">
        <v>198</v>
      </c>
      <c r="H278" s="3">
        <v>243</v>
      </c>
      <c r="I278" s="3">
        <v>365</v>
      </c>
      <c r="J278" s="3">
        <v>142</v>
      </c>
      <c r="K278" s="3">
        <v>158</v>
      </c>
      <c r="L278" s="3">
        <v>181</v>
      </c>
      <c r="M278" s="3">
        <v>155</v>
      </c>
      <c r="N278" s="3">
        <v>164</v>
      </c>
      <c r="O278" s="3">
        <v>196</v>
      </c>
      <c r="P278" s="3">
        <v>169</v>
      </c>
      <c r="Q278" s="3">
        <v>177</v>
      </c>
      <c r="R278" s="3">
        <v>182</v>
      </c>
      <c r="S278" s="3">
        <v>207</v>
      </c>
      <c r="T278" s="3">
        <v>338</v>
      </c>
      <c r="U278" s="3">
        <v>389</v>
      </c>
      <c r="V278" s="3">
        <v>153</v>
      </c>
      <c r="W278" s="3">
        <v>172</v>
      </c>
      <c r="X278" s="3">
        <v>182</v>
      </c>
      <c r="Y278" s="3">
        <v>200</v>
      </c>
      <c r="Z278" s="3">
        <v>228</v>
      </c>
      <c r="AA278" s="5">
        <f t="shared" si="4"/>
        <v>2593</v>
      </c>
    </row>
    <row r="279" spans="1:27" ht="15" customHeight="1" x14ac:dyDescent="0.2">
      <c r="A279" s="3" t="s">
        <v>604</v>
      </c>
      <c r="B279" s="1" t="s">
        <v>605</v>
      </c>
      <c r="C279" s="3">
        <v>70</v>
      </c>
      <c r="D279" s="3">
        <v>84</v>
      </c>
      <c r="E279" s="3">
        <v>80</v>
      </c>
      <c r="F279" s="3">
        <v>78</v>
      </c>
      <c r="G279" s="3">
        <v>97</v>
      </c>
      <c r="H279" s="3">
        <v>136</v>
      </c>
      <c r="I279" s="3">
        <v>186</v>
      </c>
      <c r="J279" s="3">
        <v>60</v>
      </c>
      <c r="K279" s="3">
        <v>74</v>
      </c>
      <c r="L279" s="3">
        <v>79</v>
      </c>
      <c r="M279" s="3">
        <v>89</v>
      </c>
      <c r="N279" s="3">
        <v>74</v>
      </c>
      <c r="O279" s="3">
        <v>90</v>
      </c>
      <c r="P279" s="3">
        <v>87</v>
      </c>
      <c r="Q279" s="3">
        <v>83</v>
      </c>
      <c r="R279" s="3">
        <v>98</v>
      </c>
      <c r="S279" s="3">
        <v>101</v>
      </c>
      <c r="T279" s="3">
        <v>112</v>
      </c>
      <c r="U279" s="3">
        <v>172</v>
      </c>
      <c r="V279" s="3">
        <v>58</v>
      </c>
      <c r="W279" s="3">
        <v>65</v>
      </c>
      <c r="X279" s="3">
        <v>81</v>
      </c>
      <c r="Y279" s="3">
        <v>91</v>
      </c>
      <c r="Z279" s="3">
        <v>100</v>
      </c>
      <c r="AA279" s="5">
        <f t="shared" si="4"/>
        <v>1138</v>
      </c>
    </row>
    <row r="280" spans="1:27" ht="15" customHeight="1" x14ac:dyDescent="0.2">
      <c r="A280" s="3" t="s">
        <v>606</v>
      </c>
      <c r="B280" s="1" t="s">
        <v>607</v>
      </c>
      <c r="C280" s="3">
        <v>10</v>
      </c>
      <c r="D280" s="3">
        <v>10</v>
      </c>
      <c r="E280" s="3">
        <v>10</v>
      </c>
      <c r="F280" s="3">
        <v>8</v>
      </c>
      <c r="G280" s="3">
        <v>7</v>
      </c>
      <c r="H280" s="3">
        <v>7</v>
      </c>
      <c r="I280" s="3">
        <v>50</v>
      </c>
      <c r="J280" s="3">
        <v>79</v>
      </c>
      <c r="K280" s="3">
        <v>44</v>
      </c>
      <c r="L280" s="3">
        <v>11</v>
      </c>
      <c r="M280" s="3">
        <v>8</v>
      </c>
      <c r="N280" s="3">
        <v>65</v>
      </c>
      <c r="O280" s="3">
        <v>65</v>
      </c>
      <c r="P280" s="3">
        <v>11</v>
      </c>
      <c r="Q280" s="3">
        <v>11</v>
      </c>
      <c r="R280" s="3">
        <v>8</v>
      </c>
      <c r="S280" s="3">
        <v>36</v>
      </c>
      <c r="T280" s="3">
        <v>12</v>
      </c>
      <c r="U280" s="3">
        <v>5</v>
      </c>
      <c r="V280" s="3">
        <v>9</v>
      </c>
      <c r="W280" s="3">
        <v>35</v>
      </c>
      <c r="X280" s="3">
        <v>68</v>
      </c>
      <c r="Y280" s="3">
        <v>12</v>
      </c>
      <c r="Z280" s="3">
        <v>10</v>
      </c>
      <c r="AA280" s="5">
        <f t="shared" si="4"/>
        <v>282</v>
      </c>
    </row>
    <row r="281" spans="1:27" ht="15" customHeight="1" x14ac:dyDescent="0.2">
      <c r="A281" s="3" t="s">
        <v>608</v>
      </c>
      <c r="B281" s="1" t="s">
        <v>609</v>
      </c>
      <c r="C281" s="3">
        <v>200</v>
      </c>
      <c r="D281" s="3">
        <v>185</v>
      </c>
      <c r="E281" s="3">
        <v>225</v>
      </c>
      <c r="F281" s="3">
        <v>194</v>
      </c>
      <c r="G281" s="3">
        <v>225</v>
      </c>
      <c r="H281" s="3">
        <v>331</v>
      </c>
      <c r="I281" s="3">
        <v>407</v>
      </c>
      <c r="J281" s="3">
        <v>149</v>
      </c>
      <c r="K281" s="3">
        <v>195</v>
      </c>
      <c r="L281" s="3">
        <v>198</v>
      </c>
      <c r="M281" s="3">
        <v>194</v>
      </c>
      <c r="N281" s="3">
        <v>224</v>
      </c>
      <c r="O281" s="3">
        <v>207</v>
      </c>
      <c r="P281" s="3">
        <v>228</v>
      </c>
      <c r="Q281" s="3">
        <v>191</v>
      </c>
      <c r="R281" s="3">
        <v>197</v>
      </c>
      <c r="S281" s="3">
        <v>193</v>
      </c>
      <c r="T281" s="3">
        <v>315</v>
      </c>
      <c r="U281" s="3">
        <v>459</v>
      </c>
      <c r="V281" s="3">
        <v>160</v>
      </c>
      <c r="W281" s="3">
        <v>203</v>
      </c>
      <c r="X281" s="3">
        <v>265</v>
      </c>
      <c r="Y281" s="3">
        <v>211</v>
      </c>
      <c r="Z281" s="3">
        <v>277</v>
      </c>
      <c r="AA281" s="5">
        <f t="shared" si="4"/>
        <v>2906</v>
      </c>
    </row>
    <row r="282" spans="1:27" ht="15" customHeight="1" x14ac:dyDescent="0.2">
      <c r="A282" s="3" t="s">
        <v>610</v>
      </c>
      <c r="B282" s="1" t="s">
        <v>611</v>
      </c>
      <c r="C282" s="3">
        <v>121</v>
      </c>
      <c r="D282" s="3">
        <v>130</v>
      </c>
      <c r="E282" s="3">
        <v>135</v>
      </c>
      <c r="F282" s="3">
        <v>115</v>
      </c>
      <c r="G282" s="3">
        <v>146</v>
      </c>
      <c r="H282" s="3">
        <v>199</v>
      </c>
      <c r="I282" s="3">
        <v>209</v>
      </c>
      <c r="J282" s="3">
        <v>103</v>
      </c>
      <c r="K282" s="3">
        <v>110</v>
      </c>
      <c r="L282" s="3">
        <v>119</v>
      </c>
      <c r="M282" s="3">
        <v>133</v>
      </c>
      <c r="N282" s="3">
        <v>149</v>
      </c>
      <c r="O282" s="3">
        <v>138</v>
      </c>
      <c r="P282" s="3">
        <v>131</v>
      </c>
      <c r="Q282" s="3">
        <v>145</v>
      </c>
      <c r="R282" s="3">
        <v>139</v>
      </c>
      <c r="S282" s="3">
        <v>160</v>
      </c>
      <c r="T282" s="3">
        <v>214</v>
      </c>
      <c r="U282" s="3">
        <v>312</v>
      </c>
      <c r="V282" s="3">
        <v>121</v>
      </c>
      <c r="W282" s="3">
        <v>114</v>
      </c>
      <c r="X282" s="3">
        <v>126</v>
      </c>
      <c r="Y282" s="3">
        <v>129</v>
      </c>
      <c r="Z282" s="3">
        <v>148</v>
      </c>
      <c r="AA282" s="5">
        <f t="shared" si="4"/>
        <v>1877</v>
      </c>
    </row>
    <row r="283" spans="1:27" ht="15" customHeight="1" x14ac:dyDescent="0.2">
      <c r="A283" s="3" t="s">
        <v>612</v>
      </c>
      <c r="B283" s="1" t="s">
        <v>613</v>
      </c>
      <c r="C283" s="3">
        <v>72</v>
      </c>
      <c r="D283" s="3">
        <v>65</v>
      </c>
      <c r="E283" s="3">
        <v>74</v>
      </c>
      <c r="F283" s="3">
        <v>66</v>
      </c>
      <c r="G283" s="3">
        <v>69</v>
      </c>
      <c r="H283" s="3">
        <v>88</v>
      </c>
      <c r="I283" s="3">
        <v>139</v>
      </c>
      <c r="J283" s="3">
        <v>50</v>
      </c>
      <c r="K283" s="3">
        <v>59</v>
      </c>
      <c r="L283" s="3">
        <v>65</v>
      </c>
      <c r="M283" s="3">
        <v>66</v>
      </c>
      <c r="N283" s="3">
        <v>62</v>
      </c>
      <c r="O283" s="3">
        <v>72</v>
      </c>
      <c r="P283" s="3">
        <v>68</v>
      </c>
      <c r="Q283" s="3">
        <v>55</v>
      </c>
      <c r="R283" s="3">
        <v>75</v>
      </c>
      <c r="S283" s="3">
        <v>87</v>
      </c>
      <c r="T283" s="3">
        <v>106</v>
      </c>
      <c r="U283" s="3">
        <v>106</v>
      </c>
      <c r="V283" s="3">
        <v>46</v>
      </c>
      <c r="W283" s="3">
        <v>57</v>
      </c>
      <c r="X283" s="3">
        <v>68</v>
      </c>
      <c r="Y283" s="3">
        <v>76</v>
      </c>
      <c r="Z283" s="3">
        <v>76</v>
      </c>
      <c r="AA283" s="5">
        <f t="shared" si="4"/>
        <v>892</v>
      </c>
    </row>
    <row r="284" spans="1:27" ht="15" customHeight="1" x14ac:dyDescent="0.2">
      <c r="A284" s="3" t="s">
        <v>614</v>
      </c>
      <c r="B284" s="1" t="s">
        <v>615</v>
      </c>
      <c r="C284" s="3">
        <v>89</v>
      </c>
      <c r="D284" s="3">
        <v>114</v>
      </c>
      <c r="E284" s="3">
        <v>90</v>
      </c>
      <c r="F284" s="3">
        <v>94</v>
      </c>
      <c r="G284" s="3">
        <v>95</v>
      </c>
      <c r="H284" s="3">
        <v>149</v>
      </c>
      <c r="I284" s="3">
        <v>187</v>
      </c>
      <c r="J284" s="3">
        <v>79</v>
      </c>
      <c r="K284" s="3">
        <v>89</v>
      </c>
      <c r="L284" s="3">
        <v>93</v>
      </c>
      <c r="M284" s="3">
        <v>116</v>
      </c>
      <c r="N284" s="3">
        <v>92</v>
      </c>
      <c r="O284" s="3">
        <v>91</v>
      </c>
      <c r="P284" s="3">
        <v>106</v>
      </c>
      <c r="Q284" s="3">
        <v>103</v>
      </c>
      <c r="R284" s="3">
        <v>103</v>
      </c>
      <c r="S284" s="3">
        <v>105</v>
      </c>
      <c r="T284" s="3">
        <v>158</v>
      </c>
      <c r="U284" s="3">
        <v>223</v>
      </c>
      <c r="V284" s="3">
        <v>88</v>
      </c>
      <c r="W284" s="3">
        <v>92</v>
      </c>
      <c r="X284" s="3">
        <v>104</v>
      </c>
      <c r="Y284" s="3">
        <v>103</v>
      </c>
      <c r="Z284" s="3">
        <v>143</v>
      </c>
      <c r="AA284" s="5">
        <f t="shared" si="4"/>
        <v>1419</v>
      </c>
    </row>
    <row r="285" spans="1:27" ht="15" customHeight="1" x14ac:dyDescent="0.2">
      <c r="A285" s="3" t="s">
        <v>616</v>
      </c>
      <c r="B285" s="1" t="s">
        <v>617</v>
      </c>
      <c r="C285" s="3">
        <v>267</v>
      </c>
      <c r="D285" s="3">
        <v>245</v>
      </c>
      <c r="E285" s="3">
        <v>189</v>
      </c>
      <c r="F285" s="3">
        <v>252</v>
      </c>
      <c r="G285" s="3">
        <v>252</v>
      </c>
      <c r="H285" s="3">
        <v>384</v>
      </c>
      <c r="I285" s="3">
        <v>506</v>
      </c>
      <c r="J285" s="3">
        <v>187</v>
      </c>
      <c r="K285" s="3">
        <v>208</v>
      </c>
      <c r="L285" s="3">
        <v>257</v>
      </c>
      <c r="M285" s="3">
        <v>225</v>
      </c>
      <c r="N285" s="3">
        <v>280</v>
      </c>
      <c r="O285" s="3">
        <v>282</v>
      </c>
      <c r="P285" s="3">
        <v>260</v>
      </c>
      <c r="Q285" s="3">
        <v>225</v>
      </c>
      <c r="R285" s="3">
        <v>287</v>
      </c>
      <c r="S285" s="3">
        <v>295</v>
      </c>
      <c r="T285" s="3">
        <v>420</v>
      </c>
      <c r="U285" s="3">
        <v>509</v>
      </c>
      <c r="V285" s="3">
        <v>202</v>
      </c>
      <c r="W285" s="3">
        <v>234</v>
      </c>
      <c r="X285" s="3">
        <v>237</v>
      </c>
      <c r="Y285" s="3">
        <v>324</v>
      </c>
      <c r="Z285" s="3">
        <v>283</v>
      </c>
      <c r="AA285" s="5">
        <f t="shared" si="4"/>
        <v>3558</v>
      </c>
    </row>
    <row r="286" spans="1:27" ht="15" customHeight="1" x14ac:dyDescent="0.2">
      <c r="A286" s="3" t="s">
        <v>618</v>
      </c>
      <c r="B286" s="1" t="s">
        <v>619</v>
      </c>
      <c r="C286" s="3">
        <v>145</v>
      </c>
      <c r="D286" s="3">
        <v>138</v>
      </c>
      <c r="E286" s="3">
        <v>134</v>
      </c>
      <c r="F286" s="3">
        <v>135</v>
      </c>
      <c r="G286" s="3">
        <v>164</v>
      </c>
      <c r="H286" s="3">
        <v>182</v>
      </c>
      <c r="I286" s="3">
        <v>255</v>
      </c>
      <c r="J286" s="3">
        <v>78</v>
      </c>
      <c r="K286" s="3">
        <v>96</v>
      </c>
      <c r="L286" s="3">
        <v>123</v>
      </c>
      <c r="M286" s="3">
        <v>130</v>
      </c>
      <c r="N286" s="3">
        <v>129</v>
      </c>
      <c r="O286" s="3">
        <v>152</v>
      </c>
      <c r="P286" s="3">
        <v>141</v>
      </c>
      <c r="Q286" s="3">
        <v>147</v>
      </c>
      <c r="R286" s="3">
        <v>134</v>
      </c>
      <c r="S286" s="3">
        <v>169</v>
      </c>
      <c r="T286" s="3">
        <v>188</v>
      </c>
      <c r="U286" s="3">
        <v>209</v>
      </c>
      <c r="V286" s="3">
        <v>96</v>
      </c>
      <c r="W286" s="3">
        <v>112</v>
      </c>
      <c r="X286" s="3">
        <v>113</v>
      </c>
      <c r="Y286" s="3">
        <v>142</v>
      </c>
      <c r="Z286" s="3">
        <v>176</v>
      </c>
      <c r="AA286" s="5">
        <f t="shared" si="4"/>
        <v>1779</v>
      </c>
    </row>
    <row r="287" spans="1:27" ht="15" customHeight="1" x14ac:dyDescent="0.2">
      <c r="A287" s="3" t="s">
        <v>620</v>
      </c>
      <c r="B287" s="1" t="s">
        <v>621</v>
      </c>
      <c r="C287" s="3">
        <v>41</v>
      </c>
      <c r="D287" s="3">
        <v>41</v>
      </c>
      <c r="E287" s="3">
        <v>36</v>
      </c>
      <c r="F287" s="3">
        <v>40</v>
      </c>
      <c r="G287" s="3">
        <v>53</v>
      </c>
      <c r="H287" s="3">
        <v>60</v>
      </c>
      <c r="I287" s="3">
        <v>84</v>
      </c>
      <c r="J287" s="3">
        <v>32</v>
      </c>
      <c r="K287" s="3">
        <v>37</v>
      </c>
      <c r="L287" s="3">
        <v>37</v>
      </c>
      <c r="M287" s="3">
        <v>37</v>
      </c>
      <c r="N287" s="3">
        <v>42</v>
      </c>
      <c r="O287" s="3">
        <v>41</v>
      </c>
      <c r="P287" s="3">
        <v>46</v>
      </c>
      <c r="Q287" s="3">
        <v>46</v>
      </c>
      <c r="R287" s="3">
        <v>43</v>
      </c>
      <c r="S287" s="3">
        <v>49</v>
      </c>
      <c r="T287" s="3">
        <v>70</v>
      </c>
      <c r="U287" s="3">
        <v>87</v>
      </c>
      <c r="V287" s="3">
        <v>35</v>
      </c>
      <c r="W287" s="3">
        <v>46</v>
      </c>
      <c r="X287" s="3">
        <v>43</v>
      </c>
      <c r="Y287" s="3">
        <v>48</v>
      </c>
      <c r="Z287" s="3">
        <v>48</v>
      </c>
      <c r="AA287" s="5">
        <f t="shared" si="4"/>
        <v>602</v>
      </c>
    </row>
    <row r="288" spans="1:27" ht="15" customHeight="1" x14ac:dyDescent="0.2">
      <c r="A288" s="3" t="s">
        <v>622</v>
      </c>
      <c r="B288" s="1" t="s">
        <v>623</v>
      </c>
      <c r="C288" s="3">
        <v>36</v>
      </c>
      <c r="D288" s="3">
        <v>36</v>
      </c>
      <c r="E288" s="3">
        <v>28</v>
      </c>
      <c r="F288" s="3">
        <v>36</v>
      </c>
      <c r="G288" s="3">
        <v>41</v>
      </c>
      <c r="H288" s="3">
        <v>54</v>
      </c>
      <c r="I288" s="3">
        <v>74</v>
      </c>
      <c r="J288" s="3">
        <v>30</v>
      </c>
      <c r="K288" s="3">
        <v>31</v>
      </c>
      <c r="L288" s="3">
        <v>32</v>
      </c>
      <c r="M288" s="3">
        <v>35</v>
      </c>
      <c r="N288" s="3">
        <v>37</v>
      </c>
      <c r="O288" s="3">
        <v>32</v>
      </c>
      <c r="P288" s="3">
        <v>35</v>
      </c>
      <c r="Q288" s="3">
        <v>26</v>
      </c>
      <c r="R288" s="3">
        <v>38</v>
      </c>
      <c r="S288" s="3">
        <v>46</v>
      </c>
      <c r="T288" s="3">
        <v>53</v>
      </c>
      <c r="U288" s="3">
        <v>68</v>
      </c>
      <c r="V288" s="3">
        <v>24</v>
      </c>
      <c r="W288" s="3">
        <v>27</v>
      </c>
      <c r="X288" s="3">
        <v>34</v>
      </c>
      <c r="Y288" s="3">
        <v>33</v>
      </c>
      <c r="Z288" s="3">
        <v>38</v>
      </c>
      <c r="AA288" s="5">
        <f t="shared" si="4"/>
        <v>454</v>
      </c>
    </row>
    <row r="289" spans="1:27" ht="15" customHeight="1" x14ac:dyDescent="0.2">
      <c r="A289" s="3" t="s">
        <v>624</v>
      </c>
      <c r="B289" s="1" t="s">
        <v>625</v>
      </c>
      <c r="C289" s="3">
        <v>179</v>
      </c>
      <c r="D289" s="3">
        <v>182</v>
      </c>
      <c r="E289" s="3">
        <v>166</v>
      </c>
      <c r="F289" s="3">
        <v>173</v>
      </c>
      <c r="G289" s="3">
        <v>197</v>
      </c>
      <c r="H289" s="3">
        <v>276</v>
      </c>
      <c r="I289" s="3">
        <v>335</v>
      </c>
      <c r="J289" s="3">
        <v>139</v>
      </c>
      <c r="K289" s="3">
        <v>143</v>
      </c>
      <c r="L289" s="3">
        <v>172</v>
      </c>
      <c r="M289" s="3">
        <v>163</v>
      </c>
      <c r="N289" s="3">
        <v>183</v>
      </c>
      <c r="O289" s="3">
        <v>169</v>
      </c>
      <c r="P289" s="3">
        <v>178</v>
      </c>
      <c r="Q289" s="3">
        <v>179</v>
      </c>
      <c r="R289" s="3">
        <v>191</v>
      </c>
      <c r="S289" s="3">
        <v>226</v>
      </c>
      <c r="T289" s="3">
        <v>299</v>
      </c>
      <c r="U289" s="3">
        <v>378</v>
      </c>
      <c r="V289" s="3">
        <v>133</v>
      </c>
      <c r="W289" s="3">
        <v>173</v>
      </c>
      <c r="X289" s="3">
        <v>179</v>
      </c>
      <c r="Y289" s="3">
        <v>178</v>
      </c>
      <c r="Z289" s="3">
        <v>200</v>
      </c>
      <c r="AA289" s="5">
        <f t="shared" si="4"/>
        <v>2483</v>
      </c>
    </row>
    <row r="290" spans="1:27" ht="15" customHeight="1" x14ac:dyDescent="0.2">
      <c r="A290" s="3" t="s">
        <v>626</v>
      </c>
      <c r="B290" s="1" t="s">
        <v>627</v>
      </c>
      <c r="C290" s="3">
        <v>33</v>
      </c>
      <c r="D290" s="3">
        <v>43</v>
      </c>
      <c r="E290" s="3">
        <v>33</v>
      </c>
      <c r="F290" s="3">
        <v>31</v>
      </c>
      <c r="G290" s="3">
        <v>47</v>
      </c>
      <c r="H290" s="3">
        <v>58</v>
      </c>
      <c r="I290" s="3">
        <v>67</v>
      </c>
      <c r="J290" s="3">
        <v>25</v>
      </c>
      <c r="K290" s="3">
        <v>31</v>
      </c>
      <c r="L290" s="3">
        <v>33</v>
      </c>
      <c r="M290" s="3">
        <v>35</v>
      </c>
      <c r="N290" s="3">
        <v>33</v>
      </c>
      <c r="O290" s="3">
        <v>40</v>
      </c>
      <c r="P290" s="3">
        <v>42</v>
      </c>
      <c r="Q290" s="3">
        <v>30</v>
      </c>
      <c r="R290" s="3">
        <v>50</v>
      </c>
      <c r="S290" s="3">
        <v>43</v>
      </c>
      <c r="T290" s="3">
        <v>70</v>
      </c>
      <c r="U290" s="3">
        <v>69</v>
      </c>
      <c r="V290" s="3">
        <v>29</v>
      </c>
      <c r="W290" s="3">
        <v>40</v>
      </c>
      <c r="X290" s="3">
        <v>34</v>
      </c>
      <c r="Y290" s="3">
        <v>41</v>
      </c>
      <c r="Z290" s="3">
        <v>40</v>
      </c>
      <c r="AA290" s="5">
        <f t="shared" si="4"/>
        <v>528</v>
      </c>
    </row>
    <row r="291" spans="1:27" ht="15" customHeight="1" x14ac:dyDescent="0.2">
      <c r="A291" s="3" t="s">
        <v>628</v>
      </c>
      <c r="B291" s="1" t="s">
        <v>629</v>
      </c>
      <c r="C291" s="3">
        <v>605</v>
      </c>
      <c r="D291" s="3">
        <v>692</v>
      </c>
      <c r="E291" s="3">
        <v>573</v>
      </c>
      <c r="F291" s="3">
        <v>670</v>
      </c>
      <c r="G291" s="3">
        <v>601</v>
      </c>
      <c r="H291" s="3">
        <v>909</v>
      </c>
      <c r="I291" s="3">
        <v>1138</v>
      </c>
      <c r="J291" s="3">
        <v>406</v>
      </c>
      <c r="K291" s="3">
        <v>561</v>
      </c>
      <c r="L291" s="3">
        <v>651</v>
      </c>
      <c r="M291" s="3">
        <v>657</v>
      </c>
      <c r="N291" s="3">
        <v>842</v>
      </c>
      <c r="O291" s="3">
        <v>675</v>
      </c>
      <c r="P291" s="3">
        <v>645</v>
      </c>
      <c r="Q291" s="3">
        <v>789</v>
      </c>
      <c r="R291" s="3">
        <v>700</v>
      </c>
      <c r="S291" s="3">
        <v>856</v>
      </c>
      <c r="T291" s="3">
        <v>1086</v>
      </c>
      <c r="U291" s="3">
        <v>1166</v>
      </c>
      <c r="V291" s="3">
        <v>543</v>
      </c>
      <c r="W291" s="3">
        <v>575</v>
      </c>
      <c r="X291" s="3">
        <v>727</v>
      </c>
      <c r="Y291" s="3">
        <v>671</v>
      </c>
      <c r="Z291" s="3">
        <v>723</v>
      </c>
      <c r="AA291" s="5">
        <f t="shared" si="4"/>
        <v>9156</v>
      </c>
    </row>
    <row r="292" spans="1:27" ht="15" customHeight="1" x14ac:dyDescent="0.2">
      <c r="A292" s="3" t="s">
        <v>630</v>
      </c>
      <c r="B292" s="1" t="s">
        <v>631</v>
      </c>
      <c r="C292" s="3">
        <v>153</v>
      </c>
      <c r="D292" s="3">
        <v>172</v>
      </c>
      <c r="E292" s="3">
        <v>139</v>
      </c>
      <c r="F292" s="3">
        <v>164</v>
      </c>
      <c r="G292" s="3">
        <v>195</v>
      </c>
      <c r="H292" s="3">
        <v>251</v>
      </c>
      <c r="I292" s="3">
        <v>343</v>
      </c>
      <c r="J292" s="3">
        <v>116</v>
      </c>
      <c r="K292" s="3">
        <v>127</v>
      </c>
      <c r="L292" s="3">
        <v>148</v>
      </c>
      <c r="M292" s="3">
        <v>153</v>
      </c>
      <c r="N292" s="3">
        <v>171</v>
      </c>
      <c r="O292" s="3">
        <v>180</v>
      </c>
      <c r="P292" s="3">
        <v>165</v>
      </c>
      <c r="Q292" s="3">
        <v>155</v>
      </c>
      <c r="R292" s="3">
        <v>154</v>
      </c>
      <c r="S292" s="3">
        <v>209</v>
      </c>
      <c r="T292" s="3">
        <v>273</v>
      </c>
      <c r="U292" s="3">
        <v>284</v>
      </c>
      <c r="V292" s="3">
        <v>140</v>
      </c>
      <c r="W292" s="3">
        <v>125</v>
      </c>
      <c r="X292" s="3">
        <v>173</v>
      </c>
      <c r="Y292" s="3">
        <v>184</v>
      </c>
      <c r="Z292" s="3">
        <v>174</v>
      </c>
      <c r="AA292" s="5">
        <f t="shared" si="4"/>
        <v>2216</v>
      </c>
    </row>
    <row r="293" spans="1:27" ht="15" customHeight="1" x14ac:dyDescent="0.2">
      <c r="A293" s="3" t="s">
        <v>632</v>
      </c>
      <c r="B293" s="1" t="s">
        <v>633</v>
      </c>
      <c r="C293" s="3">
        <v>106</v>
      </c>
      <c r="D293" s="3">
        <v>126</v>
      </c>
      <c r="E293" s="3">
        <v>123</v>
      </c>
      <c r="F293" s="3">
        <v>135</v>
      </c>
      <c r="G293" s="3">
        <v>151</v>
      </c>
      <c r="H293" s="3">
        <v>196</v>
      </c>
      <c r="I293" s="3">
        <v>186</v>
      </c>
      <c r="J293" s="3">
        <v>90</v>
      </c>
      <c r="K293" s="3">
        <v>101</v>
      </c>
      <c r="L293" s="3">
        <v>115</v>
      </c>
      <c r="M293" s="3">
        <v>127</v>
      </c>
      <c r="N293" s="3">
        <v>115</v>
      </c>
      <c r="O293" s="3">
        <v>134</v>
      </c>
      <c r="P293" s="3">
        <v>120</v>
      </c>
      <c r="Q293" s="3">
        <v>113</v>
      </c>
      <c r="R293" s="3">
        <v>124</v>
      </c>
      <c r="S293" s="3">
        <v>143</v>
      </c>
      <c r="T293" s="3">
        <v>209</v>
      </c>
      <c r="U293" s="3">
        <v>250</v>
      </c>
      <c r="V293" s="3">
        <v>116</v>
      </c>
      <c r="W293" s="3">
        <v>96</v>
      </c>
      <c r="X293" s="3">
        <v>130</v>
      </c>
      <c r="Y293" s="3">
        <v>136</v>
      </c>
      <c r="Z293" s="3">
        <v>149</v>
      </c>
      <c r="AA293" s="5">
        <f t="shared" si="4"/>
        <v>1720</v>
      </c>
    </row>
    <row r="294" spans="1:27" ht="15" customHeight="1" x14ac:dyDescent="0.2">
      <c r="A294" s="3" t="s">
        <v>634</v>
      </c>
      <c r="B294" s="1" t="s">
        <v>635</v>
      </c>
      <c r="C294" s="3">
        <v>66</v>
      </c>
      <c r="D294" s="3">
        <v>89</v>
      </c>
      <c r="E294" s="3">
        <v>66</v>
      </c>
      <c r="F294" s="3">
        <v>82</v>
      </c>
      <c r="G294" s="3">
        <v>94</v>
      </c>
      <c r="H294" s="3">
        <v>117</v>
      </c>
      <c r="I294" s="3">
        <v>137</v>
      </c>
      <c r="J294" s="3">
        <v>60</v>
      </c>
      <c r="K294" s="3">
        <v>72</v>
      </c>
      <c r="L294" s="3">
        <v>75</v>
      </c>
      <c r="M294" s="3">
        <v>66</v>
      </c>
      <c r="N294" s="3">
        <v>86</v>
      </c>
      <c r="O294" s="3">
        <v>82</v>
      </c>
      <c r="P294" s="3">
        <v>81</v>
      </c>
      <c r="Q294" s="3">
        <v>74</v>
      </c>
      <c r="R294" s="3">
        <v>77</v>
      </c>
      <c r="S294" s="3">
        <v>97</v>
      </c>
      <c r="T294" s="3">
        <v>121</v>
      </c>
      <c r="U294" s="3">
        <v>162</v>
      </c>
      <c r="V294" s="3">
        <v>61</v>
      </c>
      <c r="W294" s="3">
        <v>69</v>
      </c>
      <c r="X294" s="3">
        <v>71</v>
      </c>
      <c r="Y294" s="3">
        <v>86</v>
      </c>
      <c r="Z294" s="3">
        <v>76</v>
      </c>
      <c r="AA294" s="5">
        <f t="shared" si="4"/>
        <v>1057</v>
      </c>
    </row>
    <row r="295" spans="1:27" ht="15" customHeight="1" x14ac:dyDescent="0.2">
      <c r="A295" s="3" t="s">
        <v>636</v>
      </c>
      <c r="B295" s="1" t="s">
        <v>637</v>
      </c>
      <c r="C295" s="3">
        <v>392</v>
      </c>
      <c r="D295" s="3">
        <v>345</v>
      </c>
      <c r="E295" s="3">
        <v>312</v>
      </c>
      <c r="F295" s="3">
        <v>303</v>
      </c>
      <c r="G295" s="3">
        <v>332</v>
      </c>
      <c r="H295" s="3">
        <v>561</v>
      </c>
      <c r="I295" s="3">
        <v>708</v>
      </c>
      <c r="J295" s="3">
        <v>282</v>
      </c>
      <c r="K295" s="3">
        <v>373</v>
      </c>
      <c r="L295" s="3">
        <v>320</v>
      </c>
      <c r="M295" s="3">
        <v>436</v>
      </c>
      <c r="N295" s="3">
        <v>307</v>
      </c>
      <c r="O295" s="3">
        <v>364</v>
      </c>
      <c r="P295" s="3">
        <v>297</v>
      </c>
      <c r="Q295" s="3">
        <v>285</v>
      </c>
      <c r="R295" s="3">
        <v>377</v>
      </c>
      <c r="S295" s="3">
        <v>428</v>
      </c>
      <c r="T295" s="3">
        <v>541</v>
      </c>
      <c r="U295" s="3">
        <v>626</v>
      </c>
      <c r="V295" s="3">
        <v>316</v>
      </c>
      <c r="W295" s="3">
        <v>313</v>
      </c>
      <c r="X295" s="3">
        <v>351</v>
      </c>
      <c r="Y295" s="3">
        <v>342</v>
      </c>
      <c r="Z295" s="3">
        <v>394</v>
      </c>
      <c r="AA295" s="5">
        <f t="shared" si="4"/>
        <v>4634</v>
      </c>
    </row>
    <row r="296" spans="1:27" ht="15" customHeight="1" x14ac:dyDescent="0.2">
      <c r="A296" s="3" t="s">
        <v>638</v>
      </c>
      <c r="B296" s="1" t="s">
        <v>639</v>
      </c>
      <c r="C296" s="3">
        <v>133</v>
      </c>
      <c r="D296" s="3">
        <v>152</v>
      </c>
      <c r="E296" s="3">
        <v>122</v>
      </c>
      <c r="F296" s="3">
        <v>137</v>
      </c>
      <c r="G296" s="3">
        <v>163</v>
      </c>
      <c r="H296" s="3">
        <v>211</v>
      </c>
      <c r="I296" s="3">
        <v>288</v>
      </c>
      <c r="J296" s="3">
        <v>97</v>
      </c>
      <c r="K296" s="3">
        <v>130</v>
      </c>
      <c r="L296" s="3">
        <v>133</v>
      </c>
      <c r="M296" s="3">
        <v>137</v>
      </c>
      <c r="N296" s="3">
        <v>151</v>
      </c>
      <c r="O296" s="3">
        <v>140</v>
      </c>
      <c r="P296" s="3">
        <v>150</v>
      </c>
      <c r="Q296" s="3">
        <v>134</v>
      </c>
      <c r="R296" s="3">
        <v>145</v>
      </c>
      <c r="S296" s="3">
        <v>186</v>
      </c>
      <c r="T296" s="3">
        <v>226</v>
      </c>
      <c r="U296" s="3">
        <v>292</v>
      </c>
      <c r="V296" s="3">
        <v>118</v>
      </c>
      <c r="W296" s="3">
        <v>127</v>
      </c>
      <c r="X296" s="3">
        <v>148</v>
      </c>
      <c r="Y296" s="3">
        <v>143</v>
      </c>
      <c r="Z296" s="3">
        <v>169</v>
      </c>
      <c r="AA296" s="5">
        <f t="shared" si="4"/>
        <v>1978</v>
      </c>
    </row>
    <row r="297" spans="1:27" ht="15" customHeight="1" x14ac:dyDescent="0.2">
      <c r="A297" s="3" t="s">
        <v>640</v>
      </c>
      <c r="B297" s="1" t="s">
        <v>641</v>
      </c>
      <c r="C297" s="3">
        <v>165</v>
      </c>
      <c r="D297" s="3">
        <v>166</v>
      </c>
      <c r="E297" s="3">
        <v>152</v>
      </c>
      <c r="F297" s="3">
        <v>161</v>
      </c>
      <c r="G297" s="3">
        <v>198</v>
      </c>
      <c r="H297" s="3">
        <v>248</v>
      </c>
      <c r="I297" s="3">
        <v>288</v>
      </c>
      <c r="J297" s="3">
        <v>105</v>
      </c>
      <c r="K297" s="3">
        <v>153</v>
      </c>
      <c r="L297" s="3">
        <v>139</v>
      </c>
      <c r="M297" s="3">
        <v>181</v>
      </c>
      <c r="N297" s="3">
        <v>162</v>
      </c>
      <c r="O297" s="3">
        <v>188</v>
      </c>
      <c r="P297" s="3">
        <v>169</v>
      </c>
      <c r="Q297" s="3">
        <v>179</v>
      </c>
      <c r="R297" s="3">
        <v>179</v>
      </c>
      <c r="S297" s="3">
        <v>159</v>
      </c>
      <c r="T297" s="3">
        <v>259</v>
      </c>
      <c r="U297" s="3">
        <v>389</v>
      </c>
      <c r="V297" s="3">
        <v>135</v>
      </c>
      <c r="W297" s="3">
        <v>136</v>
      </c>
      <c r="X297" s="3">
        <v>170</v>
      </c>
      <c r="Y297" s="3">
        <v>185</v>
      </c>
      <c r="Z297" s="3">
        <v>155</v>
      </c>
      <c r="AA297" s="5">
        <f t="shared" si="4"/>
        <v>2303</v>
      </c>
    </row>
    <row r="298" spans="1:27" ht="15" customHeight="1" x14ac:dyDescent="0.2">
      <c r="A298" s="3" t="s">
        <v>642</v>
      </c>
      <c r="B298" s="1" t="s">
        <v>643</v>
      </c>
      <c r="C298" s="3">
        <v>17</v>
      </c>
      <c r="D298" s="3">
        <v>18</v>
      </c>
      <c r="E298" s="3">
        <v>15</v>
      </c>
      <c r="F298" s="3">
        <v>13</v>
      </c>
      <c r="G298" s="3">
        <v>23</v>
      </c>
      <c r="H298" s="3">
        <v>27</v>
      </c>
      <c r="I298" s="3">
        <v>31</v>
      </c>
      <c r="J298" s="3">
        <v>13</v>
      </c>
      <c r="K298" s="3">
        <v>14</v>
      </c>
      <c r="L298" s="3">
        <v>17</v>
      </c>
      <c r="M298" s="3">
        <v>21</v>
      </c>
      <c r="N298" s="3">
        <v>18</v>
      </c>
      <c r="O298" s="3">
        <v>20</v>
      </c>
      <c r="P298" s="3">
        <v>19</v>
      </c>
      <c r="Q298" s="3">
        <v>17</v>
      </c>
      <c r="R298" s="3">
        <v>18</v>
      </c>
      <c r="S298" s="3">
        <v>21</v>
      </c>
      <c r="T298" s="3">
        <v>28</v>
      </c>
      <c r="U298" s="3">
        <v>33</v>
      </c>
      <c r="V298" s="3">
        <v>11</v>
      </c>
      <c r="W298" s="3">
        <v>14</v>
      </c>
      <c r="X298" s="3">
        <v>18</v>
      </c>
      <c r="Y298" s="3">
        <v>19</v>
      </c>
      <c r="Z298" s="3">
        <v>21</v>
      </c>
      <c r="AA298" s="5">
        <f t="shared" si="4"/>
        <v>239</v>
      </c>
    </row>
    <row r="299" spans="1:27" ht="15" customHeight="1" x14ac:dyDescent="0.2">
      <c r="A299" s="3" t="s">
        <v>644</v>
      </c>
      <c r="B299" s="1" t="s">
        <v>645</v>
      </c>
      <c r="C299" s="3">
        <v>248</v>
      </c>
      <c r="D299" s="3">
        <v>224</v>
      </c>
      <c r="E299" s="3">
        <v>242</v>
      </c>
      <c r="F299" s="3">
        <v>233</v>
      </c>
      <c r="G299" s="3">
        <v>229</v>
      </c>
      <c r="H299" s="3">
        <v>319</v>
      </c>
      <c r="I299" s="3">
        <v>542</v>
      </c>
      <c r="J299" s="3">
        <v>219</v>
      </c>
      <c r="K299" s="3">
        <v>256</v>
      </c>
      <c r="L299" s="3">
        <v>193</v>
      </c>
      <c r="M299" s="3">
        <v>267</v>
      </c>
      <c r="N299" s="3">
        <v>283</v>
      </c>
      <c r="O299" s="3">
        <v>330</v>
      </c>
      <c r="P299" s="3">
        <v>243</v>
      </c>
      <c r="Q299" s="3">
        <v>223</v>
      </c>
      <c r="R299" s="3">
        <v>264</v>
      </c>
      <c r="S299" s="3">
        <v>329</v>
      </c>
      <c r="T299" s="3">
        <v>395</v>
      </c>
      <c r="U299" s="3">
        <v>517</v>
      </c>
      <c r="V299" s="3">
        <v>200</v>
      </c>
      <c r="W299" s="3">
        <v>257</v>
      </c>
      <c r="X299" s="3">
        <v>235</v>
      </c>
      <c r="Y299" s="3">
        <v>235</v>
      </c>
      <c r="Z299" s="3">
        <v>291</v>
      </c>
      <c r="AA299" s="5">
        <f t="shared" si="4"/>
        <v>3519</v>
      </c>
    </row>
    <row r="300" spans="1:27" ht="15" customHeight="1" x14ac:dyDescent="0.2">
      <c r="A300" s="3" t="s">
        <v>646</v>
      </c>
      <c r="B300" s="1" t="s">
        <v>647</v>
      </c>
      <c r="C300" s="3">
        <v>55</v>
      </c>
      <c r="D300" s="3">
        <v>50</v>
      </c>
      <c r="E300" s="3">
        <v>46</v>
      </c>
      <c r="F300" s="3">
        <v>40</v>
      </c>
      <c r="G300" s="3">
        <v>49</v>
      </c>
      <c r="H300" s="3">
        <v>77</v>
      </c>
      <c r="I300" s="3">
        <v>97</v>
      </c>
      <c r="J300" s="3">
        <v>35</v>
      </c>
      <c r="K300" s="3">
        <v>37</v>
      </c>
      <c r="L300" s="3">
        <v>53</v>
      </c>
      <c r="M300" s="3">
        <v>52</v>
      </c>
      <c r="N300" s="3">
        <v>51</v>
      </c>
      <c r="O300" s="3">
        <v>50</v>
      </c>
      <c r="P300" s="3">
        <v>45</v>
      </c>
      <c r="Q300" s="3">
        <v>48</v>
      </c>
      <c r="R300" s="3">
        <v>46</v>
      </c>
      <c r="S300" s="3">
        <v>65</v>
      </c>
      <c r="T300" s="3">
        <v>80</v>
      </c>
      <c r="U300" s="3">
        <v>99</v>
      </c>
      <c r="V300" s="3">
        <v>37</v>
      </c>
      <c r="W300" s="3">
        <v>42</v>
      </c>
      <c r="X300" s="3">
        <v>44</v>
      </c>
      <c r="Y300" s="3">
        <v>39</v>
      </c>
      <c r="Z300" s="3">
        <v>56</v>
      </c>
      <c r="AA300" s="5">
        <f t="shared" si="4"/>
        <v>651</v>
      </c>
    </row>
    <row r="301" spans="1:27" ht="15" customHeight="1" x14ac:dyDescent="0.2">
      <c r="A301" s="3" t="s">
        <v>648</v>
      </c>
      <c r="B301" s="1" t="s">
        <v>649</v>
      </c>
      <c r="C301" s="3">
        <v>13</v>
      </c>
      <c r="D301" s="3">
        <v>14</v>
      </c>
      <c r="E301" s="3">
        <v>14</v>
      </c>
      <c r="F301" s="3">
        <v>14</v>
      </c>
      <c r="G301" s="3">
        <v>16</v>
      </c>
      <c r="H301" s="3">
        <v>20</v>
      </c>
      <c r="I301" s="3">
        <v>29</v>
      </c>
      <c r="J301" s="3">
        <v>12</v>
      </c>
      <c r="K301" s="3">
        <v>12</v>
      </c>
      <c r="L301" s="3">
        <v>17</v>
      </c>
      <c r="M301" s="3">
        <v>15</v>
      </c>
      <c r="N301" s="3">
        <v>16</v>
      </c>
      <c r="O301" s="3">
        <v>16</v>
      </c>
      <c r="P301" s="3">
        <v>17</v>
      </c>
      <c r="Q301" s="3">
        <v>15</v>
      </c>
      <c r="R301" s="3">
        <v>16</v>
      </c>
      <c r="S301" s="3">
        <v>16</v>
      </c>
      <c r="T301" s="3">
        <v>24</v>
      </c>
      <c r="U301" s="3">
        <v>33</v>
      </c>
      <c r="V301" s="3">
        <v>15</v>
      </c>
      <c r="W301" s="3">
        <v>15</v>
      </c>
      <c r="X301" s="3">
        <v>15</v>
      </c>
      <c r="Y301" s="3">
        <v>19</v>
      </c>
      <c r="Z301" s="3">
        <v>16</v>
      </c>
      <c r="AA301" s="5">
        <f t="shared" si="4"/>
        <v>217</v>
      </c>
    </row>
    <row r="302" spans="1:27" ht="15" customHeight="1" x14ac:dyDescent="0.2">
      <c r="A302" s="3" t="s">
        <v>650</v>
      </c>
      <c r="B302" s="1" t="s">
        <v>651</v>
      </c>
      <c r="C302" s="3">
        <v>46</v>
      </c>
      <c r="D302" s="3">
        <v>50</v>
      </c>
      <c r="E302" s="3">
        <v>53</v>
      </c>
      <c r="F302" s="3">
        <v>42</v>
      </c>
      <c r="G302" s="3">
        <v>67</v>
      </c>
      <c r="H302" s="3">
        <v>81</v>
      </c>
      <c r="I302" s="3">
        <v>107</v>
      </c>
      <c r="J302" s="3">
        <v>45</v>
      </c>
      <c r="K302" s="3">
        <v>54</v>
      </c>
      <c r="L302" s="3">
        <v>59</v>
      </c>
      <c r="M302" s="3">
        <v>60</v>
      </c>
      <c r="N302" s="3">
        <v>64</v>
      </c>
      <c r="O302" s="3">
        <v>67</v>
      </c>
      <c r="P302" s="3">
        <v>53</v>
      </c>
      <c r="Q302" s="3">
        <v>52</v>
      </c>
      <c r="R302" s="3">
        <v>65</v>
      </c>
      <c r="S302" s="3">
        <v>61</v>
      </c>
      <c r="T302" s="3">
        <v>94</v>
      </c>
      <c r="U302" s="3">
        <v>103</v>
      </c>
      <c r="V302" s="3">
        <v>41</v>
      </c>
      <c r="W302" s="3">
        <v>47</v>
      </c>
      <c r="X302" s="3">
        <v>57</v>
      </c>
      <c r="Y302" s="3">
        <v>71</v>
      </c>
      <c r="Z302" s="3">
        <v>57</v>
      </c>
      <c r="AA302" s="5">
        <f t="shared" si="4"/>
        <v>768</v>
      </c>
    </row>
    <row r="303" spans="1:27" ht="15" customHeight="1" x14ac:dyDescent="0.2">
      <c r="A303" s="3" t="s">
        <v>652</v>
      </c>
      <c r="B303" s="1" t="s">
        <v>653</v>
      </c>
      <c r="C303" s="3">
        <v>13</v>
      </c>
      <c r="D303" s="3">
        <v>15</v>
      </c>
      <c r="E303" s="3">
        <v>15</v>
      </c>
      <c r="F303" s="3">
        <v>15</v>
      </c>
      <c r="G303" s="3">
        <v>15</v>
      </c>
      <c r="H303" s="3">
        <v>24</v>
      </c>
      <c r="I303" s="3">
        <v>26</v>
      </c>
      <c r="J303" s="3">
        <v>10</v>
      </c>
      <c r="K303" s="3">
        <v>11</v>
      </c>
      <c r="L303" s="3">
        <v>16</v>
      </c>
      <c r="M303" s="3">
        <v>14</v>
      </c>
      <c r="N303" s="3">
        <v>14</v>
      </c>
      <c r="O303" s="3">
        <v>15</v>
      </c>
      <c r="P303" s="3">
        <v>15</v>
      </c>
      <c r="Q303" s="3">
        <v>15</v>
      </c>
      <c r="R303" s="3">
        <v>14</v>
      </c>
      <c r="S303" s="3">
        <v>19</v>
      </c>
      <c r="T303" s="3">
        <v>24</v>
      </c>
      <c r="U303" s="3">
        <v>34</v>
      </c>
      <c r="V303" s="3">
        <v>14</v>
      </c>
      <c r="W303" s="3">
        <v>11</v>
      </c>
      <c r="X303" s="3">
        <v>14</v>
      </c>
      <c r="Y303" s="3">
        <v>14</v>
      </c>
      <c r="Z303" s="3">
        <v>16</v>
      </c>
      <c r="AA303" s="5">
        <f t="shared" si="4"/>
        <v>205</v>
      </c>
    </row>
    <row r="304" spans="1:27" ht="15" customHeight="1" x14ac:dyDescent="0.2">
      <c r="A304" s="3" t="s">
        <v>654</v>
      </c>
      <c r="B304" s="1" t="s">
        <v>655</v>
      </c>
      <c r="C304" s="3">
        <v>8</v>
      </c>
      <c r="D304" s="3">
        <v>10</v>
      </c>
      <c r="E304" s="3">
        <v>13</v>
      </c>
      <c r="F304" s="3">
        <v>50</v>
      </c>
      <c r="G304" s="3">
        <v>10</v>
      </c>
      <c r="H304" s="3">
        <v>11</v>
      </c>
      <c r="I304" s="3">
        <v>11</v>
      </c>
      <c r="J304" s="3">
        <v>9</v>
      </c>
      <c r="K304" s="3">
        <v>5</v>
      </c>
      <c r="L304" s="3">
        <v>65</v>
      </c>
      <c r="M304" s="3">
        <v>78</v>
      </c>
      <c r="N304" s="3">
        <v>9</v>
      </c>
      <c r="O304" s="3">
        <v>12</v>
      </c>
      <c r="P304" s="3">
        <v>54</v>
      </c>
      <c r="Q304" s="3">
        <v>9</v>
      </c>
      <c r="R304" s="3">
        <v>11</v>
      </c>
      <c r="S304" s="3">
        <v>47</v>
      </c>
      <c r="T304" s="3">
        <v>8</v>
      </c>
      <c r="U304" s="3">
        <v>8</v>
      </c>
      <c r="V304" s="3">
        <v>10</v>
      </c>
      <c r="W304" s="3">
        <v>12</v>
      </c>
      <c r="X304" s="3">
        <v>6</v>
      </c>
      <c r="Y304" s="3">
        <v>50</v>
      </c>
      <c r="Z304" s="3">
        <v>9</v>
      </c>
      <c r="AA304" s="5">
        <f t="shared" si="4"/>
        <v>236</v>
      </c>
    </row>
    <row r="305" spans="1:27" ht="15" customHeight="1" x14ac:dyDescent="0.2">
      <c r="A305" s="3" t="s">
        <v>656</v>
      </c>
      <c r="B305" s="1" t="s">
        <v>657</v>
      </c>
      <c r="C305" s="3">
        <v>247</v>
      </c>
      <c r="D305" s="3">
        <v>241</v>
      </c>
      <c r="E305" s="3">
        <v>253</v>
      </c>
      <c r="F305" s="3">
        <v>245</v>
      </c>
      <c r="G305" s="3">
        <v>241</v>
      </c>
      <c r="H305" s="3">
        <v>259</v>
      </c>
      <c r="I305" s="3">
        <v>274</v>
      </c>
      <c r="J305" s="3">
        <v>277</v>
      </c>
      <c r="K305" s="3">
        <v>279</v>
      </c>
      <c r="L305" s="3">
        <v>292</v>
      </c>
      <c r="M305" s="3">
        <v>251</v>
      </c>
      <c r="N305" s="3">
        <v>288</v>
      </c>
      <c r="O305" s="3">
        <v>287</v>
      </c>
      <c r="P305" s="3">
        <v>282</v>
      </c>
      <c r="Q305" s="3">
        <v>244</v>
      </c>
      <c r="R305" s="3">
        <v>289</v>
      </c>
      <c r="S305" s="3">
        <v>248</v>
      </c>
      <c r="T305" s="3">
        <v>275</v>
      </c>
      <c r="U305" s="3">
        <v>260</v>
      </c>
      <c r="V305" s="3">
        <v>262</v>
      </c>
      <c r="W305" s="3">
        <v>276</v>
      </c>
      <c r="X305" s="3">
        <v>287</v>
      </c>
      <c r="Y305" s="3">
        <v>231</v>
      </c>
      <c r="Z305" s="3">
        <v>281</v>
      </c>
      <c r="AA305" s="5">
        <f t="shared" si="4"/>
        <v>3222</v>
      </c>
    </row>
    <row r="306" spans="1:27" ht="15" customHeight="1" x14ac:dyDescent="0.2">
      <c r="A306" s="3" t="s">
        <v>660</v>
      </c>
      <c r="B306" s="1" t="s">
        <v>661</v>
      </c>
      <c r="C306" s="3">
        <v>35</v>
      </c>
      <c r="D306" s="3">
        <v>35</v>
      </c>
      <c r="E306" s="3">
        <v>28</v>
      </c>
      <c r="F306" s="3">
        <v>28</v>
      </c>
      <c r="G306" s="3">
        <v>33</v>
      </c>
      <c r="H306" s="3">
        <v>32</v>
      </c>
      <c r="I306" s="3">
        <v>29</v>
      </c>
      <c r="J306" s="3">
        <v>30</v>
      </c>
      <c r="K306" s="3">
        <v>29</v>
      </c>
      <c r="L306" s="3">
        <v>33</v>
      </c>
      <c r="M306" s="3">
        <v>26</v>
      </c>
      <c r="N306" s="3">
        <v>33</v>
      </c>
      <c r="O306" s="3">
        <v>26</v>
      </c>
      <c r="P306" s="3">
        <v>33</v>
      </c>
      <c r="Q306" s="3">
        <v>35</v>
      </c>
      <c r="R306" s="3">
        <v>35</v>
      </c>
      <c r="S306" s="3">
        <v>35</v>
      </c>
      <c r="T306" s="3">
        <v>36</v>
      </c>
      <c r="U306" s="3">
        <v>32</v>
      </c>
      <c r="V306" s="3">
        <v>34</v>
      </c>
      <c r="W306" s="3">
        <v>33</v>
      </c>
      <c r="X306" s="3">
        <v>32</v>
      </c>
      <c r="Y306" s="3">
        <v>35</v>
      </c>
      <c r="Z306" s="3">
        <v>38</v>
      </c>
      <c r="AA306" s="5">
        <f t="shared" si="4"/>
        <v>404</v>
      </c>
    </row>
    <row r="307" spans="1:27" ht="15" customHeight="1" x14ac:dyDescent="0.2">
      <c r="A307" s="3" t="s">
        <v>662</v>
      </c>
      <c r="B307" s="1" t="s">
        <v>663</v>
      </c>
      <c r="C307" s="3">
        <v>265</v>
      </c>
      <c r="D307" s="3">
        <v>266</v>
      </c>
      <c r="E307" s="3">
        <v>290</v>
      </c>
      <c r="F307" s="3">
        <v>302</v>
      </c>
      <c r="G307" s="3">
        <v>314</v>
      </c>
      <c r="H307" s="3">
        <v>283</v>
      </c>
      <c r="I307" s="3">
        <v>259</v>
      </c>
      <c r="J307" s="3">
        <v>305</v>
      </c>
      <c r="K307" s="3">
        <v>239</v>
      </c>
      <c r="L307" s="3">
        <v>373</v>
      </c>
      <c r="M307" s="3">
        <v>314</v>
      </c>
      <c r="N307" s="3">
        <v>261</v>
      </c>
      <c r="O307" s="3">
        <v>308</v>
      </c>
      <c r="P307" s="3">
        <v>291</v>
      </c>
      <c r="Q307" s="3">
        <v>324</v>
      </c>
      <c r="R307" s="3">
        <v>338</v>
      </c>
      <c r="S307" s="3">
        <v>260</v>
      </c>
      <c r="T307" s="3">
        <v>316</v>
      </c>
      <c r="U307" s="3">
        <v>276</v>
      </c>
      <c r="V307" s="3">
        <v>331</v>
      </c>
      <c r="W307" s="3">
        <v>310</v>
      </c>
      <c r="X307" s="3">
        <v>290</v>
      </c>
      <c r="Y307" s="3">
        <v>336</v>
      </c>
      <c r="Z307" s="3">
        <v>295</v>
      </c>
      <c r="AA307" s="5">
        <f t="shared" si="4"/>
        <v>3675</v>
      </c>
    </row>
    <row r="308" spans="1:27" ht="15" customHeight="1" x14ac:dyDescent="0.2">
      <c r="A308" s="3" t="s">
        <v>664</v>
      </c>
      <c r="B308" s="1" t="s">
        <v>665</v>
      </c>
      <c r="C308" s="3">
        <v>74</v>
      </c>
      <c r="D308" s="3">
        <v>70</v>
      </c>
      <c r="E308" s="3">
        <v>77</v>
      </c>
      <c r="F308" s="3">
        <v>71</v>
      </c>
      <c r="G308" s="3">
        <v>82</v>
      </c>
      <c r="H308" s="3">
        <v>78</v>
      </c>
      <c r="I308" s="3">
        <v>75</v>
      </c>
      <c r="J308" s="3">
        <v>77</v>
      </c>
      <c r="K308" s="3">
        <v>82</v>
      </c>
      <c r="L308" s="3">
        <v>78</v>
      </c>
      <c r="M308" s="3">
        <v>77</v>
      </c>
      <c r="N308" s="3">
        <v>73</v>
      </c>
      <c r="O308" s="3">
        <v>82</v>
      </c>
      <c r="P308" s="3">
        <v>75</v>
      </c>
      <c r="Q308" s="3">
        <v>81</v>
      </c>
      <c r="R308" s="3">
        <v>83</v>
      </c>
      <c r="S308" s="3">
        <v>86</v>
      </c>
      <c r="T308" s="3">
        <v>86</v>
      </c>
      <c r="U308" s="3">
        <v>80</v>
      </c>
      <c r="V308" s="3">
        <v>73</v>
      </c>
      <c r="W308" s="3">
        <v>79</v>
      </c>
      <c r="X308" s="3">
        <v>82</v>
      </c>
      <c r="Y308" s="3">
        <v>77</v>
      </c>
      <c r="Z308" s="3">
        <v>79</v>
      </c>
      <c r="AA308" s="5">
        <f t="shared" si="4"/>
        <v>963</v>
      </c>
    </row>
    <row r="309" spans="1:27" ht="15" customHeight="1" x14ac:dyDescent="0.2">
      <c r="A309" s="3" t="s">
        <v>666</v>
      </c>
      <c r="B309" s="1" t="s">
        <v>667</v>
      </c>
      <c r="C309" s="3">
        <v>243</v>
      </c>
      <c r="D309" s="3">
        <v>269</v>
      </c>
      <c r="E309" s="3">
        <v>222</v>
      </c>
      <c r="F309" s="3">
        <v>256</v>
      </c>
      <c r="G309" s="3">
        <v>249</v>
      </c>
      <c r="H309" s="3">
        <v>255</v>
      </c>
      <c r="I309" s="3">
        <v>270</v>
      </c>
      <c r="J309" s="3">
        <v>253</v>
      </c>
      <c r="K309" s="3">
        <v>243</v>
      </c>
      <c r="L309" s="3">
        <v>239</v>
      </c>
      <c r="M309" s="3">
        <v>286</v>
      </c>
      <c r="N309" s="3">
        <v>296</v>
      </c>
      <c r="O309" s="3">
        <v>237</v>
      </c>
      <c r="P309" s="3">
        <v>240</v>
      </c>
      <c r="Q309" s="3">
        <v>254</v>
      </c>
      <c r="R309" s="3">
        <v>265</v>
      </c>
      <c r="S309" s="3">
        <v>260</v>
      </c>
      <c r="T309" s="3">
        <v>269</v>
      </c>
      <c r="U309" s="3">
        <v>276</v>
      </c>
      <c r="V309" s="3">
        <v>280</v>
      </c>
      <c r="W309" s="3">
        <v>270</v>
      </c>
      <c r="X309" s="3">
        <v>280</v>
      </c>
      <c r="Y309" s="3">
        <v>268</v>
      </c>
      <c r="Z309" s="3">
        <v>320</v>
      </c>
      <c r="AA309" s="5">
        <f t="shared" si="4"/>
        <v>3219</v>
      </c>
    </row>
    <row r="310" spans="1:27" ht="15" customHeight="1" x14ac:dyDescent="0.2">
      <c r="A310" s="3" t="s">
        <v>668</v>
      </c>
      <c r="B310" s="1" t="s">
        <v>669</v>
      </c>
      <c r="C310" s="3">
        <v>53</v>
      </c>
      <c r="D310" s="3">
        <v>55</v>
      </c>
      <c r="E310" s="3">
        <v>56</v>
      </c>
      <c r="F310" s="3">
        <v>54</v>
      </c>
      <c r="G310" s="3">
        <v>57</v>
      </c>
      <c r="H310" s="3">
        <v>55</v>
      </c>
      <c r="I310" s="3">
        <v>60</v>
      </c>
      <c r="J310" s="3">
        <v>56</v>
      </c>
      <c r="K310" s="3">
        <v>52</v>
      </c>
      <c r="L310" s="3">
        <v>58</v>
      </c>
      <c r="M310" s="3">
        <v>56</v>
      </c>
      <c r="N310" s="3">
        <v>54</v>
      </c>
      <c r="O310" s="3">
        <v>58</v>
      </c>
      <c r="P310" s="3">
        <v>54</v>
      </c>
      <c r="Q310" s="3">
        <v>61</v>
      </c>
      <c r="R310" s="3">
        <v>62</v>
      </c>
      <c r="S310" s="3">
        <v>60</v>
      </c>
      <c r="T310" s="3">
        <v>60</v>
      </c>
      <c r="U310" s="3">
        <v>51</v>
      </c>
      <c r="V310" s="3">
        <v>62</v>
      </c>
      <c r="W310" s="3">
        <v>61</v>
      </c>
      <c r="X310" s="3">
        <v>63</v>
      </c>
      <c r="Y310" s="3">
        <v>61</v>
      </c>
      <c r="Z310" s="3">
        <v>59</v>
      </c>
      <c r="AA310" s="5">
        <f t="shared" si="4"/>
        <v>712</v>
      </c>
    </row>
    <row r="311" spans="1:27" ht="15" customHeight="1" x14ac:dyDescent="0.2">
      <c r="A311" s="3" t="s">
        <v>670</v>
      </c>
      <c r="B311" s="1" t="s">
        <v>671</v>
      </c>
      <c r="C311" s="3">
        <v>238</v>
      </c>
      <c r="D311" s="3">
        <v>253</v>
      </c>
      <c r="E311" s="3">
        <v>230</v>
      </c>
      <c r="F311" s="3">
        <v>222</v>
      </c>
      <c r="G311" s="3">
        <v>259</v>
      </c>
      <c r="H311" s="3">
        <v>226</v>
      </c>
      <c r="I311" s="3">
        <v>229</v>
      </c>
      <c r="J311" s="3">
        <v>254</v>
      </c>
      <c r="K311" s="3">
        <v>282</v>
      </c>
      <c r="L311" s="3">
        <v>178</v>
      </c>
      <c r="M311" s="3">
        <v>263</v>
      </c>
      <c r="N311" s="3">
        <v>228</v>
      </c>
      <c r="O311" s="3">
        <v>253</v>
      </c>
      <c r="P311" s="3">
        <v>253</v>
      </c>
      <c r="Q311" s="3">
        <v>246</v>
      </c>
      <c r="R311" s="3">
        <v>255</v>
      </c>
      <c r="S311" s="3">
        <v>257</v>
      </c>
      <c r="T311" s="3">
        <v>267</v>
      </c>
      <c r="U311" s="3">
        <v>250</v>
      </c>
      <c r="V311" s="3">
        <v>240</v>
      </c>
      <c r="W311" s="3">
        <v>265</v>
      </c>
      <c r="X311" s="3">
        <v>261</v>
      </c>
      <c r="Y311" s="3">
        <v>251</v>
      </c>
      <c r="Z311" s="3">
        <v>270</v>
      </c>
      <c r="AA311" s="5">
        <f t="shared" si="4"/>
        <v>3068</v>
      </c>
    </row>
    <row r="312" spans="1:27" ht="15" customHeight="1" x14ac:dyDescent="0.2">
      <c r="A312" s="3" t="s">
        <v>672</v>
      </c>
      <c r="B312" s="1" t="s">
        <v>673</v>
      </c>
      <c r="C312" s="3">
        <v>98</v>
      </c>
      <c r="D312" s="3">
        <v>90</v>
      </c>
      <c r="E312" s="3">
        <v>106</v>
      </c>
      <c r="F312" s="3">
        <v>111</v>
      </c>
      <c r="G312" s="3">
        <v>95</v>
      </c>
      <c r="H312" s="3">
        <v>104</v>
      </c>
      <c r="I312" s="3">
        <v>113</v>
      </c>
      <c r="J312" s="3">
        <v>106</v>
      </c>
      <c r="K312" s="3">
        <v>115</v>
      </c>
      <c r="L312" s="3">
        <v>109</v>
      </c>
      <c r="M312" s="3">
        <v>97</v>
      </c>
      <c r="N312" s="3">
        <v>103</v>
      </c>
      <c r="O312" s="3">
        <v>109</v>
      </c>
      <c r="P312" s="3">
        <v>107</v>
      </c>
      <c r="Q312" s="3">
        <v>102</v>
      </c>
      <c r="R312" s="3">
        <v>103</v>
      </c>
      <c r="S312" s="3">
        <v>108</v>
      </c>
      <c r="T312" s="3">
        <v>106</v>
      </c>
      <c r="U312" s="3">
        <v>112</v>
      </c>
      <c r="V312" s="3">
        <v>118</v>
      </c>
      <c r="W312" s="3">
        <v>110</v>
      </c>
      <c r="X312" s="3">
        <v>114</v>
      </c>
      <c r="Y312" s="3">
        <v>103</v>
      </c>
      <c r="Z312" s="3">
        <v>111</v>
      </c>
      <c r="AA312" s="5">
        <f t="shared" si="4"/>
        <v>1303</v>
      </c>
    </row>
    <row r="313" spans="1:27" ht="15" customHeight="1" x14ac:dyDescent="0.2">
      <c r="A313" s="3" t="s">
        <v>674</v>
      </c>
      <c r="B313" s="1" t="s">
        <v>675</v>
      </c>
      <c r="C313" s="3">
        <v>53</v>
      </c>
      <c r="D313" s="3">
        <v>57</v>
      </c>
      <c r="E313" s="3">
        <v>67</v>
      </c>
      <c r="F313" s="3">
        <v>56</v>
      </c>
      <c r="G313" s="3">
        <v>69</v>
      </c>
      <c r="H313" s="3">
        <v>69</v>
      </c>
      <c r="I313" s="3">
        <v>52</v>
      </c>
      <c r="J313" s="3">
        <v>71</v>
      </c>
      <c r="K313" s="3">
        <v>59</v>
      </c>
      <c r="L313" s="3">
        <v>58</v>
      </c>
      <c r="M313" s="3">
        <v>63</v>
      </c>
      <c r="N313" s="3">
        <v>71</v>
      </c>
      <c r="O313" s="3">
        <v>62</v>
      </c>
      <c r="P313" s="3">
        <v>71</v>
      </c>
      <c r="Q313" s="3">
        <v>68</v>
      </c>
      <c r="R313" s="3">
        <v>65</v>
      </c>
      <c r="S313" s="3">
        <v>57</v>
      </c>
      <c r="T313" s="3">
        <v>58</v>
      </c>
      <c r="U313" s="3">
        <v>60</v>
      </c>
      <c r="V313" s="3">
        <v>58</v>
      </c>
      <c r="W313" s="3">
        <v>63</v>
      </c>
      <c r="X313" s="3">
        <v>62</v>
      </c>
      <c r="Y313" s="3">
        <v>55</v>
      </c>
      <c r="Z313" s="3">
        <v>71</v>
      </c>
      <c r="AA313" s="5">
        <f t="shared" si="4"/>
        <v>750</v>
      </c>
    </row>
    <row r="314" spans="1:27" ht="15" customHeight="1" x14ac:dyDescent="0.2">
      <c r="A314" s="3" t="s">
        <v>676</v>
      </c>
      <c r="B314" s="1" t="s">
        <v>677</v>
      </c>
      <c r="C314" s="3">
        <v>145</v>
      </c>
      <c r="D314" s="3">
        <v>143</v>
      </c>
      <c r="E314" s="3">
        <v>153</v>
      </c>
      <c r="F314" s="3">
        <v>156</v>
      </c>
      <c r="G314" s="3">
        <v>139</v>
      </c>
      <c r="H314" s="3">
        <v>148</v>
      </c>
      <c r="I314" s="3">
        <v>137</v>
      </c>
      <c r="J314" s="3">
        <v>153</v>
      </c>
      <c r="K314" s="3">
        <v>136</v>
      </c>
      <c r="L314" s="3">
        <v>166</v>
      </c>
      <c r="M314" s="3">
        <v>140</v>
      </c>
      <c r="N314" s="3">
        <v>143</v>
      </c>
      <c r="O314" s="3">
        <v>149</v>
      </c>
      <c r="P314" s="3">
        <v>139</v>
      </c>
      <c r="Q314" s="3">
        <v>156</v>
      </c>
      <c r="R314" s="3">
        <v>161</v>
      </c>
      <c r="S314" s="3">
        <v>167</v>
      </c>
      <c r="T314" s="3">
        <v>162</v>
      </c>
      <c r="U314" s="3">
        <v>154</v>
      </c>
      <c r="V314" s="3">
        <v>155</v>
      </c>
      <c r="W314" s="3">
        <v>151</v>
      </c>
      <c r="X314" s="3">
        <v>148</v>
      </c>
      <c r="Y314" s="3">
        <v>159</v>
      </c>
      <c r="Z314" s="3">
        <v>148</v>
      </c>
      <c r="AA314" s="5">
        <f t="shared" si="4"/>
        <v>1849</v>
      </c>
    </row>
    <row r="315" spans="1:27" ht="15" customHeight="1" x14ac:dyDescent="0.2">
      <c r="A315" s="3" t="s">
        <v>678</v>
      </c>
      <c r="B315" s="1" t="s">
        <v>679</v>
      </c>
      <c r="C315" s="3">
        <v>351</v>
      </c>
      <c r="D315" s="3">
        <v>383</v>
      </c>
      <c r="E315" s="3">
        <v>358</v>
      </c>
      <c r="F315" s="3">
        <v>375</v>
      </c>
      <c r="G315" s="3">
        <v>362</v>
      </c>
      <c r="H315" s="3">
        <v>387</v>
      </c>
      <c r="I315" s="3">
        <v>373</v>
      </c>
      <c r="J315" s="3">
        <v>378</v>
      </c>
      <c r="K315" s="3">
        <v>415</v>
      </c>
      <c r="L315" s="3">
        <v>366</v>
      </c>
      <c r="M315" s="3">
        <v>380</v>
      </c>
      <c r="N315" s="3">
        <v>384</v>
      </c>
      <c r="O315" s="3">
        <v>405</v>
      </c>
      <c r="P315" s="3">
        <v>358</v>
      </c>
      <c r="Q315" s="3">
        <v>407</v>
      </c>
      <c r="R315" s="3">
        <v>415</v>
      </c>
      <c r="S315" s="3">
        <v>405</v>
      </c>
      <c r="T315" s="3">
        <v>397</v>
      </c>
      <c r="U315" s="3">
        <v>386</v>
      </c>
      <c r="V315" s="3">
        <v>428</v>
      </c>
      <c r="W315" s="3">
        <v>384</v>
      </c>
      <c r="X315" s="3">
        <v>385</v>
      </c>
      <c r="Y315" s="3">
        <v>444</v>
      </c>
      <c r="Z315" s="3">
        <v>444</v>
      </c>
      <c r="AA315" s="5">
        <f t="shared" si="4"/>
        <v>4858</v>
      </c>
    </row>
    <row r="316" spans="1:27" ht="15" customHeight="1" x14ac:dyDescent="0.2">
      <c r="A316" s="3" t="s">
        <v>680</v>
      </c>
      <c r="B316" s="1" t="s">
        <v>681</v>
      </c>
      <c r="C316" s="3">
        <v>168</v>
      </c>
      <c r="D316" s="3">
        <v>184</v>
      </c>
      <c r="E316" s="3">
        <v>173</v>
      </c>
      <c r="F316" s="3">
        <v>173</v>
      </c>
      <c r="G316" s="3">
        <v>177</v>
      </c>
      <c r="H316" s="3">
        <v>175</v>
      </c>
      <c r="I316" s="3">
        <v>150</v>
      </c>
      <c r="J316" s="3">
        <v>170</v>
      </c>
      <c r="K316" s="3">
        <v>184</v>
      </c>
      <c r="L316" s="3">
        <v>165</v>
      </c>
      <c r="M316" s="3">
        <v>177</v>
      </c>
      <c r="N316" s="3">
        <v>195</v>
      </c>
      <c r="O316" s="3">
        <v>159</v>
      </c>
      <c r="P316" s="3">
        <v>178</v>
      </c>
      <c r="Q316" s="3">
        <v>182</v>
      </c>
      <c r="R316" s="3">
        <v>179</v>
      </c>
      <c r="S316" s="3">
        <v>191</v>
      </c>
      <c r="T316" s="3">
        <v>187</v>
      </c>
      <c r="U316" s="3">
        <v>176</v>
      </c>
      <c r="V316" s="3">
        <v>158</v>
      </c>
      <c r="W316" s="3">
        <v>172</v>
      </c>
      <c r="X316" s="3">
        <v>184</v>
      </c>
      <c r="Y316" s="3">
        <v>185</v>
      </c>
      <c r="Z316" s="3">
        <v>200</v>
      </c>
      <c r="AA316" s="5">
        <f t="shared" si="4"/>
        <v>2151</v>
      </c>
    </row>
    <row r="317" spans="1:27" ht="15" customHeight="1" x14ac:dyDescent="0.2">
      <c r="A317" s="3" t="s">
        <v>682</v>
      </c>
      <c r="B317" s="1" t="s">
        <v>683</v>
      </c>
      <c r="C317" s="3">
        <v>258</v>
      </c>
      <c r="D317" s="3">
        <v>247</v>
      </c>
      <c r="E317" s="3">
        <v>236</v>
      </c>
      <c r="F317" s="3">
        <v>248</v>
      </c>
      <c r="G317" s="3">
        <v>239</v>
      </c>
      <c r="H317" s="3">
        <v>242</v>
      </c>
      <c r="I317" s="3">
        <v>253</v>
      </c>
      <c r="J317" s="3">
        <v>278</v>
      </c>
      <c r="K317" s="3">
        <v>225</v>
      </c>
      <c r="L317" s="3">
        <v>255</v>
      </c>
      <c r="M317" s="3">
        <v>258</v>
      </c>
      <c r="N317" s="3">
        <v>258</v>
      </c>
      <c r="O317" s="3">
        <v>278</v>
      </c>
      <c r="P317" s="3">
        <v>266</v>
      </c>
      <c r="Q317" s="3">
        <v>265</v>
      </c>
      <c r="R317" s="3">
        <v>261</v>
      </c>
      <c r="S317" s="3">
        <v>294</v>
      </c>
      <c r="T317" s="3">
        <v>262</v>
      </c>
      <c r="U317" s="3">
        <v>245</v>
      </c>
      <c r="V317" s="3">
        <v>242</v>
      </c>
      <c r="W317" s="3">
        <v>241</v>
      </c>
      <c r="X317" s="3">
        <v>299</v>
      </c>
      <c r="Y317" s="3">
        <v>278</v>
      </c>
      <c r="Z317" s="3">
        <v>264</v>
      </c>
      <c r="AA317" s="5">
        <f t="shared" si="4"/>
        <v>3195</v>
      </c>
    </row>
    <row r="318" spans="1:27" ht="15" customHeight="1" x14ac:dyDescent="0.2">
      <c r="A318" s="3" t="s">
        <v>684</v>
      </c>
      <c r="B318" s="1" t="s">
        <v>685</v>
      </c>
      <c r="C318" s="3">
        <v>86</v>
      </c>
      <c r="D318" s="3">
        <v>101</v>
      </c>
      <c r="E318" s="3">
        <v>90</v>
      </c>
      <c r="F318" s="3">
        <v>106</v>
      </c>
      <c r="G318" s="3">
        <v>90</v>
      </c>
      <c r="H318" s="3">
        <v>94</v>
      </c>
      <c r="I318" s="3">
        <v>99</v>
      </c>
      <c r="J318" s="3">
        <v>79</v>
      </c>
      <c r="K318" s="3">
        <v>104</v>
      </c>
      <c r="L318" s="3">
        <v>103</v>
      </c>
      <c r="M318" s="3">
        <v>103</v>
      </c>
      <c r="N318" s="3">
        <v>96</v>
      </c>
      <c r="O318" s="3">
        <v>102</v>
      </c>
      <c r="P318" s="3">
        <v>101</v>
      </c>
      <c r="Q318" s="3">
        <v>96</v>
      </c>
      <c r="R318" s="3">
        <v>108</v>
      </c>
      <c r="S318" s="3">
        <v>99</v>
      </c>
      <c r="T318" s="3">
        <v>101</v>
      </c>
      <c r="U318" s="3">
        <v>95</v>
      </c>
      <c r="V318" s="3">
        <v>91</v>
      </c>
      <c r="W318" s="3">
        <v>95</v>
      </c>
      <c r="X318" s="3">
        <v>100</v>
      </c>
      <c r="Y318" s="3">
        <v>107</v>
      </c>
      <c r="Z318" s="3">
        <v>102</v>
      </c>
      <c r="AA318" s="5">
        <f t="shared" si="4"/>
        <v>1197</v>
      </c>
    </row>
    <row r="319" spans="1:27" ht="15" customHeight="1" x14ac:dyDescent="0.2">
      <c r="A319" s="3" t="s">
        <v>686</v>
      </c>
      <c r="B319" s="1" t="s">
        <v>687</v>
      </c>
      <c r="C319" s="3">
        <v>383</v>
      </c>
      <c r="D319" s="3">
        <v>411</v>
      </c>
      <c r="E319" s="3">
        <v>432</v>
      </c>
      <c r="F319" s="3">
        <v>401</v>
      </c>
      <c r="G319" s="3">
        <v>416</v>
      </c>
      <c r="H319" s="3">
        <v>454</v>
      </c>
      <c r="I319" s="3">
        <v>412</v>
      </c>
      <c r="J319" s="3">
        <v>417</v>
      </c>
      <c r="K319" s="3">
        <v>366</v>
      </c>
      <c r="L319" s="3">
        <v>464</v>
      </c>
      <c r="M319" s="3">
        <v>449</v>
      </c>
      <c r="N319" s="3">
        <v>409</v>
      </c>
      <c r="O319" s="3">
        <v>424</v>
      </c>
      <c r="P319" s="3">
        <v>435</v>
      </c>
      <c r="Q319" s="3">
        <v>459</v>
      </c>
      <c r="R319" s="3">
        <v>441</v>
      </c>
      <c r="S319" s="3">
        <v>457</v>
      </c>
      <c r="T319" s="3">
        <v>451</v>
      </c>
      <c r="U319" s="3">
        <v>443</v>
      </c>
      <c r="V319" s="3">
        <v>423</v>
      </c>
      <c r="W319" s="3">
        <v>447</v>
      </c>
      <c r="X319" s="3">
        <v>462</v>
      </c>
      <c r="Y319" s="3">
        <v>431</v>
      </c>
      <c r="Z319" s="3">
        <v>471</v>
      </c>
      <c r="AA319" s="5">
        <f t="shared" si="4"/>
        <v>5344</v>
      </c>
    </row>
    <row r="320" spans="1:27" ht="15" customHeight="1" x14ac:dyDescent="0.2">
      <c r="A320" s="3" t="s">
        <v>688</v>
      </c>
      <c r="B320" s="1" t="s">
        <v>689</v>
      </c>
      <c r="C320" s="3">
        <v>268</v>
      </c>
      <c r="D320" s="3">
        <v>228</v>
      </c>
      <c r="E320" s="3">
        <v>268</v>
      </c>
      <c r="F320" s="3">
        <v>258</v>
      </c>
      <c r="G320" s="3">
        <v>233</v>
      </c>
      <c r="H320" s="3">
        <v>250</v>
      </c>
      <c r="I320" s="3">
        <v>270</v>
      </c>
      <c r="J320" s="3">
        <v>227</v>
      </c>
      <c r="K320" s="3">
        <v>234</v>
      </c>
      <c r="L320" s="3">
        <v>255</v>
      </c>
      <c r="M320" s="3">
        <v>243</v>
      </c>
      <c r="N320" s="3">
        <v>266</v>
      </c>
      <c r="O320" s="3">
        <v>233</v>
      </c>
      <c r="P320" s="3">
        <v>253</v>
      </c>
      <c r="Q320" s="3">
        <v>272</v>
      </c>
      <c r="R320" s="3">
        <v>252</v>
      </c>
      <c r="S320" s="3">
        <v>260</v>
      </c>
      <c r="T320" s="3">
        <v>279</v>
      </c>
      <c r="U320" s="3">
        <v>255</v>
      </c>
      <c r="V320" s="3">
        <v>280</v>
      </c>
      <c r="W320" s="3">
        <v>270</v>
      </c>
      <c r="X320" s="3">
        <v>288</v>
      </c>
      <c r="Y320" s="3">
        <v>305</v>
      </c>
      <c r="Z320" s="3">
        <v>269</v>
      </c>
      <c r="AA320" s="5">
        <f t="shared" si="4"/>
        <v>3216</v>
      </c>
    </row>
    <row r="321" spans="1:27" ht="15" customHeight="1" x14ac:dyDescent="0.2">
      <c r="A321" s="3" t="s">
        <v>690</v>
      </c>
      <c r="B321" s="1" t="s">
        <v>691</v>
      </c>
      <c r="C321" s="3">
        <v>40</v>
      </c>
      <c r="D321" s="3">
        <v>41</v>
      </c>
      <c r="E321" s="3">
        <v>39</v>
      </c>
      <c r="F321" s="3">
        <v>40</v>
      </c>
      <c r="G321" s="3">
        <v>39</v>
      </c>
      <c r="H321" s="3">
        <v>39</v>
      </c>
      <c r="I321" s="3">
        <v>45</v>
      </c>
      <c r="J321" s="3">
        <v>40</v>
      </c>
      <c r="K321" s="3">
        <v>43</v>
      </c>
      <c r="L321" s="3">
        <v>44</v>
      </c>
      <c r="M321" s="3">
        <v>42</v>
      </c>
      <c r="N321" s="3">
        <v>43</v>
      </c>
      <c r="O321" s="3">
        <v>43</v>
      </c>
      <c r="P321" s="3">
        <v>40</v>
      </c>
      <c r="Q321" s="3">
        <v>41</v>
      </c>
      <c r="R321" s="3">
        <v>46</v>
      </c>
      <c r="S321" s="3">
        <v>43</v>
      </c>
      <c r="T321" s="3">
        <v>46</v>
      </c>
      <c r="U321" s="3">
        <v>45</v>
      </c>
      <c r="V321" s="3">
        <v>46</v>
      </c>
      <c r="W321" s="3">
        <v>41</v>
      </c>
      <c r="X321" s="3">
        <v>45</v>
      </c>
      <c r="Y321" s="3">
        <v>50</v>
      </c>
      <c r="Z321" s="3">
        <v>48</v>
      </c>
      <c r="AA321" s="5">
        <f t="shared" si="4"/>
        <v>534</v>
      </c>
    </row>
    <row r="322" spans="1:27" ht="15" customHeight="1" x14ac:dyDescent="0.2">
      <c r="A322" s="3" t="s">
        <v>692</v>
      </c>
      <c r="B322" s="1" t="s">
        <v>693</v>
      </c>
      <c r="C322" s="3">
        <v>608</v>
      </c>
      <c r="D322" s="3">
        <v>633</v>
      </c>
      <c r="E322" s="3">
        <v>559</v>
      </c>
      <c r="F322" s="3">
        <v>674</v>
      </c>
      <c r="G322" s="3">
        <v>667</v>
      </c>
      <c r="H322" s="3">
        <v>617</v>
      </c>
      <c r="I322" s="3">
        <v>553</v>
      </c>
      <c r="J322" s="3">
        <v>660</v>
      </c>
      <c r="K322" s="3">
        <v>715</v>
      </c>
      <c r="L322" s="3">
        <v>605</v>
      </c>
      <c r="M322" s="3">
        <v>709</v>
      </c>
      <c r="N322" s="3">
        <v>720</v>
      </c>
      <c r="O322" s="3">
        <v>679</v>
      </c>
      <c r="P322" s="3">
        <v>718</v>
      </c>
      <c r="Q322" s="3">
        <v>683</v>
      </c>
      <c r="R322" s="3">
        <v>656</v>
      </c>
      <c r="S322" s="3">
        <v>681</v>
      </c>
      <c r="T322" s="3">
        <v>643</v>
      </c>
      <c r="U322" s="3">
        <v>674</v>
      </c>
      <c r="V322" s="3">
        <v>666</v>
      </c>
      <c r="W322" s="3">
        <v>736</v>
      </c>
      <c r="X322" s="3">
        <v>674</v>
      </c>
      <c r="Y322" s="3">
        <v>740</v>
      </c>
      <c r="Z322" s="3">
        <v>783</v>
      </c>
      <c r="AA322" s="5">
        <f t="shared" si="4"/>
        <v>8333</v>
      </c>
    </row>
    <row r="323" spans="1:27" ht="15" customHeight="1" x14ac:dyDescent="0.2">
      <c r="A323" s="3" t="s">
        <v>694</v>
      </c>
      <c r="B323" s="1" t="s">
        <v>695</v>
      </c>
      <c r="C323" s="3">
        <v>102</v>
      </c>
      <c r="D323" s="3">
        <v>100</v>
      </c>
      <c r="E323" s="3">
        <v>104</v>
      </c>
      <c r="F323" s="3">
        <v>98</v>
      </c>
      <c r="G323" s="3">
        <v>98</v>
      </c>
      <c r="H323" s="3">
        <v>97</v>
      </c>
      <c r="I323" s="3">
        <v>101</v>
      </c>
      <c r="J323" s="3">
        <v>113</v>
      </c>
      <c r="K323" s="3">
        <v>103</v>
      </c>
      <c r="L323" s="3">
        <v>98</v>
      </c>
      <c r="M323" s="3">
        <v>101</v>
      </c>
      <c r="N323" s="3">
        <v>119</v>
      </c>
      <c r="O323" s="3">
        <v>105</v>
      </c>
      <c r="P323" s="3">
        <v>107</v>
      </c>
      <c r="Q323" s="3">
        <v>105</v>
      </c>
      <c r="R323" s="3">
        <v>98</v>
      </c>
      <c r="S323" s="3">
        <v>98</v>
      </c>
      <c r="T323" s="3">
        <v>100</v>
      </c>
      <c r="U323" s="3">
        <v>114</v>
      </c>
      <c r="V323" s="3">
        <v>114</v>
      </c>
      <c r="W323" s="3">
        <v>110</v>
      </c>
      <c r="X323" s="3">
        <v>113</v>
      </c>
      <c r="Y323" s="3">
        <v>107</v>
      </c>
      <c r="Z323" s="3">
        <v>110</v>
      </c>
      <c r="AA323" s="5">
        <f t="shared" si="4"/>
        <v>1281</v>
      </c>
    </row>
    <row r="324" spans="1:27" ht="15" customHeight="1" x14ac:dyDescent="0.2">
      <c r="A324" s="3" t="s">
        <v>696</v>
      </c>
      <c r="B324" s="1" t="s">
        <v>697</v>
      </c>
      <c r="C324" s="3">
        <v>524</v>
      </c>
      <c r="D324" s="3">
        <v>565</v>
      </c>
      <c r="E324" s="3">
        <v>421</v>
      </c>
      <c r="F324" s="3">
        <v>594</v>
      </c>
      <c r="G324" s="3">
        <v>520</v>
      </c>
      <c r="H324" s="3">
        <v>491</v>
      </c>
      <c r="I324" s="3">
        <v>542</v>
      </c>
      <c r="J324" s="3">
        <v>497</v>
      </c>
      <c r="K324" s="3">
        <v>555</v>
      </c>
      <c r="L324" s="3">
        <v>551</v>
      </c>
      <c r="M324" s="3">
        <v>523</v>
      </c>
      <c r="N324" s="3">
        <v>600</v>
      </c>
      <c r="O324" s="3">
        <v>563</v>
      </c>
      <c r="P324" s="3">
        <v>557</v>
      </c>
      <c r="Q324" s="3">
        <v>521</v>
      </c>
      <c r="R324" s="3">
        <v>564</v>
      </c>
      <c r="S324" s="3">
        <v>577</v>
      </c>
      <c r="T324" s="3">
        <v>580</v>
      </c>
      <c r="U324" s="3">
        <v>599</v>
      </c>
      <c r="V324" s="3">
        <v>599</v>
      </c>
      <c r="W324" s="3">
        <v>584</v>
      </c>
      <c r="X324" s="3">
        <v>599</v>
      </c>
      <c r="Y324" s="3">
        <v>578</v>
      </c>
      <c r="Z324" s="3">
        <v>615</v>
      </c>
      <c r="AA324" s="5">
        <f t="shared" si="4"/>
        <v>6936</v>
      </c>
    </row>
    <row r="325" spans="1:27" ht="15" customHeight="1" x14ac:dyDescent="0.2">
      <c r="A325" s="3" t="s">
        <v>698</v>
      </c>
      <c r="B325" s="1" t="s">
        <v>699</v>
      </c>
      <c r="C325" s="3">
        <v>215</v>
      </c>
      <c r="D325" s="3">
        <v>206</v>
      </c>
      <c r="E325" s="3">
        <v>244</v>
      </c>
      <c r="F325" s="3">
        <v>231</v>
      </c>
      <c r="G325" s="3">
        <v>223</v>
      </c>
      <c r="H325" s="3">
        <v>245</v>
      </c>
      <c r="I325" s="3">
        <v>174</v>
      </c>
      <c r="J325" s="3">
        <v>169</v>
      </c>
      <c r="K325" s="3">
        <v>278</v>
      </c>
      <c r="L325" s="3">
        <v>236</v>
      </c>
      <c r="M325" s="3">
        <v>185</v>
      </c>
      <c r="N325" s="3">
        <v>266</v>
      </c>
      <c r="O325" s="3">
        <v>199</v>
      </c>
      <c r="P325" s="3">
        <v>191</v>
      </c>
      <c r="Q325" s="3">
        <v>214</v>
      </c>
      <c r="R325" s="3">
        <v>258</v>
      </c>
      <c r="S325" s="3">
        <v>212</v>
      </c>
      <c r="T325" s="3">
        <v>227</v>
      </c>
      <c r="U325" s="3">
        <v>198</v>
      </c>
      <c r="V325" s="3">
        <v>225</v>
      </c>
      <c r="W325" s="3">
        <v>260</v>
      </c>
      <c r="X325" s="3">
        <v>279</v>
      </c>
      <c r="Y325" s="3">
        <v>222</v>
      </c>
      <c r="Z325" s="3">
        <v>227</v>
      </c>
      <c r="AA325" s="5">
        <f t="shared" ref="AA325:AA388" si="5">SUM(O325:Z325)</f>
        <v>2712</v>
      </c>
    </row>
    <row r="326" spans="1:27" ht="15" customHeight="1" x14ac:dyDescent="0.2">
      <c r="A326" s="3" t="s">
        <v>700</v>
      </c>
      <c r="B326" s="1" t="s">
        <v>701</v>
      </c>
      <c r="C326" s="3">
        <v>56</v>
      </c>
      <c r="D326" s="3">
        <v>36</v>
      </c>
      <c r="E326" s="3">
        <v>149</v>
      </c>
      <c r="F326" s="3">
        <v>31</v>
      </c>
      <c r="G326" s="3">
        <v>63</v>
      </c>
      <c r="H326" s="3">
        <v>112</v>
      </c>
      <c r="I326" s="3">
        <v>47</v>
      </c>
      <c r="J326" s="3">
        <v>51</v>
      </c>
      <c r="K326" s="3">
        <v>215</v>
      </c>
      <c r="L326" s="3">
        <v>49</v>
      </c>
      <c r="M326" s="3">
        <v>198</v>
      </c>
      <c r="N326" s="3">
        <v>48</v>
      </c>
      <c r="O326" s="3">
        <v>54</v>
      </c>
      <c r="P326" s="3">
        <v>35</v>
      </c>
      <c r="Q326" s="3">
        <v>31</v>
      </c>
      <c r="R326" s="3">
        <v>31</v>
      </c>
      <c r="S326" s="3">
        <v>218</v>
      </c>
      <c r="T326" s="3">
        <v>43</v>
      </c>
      <c r="U326" s="3">
        <v>47</v>
      </c>
      <c r="V326" s="3">
        <v>54</v>
      </c>
      <c r="W326" s="3">
        <v>49</v>
      </c>
      <c r="X326" s="3">
        <v>45</v>
      </c>
      <c r="Y326" s="3">
        <v>28</v>
      </c>
      <c r="Z326" s="3">
        <v>55</v>
      </c>
      <c r="AA326" s="5">
        <f t="shared" si="5"/>
        <v>690</v>
      </c>
    </row>
    <row r="327" spans="1:27" ht="15" customHeight="1" x14ac:dyDescent="0.2">
      <c r="A327" s="3" t="s">
        <v>702</v>
      </c>
      <c r="B327" s="1" t="s">
        <v>703</v>
      </c>
      <c r="C327" s="3">
        <v>307</v>
      </c>
      <c r="D327" s="3">
        <v>303</v>
      </c>
      <c r="E327" s="3">
        <v>270</v>
      </c>
      <c r="F327" s="3">
        <v>273</v>
      </c>
      <c r="G327" s="3">
        <v>324</v>
      </c>
      <c r="H327" s="3">
        <v>300</v>
      </c>
      <c r="I327" s="3">
        <v>299</v>
      </c>
      <c r="J327" s="3">
        <v>288</v>
      </c>
      <c r="K327" s="3">
        <v>277</v>
      </c>
      <c r="L327" s="3">
        <v>298</v>
      </c>
      <c r="M327" s="3">
        <v>317</v>
      </c>
      <c r="N327" s="3">
        <v>297</v>
      </c>
      <c r="O327" s="3">
        <v>291</v>
      </c>
      <c r="P327" s="3">
        <v>321</v>
      </c>
      <c r="Q327" s="3">
        <v>319</v>
      </c>
      <c r="R327" s="3">
        <v>319</v>
      </c>
      <c r="S327" s="3">
        <v>322</v>
      </c>
      <c r="T327" s="3">
        <v>311</v>
      </c>
      <c r="U327" s="3">
        <v>305</v>
      </c>
      <c r="V327" s="3">
        <v>299</v>
      </c>
      <c r="W327" s="3">
        <v>329</v>
      </c>
      <c r="X327" s="3">
        <v>307</v>
      </c>
      <c r="Y327" s="3">
        <v>337</v>
      </c>
      <c r="Z327" s="3">
        <v>328</v>
      </c>
      <c r="AA327" s="5">
        <f t="shared" si="5"/>
        <v>3788</v>
      </c>
    </row>
    <row r="328" spans="1:27" ht="15" customHeight="1" x14ac:dyDescent="0.2">
      <c r="A328" s="3" t="s">
        <v>704</v>
      </c>
      <c r="B328" s="1" t="s">
        <v>705</v>
      </c>
      <c r="C328" s="3">
        <v>238</v>
      </c>
      <c r="D328" s="3">
        <v>245</v>
      </c>
      <c r="E328" s="3">
        <v>238</v>
      </c>
      <c r="F328" s="3">
        <v>254</v>
      </c>
      <c r="G328" s="3">
        <v>227</v>
      </c>
      <c r="H328" s="3">
        <v>227</v>
      </c>
      <c r="I328" s="3">
        <v>244</v>
      </c>
      <c r="J328" s="3">
        <v>231</v>
      </c>
      <c r="K328" s="3">
        <v>243</v>
      </c>
      <c r="L328" s="3">
        <v>224</v>
      </c>
      <c r="M328" s="3">
        <v>238</v>
      </c>
      <c r="N328" s="3">
        <v>230</v>
      </c>
      <c r="O328" s="3">
        <v>236</v>
      </c>
      <c r="P328" s="3">
        <v>234</v>
      </c>
      <c r="Q328" s="3">
        <v>242</v>
      </c>
      <c r="R328" s="3">
        <v>244</v>
      </c>
      <c r="S328" s="3">
        <v>238</v>
      </c>
      <c r="T328" s="3">
        <v>241</v>
      </c>
      <c r="U328" s="3">
        <v>258</v>
      </c>
      <c r="V328" s="3">
        <v>253</v>
      </c>
      <c r="W328" s="3">
        <v>241</v>
      </c>
      <c r="X328" s="3">
        <v>247</v>
      </c>
      <c r="Y328" s="3">
        <v>258</v>
      </c>
      <c r="Z328" s="3">
        <v>248</v>
      </c>
      <c r="AA328" s="5">
        <f t="shared" si="5"/>
        <v>2940</v>
      </c>
    </row>
    <row r="329" spans="1:27" ht="15" customHeight="1" x14ac:dyDescent="0.2">
      <c r="A329" s="3" t="s">
        <v>706</v>
      </c>
      <c r="B329" s="1" t="s">
        <v>707</v>
      </c>
      <c r="C329" s="3">
        <v>184</v>
      </c>
      <c r="D329" s="3">
        <v>182</v>
      </c>
      <c r="E329" s="3">
        <v>212</v>
      </c>
      <c r="F329" s="3">
        <v>190</v>
      </c>
      <c r="G329" s="3">
        <v>199</v>
      </c>
      <c r="H329" s="3">
        <v>196</v>
      </c>
      <c r="I329" s="3">
        <v>205</v>
      </c>
      <c r="J329" s="3">
        <v>192</v>
      </c>
      <c r="K329" s="3">
        <v>209</v>
      </c>
      <c r="L329" s="3">
        <v>177</v>
      </c>
      <c r="M329" s="3">
        <v>182</v>
      </c>
      <c r="N329" s="3">
        <v>224</v>
      </c>
      <c r="O329" s="3">
        <v>207</v>
      </c>
      <c r="P329" s="3">
        <v>213</v>
      </c>
      <c r="Q329" s="3">
        <v>220</v>
      </c>
      <c r="R329" s="3">
        <v>207</v>
      </c>
      <c r="S329" s="3">
        <v>208</v>
      </c>
      <c r="T329" s="3">
        <v>212</v>
      </c>
      <c r="U329" s="3">
        <v>199</v>
      </c>
      <c r="V329" s="3">
        <v>196</v>
      </c>
      <c r="W329" s="3">
        <v>217</v>
      </c>
      <c r="X329" s="3">
        <v>196</v>
      </c>
      <c r="Y329" s="3">
        <v>211</v>
      </c>
      <c r="Z329" s="3">
        <v>220</v>
      </c>
      <c r="AA329" s="5">
        <f t="shared" si="5"/>
        <v>2506</v>
      </c>
    </row>
    <row r="330" spans="1:27" ht="15" customHeight="1" x14ac:dyDescent="0.2">
      <c r="A330" s="3" t="s">
        <v>708</v>
      </c>
      <c r="B330" s="1" t="s">
        <v>709</v>
      </c>
      <c r="C330" s="3">
        <v>123</v>
      </c>
      <c r="D330" s="3">
        <v>128</v>
      </c>
      <c r="E330" s="3">
        <v>119</v>
      </c>
      <c r="F330" s="3">
        <v>125</v>
      </c>
      <c r="G330" s="3">
        <v>127</v>
      </c>
      <c r="H330" s="3">
        <v>127</v>
      </c>
      <c r="I330" s="3">
        <v>117</v>
      </c>
      <c r="J330" s="3">
        <v>125</v>
      </c>
      <c r="K330" s="3">
        <v>113</v>
      </c>
      <c r="L330" s="3">
        <v>126</v>
      </c>
      <c r="M330" s="3">
        <v>128</v>
      </c>
      <c r="N330" s="3">
        <v>123</v>
      </c>
      <c r="O330" s="3">
        <v>123</v>
      </c>
      <c r="P330" s="3">
        <v>136</v>
      </c>
      <c r="Q330" s="3">
        <v>137</v>
      </c>
      <c r="R330" s="3">
        <v>137</v>
      </c>
      <c r="S330" s="3">
        <v>137</v>
      </c>
      <c r="T330" s="3">
        <v>118</v>
      </c>
      <c r="U330" s="3">
        <v>134</v>
      </c>
      <c r="V330" s="3">
        <v>125</v>
      </c>
      <c r="W330" s="3">
        <v>140</v>
      </c>
      <c r="X330" s="3">
        <v>142</v>
      </c>
      <c r="Y330" s="3">
        <v>136</v>
      </c>
      <c r="Z330" s="3">
        <v>123</v>
      </c>
      <c r="AA330" s="5">
        <f t="shared" si="5"/>
        <v>1588</v>
      </c>
    </row>
    <row r="331" spans="1:27" ht="15" customHeight="1" x14ac:dyDescent="0.2">
      <c r="A331" s="3" t="s">
        <v>710</v>
      </c>
      <c r="B331" s="1" t="s">
        <v>711</v>
      </c>
      <c r="C331" s="3">
        <v>858</v>
      </c>
      <c r="D331" s="3">
        <v>810</v>
      </c>
      <c r="E331" s="3">
        <v>804</v>
      </c>
      <c r="F331" s="3">
        <v>811</v>
      </c>
      <c r="G331" s="3">
        <v>922</v>
      </c>
      <c r="H331" s="3">
        <v>861</v>
      </c>
      <c r="I331" s="3">
        <v>845</v>
      </c>
      <c r="J331" s="3">
        <v>795</v>
      </c>
      <c r="K331" s="3">
        <v>802</v>
      </c>
      <c r="L331" s="3">
        <v>908</v>
      </c>
      <c r="M331" s="3">
        <v>957</v>
      </c>
      <c r="N331" s="3">
        <v>905</v>
      </c>
      <c r="O331" s="3">
        <v>966</v>
      </c>
      <c r="P331" s="3">
        <v>890</v>
      </c>
      <c r="Q331" s="3">
        <v>872</v>
      </c>
      <c r="R331" s="3">
        <v>847</v>
      </c>
      <c r="S331" s="3">
        <v>875</v>
      </c>
      <c r="T331" s="3">
        <v>873</v>
      </c>
      <c r="U331" s="3">
        <v>901</v>
      </c>
      <c r="V331" s="3">
        <v>920</v>
      </c>
      <c r="W331" s="3">
        <v>947</v>
      </c>
      <c r="X331" s="3">
        <v>878</v>
      </c>
      <c r="Y331" s="3">
        <v>954</v>
      </c>
      <c r="Z331" s="3">
        <v>927</v>
      </c>
      <c r="AA331" s="5">
        <f t="shared" si="5"/>
        <v>10850</v>
      </c>
    </row>
    <row r="332" spans="1:27" ht="15" customHeight="1" x14ac:dyDescent="0.2">
      <c r="A332" s="3" t="s">
        <v>712</v>
      </c>
      <c r="B332" s="1" t="s">
        <v>713</v>
      </c>
      <c r="C332" s="3">
        <v>33</v>
      </c>
      <c r="D332" s="3">
        <v>42</v>
      </c>
      <c r="E332" s="3">
        <v>45</v>
      </c>
      <c r="F332" s="3">
        <v>57</v>
      </c>
      <c r="G332" s="3">
        <v>45</v>
      </c>
      <c r="H332" s="3">
        <v>29</v>
      </c>
      <c r="I332" s="3">
        <v>51</v>
      </c>
      <c r="J332" s="3">
        <v>25</v>
      </c>
      <c r="K332" s="3">
        <v>144</v>
      </c>
      <c r="L332" s="3">
        <v>29</v>
      </c>
      <c r="M332" s="3">
        <v>37</v>
      </c>
      <c r="N332" s="3">
        <v>44</v>
      </c>
      <c r="O332" s="3">
        <v>37</v>
      </c>
      <c r="P332" s="3">
        <v>31</v>
      </c>
      <c r="Q332" s="3">
        <v>36</v>
      </c>
      <c r="R332" s="3">
        <v>42</v>
      </c>
      <c r="S332" s="3">
        <v>44</v>
      </c>
      <c r="T332" s="3">
        <v>46</v>
      </c>
      <c r="U332" s="3">
        <v>49</v>
      </c>
      <c r="V332" s="3">
        <v>23</v>
      </c>
      <c r="W332" s="3">
        <v>47</v>
      </c>
      <c r="X332" s="3">
        <v>47</v>
      </c>
      <c r="Y332" s="3">
        <v>30</v>
      </c>
      <c r="Z332" s="3">
        <v>217</v>
      </c>
      <c r="AA332" s="5">
        <f t="shared" si="5"/>
        <v>649</v>
      </c>
    </row>
    <row r="333" spans="1:27" ht="15" customHeight="1" x14ac:dyDescent="0.2">
      <c r="A333" s="3" t="s">
        <v>714</v>
      </c>
      <c r="B333" s="1" t="s">
        <v>715</v>
      </c>
      <c r="C333" s="3">
        <v>283</v>
      </c>
      <c r="D333" s="3">
        <v>283</v>
      </c>
      <c r="E333" s="3">
        <v>259</v>
      </c>
      <c r="F333" s="3">
        <v>216</v>
      </c>
      <c r="G333" s="3">
        <v>318</v>
      </c>
      <c r="H333" s="3">
        <v>263</v>
      </c>
      <c r="I333" s="3">
        <v>296</v>
      </c>
      <c r="J333" s="3">
        <v>262</v>
      </c>
      <c r="K333" s="3">
        <v>299</v>
      </c>
      <c r="L333" s="3">
        <v>270</v>
      </c>
      <c r="M333" s="3">
        <v>299</v>
      </c>
      <c r="N333" s="3">
        <v>299</v>
      </c>
      <c r="O333" s="3">
        <v>280</v>
      </c>
      <c r="P333" s="3">
        <v>284</v>
      </c>
      <c r="Q333" s="3">
        <v>278</v>
      </c>
      <c r="R333" s="3">
        <v>260</v>
      </c>
      <c r="S333" s="3">
        <v>303</v>
      </c>
      <c r="T333" s="3">
        <v>339</v>
      </c>
      <c r="U333" s="3">
        <v>265</v>
      </c>
      <c r="V333" s="3">
        <v>328</v>
      </c>
      <c r="W333" s="3">
        <v>259</v>
      </c>
      <c r="X333" s="3">
        <v>275</v>
      </c>
      <c r="Y333" s="3">
        <v>329</v>
      </c>
      <c r="Z333" s="3">
        <v>292</v>
      </c>
      <c r="AA333" s="5">
        <f t="shared" si="5"/>
        <v>3492</v>
      </c>
    </row>
    <row r="334" spans="1:27" ht="15" customHeight="1" x14ac:dyDescent="0.2">
      <c r="A334" s="3" t="s">
        <v>716</v>
      </c>
      <c r="B334" s="1" t="s">
        <v>717</v>
      </c>
      <c r="C334" s="3">
        <v>673</v>
      </c>
      <c r="D334" s="3">
        <v>586</v>
      </c>
      <c r="E334" s="3">
        <v>613</v>
      </c>
      <c r="F334" s="3">
        <v>666</v>
      </c>
      <c r="G334" s="3">
        <v>631</v>
      </c>
      <c r="H334" s="3">
        <v>670</v>
      </c>
      <c r="I334" s="3">
        <v>647</v>
      </c>
      <c r="J334" s="3">
        <v>601</v>
      </c>
      <c r="K334" s="3">
        <v>680</v>
      </c>
      <c r="L334" s="3">
        <v>626</v>
      </c>
      <c r="M334" s="3">
        <v>664</v>
      </c>
      <c r="N334" s="3">
        <v>653</v>
      </c>
      <c r="O334" s="3">
        <v>752</v>
      </c>
      <c r="P334" s="3">
        <v>668</v>
      </c>
      <c r="Q334" s="3">
        <v>644</v>
      </c>
      <c r="R334" s="3">
        <v>658</v>
      </c>
      <c r="S334" s="3">
        <v>726</v>
      </c>
      <c r="T334" s="3">
        <v>712</v>
      </c>
      <c r="U334" s="3">
        <v>654</v>
      </c>
      <c r="V334" s="3">
        <v>632</v>
      </c>
      <c r="W334" s="3">
        <v>665</v>
      </c>
      <c r="X334" s="3">
        <v>682</v>
      </c>
      <c r="Y334" s="3">
        <v>674</v>
      </c>
      <c r="Z334" s="3">
        <v>678</v>
      </c>
      <c r="AA334" s="5">
        <f t="shared" si="5"/>
        <v>8145</v>
      </c>
    </row>
    <row r="335" spans="1:27" ht="15" customHeight="1" x14ac:dyDescent="0.2">
      <c r="A335" s="3" t="s">
        <v>718</v>
      </c>
      <c r="B335" s="1" t="s">
        <v>719</v>
      </c>
      <c r="C335" s="3">
        <v>223</v>
      </c>
      <c r="D335" s="3">
        <v>236</v>
      </c>
      <c r="E335" s="3">
        <v>250</v>
      </c>
      <c r="F335" s="3">
        <v>257</v>
      </c>
      <c r="G335" s="3">
        <v>202</v>
      </c>
      <c r="H335" s="3">
        <v>267</v>
      </c>
      <c r="I335" s="3">
        <v>248</v>
      </c>
      <c r="J335" s="3">
        <v>275</v>
      </c>
      <c r="K335" s="3">
        <v>222</v>
      </c>
      <c r="L335" s="3">
        <v>259</v>
      </c>
      <c r="M335" s="3">
        <v>232</v>
      </c>
      <c r="N335" s="3">
        <v>245</v>
      </c>
      <c r="O335" s="3">
        <v>199</v>
      </c>
      <c r="P335" s="3">
        <v>244</v>
      </c>
      <c r="Q335" s="3">
        <v>253</v>
      </c>
      <c r="R335" s="3">
        <v>254</v>
      </c>
      <c r="S335" s="3">
        <v>247</v>
      </c>
      <c r="T335" s="3">
        <v>265</v>
      </c>
      <c r="U335" s="3">
        <v>299</v>
      </c>
      <c r="V335" s="3">
        <v>280</v>
      </c>
      <c r="W335" s="3">
        <v>256</v>
      </c>
      <c r="X335" s="3">
        <v>273</v>
      </c>
      <c r="Y335" s="3">
        <v>223</v>
      </c>
      <c r="Z335" s="3">
        <v>260</v>
      </c>
      <c r="AA335" s="5">
        <f t="shared" si="5"/>
        <v>3053</v>
      </c>
    </row>
    <row r="336" spans="1:27" ht="15" customHeight="1" x14ac:dyDescent="0.2">
      <c r="A336" s="3" t="s">
        <v>720</v>
      </c>
      <c r="B336" s="1" t="s">
        <v>721</v>
      </c>
      <c r="C336" s="3">
        <v>1722</v>
      </c>
      <c r="D336" s="3">
        <v>1485</v>
      </c>
      <c r="E336" s="3">
        <v>1535</v>
      </c>
      <c r="F336" s="3">
        <v>1602</v>
      </c>
      <c r="G336" s="3">
        <v>1596</v>
      </c>
      <c r="H336" s="3">
        <v>1565</v>
      </c>
      <c r="I336" s="3">
        <v>1667</v>
      </c>
      <c r="J336" s="3">
        <v>1689</v>
      </c>
      <c r="K336" s="3">
        <v>1614</v>
      </c>
      <c r="L336" s="3">
        <v>1838</v>
      </c>
      <c r="M336" s="3">
        <v>1595</v>
      </c>
      <c r="N336" s="3">
        <v>1608</v>
      </c>
      <c r="O336" s="3">
        <v>1594</v>
      </c>
      <c r="P336" s="3">
        <v>1822</v>
      </c>
      <c r="Q336" s="3">
        <v>1617</v>
      </c>
      <c r="R336" s="3">
        <v>1712</v>
      </c>
      <c r="S336" s="3">
        <v>1724</v>
      </c>
      <c r="T336" s="3">
        <v>1617</v>
      </c>
      <c r="U336" s="3">
        <v>1817</v>
      </c>
      <c r="V336" s="3">
        <v>1668</v>
      </c>
      <c r="W336" s="3">
        <v>1456</v>
      </c>
      <c r="X336" s="3">
        <v>1705</v>
      </c>
      <c r="Y336" s="3">
        <v>1732</v>
      </c>
      <c r="Z336" s="3">
        <v>1638</v>
      </c>
      <c r="AA336" s="5">
        <f t="shared" si="5"/>
        <v>20102</v>
      </c>
    </row>
    <row r="337" spans="1:27" ht="15" customHeight="1" x14ac:dyDescent="0.2">
      <c r="A337" s="3" t="s">
        <v>722</v>
      </c>
      <c r="B337" s="1" t="s">
        <v>723</v>
      </c>
      <c r="C337" s="3">
        <v>166</v>
      </c>
      <c r="D337" s="3">
        <v>145</v>
      </c>
      <c r="E337" s="3">
        <v>170</v>
      </c>
      <c r="F337" s="3">
        <v>139</v>
      </c>
      <c r="G337" s="3">
        <v>161</v>
      </c>
      <c r="H337" s="3">
        <v>168</v>
      </c>
      <c r="I337" s="3">
        <v>192</v>
      </c>
      <c r="J337" s="3">
        <v>178</v>
      </c>
      <c r="K337" s="3">
        <v>163</v>
      </c>
      <c r="L337" s="3">
        <v>166</v>
      </c>
      <c r="M337" s="3">
        <v>167</v>
      </c>
      <c r="N337" s="3">
        <v>180</v>
      </c>
      <c r="O337" s="3">
        <v>143</v>
      </c>
      <c r="P337" s="3">
        <v>179</v>
      </c>
      <c r="Q337" s="3">
        <v>184</v>
      </c>
      <c r="R337" s="3">
        <v>181</v>
      </c>
      <c r="S337" s="3">
        <v>182</v>
      </c>
      <c r="T337" s="3">
        <v>195</v>
      </c>
      <c r="U337" s="3">
        <v>176</v>
      </c>
      <c r="V337" s="3">
        <v>160</v>
      </c>
      <c r="W337" s="3">
        <v>193</v>
      </c>
      <c r="X337" s="3">
        <v>174</v>
      </c>
      <c r="Y337" s="3">
        <v>181</v>
      </c>
      <c r="Z337" s="3">
        <v>197</v>
      </c>
      <c r="AA337" s="5">
        <f t="shared" si="5"/>
        <v>2145</v>
      </c>
    </row>
    <row r="338" spans="1:27" ht="15" customHeight="1" x14ac:dyDescent="0.2">
      <c r="A338" s="3" t="s">
        <v>724</v>
      </c>
      <c r="B338" s="1" t="s">
        <v>725</v>
      </c>
      <c r="C338" s="3">
        <v>75</v>
      </c>
      <c r="D338" s="3">
        <v>86</v>
      </c>
      <c r="E338" s="3">
        <v>76</v>
      </c>
      <c r="F338" s="3">
        <v>85</v>
      </c>
      <c r="G338" s="3">
        <v>83</v>
      </c>
      <c r="H338" s="3">
        <v>76</v>
      </c>
      <c r="I338" s="3">
        <v>84</v>
      </c>
      <c r="J338" s="3">
        <v>87</v>
      </c>
      <c r="K338" s="3">
        <v>78</v>
      </c>
      <c r="L338" s="3">
        <v>89</v>
      </c>
      <c r="M338" s="3">
        <v>98</v>
      </c>
      <c r="N338" s="3">
        <v>93</v>
      </c>
      <c r="O338" s="3">
        <v>86</v>
      </c>
      <c r="P338" s="3">
        <v>90</v>
      </c>
      <c r="Q338" s="3">
        <v>82</v>
      </c>
      <c r="R338" s="3">
        <v>86</v>
      </c>
      <c r="S338" s="3">
        <v>87</v>
      </c>
      <c r="T338" s="3">
        <v>88</v>
      </c>
      <c r="U338" s="3">
        <v>85</v>
      </c>
      <c r="V338" s="3">
        <v>96</v>
      </c>
      <c r="W338" s="3">
        <v>88</v>
      </c>
      <c r="X338" s="3">
        <v>94</v>
      </c>
      <c r="Y338" s="3">
        <v>105</v>
      </c>
      <c r="Z338" s="3">
        <v>95</v>
      </c>
      <c r="AA338" s="5">
        <f t="shared" si="5"/>
        <v>1082</v>
      </c>
    </row>
    <row r="339" spans="1:27" ht="15" customHeight="1" x14ac:dyDescent="0.2">
      <c r="A339" s="3" t="s">
        <v>726</v>
      </c>
      <c r="B339" s="1" t="s">
        <v>727</v>
      </c>
      <c r="C339" s="3">
        <v>176</v>
      </c>
      <c r="D339" s="3">
        <v>190</v>
      </c>
      <c r="E339" s="3">
        <v>164</v>
      </c>
      <c r="F339" s="3">
        <v>182</v>
      </c>
      <c r="G339" s="3">
        <v>174</v>
      </c>
      <c r="H339" s="3">
        <v>170</v>
      </c>
      <c r="I339" s="3">
        <v>174</v>
      </c>
      <c r="J339" s="3">
        <v>196</v>
      </c>
      <c r="K339" s="3">
        <v>166</v>
      </c>
      <c r="L339" s="3">
        <v>199</v>
      </c>
      <c r="M339" s="3">
        <v>179</v>
      </c>
      <c r="N339" s="3">
        <v>192</v>
      </c>
      <c r="O339" s="3">
        <v>185</v>
      </c>
      <c r="P339" s="3">
        <v>190</v>
      </c>
      <c r="Q339" s="3">
        <v>183</v>
      </c>
      <c r="R339" s="3">
        <v>178</v>
      </c>
      <c r="S339" s="3">
        <v>176</v>
      </c>
      <c r="T339" s="3">
        <v>192</v>
      </c>
      <c r="U339" s="3">
        <v>186</v>
      </c>
      <c r="V339" s="3">
        <v>185</v>
      </c>
      <c r="W339" s="3">
        <v>197</v>
      </c>
      <c r="X339" s="3">
        <v>179</v>
      </c>
      <c r="Y339" s="3">
        <v>200</v>
      </c>
      <c r="Z339" s="3">
        <v>211</v>
      </c>
      <c r="AA339" s="5">
        <f t="shared" si="5"/>
        <v>2262</v>
      </c>
    </row>
    <row r="340" spans="1:27" ht="15" customHeight="1" x14ac:dyDescent="0.2">
      <c r="A340" s="3" t="s">
        <v>728</v>
      </c>
      <c r="B340" s="1" t="s">
        <v>729</v>
      </c>
      <c r="C340" s="3">
        <v>35</v>
      </c>
      <c r="D340" s="3">
        <v>35</v>
      </c>
      <c r="E340" s="3">
        <v>32</v>
      </c>
      <c r="F340" s="3">
        <v>33</v>
      </c>
      <c r="G340" s="3">
        <v>33</v>
      </c>
      <c r="H340" s="3">
        <v>36</v>
      </c>
      <c r="I340" s="3">
        <v>35</v>
      </c>
      <c r="J340" s="3">
        <v>35</v>
      </c>
      <c r="K340" s="3">
        <v>36</v>
      </c>
      <c r="L340" s="3">
        <v>38</v>
      </c>
      <c r="M340" s="3">
        <v>36</v>
      </c>
      <c r="N340" s="3">
        <v>33</v>
      </c>
      <c r="O340" s="3">
        <v>37</v>
      </c>
      <c r="P340" s="3">
        <v>34</v>
      </c>
      <c r="Q340" s="3">
        <v>38</v>
      </c>
      <c r="R340" s="3">
        <v>42</v>
      </c>
      <c r="S340" s="3">
        <v>33</v>
      </c>
      <c r="T340" s="3">
        <v>35</v>
      </c>
      <c r="U340" s="3">
        <v>37</v>
      </c>
      <c r="V340" s="3">
        <v>36</v>
      </c>
      <c r="W340" s="3">
        <v>36</v>
      </c>
      <c r="X340" s="3">
        <v>36</v>
      </c>
      <c r="Y340" s="3">
        <v>33</v>
      </c>
      <c r="Z340" s="3">
        <v>34</v>
      </c>
      <c r="AA340" s="5">
        <f t="shared" si="5"/>
        <v>431</v>
      </c>
    </row>
    <row r="341" spans="1:27" ht="15" customHeight="1" x14ac:dyDescent="0.2">
      <c r="A341" s="3" t="s">
        <v>730</v>
      </c>
      <c r="B341" s="1" t="s">
        <v>731</v>
      </c>
      <c r="C341" s="3">
        <v>21</v>
      </c>
      <c r="D341" s="3">
        <v>29</v>
      </c>
      <c r="E341" s="3">
        <v>18</v>
      </c>
      <c r="F341" s="3">
        <v>27</v>
      </c>
      <c r="G341" s="3">
        <v>27</v>
      </c>
      <c r="H341" s="3">
        <v>24</v>
      </c>
      <c r="I341" s="3">
        <v>23</v>
      </c>
      <c r="J341" s="3">
        <v>28</v>
      </c>
      <c r="K341" s="3">
        <v>16</v>
      </c>
      <c r="L341" s="3">
        <v>72</v>
      </c>
      <c r="M341" s="3">
        <v>18</v>
      </c>
      <c r="N341" s="3">
        <v>17</v>
      </c>
      <c r="O341" s="3">
        <v>28</v>
      </c>
      <c r="P341" s="3">
        <v>31</v>
      </c>
      <c r="Q341" s="3">
        <v>28</v>
      </c>
      <c r="R341" s="3">
        <v>15</v>
      </c>
      <c r="S341" s="3">
        <v>177</v>
      </c>
      <c r="T341" s="3">
        <v>32</v>
      </c>
      <c r="U341" s="3">
        <v>109</v>
      </c>
      <c r="V341" s="3">
        <v>28</v>
      </c>
      <c r="W341" s="3">
        <v>24</v>
      </c>
      <c r="X341" s="3">
        <v>164</v>
      </c>
      <c r="Y341" s="3">
        <v>21</v>
      </c>
      <c r="Z341" s="3">
        <v>14</v>
      </c>
      <c r="AA341" s="5">
        <f t="shared" si="5"/>
        <v>671</v>
      </c>
    </row>
    <row r="342" spans="1:27" ht="15" customHeight="1" x14ac:dyDescent="0.2">
      <c r="A342" s="3" t="s">
        <v>732</v>
      </c>
      <c r="B342" s="1" t="s">
        <v>733</v>
      </c>
      <c r="C342" s="3">
        <v>25</v>
      </c>
      <c r="D342" s="3">
        <v>28</v>
      </c>
      <c r="E342" s="3">
        <v>32</v>
      </c>
      <c r="F342" s="3">
        <v>28</v>
      </c>
      <c r="G342" s="3">
        <v>25</v>
      </c>
      <c r="H342" s="3">
        <v>29</v>
      </c>
      <c r="I342" s="3">
        <v>26</v>
      </c>
      <c r="J342" s="3">
        <v>28</v>
      </c>
      <c r="K342" s="3">
        <v>30</v>
      </c>
      <c r="L342" s="3">
        <v>26</v>
      </c>
      <c r="M342" s="3">
        <v>27</v>
      </c>
      <c r="N342" s="3">
        <v>29</v>
      </c>
      <c r="O342" s="3">
        <v>30</v>
      </c>
      <c r="P342" s="3">
        <v>28</v>
      </c>
      <c r="Q342" s="3">
        <v>31</v>
      </c>
      <c r="R342" s="3">
        <v>29</v>
      </c>
      <c r="S342" s="3">
        <v>31</v>
      </c>
      <c r="T342" s="3">
        <v>31</v>
      </c>
      <c r="U342" s="3">
        <v>31</v>
      </c>
      <c r="V342" s="3">
        <v>31</v>
      </c>
      <c r="W342" s="3">
        <v>31</v>
      </c>
      <c r="X342" s="3">
        <v>30</v>
      </c>
      <c r="Y342" s="3">
        <v>32</v>
      </c>
      <c r="Z342" s="3">
        <v>31</v>
      </c>
      <c r="AA342" s="5">
        <f t="shared" si="5"/>
        <v>366</v>
      </c>
    </row>
    <row r="343" spans="1:27" ht="15" customHeight="1" x14ac:dyDescent="0.2">
      <c r="A343" s="3" t="s">
        <v>734</v>
      </c>
      <c r="B343" s="1" t="s">
        <v>735</v>
      </c>
      <c r="C343" s="3">
        <v>82</v>
      </c>
      <c r="D343" s="3">
        <v>70</v>
      </c>
      <c r="E343" s="3">
        <v>89</v>
      </c>
      <c r="F343" s="3">
        <v>87</v>
      </c>
      <c r="G343" s="3">
        <v>83</v>
      </c>
      <c r="H343" s="3">
        <v>87</v>
      </c>
      <c r="I343" s="3">
        <v>86</v>
      </c>
      <c r="J343" s="3">
        <v>102</v>
      </c>
      <c r="K343" s="3">
        <v>98</v>
      </c>
      <c r="L343" s="3">
        <v>90</v>
      </c>
      <c r="M343" s="3">
        <v>100</v>
      </c>
      <c r="N343" s="3">
        <v>87</v>
      </c>
      <c r="O343" s="3">
        <v>94</v>
      </c>
      <c r="P343" s="3">
        <v>78</v>
      </c>
      <c r="Q343" s="3">
        <v>95</v>
      </c>
      <c r="R343" s="3">
        <v>91</v>
      </c>
      <c r="S343" s="3">
        <v>93</v>
      </c>
      <c r="T343" s="3">
        <v>99</v>
      </c>
      <c r="U343" s="3">
        <v>102</v>
      </c>
      <c r="V343" s="3">
        <v>90</v>
      </c>
      <c r="W343" s="3">
        <v>91</v>
      </c>
      <c r="X343" s="3">
        <v>90</v>
      </c>
      <c r="Y343" s="3">
        <v>89</v>
      </c>
      <c r="Z343" s="3">
        <v>101</v>
      </c>
      <c r="AA343" s="5">
        <f t="shared" si="5"/>
        <v>1113</v>
      </c>
    </row>
    <row r="344" spans="1:27" ht="15" customHeight="1" x14ac:dyDescent="0.2">
      <c r="A344" s="3" t="s">
        <v>736</v>
      </c>
      <c r="B344" s="1" t="s">
        <v>737</v>
      </c>
      <c r="C344" s="3">
        <v>54</v>
      </c>
      <c r="D344" s="3">
        <v>68</v>
      </c>
      <c r="E344" s="3">
        <v>236</v>
      </c>
      <c r="F344" s="3">
        <v>60</v>
      </c>
      <c r="G344" s="3">
        <v>448</v>
      </c>
      <c r="H344" s="3">
        <v>74</v>
      </c>
      <c r="I344" s="3">
        <v>399</v>
      </c>
      <c r="J344" s="3">
        <v>63</v>
      </c>
      <c r="K344" s="3">
        <v>54</v>
      </c>
      <c r="L344" s="3">
        <v>65</v>
      </c>
      <c r="M344" s="3">
        <v>229</v>
      </c>
      <c r="N344" s="3">
        <v>370</v>
      </c>
      <c r="O344" s="3">
        <v>73</v>
      </c>
      <c r="P344" s="3">
        <v>44</v>
      </c>
      <c r="Q344" s="3">
        <v>158</v>
      </c>
      <c r="R344" s="3">
        <v>74</v>
      </c>
      <c r="S344" s="3">
        <v>63</v>
      </c>
      <c r="T344" s="3">
        <v>65</v>
      </c>
      <c r="U344" s="3">
        <v>79</v>
      </c>
      <c r="V344" s="3">
        <v>62</v>
      </c>
      <c r="W344" s="3">
        <v>62</v>
      </c>
      <c r="X344" s="3">
        <v>392</v>
      </c>
      <c r="Y344" s="3">
        <v>468</v>
      </c>
      <c r="Z344" s="3">
        <v>85</v>
      </c>
      <c r="AA344" s="5">
        <f t="shared" si="5"/>
        <v>1625</v>
      </c>
    </row>
    <row r="345" spans="1:27" ht="15" customHeight="1" x14ac:dyDescent="0.2">
      <c r="A345" s="3" t="s">
        <v>738</v>
      </c>
      <c r="B345" s="1" t="s">
        <v>739</v>
      </c>
      <c r="C345" s="3">
        <v>550</v>
      </c>
      <c r="D345" s="3">
        <v>658</v>
      </c>
      <c r="E345" s="3">
        <v>575</v>
      </c>
      <c r="F345" s="3">
        <v>607</v>
      </c>
      <c r="G345" s="3">
        <v>679</v>
      </c>
      <c r="H345" s="3">
        <v>582</v>
      </c>
      <c r="I345" s="3">
        <v>600</v>
      </c>
      <c r="J345" s="3">
        <v>571</v>
      </c>
      <c r="K345" s="3">
        <v>559</v>
      </c>
      <c r="L345" s="3">
        <v>649</v>
      </c>
      <c r="M345" s="3">
        <v>563</v>
      </c>
      <c r="N345" s="3">
        <v>711</v>
      </c>
      <c r="O345" s="3">
        <v>585</v>
      </c>
      <c r="P345" s="3">
        <v>650</v>
      </c>
      <c r="Q345" s="3">
        <v>624</v>
      </c>
      <c r="R345" s="3">
        <v>626</v>
      </c>
      <c r="S345" s="3">
        <v>633</v>
      </c>
      <c r="T345" s="3">
        <v>658</v>
      </c>
      <c r="U345" s="3">
        <v>640</v>
      </c>
      <c r="V345" s="3">
        <v>576</v>
      </c>
      <c r="W345" s="3">
        <v>695</v>
      </c>
      <c r="X345" s="3">
        <v>641</v>
      </c>
      <c r="Y345" s="3">
        <v>631</v>
      </c>
      <c r="Z345" s="3">
        <v>625</v>
      </c>
      <c r="AA345" s="5">
        <f t="shared" si="5"/>
        <v>7584</v>
      </c>
    </row>
    <row r="346" spans="1:27" ht="15" customHeight="1" x14ac:dyDescent="0.2">
      <c r="A346" s="3" t="s">
        <v>740</v>
      </c>
      <c r="B346" s="1" t="s">
        <v>741</v>
      </c>
      <c r="C346" s="3">
        <v>244</v>
      </c>
      <c r="D346" s="3">
        <v>236</v>
      </c>
      <c r="E346" s="3">
        <v>268</v>
      </c>
      <c r="F346" s="3">
        <v>208</v>
      </c>
      <c r="G346" s="3">
        <v>240</v>
      </c>
      <c r="H346" s="3">
        <v>244</v>
      </c>
      <c r="I346" s="3">
        <v>247</v>
      </c>
      <c r="J346" s="3">
        <v>229</v>
      </c>
      <c r="K346" s="3">
        <v>231</v>
      </c>
      <c r="L346" s="3">
        <v>254</v>
      </c>
      <c r="M346" s="3">
        <v>263</v>
      </c>
      <c r="N346" s="3">
        <v>253</v>
      </c>
      <c r="O346" s="3">
        <v>249</v>
      </c>
      <c r="P346" s="3">
        <v>250</v>
      </c>
      <c r="Q346" s="3">
        <v>235</v>
      </c>
      <c r="R346" s="3">
        <v>281</v>
      </c>
      <c r="S346" s="3">
        <v>258</v>
      </c>
      <c r="T346" s="3">
        <v>249</v>
      </c>
      <c r="U346" s="3">
        <v>271</v>
      </c>
      <c r="V346" s="3">
        <v>273</v>
      </c>
      <c r="W346" s="3">
        <v>264</v>
      </c>
      <c r="X346" s="3">
        <v>272</v>
      </c>
      <c r="Y346" s="3">
        <v>261</v>
      </c>
      <c r="Z346" s="3">
        <v>249</v>
      </c>
      <c r="AA346" s="5">
        <f t="shared" si="5"/>
        <v>3112</v>
      </c>
    </row>
    <row r="347" spans="1:27" ht="15" customHeight="1" x14ac:dyDescent="0.2">
      <c r="A347" s="3" t="s">
        <v>742</v>
      </c>
      <c r="B347" s="1" t="s">
        <v>743</v>
      </c>
      <c r="C347" s="3">
        <v>154</v>
      </c>
      <c r="D347" s="3">
        <v>148</v>
      </c>
      <c r="E347" s="3">
        <v>155</v>
      </c>
      <c r="F347" s="3">
        <v>154</v>
      </c>
      <c r="G347" s="3">
        <v>147</v>
      </c>
      <c r="H347" s="3">
        <v>154</v>
      </c>
      <c r="I347" s="3">
        <v>161</v>
      </c>
      <c r="J347" s="3">
        <v>160</v>
      </c>
      <c r="K347" s="3">
        <v>169</v>
      </c>
      <c r="L347" s="3">
        <v>158</v>
      </c>
      <c r="M347" s="3">
        <v>162</v>
      </c>
      <c r="N347" s="3">
        <v>172</v>
      </c>
      <c r="O347" s="3">
        <v>160</v>
      </c>
      <c r="P347" s="3">
        <v>148</v>
      </c>
      <c r="Q347" s="3">
        <v>164</v>
      </c>
      <c r="R347" s="3">
        <v>154</v>
      </c>
      <c r="S347" s="3">
        <v>168</v>
      </c>
      <c r="T347" s="3">
        <v>167</v>
      </c>
      <c r="U347" s="3">
        <v>160</v>
      </c>
      <c r="V347" s="3">
        <v>174</v>
      </c>
      <c r="W347" s="3">
        <v>159</v>
      </c>
      <c r="X347" s="3">
        <v>153</v>
      </c>
      <c r="Y347" s="3">
        <v>166</v>
      </c>
      <c r="Z347" s="3">
        <v>184</v>
      </c>
      <c r="AA347" s="5">
        <f t="shared" si="5"/>
        <v>1957</v>
      </c>
    </row>
    <row r="348" spans="1:27" ht="15" customHeight="1" x14ac:dyDescent="0.2">
      <c r="A348" s="3" t="s">
        <v>744</v>
      </c>
      <c r="B348" s="1" t="s">
        <v>745</v>
      </c>
      <c r="C348" s="3">
        <v>717</v>
      </c>
      <c r="D348" s="3">
        <v>855</v>
      </c>
      <c r="E348" s="3">
        <v>768</v>
      </c>
      <c r="F348" s="3">
        <v>850</v>
      </c>
      <c r="G348" s="3">
        <v>817</v>
      </c>
      <c r="H348" s="3">
        <v>854</v>
      </c>
      <c r="I348" s="3">
        <v>823</v>
      </c>
      <c r="J348" s="3">
        <v>812</v>
      </c>
      <c r="K348" s="3">
        <v>893</v>
      </c>
      <c r="L348" s="3">
        <v>901</v>
      </c>
      <c r="M348" s="3">
        <v>846</v>
      </c>
      <c r="N348" s="3">
        <v>821</v>
      </c>
      <c r="O348" s="3">
        <v>800</v>
      </c>
      <c r="P348" s="3">
        <v>851</v>
      </c>
      <c r="Q348" s="3">
        <v>832</v>
      </c>
      <c r="R348" s="3">
        <v>837</v>
      </c>
      <c r="S348" s="3">
        <v>811</v>
      </c>
      <c r="T348" s="3">
        <v>794</v>
      </c>
      <c r="U348" s="3">
        <v>839</v>
      </c>
      <c r="V348" s="3">
        <v>983</v>
      </c>
      <c r="W348" s="3">
        <v>935</v>
      </c>
      <c r="X348" s="3">
        <v>872</v>
      </c>
      <c r="Y348" s="3">
        <v>857</v>
      </c>
      <c r="Z348" s="3">
        <v>920</v>
      </c>
      <c r="AA348" s="5">
        <f t="shared" si="5"/>
        <v>10331</v>
      </c>
    </row>
    <row r="349" spans="1:27" ht="15" customHeight="1" x14ac:dyDescent="0.2">
      <c r="A349" s="3" t="s">
        <v>746</v>
      </c>
      <c r="B349" s="1" t="s">
        <v>747</v>
      </c>
      <c r="C349" s="3">
        <v>337</v>
      </c>
      <c r="D349" s="3">
        <v>309</v>
      </c>
      <c r="E349" s="3">
        <v>289</v>
      </c>
      <c r="F349" s="3">
        <v>293</v>
      </c>
      <c r="G349" s="3">
        <v>303</v>
      </c>
      <c r="H349" s="3">
        <v>333</v>
      </c>
      <c r="I349" s="3">
        <v>317</v>
      </c>
      <c r="J349" s="3">
        <v>330</v>
      </c>
      <c r="K349" s="3">
        <v>365</v>
      </c>
      <c r="L349" s="3">
        <v>328</v>
      </c>
      <c r="M349" s="3">
        <v>339</v>
      </c>
      <c r="N349" s="3">
        <v>304</v>
      </c>
      <c r="O349" s="3">
        <v>340</v>
      </c>
      <c r="P349" s="3">
        <v>313</v>
      </c>
      <c r="Q349" s="3">
        <v>368</v>
      </c>
      <c r="R349" s="3">
        <v>347</v>
      </c>
      <c r="S349" s="3">
        <v>351</v>
      </c>
      <c r="T349" s="3">
        <v>361</v>
      </c>
      <c r="U349" s="3">
        <v>334</v>
      </c>
      <c r="V349" s="3">
        <v>333</v>
      </c>
      <c r="W349" s="3">
        <v>332</v>
      </c>
      <c r="X349" s="3">
        <v>360</v>
      </c>
      <c r="Y349" s="3">
        <v>318</v>
      </c>
      <c r="Z349" s="3">
        <v>379</v>
      </c>
      <c r="AA349" s="5">
        <f t="shared" si="5"/>
        <v>4136</v>
      </c>
    </row>
    <row r="350" spans="1:27" ht="15" customHeight="1" x14ac:dyDescent="0.2">
      <c r="A350" s="3" t="s">
        <v>748</v>
      </c>
      <c r="B350" s="1" t="s">
        <v>749</v>
      </c>
      <c r="C350" s="3">
        <v>256</v>
      </c>
      <c r="D350" s="3">
        <v>211</v>
      </c>
      <c r="E350" s="3">
        <v>239</v>
      </c>
      <c r="F350" s="3">
        <v>243</v>
      </c>
      <c r="G350" s="3">
        <v>264</v>
      </c>
      <c r="H350" s="3">
        <v>224</v>
      </c>
      <c r="I350" s="3">
        <v>227</v>
      </c>
      <c r="J350" s="3">
        <v>241</v>
      </c>
      <c r="K350" s="3">
        <v>260</v>
      </c>
      <c r="L350" s="3">
        <v>267</v>
      </c>
      <c r="M350" s="3">
        <v>232</v>
      </c>
      <c r="N350" s="3">
        <v>261</v>
      </c>
      <c r="O350" s="3">
        <v>264</v>
      </c>
      <c r="P350" s="3">
        <v>269</v>
      </c>
      <c r="Q350" s="3">
        <v>240</v>
      </c>
      <c r="R350" s="3">
        <v>248</v>
      </c>
      <c r="S350" s="3">
        <v>247</v>
      </c>
      <c r="T350" s="3">
        <v>246</v>
      </c>
      <c r="U350" s="3">
        <v>256</v>
      </c>
      <c r="V350" s="3">
        <v>301</v>
      </c>
      <c r="W350" s="3">
        <v>247</v>
      </c>
      <c r="X350" s="3">
        <v>272</v>
      </c>
      <c r="Y350" s="3">
        <v>233</v>
      </c>
      <c r="Z350" s="3">
        <v>251</v>
      </c>
      <c r="AA350" s="5">
        <f t="shared" si="5"/>
        <v>3074</v>
      </c>
    </row>
    <row r="351" spans="1:27" ht="15" customHeight="1" x14ac:dyDescent="0.2">
      <c r="A351" s="3" t="s">
        <v>750</v>
      </c>
      <c r="B351" s="1" t="s">
        <v>751</v>
      </c>
      <c r="C351" s="3">
        <v>52</v>
      </c>
      <c r="D351" s="3">
        <v>53</v>
      </c>
      <c r="E351" s="3">
        <v>51</v>
      </c>
      <c r="F351" s="3">
        <v>53</v>
      </c>
      <c r="G351" s="3">
        <v>52</v>
      </c>
      <c r="H351" s="3">
        <v>50</v>
      </c>
      <c r="I351" s="3">
        <v>46</v>
      </c>
      <c r="J351" s="3">
        <v>50</v>
      </c>
      <c r="K351" s="3">
        <v>59</v>
      </c>
      <c r="L351" s="3">
        <v>55</v>
      </c>
      <c r="M351" s="3">
        <v>51</v>
      </c>
      <c r="N351" s="3">
        <v>53</v>
      </c>
      <c r="O351" s="3">
        <v>53</v>
      </c>
      <c r="P351" s="3">
        <v>59</v>
      </c>
      <c r="Q351" s="3">
        <v>50</v>
      </c>
      <c r="R351" s="3">
        <v>56</v>
      </c>
      <c r="S351" s="3">
        <v>50</v>
      </c>
      <c r="T351" s="3">
        <v>53</v>
      </c>
      <c r="U351" s="3">
        <v>59</v>
      </c>
      <c r="V351" s="3">
        <v>57</v>
      </c>
      <c r="W351" s="3">
        <v>59</v>
      </c>
      <c r="X351" s="3">
        <v>52</v>
      </c>
      <c r="Y351" s="3">
        <v>51</v>
      </c>
      <c r="Z351" s="3">
        <v>56</v>
      </c>
      <c r="AA351" s="5">
        <f t="shared" si="5"/>
        <v>655</v>
      </c>
    </row>
    <row r="352" spans="1:27" ht="15" customHeight="1" x14ac:dyDescent="0.2">
      <c r="A352" s="3" t="s">
        <v>752</v>
      </c>
      <c r="B352" s="1" t="s">
        <v>753</v>
      </c>
      <c r="C352" s="3">
        <v>291</v>
      </c>
      <c r="D352" s="3">
        <v>305</v>
      </c>
      <c r="E352" s="3">
        <v>298</v>
      </c>
      <c r="F352" s="3">
        <v>310</v>
      </c>
      <c r="G352" s="3">
        <v>288</v>
      </c>
      <c r="H352" s="3">
        <v>273</v>
      </c>
      <c r="I352" s="3">
        <v>267</v>
      </c>
      <c r="J352" s="3">
        <v>294</v>
      </c>
      <c r="K352" s="3">
        <v>332</v>
      </c>
      <c r="L352" s="3">
        <v>323</v>
      </c>
      <c r="M352" s="3">
        <v>307</v>
      </c>
      <c r="N352" s="3">
        <v>317</v>
      </c>
      <c r="O352" s="3">
        <v>303</v>
      </c>
      <c r="P352" s="3">
        <v>310</v>
      </c>
      <c r="Q352" s="3">
        <v>296</v>
      </c>
      <c r="R352" s="3">
        <v>299</v>
      </c>
      <c r="S352" s="3">
        <v>284</v>
      </c>
      <c r="T352" s="3">
        <v>297</v>
      </c>
      <c r="U352" s="3">
        <v>318</v>
      </c>
      <c r="V352" s="3">
        <v>320</v>
      </c>
      <c r="W352" s="3">
        <v>339</v>
      </c>
      <c r="X352" s="3">
        <v>308</v>
      </c>
      <c r="Y352" s="3">
        <v>337</v>
      </c>
      <c r="Z352" s="3">
        <v>340</v>
      </c>
      <c r="AA352" s="5">
        <f t="shared" si="5"/>
        <v>3751</v>
      </c>
    </row>
    <row r="353" spans="1:27" ht="15" customHeight="1" x14ac:dyDescent="0.2">
      <c r="A353" s="3" t="s">
        <v>754</v>
      </c>
      <c r="B353" s="1" t="s">
        <v>755</v>
      </c>
      <c r="C353" s="3">
        <v>146</v>
      </c>
      <c r="D353" s="3">
        <v>154</v>
      </c>
      <c r="E353" s="3">
        <v>151</v>
      </c>
      <c r="F353" s="3">
        <v>148</v>
      </c>
      <c r="G353" s="3">
        <v>150</v>
      </c>
      <c r="H353" s="3">
        <v>147</v>
      </c>
      <c r="I353" s="3">
        <v>150</v>
      </c>
      <c r="J353" s="3">
        <v>171</v>
      </c>
      <c r="K353" s="3">
        <v>145</v>
      </c>
      <c r="L353" s="3">
        <v>141</v>
      </c>
      <c r="M353" s="3">
        <v>153</v>
      </c>
      <c r="N353" s="3">
        <v>163</v>
      </c>
      <c r="O353" s="3">
        <v>146</v>
      </c>
      <c r="P353" s="3">
        <v>163</v>
      </c>
      <c r="Q353" s="3">
        <v>178</v>
      </c>
      <c r="R353" s="3">
        <v>162</v>
      </c>
      <c r="S353" s="3">
        <v>164</v>
      </c>
      <c r="T353" s="3">
        <v>163</v>
      </c>
      <c r="U353" s="3">
        <v>162</v>
      </c>
      <c r="V353" s="3">
        <v>155</v>
      </c>
      <c r="W353" s="3">
        <v>161</v>
      </c>
      <c r="X353" s="3">
        <v>155</v>
      </c>
      <c r="Y353" s="3">
        <v>151</v>
      </c>
      <c r="Z353" s="3">
        <v>166</v>
      </c>
      <c r="AA353" s="5">
        <f t="shared" si="5"/>
        <v>1926</v>
      </c>
    </row>
    <row r="354" spans="1:27" ht="15" customHeight="1" x14ac:dyDescent="0.2">
      <c r="A354" s="3" t="s">
        <v>756</v>
      </c>
      <c r="B354" s="1" t="s">
        <v>757</v>
      </c>
      <c r="C354" s="3">
        <v>149</v>
      </c>
      <c r="D354" s="3">
        <v>152</v>
      </c>
      <c r="E354" s="3">
        <v>152</v>
      </c>
      <c r="F354" s="3">
        <v>129</v>
      </c>
      <c r="G354" s="3">
        <v>147</v>
      </c>
      <c r="H354" s="3">
        <v>153</v>
      </c>
      <c r="I354" s="3">
        <v>188</v>
      </c>
      <c r="J354" s="3">
        <v>145</v>
      </c>
      <c r="K354" s="3">
        <v>114</v>
      </c>
      <c r="L354" s="3">
        <v>174</v>
      </c>
      <c r="M354" s="3">
        <v>159</v>
      </c>
      <c r="N354" s="3">
        <v>158</v>
      </c>
      <c r="O354" s="3">
        <v>161</v>
      </c>
      <c r="P354" s="3">
        <v>173</v>
      </c>
      <c r="Q354" s="3">
        <v>180</v>
      </c>
      <c r="R354" s="3">
        <v>171</v>
      </c>
      <c r="S354" s="3">
        <v>165</v>
      </c>
      <c r="T354" s="3">
        <v>150</v>
      </c>
      <c r="U354" s="3">
        <v>139</v>
      </c>
      <c r="V354" s="3">
        <v>197</v>
      </c>
      <c r="W354" s="3">
        <v>190</v>
      </c>
      <c r="X354" s="3">
        <v>164</v>
      </c>
      <c r="Y354" s="3">
        <v>188</v>
      </c>
      <c r="Z354" s="3">
        <v>163</v>
      </c>
      <c r="AA354" s="5">
        <f t="shared" si="5"/>
        <v>2041</v>
      </c>
    </row>
    <row r="355" spans="1:27" ht="15" customHeight="1" x14ac:dyDescent="0.2">
      <c r="A355" s="3" t="s">
        <v>758</v>
      </c>
      <c r="B355" s="1" t="s">
        <v>759</v>
      </c>
      <c r="C355" s="3">
        <v>11</v>
      </c>
      <c r="D355" s="3">
        <v>11</v>
      </c>
      <c r="E355" s="3">
        <v>11</v>
      </c>
      <c r="F355" s="3">
        <v>11</v>
      </c>
      <c r="G355" s="3">
        <v>13</v>
      </c>
      <c r="H355" s="3">
        <v>16</v>
      </c>
      <c r="I355" s="3">
        <v>20</v>
      </c>
      <c r="J355" s="3">
        <v>8</v>
      </c>
      <c r="K355" s="3">
        <v>9</v>
      </c>
      <c r="L355" s="3">
        <v>10</v>
      </c>
      <c r="M355" s="3">
        <v>12</v>
      </c>
      <c r="N355" s="3">
        <v>11</v>
      </c>
      <c r="O355" s="3">
        <v>11</v>
      </c>
      <c r="P355" s="3">
        <v>11</v>
      </c>
      <c r="Q355" s="3">
        <v>10</v>
      </c>
      <c r="R355" s="3">
        <v>11</v>
      </c>
      <c r="S355" s="3">
        <v>14</v>
      </c>
      <c r="T355" s="3">
        <v>18</v>
      </c>
      <c r="U355" s="3">
        <v>23</v>
      </c>
      <c r="V355" s="3">
        <v>9</v>
      </c>
      <c r="W355" s="3">
        <v>11</v>
      </c>
      <c r="X355" s="3">
        <v>11</v>
      </c>
      <c r="Y355" s="3">
        <v>13</v>
      </c>
      <c r="Z355" s="3">
        <v>12</v>
      </c>
      <c r="AA355" s="5">
        <f t="shared" si="5"/>
        <v>154</v>
      </c>
    </row>
    <row r="356" spans="1:27" ht="15" customHeight="1" x14ac:dyDescent="0.2">
      <c r="A356" s="3" t="s">
        <v>761</v>
      </c>
      <c r="B356" s="1" t="s">
        <v>762</v>
      </c>
      <c r="C356" s="3">
        <v>9</v>
      </c>
      <c r="D356" s="3">
        <v>13</v>
      </c>
      <c r="E356" s="3">
        <v>8</v>
      </c>
      <c r="F356" s="3">
        <v>10</v>
      </c>
      <c r="G356" s="3">
        <v>11</v>
      </c>
      <c r="H356" s="3">
        <v>10</v>
      </c>
      <c r="I356" s="3">
        <v>9</v>
      </c>
      <c r="J356" s="3">
        <v>6</v>
      </c>
      <c r="K356" s="3">
        <v>6</v>
      </c>
      <c r="L356" s="3">
        <v>7</v>
      </c>
      <c r="M356" s="3">
        <v>6</v>
      </c>
      <c r="N356" s="3">
        <v>7</v>
      </c>
      <c r="O356" s="3">
        <v>6</v>
      </c>
      <c r="P356" s="3">
        <v>3</v>
      </c>
      <c r="Q356" s="3">
        <v>3</v>
      </c>
      <c r="R356" s="3">
        <v>3</v>
      </c>
      <c r="S356" s="3">
        <v>4</v>
      </c>
      <c r="T356" s="3">
        <v>2</v>
      </c>
      <c r="U356" s="3">
        <v>2</v>
      </c>
      <c r="V356" s="3">
        <v>2</v>
      </c>
      <c r="W356" s="3">
        <v>1</v>
      </c>
      <c r="X356" s="3">
        <v>1</v>
      </c>
      <c r="Y356" s="3">
        <v>1</v>
      </c>
      <c r="Z356" s="3">
        <v>1</v>
      </c>
      <c r="AA356" s="5">
        <f t="shared" si="5"/>
        <v>29</v>
      </c>
    </row>
    <row r="357" spans="1:27" ht="15" customHeight="1" x14ac:dyDescent="0.2">
      <c r="A357" s="3" t="s">
        <v>763</v>
      </c>
      <c r="B357" s="1" t="s">
        <v>764</v>
      </c>
      <c r="C357" s="3">
        <v>10</v>
      </c>
      <c r="D357" s="3">
        <v>9</v>
      </c>
      <c r="E357" s="3">
        <v>10</v>
      </c>
      <c r="F357" s="3">
        <v>12</v>
      </c>
      <c r="G357" s="3">
        <v>11</v>
      </c>
      <c r="H357" s="3">
        <v>16</v>
      </c>
      <c r="I357" s="3">
        <v>22</v>
      </c>
      <c r="J357" s="3">
        <v>8</v>
      </c>
      <c r="K357" s="3">
        <v>8</v>
      </c>
      <c r="L357" s="3">
        <v>9</v>
      </c>
      <c r="M357" s="3">
        <v>11</v>
      </c>
      <c r="N357" s="3">
        <v>12</v>
      </c>
      <c r="O357" s="3">
        <v>10</v>
      </c>
      <c r="P357" s="3">
        <v>10</v>
      </c>
      <c r="Q357" s="3">
        <v>10</v>
      </c>
      <c r="R357" s="3">
        <v>10</v>
      </c>
      <c r="S357" s="3">
        <v>12</v>
      </c>
      <c r="T357" s="3">
        <v>16</v>
      </c>
      <c r="U357" s="3">
        <v>18</v>
      </c>
      <c r="V357" s="3">
        <v>8</v>
      </c>
      <c r="W357" s="3">
        <v>9</v>
      </c>
      <c r="X357" s="3">
        <v>9</v>
      </c>
      <c r="Y357" s="3">
        <v>11</v>
      </c>
      <c r="Z357" s="3">
        <v>12</v>
      </c>
      <c r="AA357" s="5">
        <f t="shared" si="5"/>
        <v>135</v>
      </c>
    </row>
    <row r="358" spans="1:27" ht="15" customHeight="1" x14ac:dyDescent="0.2">
      <c r="A358" s="3" t="s">
        <v>765</v>
      </c>
      <c r="B358" s="1" t="s">
        <v>766</v>
      </c>
      <c r="C358" s="3">
        <v>13</v>
      </c>
      <c r="D358" s="3">
        <v>15</v>
      </c>
      <c r="E358" s="3">
        <v>11</v>
      </c>
      <c r="F358" s="3">
        <v>13</v>
      </c>
      <c r="G358" s="3">
        <v>18</v>
      </c>
      <c r="H358" s="3">
        <v>25</v>
      </c>
      <c r="I358" s="3">
        <v>28</v>
      </c>
      <c r="J358" s="3">
        <v>11</v>
      </c>
      <c r="K358" s="3">
        <v>11</v>
      </c>
      <c r="L358" s="3">
        <v>11</v>
      </c>
      <c r="M358" s="3">
        <v>14</v>
      </c>
      <c r="N358" s="3">
        <v>17</v>
      </c>
      <c r="O358" s="3">
        <v>15</v>
      </c>
      <c r="P358" s="3">
        <v>14</v>
      </c>
      <c r="Q358" s="3">
        <v>16</v>
      </c>
      <c r="R358" s="3">
        <v>15</v>
      </c>
      <c r="S358" s="3">
        <v>17</v>
      </c>
      <c r="T358" s="3">
        <v>23</v>
      </c>
      <c r="U358" s="3">
        <v>26</v>
      </c>
      <c r="V358" s="3">
        <v>12</v>
      </c>
      <c r="W358" s="3">
        <v>13</v>
      </c>
      <c r="X358" s="3">
        <v>12</v>
      </c>
      <c r="Y358" s="3">
        <v>18</v>
      </c>
      <c r="Z358" s="3">
        <v>16</v>
      </c>
      <c r="AA358" s="5">
        <f t="shared" si="5"/>
        <v>197</v>
      </c>
    </row>
    <row r="359" spans="1:27" ht="15" customHeight="1" x14ac:dyDescent="0.2">
      <c r="A359" s="3" t="s">
        <v>767</v>
      </c>
      <c r="B359" s="1" t="s">
        <v>768</v>
      </c>
      <c r="C359" s="3">
        <v>10</v>
      </c>
      <c r="D359" s="3">
        <v>11</v>
      </c>
      <c r="E359" s="3">
        <v>10</v>
      </c>
      <c r="F359" s="3">
        <v>10</v>
      </c>
      <c r="G359" s="3">
        <v>12</v>
      </c>
      <c r="H359" s="3">
        <v>16</v>
      </c>
      <c r="I359" s="3">
        <v>22</v>
      </c>
      <c r="J359" s="3">
        <v>8</v>
      </c>
      <c r="K359" s="3">
        <v>10</v>
      </c>
      <c r="L359" s="3">
        <v>10</v>
      </c>
      <c r="M359" s="3">
        <v>11</v>
      </c>
      <c r="N359" s="3">
        <v>11</v>
      </c>
      <c r="O359" s="3">
        <v>12</v>
      </c>
      <c r="P359" s="3">
        <v>11</v>
      </c>
      <c r="Q359" s="3">
        <v>11</v>
      </c>
      <c r="R359" s="3">
        <v>11</v>
      </c>
      <c r="S359" s="3">
        <v>12</v>
      </c>
      <c r="T359" s="3">
        <v>21</v>
      </c>
      <c r="U359" s="3">
        <v>20</v>
      </c>
      <c r="V359" s="3">
        <v>8</v>
      </c>
      <c r="W359" s="3">
        <v>8</v>
      </c>
      <c r="X359" s="3">
        <v>11</v>
      </c>
      <c r="Y359" s="3">
        <v>12</v>
      </c>
      <c r="Z359" s="3">
        <v>12</v>
      </c>
      <c r="AA359" s="5">
        <f t="shared" si="5"/>
        <v>149</v>
      </c>
    </row>
    <row r="360" spans="1:27" ht="15" customHeight="1" x14ac:dyDescent="0.2">
      <c r="A360" s="3" t="s">
        <v>769</v>
      </c>
      <c r="B360" s="1" t="s">
        <v>770</v>
      </c>
      <c r="C360" s="3">
        <v>14</v>
      </c>
      <c r="D360" s="3">
        <v>16</v>
      </c>
      <c r="E360" s="3">
        <v>15</v>
      </c>
      <c r="F360" s="3">
        <v>15</v>
      </c>
      <c r="G360" s="3">
        <v>14</v>
      </c>
      <c r="H360" s="3">
        <v>24</v>
      </c>
      <c r="I360" s="3">
        <v>29</v>
      </c>
      <c r="J360" s="3">
        <v>10</v>
      </c>
      <c r="K360" s="3">
        <v>13</v>
      </c>
      <c r="L360" s="3">
        <v>15</v>
      </c>
      <c r="M360" s="3">
        <v>14</v>
      </c>
      <c r="N360" s="3">
        <v>18</v>
      </c>
      <c r="O360" s="3">
        <v>14</v>
      </c>
      <c r="P360" s="3">
        <v>16</v>
      </c>
      <c r="Q360" s="3">
        <v>16</v>
      </c>
      <c r="R360" s="3">
        <v>17</v>
      </c>
      <c r="S360" s="3">
        <v>18</v>
      </c>
      <c r="T360" s="3">
        <v>20</v>
      </c>
      <c r="U360" s="3">
        <v>30</v>
      </c>
      <c r="V360" s="3">
        <v>11</v>
      </c>
      <c r="W360" s="3">
        <v>13</v>
      </c>
      <c r="X360" s="3">
        <v>15</v>
      </c>
      <c r="Y360" s="3">
        <v>19</v>
      </c>
      <c r="Z360" s="3">
        <v>14</v>
      </c>
      <c r="AA360" s="5">
        <f t="shared" si="5"/>
        <v>203</v>
      </c>
    </row>
    <row r="361" spans="1:27" ht="15" customHeight="1" x14ac:dyDescent="0.2">
      <c r="A361" s="3" t="s">
        <v>771</v>
      </c>
      <c r="B361" s="1" t="s">
        <v>772</v>
      </c>
      <c r="C361" s="3">
        <v>5</v>
      </c>
      <c r="D361" s="3">
        <v>5</v>
      </c>
      <c r="E361" s="3">
        <v>6</v>
      </c>
      <c r="F361" s="3">
        <v>4</v>
      </c>
      <c r="G361" s="3">
        <v>6</v>
      </c>
      <c r="H361" s="3">
        <v>6</v>
      </c>
      <c r="I361" s="3">
        <v>3</v>
      </c>
      <c r="J361" s="3">
        <v>4</v>
      </c>
      <c r="K361" s="3">
        <v>4</v>
      </c>
      <c r="L361" s="3">
        <v>4</v>
      </c>
      <c r="M361" s="3">
        <v>3</v>
      </c>
      <c r="N361" s="3">
        <v>3</v>
      </c>
      <c r="O361" s="3">
        <v>3</v>
      </c>
      <c r="P361" s="3">
        <v>2</v>
      </c>
      <c r="Q361" s="3">
        <v>2</v>
      </c>
      <c r="R361" s="3">
        <v>1</v>
      </c>
      <c r="S361" s="3">
        <v>2</v>
      </c>
      <c r="T361" s="3">
        <v>2</v>
      </c>
      <c r="U361" s="3">
        <v>1</v>
      </c>
      <c r="V361" s="3">
        <v>1</v>
      </c>
      <c r="W361" s="3">
        <v>1</v>
      </c>
      <c r="X361" s="3">
        <v>1</v>
      </c>
      <c r="Y361" s="3">
        <v>1</v>
      </c>
      <c r="Z361" s="3">
        <v>1</v>
      </c>
      <c r="AA361" s="5">
        <f t="shared" si="5"/>
        <v>18</v>
      </c>
    </row>
    <row r="362" spans="1:27" ht="15" customHeight="1" x14ac:dyDescent="0.2">
      <c r="A362" s="3" t="s">
        <v>773</v>
      </c>
      <c r="B362" s="1" t="s">
        <v>774</v>
      </c>
      <c r="C362" s="3">
        <v>27</v>
      </c>
      <c r="D362" s="3">
        <v>22</v>
      </c>
      <c r="E362" s="3">
        <v>27</v>
      </c>
      <c r="F362" s="3">
        <v>28</v>
      </c>
      <c r="G362" s="3">
        <v>29</v>
      </c>
      <c r="H362" s="3">
        <v>34</v>
      </c>
      <c r="I362" s="3">
        <v>47</v>
      </c>
      <c r="J362" s="3">
        <v>20</v>
      </c>
      <c r="K362" s="3">
        <v>23</v>
      </c>
      <c r="L362" s="3">
        <v>25</v>
      </c>
      <c r="M362" s="3">
        <v>29</v>
      </c>
      <c r="N362" s="3">
        <v>27</v>
      </c>
      <c r="O362" s="3">
        <v>25</v>
      </c>
      <c r="P362" s="3">
        <v>30</v>
      </c>
      <c r="Q362" s="3">
        <v>26</v>
      </c>
      <c r="R362" s="3">
        <v>29</v>
      </c>
      <c r="S362" s="3">
        <v>37</v>
      </c>
      <c r="T362" s="3">
        <v>52</v>
      </c>
      <c r="U362" s="3">
        <v>52</v>
      </c>
      <c r="V362" s="3">
        <v>22</v>
      </c>
      <c r="W362" s="3">
        <v>24</v>
      </c>
      <c r="X362" s="3">
        <v>28</v>
      </c>
      <c r="Y362" s="3">
        <v>29</v>
      </c>
      <c r="Z362" s="3">
        <v>34</v>
      </c>
      <c r="AA362" s="5">
        <f t="shared" si="5"/>
        <v>388</v>
      </c>
    </row>
    <row r="363" spans="1:27" ht="15" customHeight="1" x14ac:dyDescent="0.2">
      <c r="A363" s="3" t="s">
        <v>775</v>
      </c>
      <c r="B363" s="1" t="s">
        <v>776</v>
      </c>
      <c r="C363" s="3">
        <v>27</v>
      </c>
      <c r="D363" s="3">
        <v>30</v>
      </c>
      <c r="E363" s="3">
        <v>34</v>
      </c>
      <c r="F363" s="3">
        <v>32</v>
      </c>
      <c r="G363" s="3">
        <v>37</v>
      </c>
      <c r="H363" s="3">
        <v>58</v>
      </c>
      <c r="I363" s="3">
        <v>67</v>
      </c>
      <c r="J363" s="3">
        <v>30</v>
      </c>
      <c r="K363" s="3">
        <v>32</v>
      </c>
      <c r="L363" s="3">
        <v>41</v>
      </c>
      <c r="M363" s="3">
        <v>40</v>
      </c>
      <c r="N363" s="3">
        <v>34</v>
      </c>
      <c r="O363" s="3">
        <v>34</v>
      </c>
      <c r="P363" s="3">
        <v>35</v>
      </c>
      <c r="Q363" s="3">
        <v>38</v>
      </c>
      <c r="R363" s="3">
        <v>36</v>
      </c>
      <c r="S363" s="3">
        <v>35</v>
      </c>
      <c r="T363" s="3">
        <v>51</v>
      </c>
      <c r="U363" s="3">
        <v>81</v>
      </c>
      <c r="V363" s="3">
        <v>24</v>
      </c>
      <c r="W363" s="3">
        <v>33</v>
      </c>
      <c r="X363" s="3">
        <v>36</v>
      </c>
      <c r="Y363" s="3">
        <v>43</v>
      </c>
      <c r="Z363" s="3">
        <v>41</v>
      </c>
      <c r="AA363" s="5">
        <f t="shared" si="5"/>
        <v>487</v>
      </c>
    </row>
    <row r="364" spans="1:27" ht="15" customHeight="1" x14ac:dyDescent="0.2">
      <c r="A364" s="3" t="s">
        <v>777</v>
      </c>
      <c r="B364" s="1" t="s">
        <v>778</v>
      </c>
      <c r="C364" s="3">
        <v>10</v>
      </c>
      <c r="D364" s="3">
        <v>8</v>
      </c>
      <c r="E364" s="3">
        <v>7</v>
      </c>
      <c r="F364" s="3">
        <v>12</v>
      </c>
      <c r="G364" s="3">
        <v>7</v>
      </c>
      <c r="H364" s="3">
        <v>7</v>
      </c>
      <c r="I364" s="3">
        <v>7</v>
      </c>
      <c r="J364" s="3">
        <v>8</v>
      </c>
      <c r="K364" s="3">
        <v>5</v>
      </c>
      <c r="L364" s="3">
        <v>7</v>
      </c>
      <c r="M364" s="3">
        <v>5</v>
      </c>
      <c r="N364" s="3">
        <v>6</v>
      </c>
      <c r="O364" s="3">
        <v>4</v>
      </c>
      <c r="P364" s="3">
        <v>3</v>
      </c>
      <c r="Q364" s="3">
        <v>4</v>
      </c>
      <c r="R364" s="3">
        <v>4</v>
      </c>
      <c r="S364" s="3">
        <v>2</v>
      </c>
      <c r="T364" s="3">
        <v>2</v>
      </c>
      <c r="U364" s="3">
        <v>2</v>
      </c>
      <c r="V364" s="3">
        <v>2</v>
      </c>
      <c r="W364" s="3">
        <v>1</v>
      </c>
      <c r="X364" s="3">
        <v>1</v>
      </c>
      <c r="Y364" s="3">
        <v>1</v>
      </c>
      <c r="Z364" s="3">
        <v>1</v>
      </c>
      <c r="AA364" s="5">
        <f t="shared" si="5"/>
        <v>27</v>
      </c>
    </row>
    <row r="365" spans="1:27" ht="15" customHeight="1" x14ac:dyDescent="0.2">
      <c r="A365" s="3" t="s">
        <v>779</v>
      </c>
      <c r="B365" s="1" t="s">
        <v>780</v>
      </c>
      <c r="C365" s="3">
        <v>9</v>
      </c>
      <c r="D365" s="3">
        <v>10</v>
      </c>
      <c r="E365" s="3">
        <v>10</v>
      </c>
      <c r="F365" s="3">
        <v>12</v>
      </c>
      <c r="G365" s="3">
        <v>12</v>
      </c>
      <c r="H365" s="3">
        <v>15</v>
      </c>
      <c r="I365" s="3">
        <v>21</v>
      </c>
      <c r="J365" s="3">
        <v>8</v>
      </c>
      <c r="K365" s="3">
        <v>10</v>
      </c>
      <c r="L365" s="3">
        <v>10</v>
      </c>
      <c r="M365" s="3">
        <v>10</v>
      </c>
      <c r="N365" s="3">
        <v>11</v>
      </c>
      <c r="O365" s="3">
        <v>11</v>
      </c>
      <c r="P365" s="3">
        <v>10</v>
      </c>
      <c r="Q365" s="3">
        <v>9</v>
      </c>
      <c r="R365" s="3">
        <v>12</v>
      </c>
      <c r="S365" s="3">
        <v>12</v>
      </c>
      <c r="T365" s="3">
        <v>17</v>
      </c>
      <c r="U365" s="3">
        <v>22</v>
      </c>
      <c r="V365" s="3">
        <v>7</v>
      </c>
      <c r="W365" s="3">
        <v>11</v>
      </c>
      <c r="X365" s="3">
        <v>11</v>
      </c>
      <c r="Y365" s="3">
        <v>12</v>
      </c>
      <c r="Z365" s="3">
        <v>14</v>
      </c>
      <c r="AA365" s="5">
        <f t="shared" si="5"/>
        <v>148</v>
      </c>
    </row>
    <row r="366" spans="1:27" ht="15" customHeight="1" x14ac:dyDescent="0.2">
      <c r="A366" s="3" t="s">
        <v>781</v>
      </c>
      <c r="B366" s="1" t="s">
        <v>782</v>
      </c>
      <c r="C366" s="3">
        <v>74</v>
      </c>
      <c r="D366" s="3">
        <v>98</v>
      </c>
      <c r="E366" s="3">
        <v>76</v>
      </c>
      <c r="F366" s="3">
        <v>76</v>
      </c>
      <c r="G366" s="3">
        <v>92</v>
      </c>
      <c r="H366" s="3">
        <v>108</v>
      </c>
      <c r="I366" s="3">
        <v>167</v>
      </c>
      <c r="J366" s="3">
        <v>60</v>
      </c>
      <c r="K366" s="3">
        <v>65</v>
      </c>
      <c r="L366" s="3">
        <v>74</v>
      </c>
      <c r="M366" s="3">
        <v>67</v>
      </c>
      <c r="N366" s="3">
        <v>75</v>
      </c>
      <c r="O366" s="3">
        <v>84</v>
      </c>
      <c r="P366" s="3">
        <v>96</v>
      </c>
      <c r="Q366" s="3">
        <v>70</v>
      </c>
      <c r="R366" s="3">
        <v>73</v>
      </c>
      <c r="S366" s="3">
        <v>106</v>
      </c>
      <c r="T366" s="3">
        <v>119</v>
      </c>
      <c r="U366" s="3">
        <v>129</v>
      </c>
      <c r="V366" s="3">
        <v>50</v>
      </c>
      <c r="W366" s="3">
        <v>74</v>
      </c>
      <c r="X366" s="3">
        <v>71</v>
      </c>
      <c r="Y366" s="3">
        <v>91</v>
      </c>
      <c r="Z366" s="3">
        <v>93</v>
      </c>
      <c r="AA366" s="5">
        <f t="shared" si="5"/>
        <v>1056</v>
      </c>
    </row>
    <row r="367" spans="1:27" ht="15" customHeight="1" x14ac:dyDescent="0.2">
      <c r="A367" s="3" t="s">
        <v>783</v>
      </c>
      <c r="B367" s="1" t="s">
        <v>784</v>
      </c>
      <c r="C367" s="3">
        <v>21</v>
      </c>
      <c r="D367" s="3">
        <v>15</v>
      </c>
      <c r="E367" s="3">
        <v>16</v>
      </c>
      <c r="F367" s="3">
        <v>19</v>
      </c>
      <c r="G367" s="3">
        <v>19</v>
      </c>
      <c r="H367" s="3">
        <v>27</v>
      </c>
      <c r="I367" s="3">
        <v>31</v>
      </c>
      <c r="J367" s="3">
        <v>14</v>
      </c>
      <c r="K367" s="3">
        <v>14</v>
      </c>
      <c r="L367" s="3">
        <v>17</v>
      </c>
      <c r="M367" s="3">
        <v>19</v>
      </c>
      <c r="N367" s="3">
        <v>23</v>
      </c>
      <c r="O367" s="3">
        <v>16</v>
      </c>
      <c r="P367" s="3">
        <v>18</v>
      </c>
      <c r="Q367" s="3">
        <v>19</v>
      </c>
      <c r="R367" s="3">
        <v>17</v>
      </c>
      <c r="S367" s="3">
        <v>23</v>
      </c>
      <c r="T367" s="3">
        <v>30</v>
      </c>
      <c r="U367" s="3">
        <v>37</v>
      </c>
      <c r="V367" s="3">
        <v>16</v>
      </c>
      <c r="W367" s="3">
        <v>15</v>
      </c>
      <c r="X367" s="3">
        <v>16</v>
      </c>
      <c r="Y367" s="3">
        <v>20</v>
      </c>
      <c r="Z367" s="3">
        <v>20</v>
      </c>
      <c r="AA367" s="5">
        <f t="shared" si="5"/>
        <v>247</v>
      </c>
    </row>
    <row r="368" spans="1:27" ht="15" customHeight="1" x14ac:dyDescent="0.2">
      <c r="A368" s="3" t="s">
        <v>785</v>
      </c>
      <c r="B368" s="1" t="s">
        <v>786</v>
      </c>
      <c r="C368" s="3">
        <v>52</v>
      </c>
      <c r="D368" s="3">
        <v>55</v>
      </c>
      <c r="E368" s="3">
        <v>65</v>
      </c>
      <c r="F368" s="3">
        <v>52</v>
      </c>
      <c r="G368" s="3">
        <v>62</v>
      </c>
      <c r="H368" s="3">
        <v>69</v>
      </c>
      <c r="I368" s="3">
        <v>115</v>
      </c>
      <c r="J368" s="3">
        <v>43</v>
      </c>
      <c r="K368" s="3">
        <v>48</v>
      </c>
      <c r="L368" s="3">
        <v>55</v>
      </c>
      <c r="M368" s="3">
        <v>60</v>
      </c>
      <c r="N368" s="3">
        <v>63</v>
      </c>
      <c r="O368" s="3">
        <v>59</v>
      </c>
      <c r="P368" s="3">
        <v>60</v>
      </c>
      <c r="Q368" s="3">
        <v>64</v>
      </c>
      <c r="R368" s="3">
        <v>68</v>
      </c>
      <c r="S368" s="3">
        <v>62</v>
      </c>
      <c r="T368" s="3">
        <v>94</v>
      </c>
      <c r="U368" s="3">
        <v>112</v>
      </c>
      <c r="V368" s="3">
        <v>38</v>
      </c>
      <c r="W368" s="3">
        <v>47</v>
      </c>
      <c r="X368" s="3">
        <v>55</v>
      </c>
      <c r="Y368" s="3">
        <v>64</v>
      </c>
      <c r="Z368" s="3">
        <v>47</v>
      </c>
      <c r="AA368" s="5">
        <f t="shared" si="5"/>
        <v>770</v>
      </c>
    </row>
    <row r="369" spans="1:27" ht="15" customHeight="1" x14ac:dyDescent="0.2">
      <c r="A369" s="3" t="s">
        <v>787</v>
      </c>
      <c r="B369" s="1" t="s">
        <v>788</v>
      </c>
      <c r="C369" s="3">
        <v>13</v>
      </c>
      <c r="D369" s="3">
        <v>17</v>
      </c>
      <c r="E369" s="3">
        <v>13</v>
      </c>
      <c r="F369" s="3">
        <v>14</v>
      </c>
      <c r="G369" s="3">
        <v>16</v>
      </c>
      <c r="H369" s="3">
        <v>20</v>
      </c>
      <c r="I369" s="3">
        <v>25</v>
      </c>
      <c r="J369" s="3">
        <v>10</v>
      </c>
      <c r="K369" s="3">
        <v>11</v>
      </c>
      <c r="L369" s="3">
        <v>15</v>
      </c>
      <c r="M369" s="3">
        <v>15</v>
      </c>
      <c r="N369" s="3">
        <v>15</v>
      </c>
      <c r="O369" s="3">
        <v>14</v>
      </c>
      <c r="P369" s="3">
        <v>16</v>
      </c>
      <c r="Q369" s="3">
        <v>11</v>
      </c>
      <c r="R369" s="3">
        <v>14</v>
      </c>
      <c r="S369" s="3">
        <v>17</v>
      </c>
      <c r="T369" s="3">
        <v>23</v>
      </c>
      <c r="U369" s="3">
        <v>31</v>
      </c>
      <c r="V369" s="3">
        <v>11</v>
      </c>
      <c r="W369" s="3">
        <v>12</v>
      </c>
      <c r="X369" s="3">
        <v>13</v>
      </c>
      <c r="Y369" s="3">
        <v>16</v>
      </c>
      <c r="Z369" s="3">
        <v>13</v>
      </c>
      <c r="AA369" s="5">
        <f t="shared" si="5"/>
        <v>191</v>
      </c>
    </row>
    <row r="370" spans="1:27" ht="15" customHeight="1" x14ac:dyDescent="0.2">
      <c r="A370" s="3" t="s">
        <v>789</v>
      </c>
      <c r="B370" s="1" t="s">
        <v>790</v>
      </c>
      <c r="C370" s="3">
        <v>11</v>
      </c>
      <c r="D370" s="3">
        <v>10</v>
      </c>
      <c r="E370" s="3">
        <v>10</v>
      </c>
      <c r="F370" s="3">
        <v>12</v>
      </c>
      <c r="G370" s="3">
        <v>16</v>
      </c>
      <c r="H370" s="3">
        <v>20</v>
      </c>
      <c r="I370" s="3">
        <v>20</v>
      </c>
      <c r="J370" s="3">
        <v>7</v>
      </c>
      <c r="K370" s="3">
        <v>10</v>
      </c>
      <c r="L370" s="3">
        <v>10</v>
      </c>
      <c r="M370" s="3">
        <v>11</v>
      </c>
      <c r="N370" s="3">
        <v>12</v>
      </c>
      <c r="O370" s="3">
        <v>10</v>
      </c>
      <c r="P370" s="3">
        <v>10</v>
      </c>
      <c r="Q370" s="3">
        <v>11</v>
      </c>
      <c r="R370" s="3">
        <v>11</v>
      </c>
      <c r="S370" s="3">
        <v>14</v>
      </c>
      <c r="T370" s="3">
        <v>20</v>
      </c>
      <c r="U370" s="3">
        <v>22</v>
      </c>
      <c r="V370" s="3">
        <v>8</v>
      </c>
      <c r="W370" s="3">
        <v>10</v>
      </c>
      <c r="X370" s="3">
        <v>12</v>
      </c>
      <c r="Y370" s="3">
        <v>11</v>
      </c>
      <c r="Z370" s="3">
        <v>13</v>
      </c>
      <c r="AA370" s="5">
        <f t="shared" si="5"/>
        <v>152</v>
      </c>
    </row>
    <row r="371" spans="1:27" ht="15" customHeight="1" x14ac:dyDescent="0.2">
      <c r="A371" s="3" t="s">
        <v>791</v>
      </c>
      <c r="B371" s="1" t="s">
        <v>792</v>
      </c>
      <c r="C371" s="3">
        <v>5</v>
      </c>
      <c r="D371" s="3">
        <v>26</v>
      </c>
      <c r="E371" s="3">
        <v>5</v>
      </c>
      <c r="F371" s="3">
        <v>4</v>
      </c>
      <c r="G371" s="3">
        <v>6</v>
      </c>
      <c r="H371" s="3">
        <v>6</v>
      </c>
      <c r="I371" s="3">
        <v>5</v>
      </c>
      <c r="J371" s="3">
        <v>6</v>
      </c>
      <c r="K371" s="3">
        <v>5</v>
      </c>
      <c r="L371" s="3">
        <v>8</v>
      </c>
      <c r="M371" s="3">
        <v>4</v>
      </c>
      <c r="N371" s="3">
        <v>21</v>
      </c>
      <c r="O371" s="3">
        <v>5</v>
      </c>
      <c r="P371" s="3">
        <v>6</v>
      </c>
      <c r="Q371" s="3">
        <v>5</v>
      </c>
      <c r="R371" s="3">
        <v>5</v>
      </c>
      <c r="S371" s="3">
        <v>5</v>
      </c>
      <c r="T371" s="3">
        <v>6</v>
      </c>
      <c r="U371" s="3">
        <v>6</v>
      </c>
      <c r="V371" s="3">
        <v>7</v>
      </c>
      <c r="W371" s="3">
        <v>6</v>
      </c>
      <c r="X371" s="3">
        <v>4</v>
      </c>
      <c r="Y371" s="3">
        <v>26</v>
      </c>
      <c r="Z371" s="3">
        <v>6</v>
      </c>
      <c r="AA371" s="5">
        <f t="shared" si="5"/>
        <v>87</v>
      </c>
    </row>
    <row r="372" spans="1:27" ht="15" customHeight="1" x14ac:dyDescent="0.2">
      <c r="A372" s="3" t="s">
        <v>793</v>
      </c>
      <c r="B372" s="1" t="s">
        <v>794</v>
      </c>
      <c r="C372" s="3">
        <v>81</v>
      </c>
      <c r="D372" s="3">
        <v>84</v>
      </c>
      <c r="E372" s="3">
        <v>62</v>
      </c>
      <c r="F372" s="3">
        <v>86</v>
      </c>
      <c r="G372" s="3">
        <v>105</v>
      </c>
      <c r="H372" s="3">
        <v>124</v>
      </c>
      <c r="I372" s="3">
        <v>152</v>
      </c>
      <c r="J372" s="3">
        <v>64</v>
      </c>
      <c r="K372" s="3">
        <v>77</v>
      </c>
      <c r="L372" s="3">
        <v>82</v>
      </c>
      <c r="M372" s="3">
        <v>88</v>
      </c>
      <c r="N372" s="3">
        <v>80</v>
      </c>
      <c r="O372" s="3">
        <v>88</v>
      </c>
      <c r="P372" s="3">
        <v>86</v>
      </c>
      <c r="Q372" s="3">
        <v>93</v>
      </c>
      <c r="R372" s="3">
        <v>100</v>
      </c>
      <c r="S372" s="3">
        <v>111</v>
      </c>
      <c r="T372" s="3">
        <v>131</v>
      </c>
      <c r="U372" s="3">
        <v>156</v>
      </c>
      <c r="V372" s="3">
        <v>74</v>
      </c>
      <c r="W372" s="3">
        <v>84</v>
      </c>
      <c r="X372" s="3">
        <v>93</v>
      </c>
      <c r="Y372" s="3">
        <v>86</v>
      </c>
      <c r="Z372" s="3">
        <v>102</v>
      </c>
      <c r="AA372" s="5">
        <f t="shared" si="5"/>
        <v>1204</v>
      </c>
    </row>
    <row r="373" spans="1:27" ht="15" customHeight="1" x14ac:dyDescent="0.2">
      <c r="A373" s="3" t="s">
        <v>795</v>
      </c>
      <c r="B373" s="1" t="s">
        <v>796</v>
      </c>
      <c r="C373" s="3">
        <v>35</v>
      </c>
      <c r="D373" s="3">
        <v>37</v>
      </c>
      <c r="E373" s="3">
        <v>36</v>
      </c>
      <c r="F373" s="3">
        <v>37</v>
      </c>
      <c r="G373" s="3">
        <v>39</v>
      </c>
      <c r="H373" s="3">
        <v>56</v>
      </c>
      <c r="I373" s="3">
        <v>76</v>
      </c>
      <c r="J373" s="3">
        <v>26</v>
      </c>
      <c r="K373" s="3">
        <v>31</v>
      </c>
      <c r="L373" s="3">
        <v>33</v>
      </c>
      <c r="M373" s="3">
        <v>33</v>
      </c>
      <c r="N373" s="3">
        <v>36</v>
      </c>
      <c r="O373" s="3">
        <v>36</v>
      </c>
      <c r="P373" s="3">
        <v>32</v>
      </c>
      <c r="Q373" s="3">
        <v>33</v>
      </c>
      <c r="R373" s="3">
        <v>31</v>
      </c>
      <c r="S373" s="3">
        <v>40</v>
      </c>
      <c r="T373" s="3">
        <v>53</v>
      </c>
      <c r="U373" s="3">
        <v>70</v>
      </c>
      <c r="V373" s="3">
        <v>23</v>
      </c>
      <c r="W373" s="3">
        <v>33</v>
      </c>
      <c r="X373" s="3">
        <v>37</v>
      </c>
      <c r="Y373" s="3">
        <v>39</v>
      </c>
      <c r="Z373" s="3">
        <v>42</v>
      </c>
      <c r="AA373" s="5">
        <f t="shared" si="5"/>
        <v>469</v>
      </c>
    </row>
    <row r="374" spans="1:27" ht="15" customHeight="1" x14ac:dyDescent="0.2">
      <c r="A374" s="3" t="s">
        <v>797</v>
      </c>
      <c r="B374" s="1" t="s">
        <v>798</v>
      </c>
      <c r="C374" s="3">
        <v>3</v>
      </c>
      <c r="D374" s="3">
        <v>4</v>
      </c>
      <c r="E374" s="3">
        <v>4</v>
      </c>
      <c r="F374" s="3">
        <v>4</v>
      </c>
      <c r="G374" s="3">
        <v>4</v>
      </c>
      <c r="H374" s="3">
        <v>6</v>
      </c>
      <c r="I374" s="3">
        <v>7</v>
      </c>
      <c r="J374" s="3">
        <v>3</v>
      </c>
      <c r="K374" s="3">
        <v>3</v>
      </c>
      <c r="L374" s="3">
        <v>3</v>
      </c>
      <c r="M374" s="3">
        <v>4</v>
      </c>
      <c r="N374" s="3">
        <v>4</v>
      </c>
      <c r="O374" s="3">
        <v>4</v>
      </c>
      <c r="P374" s="3">
        <v>5</v>
      </c>
      <c r="Q374" s="3">
        <v>4</v>
      </c>
      <c r="R374" s="3">
        <v>4</v>
      </c>
      <c r="S374" s="3">
        <v>5</v>
      </c>
      <c r="T374" s="3">
        <v>6</v>
      </c>
      <c r="U374" s="3">
        <v>8</v>
      </c>
      <c r="V374" s="3">
        <v>3</v>
      </c>
      <c r="W374" s="3">
        <v>4</v>
      </c>
      <c r="X374" s="3">
        <v>4</v>
      </c>
      <c r="Y374" s="3">
        <v>4</v>
      </c>
      <c r="Z374" s="3">
        <v>4</v>
      </c>
      <c r="AA374" s="5">
        <f t="shared" si="5"/>
        <v>55</v>
      </c>
    </row>
    <row r="375" spans="1:27" ht="15" customHeight="1" x14ac:dyDescent="0.2">
      <c r="A375" s="3" t="s">
        <v>799</v>
      </c>
      <c r="B375" s="1" t="s">
        <v>800</v>
      </c>
      <c r="C375" s="3">
        <v>3</v>
      </c>
      <c r="D375" s="3">
        <v>4</v>
      </c>
      <c r="E375" s="3">
        <v>4</v>
      </c>
      <c r="F375" s="3">
        <v>4</v>
      </c>
      <c r="G375" s="3">
        <v>5</v>
      </c>
      <c r="H375" s="3">
        <v>6</v>
      </c>
      <c r="I375" s="3">
        <v>5</v>
      </c>
      <c r="J375" s="3">
        <v>2</v>
      </c>
      <c r="K375" s="3">
        <v>4</v>
      </c>
      <c r="L375" s="3">
        <v>4</v>
      </c>
      <c r="M375" s="3">
        <v>4</v>
      </c>
      <c r="N375" s="3">
        <v>4</v>
      </c>
      <c r="O375" s="3">
        <v>4</v>
      </c>
      <c r="P375" s="3">
        <v>4</v>
      </c>
      <c r="Q375" s="3">
        <v>3</v>
      </c>
      <c r="R375" s="3">
        <v>5</v>
      </c>
      <c r="S375" s="3">
        <v>5</v>
      </c>
      <c r="T375" s="3">
        <v>6</v>
      </c>
      <c r="U375" s="3">
        <v>6</v>
      </c>
      <c r="V375" s="3">
        <v>3</v>
      </c>
      <c r="W375" s="3">
        <v>3</v>
      </c>
      <c r="X375" s="3">
        <v>4</v>
      </c>
      <c r="Y375" s="3">
        <v>4</v>
      </c>
      <c r="Z375" s="3">
        <v>5</v>
      </c>
      <c r="AA375" s="5">
        <f t="shared" si="5"/>
        <v>52</v>
      </c>
    </row>
    <row r="376" spans="1:27" ht="15" customHeight="1" x14ac:dyDescent="0.2">
      <c r="A376" s="3" t="s">
        <v>801</v>
      </c>
      <c r="B376" s="1" t="s">
        <v>802</v>
      </c>
      <c r="C376" s="3">
        <v>4</v>
      </c>
      <c r="D376" s="3">
        <v>4</v>
      </c>
      <c r="E376" s="3">
        <v>4</v>
      </c>
      <c r="F376" s="3">
        <v>4</v>
      </c>
      <c r="G376" s="3">
        <v>4</v>
      </c>
      <c r="H376" s="3">
        <v>6</v>
      </c>
      <c r="I376" s="3">
        <v>8</v>
      </c>
      <c r="J376" s="3">
        <v>3</v>
      </c>
      <c r="K376" s="3">
        <v>3</v>
      </c>
      <c r="L376" s="3">
        <v>4</v>
      </c>
      <c r="M376" s="3">
        <v>3</v>
      </c>
      <c r="N376" s="3">
        <v>4</v>
      </c>
      <c r="O376" s="3">
        <v>4</v>
      </c>
      <c r="P376" s="3">
        <v>4</v>
      </c>
      <c r="Q376" s="3">
        <v>4</v>
      </c>
      <c r="R376" s="3">
        <v>4</v>
      </c>
      <c r="S376" s="3">
        <v>5</v>
      </c>
      <c r="T376" s="3">
        <v>6</v>
      </c>
      <c r="U376" s="3">
        <v>7</v>
      </c>
      <c r="V376" s="3">
        <v>3</v>
      </c>
      <c r="W376" s="3">
        <v>4</v>
      </c>
      <c r="X376" s="3">
        <v>4</v>
      </c>
      <c r="Y376" s="3">
        <v>4</v>
      </c>
      <c r="Z376" s="3">
        <v>4</v>
      </c>
      <c r="AA376" s="5">
        <f t="shared" si="5"/>
        <v>53</v>
      </c>
    </row>
    <row r="377" spans="1:27" ht="15" customHeight="1" x14ac:dyDescent="0.2">
      <c r="A377" s="3" t="s">
        <v>803</v>
      </c>
      <c r="B377" s="1" t="s">
        <v>804</v>
      </c>
      <c r="C377" s="3">
        <v>30</v>
      </c>
      <c r="D377" s="3">
        <v>24</v>
      </c>
      <c r="E377" s="3">
        <v>18</v>
      </c>
      <c r="F377" s="3">
        <v>27</v>
      </c>
      <c r="G377" s="3">
        <v>30</v>
      </c>
      <c r="H377" s="3">
        <v>42</v>
      </c>
      <c r="I377" s="3">
        <v>46</v>
      </c>
      <c r="J377" s="3">
        <v>18</v>
      </c>
      <c r="K377" s="3">
        <v>25</v>
      </c>
      <c r="L377" s="3">
        <v>24</v>
      </c>
      <c r="M377" s="3">
        <v>29</v>
      </c>
      <c r="N377" s="3">
        <v>32</v>
      </c>
      <c r="O377" s="3">
        <v>24</v>
      </c>
      <c r="P377" s="3">
        <v>26</v>
      </c>
      <c r="Q377" s="3">
        <v>26</v>
      </c>
      <c r="R377" s="3">
        <v>27</v>
      </c>
      <c r="S377" s="3">
        <v>35</v>
      </c>
      <c r="T377" s="3">
        <v>37</v>
      </c>
      <c r="U377" s="3">
        <v>52</v>
      </c>
      <c r="V377" s="3">
        <v>19</v>
      </c>
      <c r="W377" s="3">
        <v>24</v>
      </c>
      <c r="X377" s="3">
        <v>32</v>
      </c>
      <c r="Y377" s="3">
        <v>31</v>
      </c>
      <c r="Z377" s="3">
        <v>35</v>
      </c>
      <c r="AA377" s="5">
        <f t="shared" si="5"/>
        <v>368</v>
      </c>
    </row>
    <row r="378" spans="1:27" ht="15" customHeight="1" x14ac:dyDescent="0.2">
      <c r="A378" s="3" t="s">
        <v>805</v>
      </c>
      <c r="B378" s="1" t="s">
        <v>806</v>
      </c>
      <c r="C378" s="3">
        <v>16</v>
      </c>
      <c r="D378" s="3">
        <v>16</v>
      </c>
      <c r="E378" s="3">
        <v>13</v>
      </c>
      <c r="F378" s="3">
        <v>12</v>
      </c>
      <c r="G378" s="3">
        <v>14</v>
      </c>
      <c r="H378" s="3">
        <v>24</v>
      </c>
      <c r="I378" s="3">
        <v>26</v>
      </c>
      <c r="J378" s="3">
        <v>12</v>
      </c>
      <c r="K378" s="3">
        <v>11</v>
      </c>
      <c r="L378" s="3">
        <v>12</v>
      </c>
      <c r="M378" s="3">
        <v>14</v>
      </c>
      <c r="N378" s="3">
        <v>16</v>
      </c>
      <c r="O378" s="3">
        <v>15</v>
      </c>
      <c r="P378" s="3">
        <v>19</v>
      </c>
      <c r="Q378" s="3">
        <v>15</v>
      </c>
      <c r="R378" s="3">
        <v>13</v>
      </c>
      <c r="S378" s="3">
        <v>20</v>
      </c>
      <c r="T378" s="3">
        <v>20</v>
      </c>
      <c r="U378" s="3">
        <v>23</v>
      </c>
      <c r="V378" s="3">
        <v>11</v>
      </c>
      <c r="W378" s="3">
        <v>16</v>
      </c>
      <c r="X378" s="3">
        <v>14</v>
      </c>
      <c r="Y378" s="3">
        <v>18</v>
      </c>
      <c r="Z378" s="3">
        <v>19</v>
      </c>
      <c r="AA378" s="5">
        <f t="shared" si="5"/>
        <v>203</v>
      </c>
    </row>
    <row r="379" spans="1:27" ht="15" customHeight="1" x14ac:dyDescent="0.2">
      <c r="A379" s="3" t="s">
        <v>807</v>
      </c>
      <c r="B379" s="1" t="s">
        <v>808</v>
      </c>
      <c r="C379" s="3">
        <v>4</v>
      </c>
      <c r="D379" s="3">
        <v>4</v>
      </c>
      <c r="E379" s="3">
        <v>5</v>
      </c>
      <c r="F379" s="3">
        <v>5</v>
      </c>
      <c r="G379" s="3">
        <v>4</v>
      </c>
      <c r="H379" s="3">
        <v>6</v>
      </c>
      <c r="I379" s="3">
        <v>8</v>
      </c>
      <c r="J379" s="3">
        <v>4</v>
      </c>
      <c r="K379" s="3">
        <v>4</v>
      </c>
      <c r="L379" s="3">
        <v>5</v>
      </c>
      <c r="M379" s="3">
        <v>4</v>
      </c>
      <c r="N379" s="3">
        <v>4</v>
      </c>
      <c r="O379" s="3">
        <v>5</v>
      </c>
      <c r="P379" s="3">
        <v>5</v>
      </c>
      <c r="Q379" s="3">
        <v>5</v>
      </c>
      <c r="R379" s="3">
        <v>5</v>
      </c>
      <c r="S379" s="3">
        <v>5</v>
      </c>
      <c r="T379" s="3">
        <v>6</v>
      </c>
      <c r="U379" s="3">
        <v>9</v>
      </c>
      <c r="V379" s="3">
        <v>3</v>
      </c>
      <c r="W379" s="3">
        <v>4</v>
      </c>
      <c r="X379" s="3">
        <v>4</v>
      </c>
      <c r="Y379" s="3">
        <v>5</v>
      </c>
      <c r="Z379" s="3">
        <v>4</v>
      </c>
      <c r="AA379" s="5">
        <f t="shared" si="5"/>
        <v>60</v>
      </c>
    </row>
    <row r="380" spans="1:27" ht="15" customHeight="1" x14ac:dyDescent="0.2">
      <c r="A380" s="3" t="s">
        <v>809</v>
      </c>
      <c r="B380" s="1" t="s">
        <v>810</v>
      </c>
      <c r="C380" s="3">
        <v>3</v>
      </c>
      <c r="D380" s="3">
        <v>3</v>
      </c>
      <c r="E380" s="3">
        <v>3</v>
      </c>
      <c r="F380" s="3">
        <v>3</v>
      </c>
      <c r="G380" s="3">
        <v>4</v>
      </c>
      <c r="H380" s="3">
        <v>4</v>
      </c>
      <c r="I380" s="3">
        <v>5</v>
      </c>
      <c r="J380" s="3">
        <v>2</v>
      </c>
      <c r="K380" s="3">
        <v>2</v>
      </c>
      <c r="L380" s="3">
        <v>3</v>
      </c>
      <c r="M380" s="3">
        <v>4</v>
      </c>
      <c r="N380" s="3">
        <v>3</v>
      </c>
      <c r="O380" s="3">
        <v>3</v>
      </c>
      <c r="P380" s="3">
        <v>3</v>
      </c>
      <c r="Q380" s="3">
        <v>3</v>
      </c>
      <c r="R380" s="3">
        <v>3</v>
      </c>
      <c r="S380" s="3">
        <v>4</v>
      </c>
      <c r="T380" s="3">
        <v>5</v>
      </c>
      <c r="U380" s="3">
        <v>6</v>
      </c>
      <c r="V380" s="3">
        <v>2</v>
      </c>
      <c r="W380" s="3">
        <v>3</v>
      </c>
      <c r="X380" s="3">
        <v>3</v>
      </c>
      <c r="Y380" s="3">
        <v>3</v>
      </c>
      <c r="Z380" s="3">
        <v>3</v>
      </c>
      <c r="AA380" s="5">
        <f t="shared" si="5"/>
        <v>41</v>
      </c>
    </row>
    <row r="381" spans="1:27" ht="15" customHeight="1" x14ac:dyDescent="0.2">
      <c r="A381" s="3" t="s">
        <v>811</v>
      </c>
      <c r="B381" s="1" t="s">
        <v>812</v>
      </c>
      <c r="C381" s="3">
        <v>8</v>
      </c>
      <c r="D381" s="3">
        <v>9</v>
      </c>
      <c r="E381" s="3">
        <v>8</v>
      </c>
      <c r="F381" s="3">
        <v>10</v>
      </c>
      <c r="G381" s="3">
        <v>9</v>
      </c>
      <c r="H381" s="3">
        <v>14</v>
      </c>
      <c r="I381" s="3">
        <v>14</v>
      </c>
      <c r="J381" s="3">
        <v>8</v>
      </c>
      <c r="K381" s="3">
        <v>7</v>
      </c>
      <c r="L381" s="3">
        <v>8</v>
      </c>
      <c r="M381" s="3">
        <v>9</v>
      </c>
      <c r="N381" s="3">
        <v>8</v>
      </c>
      <c r="O381" s="3">
        <v>7</v>
      </c>
      <c r="P381" s="3">
        <v>10</v>
      </c>
      <c r="Q381" s="3">
        <v>10</v>
      </c>
      <c r="R381" s="3">
        <v>10</v>
      </c>
      <c r="S381" s="3">
        <v>13</v>
      </c>
      <c r="T381" s="3">
        <v>14</v>
      </c>
      <c r="U381" s="3">
        <v>18</v>
      </c>
      <c r="V381" s="3">
        <v>7</v>
      </c>
      <c r="W381" s="3">
        <v>8</v>
      </c>
      <c r="X381" s="3">
        <v>9</v>
      </c>
      <c r="Y381" s="3">
        <v>10</v>
      </c>
      <c r="Z381" s="3">
        <v>11</v>
      </c>
      <c r="AA381" s="5">
        <f t="shared" si="5"/>
        <v>127</v>
      </c>
    </row>
    <row r="382" spans="1:27" ht="15" customHeight="1" x14ac:dyDescent="0.2">
      <c r="A382" s="3" t="s">
        <v>813</v>
      </c>
      <c r="B382" s="1" t="s">
        <v>814</v>
      </c>
      <c r="C382" s="3">
        <v>5</v>
      </c>
      <c r="D382" s="3">
        <v>5</v>
      </c>
      <c r="E382" s="3">
        <v>4</v>
      </c>
      <c r="F382" s="3">
        <v>4</v>
      </c>
      <c r="G382" s="3">
        <v>7</v>
      </c>
      <c r="H382" s="3">
        <v>9</v>
      </c>
      <c r="I382" s="3">
        <v>9</v>
      </c>
      <c r="J382" s="3">
        <v>3</v>
      </c>
      <c r="K382" s="3">
        <v>4</v>
      </c>
      <c r="L382" s="3">
        <v>4</v>
      </c>
      <c r="M382" s="3">
        <v>5</v>
      </c>
      <c r="N382" s="3">
        <v>5</v>
      </c>
      <c r="O382" s="3">
        <v>5</v>
      </c>
      <c r="P382" s="3">
        <v>4</v>
      </c>
      <c r="Q382" s="3">
        <v>5</v>
      </c>
      <c r="R382" s="3">
        <v>5</v>
      </c>
      <c r="S382" s="3">
        <v>7</v>
      </c>
      <c r="T382" s="3">
        <v>8</v>
      </c>
      <c r="U382" s="3">
        <v>9</v>
      </c>
      <c r="V382" s="3">
        <v>4</v>
      </c>
      <c r="W382" s="3">
        <v>4</v>
      </c>
      <c r="X382" s="3">
        <v>5</v>
      </c>
      <c r="Y382" s="3">
        <v>5</v>
      </c>
      <c r="Z382" s="3">
        <v>5</v>
      </c>
      <c r="AA382" s="5">
        <f t="shared" si="5"/>
        <v>66</v>
      </c>
    </row>
    <row r="383" spans="1:27" ht="15" customHeight="1" x14ac:dyDescent="0.2">
      <c r="A383" s="3" t="s">
        <v>815</v>
      </c>
      <c r="B383" s="1" t="s">
        <v>816</v>
      </c>
      <c r="C383" s="3">
        <v>8</v>
      </c>
      <c r="D383" s="3">
        <v>10</v>
      </c>
      <c r="E383" s="3">
        <v>8</v>
      </c>
      <c r="F383" s="3">
        <v>8</v>
      </c>
      <c r="G383" s="3">
        <v>8</v>
      </c>
      <c r="H383" s="3">
        <v>10</v>
      </c>
      <c r="I383" s="3">
        <v>13</v>
      </c>
      <c r="J383" s="3">
        <v>7</v>
      </c>
      <c r="K383" s="3">
        <v>8</v>
      </c>
      <c r="L383" s="3">
        <v>7</v>
      </c>
      <c r="M383" s="3">
        <v>7</v>
      </c>
      <c r="N383" s="3">
        <v>8</v>
      </c>
      <c r="O383" s="3">
        <v>7</v>
      </c>
      <c r="P383" s="3">
        <v>8</v>
      </c>
      <c r="Q383" s="3">
        <v>8</v>
      </c>
      <c r="R383" s="3">
        <v>9</v>
      </c>
      <c r="S383" s="3">
        <v>9</v>
      </c>
      <c r="T383" s="3">
        <v>13</v>
      </c>
      <c r="U383" s="3">
        <v>14</v>
      </c>
      <c r="V383" s="3">
        <v>5</v>
      </c>
      <c r="W383" s="3">
        <v>8</v>
      </c>
      <c r="X383" s="3">
        <v>9</v>
      </c>
      <c r="Y383" s="3">
        <v>8</v>
      </c>
      <c r="Z383" s="3">
        <v>9</v>
      </c>
      <c r="AA383" s="5">
        <f t="shared" si="5"/>
        <v>107</v>
      </c>
    </row>
    <row r="384" spans="1:27" ht="15" customHeight="1" x14ac:dyDescent="0.2">
      <c r="A384" s="3" t="s">
        <v>817</v>
      </c>
      <c r="B384" s="1" t="s">
        <v>818</v>
      </c>
      <c r="C384" s="3">
        <v>62</v>
      </c>
      <c r="D384" s="3">
        <v>66</v>
      </c>
      <c r="E384" s="3">
        <v>84</v>
      </c>
      <c r="F384" s="3">
        <v>64</v>
      </c>
      <c r="G384" s="3">
        <v>77</v>
      </c>
      <c r="H384" s="3">
        <v>81</v>
      </c>
      <c r="I384" s="3">
        <v>128</v>
      </c>
      <c r="J384" s="3">
        <v>55</v>
      </c>
      <c r="K384" s="3">
        <v>56</v>
      </c>
      <c r="L384" s="3">
        <v>72</v>
      </c>
      <c r="M384" s="3">
        <v>70</v>
      </c>
      <c r="N384" s="3">
        <v>76</v>
      </c>
      <c r="O384" s="3">
        <v>72</v>
      </c>
      <c r="P384" s="3">
        <v>69</v>
      </c>
      <c r="Q384" s="3">
        <v>67</v>
      </c>
      <c r="R384" s="3">
        <v>67</v>
      </c>
      <c r="S384" s="3">
        <v>87</v>
      </c>
      <c r="T384" s="3">
        <v>119</v>
      </c>
      <c r="U384" s="3">
        <v>141</v>
      </c>
      <c r="V384" s="3">
        <v>60</v>
      </c>
      <c r="W384" s="3">
        <v>75</v>
      </c>
      <c r="X384" s="3">
        <v>67</v>
      </c>
      <c r="Y384" s="3">
        <v>73</v>
      </c>
      <c r="Z384" s="3">
        <v>88</v>
      </c>
      <c r="AA384" s="5">
        <f t="shared" si="5"/>
        <v>985</v>
      </c>
    </row>
    <row r="385" spans="1:27" ht="15" customHeight="1" x14ac:dyDescent="0.2">
      <c r="A385" s="3" t="s">
        <v>819</v>
      </c>
      <c r="B385" s="1" t="s">
        <v>820</v>
      </c>
      <c r="C385" s="3">
        <v>100</v>
      </c>
      <c r="D385" s="3">
        <v>87</v>
      </c>
      <c r="E385" s="3">
        <v>90</v>
      </c>
      <c r="F385" s="3">
        <v>88</v>
      </c>
      <c r="G385" s="3">
        <v>102</v>
      </c>
      <c r="H385" s="3">
        <v>118</v>
      </c>
      <c r="I385" s="3">
        <v>155</v>
      </c>
      <c r="J385" s="3">
        <v>72</v>
      </c>
      <c r="K385" s="3">
        <v>70</v>
      </c>
      <c r="L385" s="3">
        <v>83</v>
      </c>
      <c r="M385" s="3">
        <v>98</v>
      </c>
      <c r="N385" s="3">
        <v>90</v>
      </c>
      <c r="O385" s="3">
        <v>89</v>
      </c>
      <c r="P385" s="3">
        <v>99</v>
      </c>
      <c r="Q385" s="3">
        <v>86</v>
      </c>
      <c r="R385" s="3">
        <v>100</v>
      </c>
      <c r="S385" s="3">
        <v>106</v>
      </c>
      <c r="T385" s="3">
        <v>148</v>
      </c>
      <c r="U385" s="3">
        <v>151</v>
      </c>
      <c r="V385" s="3">
        <v>72</v>
      </c>
      <c r="W385" s="3">
        <v>95</v>
      </c>
      <c r="X385" s="3">
        <v>97</v>
      </c>
      <c r="Y385" s="3">
        <v>83</v>
      </c>
      <c r="Z385" s="3">
        <v>104</v>
      </c>
      <c r="AA385" s="5">
        <f t="shared" si="5"/>
        <v>1230</v>
      </c>
    </row>
    <row r="386" spans="1:27" ht="15" customHeight="1" x14ac:dyDescent="0.2">
      <c r="A386" s="3" t="s">
        <v>821</v>
      </c>
      <c r="B386" s="1" t="s">
        <v>822</v>
      </c>
      <c r="C386" s="3">
        <v>3</v>
      </c>
      <c r="D386" s="3">
        <v>3</v>
      </c>
      <c r="E386" s="3">
        <v>3</v>
      </c>
      <c r="F386" s="3">
        <v>3</v>
      </c>
      <c r="G386" s="3">
        <v>4</v>
      </c>
      <c r="H386" s="3">
        <v>5</v>
      </c>
      <c r="I386" s="3">
        <v>5</v>
      </c>
      <c r="J386" s="3">
        <v>2</v>
      </c>
      <c r="K386" s="3">
        <v>2</v>
      </c>
      <c r="L386" s="3">
        <v>3</v>
      </c>
      <c r="M386" s="3">
        <v>3</v>
      </c>
      <c r="N386" s="3">
        <v>3</v>
      </c>
      <c r="O386" s="3">
        <v>3</v>
      </c>
      <c r="P386" s="3">
        <v>3</v>
      </c>
      <c r="Q386" s="3">
        <v>3</v>
      </c>
      <c r="R386" s="3">
        <v>3</v>
      </c>
      <c r="S386" s="3">
        <v>4</v>
      </c>
      <c r="T386" s="3">
        <v>4</v>
      </c>
      <c r="U386" s="3">
        <v>6</v>
      </c>
      <c r="V386" s="3">
        <v>2</v>
      </c>
      <c r="W386" s="3">
        <v>3</v>
      </c>
      <c r="X386" s="3">
        <v>3</v>
      </c>
      <c r="Y386" s="3">
        <v>3</v>
      </c>
      <c r="Z386" s="3">
        <v>4</v>
      </c>
      <c r="AA386" s="5">
        <f t="shared" si="5"/>
        <v>41</v>
      </c>
    </row>
    <row r="387" spans="1:27" ht="15" customHeight="1" x14ac:dyDescent="0.2">
      <c r="A387" s="3" t="s">
        <v>823</v>
      </c>
      <c r="B387" s="1" t="s">
        <v>824</v>
      </c>
      <c r="C387" s="3">
        <v>13</v>
      </c>
      <c r="D387" s="3">
        <v>11</v>
      </c>
      <c r="E387" s="3">
        <v>11</v>
      </c>
      <c r="F387" s="3">
        <v>9</v>
      </c>
      <c r="G387" s="3">
        <v>12</v>
      </c>
      <c r="H387" s="3">
        <v>16</v>
      </c>
      <c r="I387" s="3">
        <v>20</v>
      </c>
      <c r="J387" s="3">
        <v>8</v>
      </c>
      <c r="K387" s="3">
        <v>10</v>
      </c>
      <c r="L387" s="3">
        <v>11</v>
      </c>
      <c r="M387" s="3">
        <v>11</v>
      </c>
      <c r="N387" s="3">
        <v>13</v>
      </c>
      <c r="O387" s="3">
        <v>11</v>
      </c>
      <c r="P387" s="3">
        <v>11</v>
      </c>
      <c r="Q387" s="3">
        <v>12</v>
      </c>
      <c r="R387" s="3">
        <v>11</v>
      </c>
      <c r="S387" s="3">
        <v>14</v>
      </c>
      <c r="T387" s="3">
        <v>20</v>
      </c>
      <c r="U387" s="3">
        <v>22</v>
      </c>
      <c r="V387" s="3">
        <v>9</v>
      </c>
      <c r="W387" s="3">
        <v>10</v>
      </c>
      <c r="X387" s="3">
        <v>11</v>
      </c>
      <c r="Y387" s="3">
        <v>13</v>
      </c>
      <c r="Z387" s="3">
        <v>12</v>
      </c>
      <c r="AA387" s="5">
        <f t="shared" si="5"/>
        <v>156</v>
      </c>
    </row>
    <row r="388" spans="1:27" ht="15" customHeight="1" x14ac:dyDescent="0.2">
      <c r="A388" s="3" t="s">
        <v>825</v>
      </c>
      <c r="B388" s="1" t="s">
        <v>826</v>
      </c>
      <c r="C388" s="3">
        <v>10</v>
      </c>
      <c r="D388" s="3">
        <v>10</v>
      </c>
      <c r="E388" s="3">
        <v>10</v>
      </c>
      <c r="F388" s="3">
        <v>11</v>
      </c>
      <c r="G388" s="3">
        <v>11</v>
      </c>
      <c r="H388" s="3">
        <v>15</v>
      </c>
      <c r="I388" s="3">
        <v>18</v>
      </c>
      <c r="J388" s="3">
        <v>9</v>
      </c>
      <c r="K388" s="3">
        <v>8</v>
      </c>
      <c r="L388" s="3">
        <v>11</v>
      </c>
      <c r="M388" s="3">
        <v>11</v>
      </c>
      <c r="N388" s="3">
        <v>10</v>
      </c>
      <c r="O388" s="3">
        <v>11</v>
      </c>
      <c r="P388" s="3">
        <v>10</v>
      </c>
      <c r="Q388" s="3">
        <v>8</v>
      </c>
      <c r="R388" s="3">
        <v>10</v>
      </c>
      <c r="S388" s="3">
        <v>11</v>
      </c>
      <c r="T388" s="3">
        <v>14</v>
      </c>
      <c r="U388" s="3">
        <v>20</v>
      </c>
      <c r="V388" s="3">
        <v>8</v>
      </c>
      <c r="W388" s="3">
        <v>9</v>
      </c>
      <c r="X388" s="3">
        <v>11</v>
      </c>
      <c r="Y388" s="3">
        <v>10</v>
      </c>
      <c r="Z388" s="3">
        <v>14</v>
      </c>
      <c r="AA388" s="5">
        <f t="shared" si="5"/>
        <v>136</v>
      </c>
    </row>
    <row r="389" spans="1:27" ht="15" customHeight="1" x14ac:dyDescent="0.2">
      <c r="A389" s="3" t="s">
        <v>827</v>
      </c>
      <c r="B389" s="1" t="s">
        <v>828</v>
      </c>
      <c r="C389" s="3">
        <v>8</v>
      </c>
      <c r="D389" s="3">
        <v>8</v>
      </c>
      <c r="E389" s="3">
        <v>8</v>
      </c>
      <c r="F389" s="3">
        <v>9</v>
      </c>
      <c r="G389" s="3">
        <v>10</v>
      </c>
      <c r="H389" s="3">
        <v>15</v>
      </c>
      <c r="I389" s="3">
        <v>14</v>
      </c>
      <c r="J389" s="3">
        <v>6</v>
      </c>
      <c r="K389" s="3">
        <v>7</v>
      </c>
      <c r="L389" s="3">
        <v>8</v>
      </c>
      <c r="M389" s="3">
        <v>8</v>
      </c>
      <c r="N389" s="3">
        <v>10</v>
      </c>
      <c r="O389" s="3">
        <v>10</v>
      </c>
      <c r="P389" s="3">
        <v>9</v>
      </c>
      <c r="Q389" s="3">
        <v>9</v>
      </c>
      <c r="R389" s="3">
        <v>9</v>
      </c>
      <c r="S389" s="3">
        <v>11</v>
      </c>
      <c r="T389" s="3">
        <v>15</v>
      </c>
      <c r="U389" s="3">
        <v>17</v>
      </c>
      <c r="V389" s="3">
        <v>5</v>
      </c>
      <c r="W389" s="3">
        <v>8</v>
      </c>
      <c r="X389" s="3">
        <v>9</v>
      </c>
      <c r="Y389" s="3">
        <v>11</v>
      </c>
      <c r="Z389" s="3">
        <v>9</v>
      </c>
      <c r="AA389" s="5">
        <f t="shared" ref="AA389:AA452" si="6">SUM(O389:Z389)</f>
        <v>122</v>
      </c>
    </row>
    <row r="390" spans="1:27" ht="15" customHeight="1" x14ac:dyDescent="0.2">
      <c r="A390" s="3" t="s">
        <v>829</v>
      </c>
      <c r="B390" s="1" t="s">
        <v>830</v>
      </c>
      <c r="C390" s="3">
        <v>4</v>
      </c>
      <c r="D390" s="3">
        <v>3</v>
      </c>
      <c r="E390" s="3">
        <v>4</v>
      </c>
      <c r="F390" s="3">
        <v>2</v>
      </c>
      <c r="G390" s="3">
        <v>2</v>
      </c>
      <c r="H390" s="3">
        <v>3</v>
      </c>
      <c r="I390" s="3">
        <v>4</v>
      </c>
      <c r="J390" s="3">
        <v>2</v>
      </c>
      <c r="K390" s="3">
        <v>13</v>
      </c>
      <c r="L390" s="3">
        <v>3</v>
      </c>
      <c r="M390" s="3">
        <v>3</v>
      </c>
      <c r="N390" s="3">
        <v>4</v>
      </c>
      <c r="O390" s="3">
        <v>9</v>
      </c>
      <c r="P390" s="3">
        <v>2</v>
      </c>
      <c r="Q390" s="3">
        <v>21</v>
      </c>
      <c r="R390" s="3">
        <v>10</v>
      </c>
      <c r="S390" s="3">
        <v>3</v>
      </c>
      <c r="T390" s="3">
        <v>14</v>
      </c>
      <c r="U390" s="3">
        <v>12</v>
      </c>
      <c r="V390" s="3">
        <v>4</v>
      </c>
      <c r="W390" s="3">
        <v>3</v>
      </c>
      <c r="X390" s="3">
        <v>4</v>
      </c>
      <c r="Y390" s="3">
        <v>3</v>
      </c>
      <c r="Z390" s="3">
        <v>3</v>
      </c>
      <c r="AA390" s="5">
        <f t="shared" si="6"/>
        <v>88</v>
      </c>
    </row>
    <row r="391" spans="1:27" ht="15" customHeight="1" x14ac:dyDescent="0.2">
      <c r="A391" s="3" t="s">
        <v>831</v>
      </c>
      <c r="B391" s="1" t="s">
        <v>832</v>
      </c>
      <c r="C391" s="3">
        <v>5</v>
      </c>
      <c r="D391" s="3">
        <v>6</v>
      </c>
      <c r="E391" s="3">
        <v>4</v>
      </c>
      <c r="F391" s="3">
        <v>4</v>
      </c>
      <c r="G391" s="3">
        <v>6</v>
      </c>
      <c r="H391" s="3">
        <v>3</v>
      </c>
      <c r="I391" s="3">
        <v>3</v>
      </c>
      <c r="J391" s="3">
        <v>4</v>
      </c>
      <c r="K391" s="3">
        <v>3</v>
      </c>
      <c r="L391" s="3">
        <v>3</v>
      </c>
      <c r="M391" s="3">
        <v>3</v>
      </c>
      <c r="N391" s="3">
        <v>3</v>
      </c>
      <c r="O391" s="3">
        <v>3</v>
      </c>
      <c r="P391" s="3">
        <v>3</v>
      </c>
      <c r="Q391" s="3">
        <v>1</v>
      </c>
      <c r="R391" s="3">
        <v>1</v>
      </c>
      <c r="S391" s="3">
        <v>1</v>
      </c>
      <c r="T391" s="3">
        <v>1</v>
      </c>
      <c r="U391" s="3">
        <v>1</v>
      </c>
      <c r="V391" s="3">
        <v>1</v>
      </c>
      <c r="W391" s="3">
        <v>1</v>
      </c>
      <c r="X391" s="3">
        <v>1</v>
      </c>
      <c r="Y391" s="3">
        <v>1</v>
      </c>
      <c r="Z391" s="3">
        <v>1</v>
      </c>
      <c r="AA391" s="5">
        <f t="shared" si="6"/>
        <v>16</v>
      </c>
    </row>
    <row r="392" spans="1:27" ht="15" customHeight="1" x14ac:dyDescent="0.2">
      <c r="A392" s="3" t="s">
        <v>833</v>
      </c>
      <c r="B392" s="1" t="s">
        <v>834</v>
      </c>
      <c r="C392" s="3">
        <v>20</v>
      </c>
      <c r="D392" s="3">
        <v>18</v>
      </c>
      <c r="E392" s="3">
        <v>19</v>
      </c>
      <c r="F392" s="3">
        <v>19</v>
      </c>
      <c r="G392" s="3">
        <v>21</v>
      </c>
      <c r="H392" s="3">
        <v>26</v>
      </c>
      <c r="I392" s="3">
        <v>42</v>
      </c>
      <c r="J392" s="3">
        <v>15</v>
      </c>
      <c r="K392" s="3">
        <v>16</v>
      </c>
      <c r="L392" s="3">
        <v>20</v>
      </c>
      <c r="M392" s="3">
        <v>23</v>
      </c>
      <c r="N392" s="3">
        <v>22</v>
      </c>
      <c r="O392" s="3">
        <v>21</v>
      </c>
      <c r="P392" s="3">
        <v>24</v>
      </c>
      <c r="Q392" s="3">
        <v>19</v>
      </c>
      <c r="R392" s="3">
        <v>21</v>
      </c>
      <c r="S392" s="3">
        <v>24</v>
      </c>
      <c r="T392" s="3">
        <v>32</v>
      </c>
      <c r="U392" s="3">
        <v>36</v>
      </c>
      <c r="V392" s="3">
        <v>17</v>
      </c>
      <c r="W392" s="3">
        <v>21</v>
      </c>
      <c r="X392" s="3">
        <v>18</v>
      </c>
      <c r="Y392" s="3">
        <v>20</v>
      </c>
      <c r="Z392" s="3">
        <v>23</v>
      </c>
      <c r="AA392" s="5">
        <f t="shared" si="6"/>
        <v>276</v>
      </c>
    </row>
    <row r="393" spans="1:27" ht="15" customHeight="1" x14ac:dyDescent="0.2">
      <c r="A393" s="3" t="s">
        <v>835</v>
      </c>
      <c r="B393" s="1" t="s">
        <v>836</v>
      </c>
      <c r="C393" s="3">
        <v>24</v>
      </c>
      <c r="D393" s="3">
        <v>23</v>
      </c>
      <c r="E393" s="3">
        <v>29</v>
      </c>
      <c r="F393" s="3">
        <v>28</v>
      </c>
      <c r="G393" s="3">
        <v>36</v>
      </c>
      <c r="H393" s="3">
        <v>41</v>
      </c>
      <c r="I393" s="3">
        <v>55</v>
      </c>
      <c r="J393" s="3">
        <v>20</v>
      </c>
      <c r="K393" s="3">
        <v>26</v>
      </c>
      <c r="L393" s="3">
        <v>30</v>
      </c>
      <c r="M393" s="3">
        <v>24</v>
      </c>
      <c r="N393" s="3">
        <v>30</v>
      </c>
      <c r="O393" s="3">
        <v>28</v>
      </c>
      <c r="P393" s="3">
        <v>28</v>
      </c>
      <c r="Q393" s="3">
        <v>27</v>
      </c>
      <c r="R393" s="3">
        <v>36</v>
      </c>
      <c r="S393" s="3">
        <v>29</v>
      </c>
      <c r="T393" s="3">
        <v>45</v>
      </c>
      <c r="U393" s="3">
        <v>61</v>
      </c>
      <c r="V393" s="3">
        <v>23</v>
      </c>
      <c r="W393" s="3">
        <v>29</v>
      </c>
      <c r="X393" s="3">
        <v>26</v>
      </c>
      <c r="Y393" s="3">
        <v>25</v>
      </c>
      <c r="Z393" s="3">
        <v>32</v>
      </c>
      <c r="AA393" s="5">
        <f t="shared" si="6"/>
        <v>389</v>
      </c>
    </row>
    <row r="394" spans="1:27" ht="15" customHeight="1" x14ac:dyDescent="0.2">
      <c r="A394" s="3" t="s">
        <v>837</v>
      </c>
      <c r="B394" s="1" t="s">
        <v>838</v>
      </c>
      <c r="C394" s="3">
        <v>13</v>
      </c>
      <c r="D394" s="3">
        <v>12</v>
      </c>
      <c r="E394" s="3">
        <v>12</v>
      </c>
      <c r="F394" s="3">
        <v>13</v>
      </c>
      <c r="G394" s="3">
        <v>16</v>
      </c>
      <c r="H394" s="3">
        <v>21</v>
      </c>
      <c r="I394" s="3">
        <v>26</v>
      </c>
      <c r="J394" s="3">
        <v>11</v>
      </c>
      <c r="K394" s="3">
        <v>12</v>
      </c>
      <c r="L394" s="3">
        <v>13</v>
      </c>
      <c r="M394" s="3">
        <v>11</v>
      </c>
      <c r="N394" s="3">
        <v>16</v>
      </c>
      <c r="O394" s="3">
        <v>14</v>
      </c>
      <c r="P394" s="3">
        <v>13</v>
      </c>
      <c r="Q394" s="3">
        <v>13</v>
      </c>
      <c r="R394" s="3">
        <v>14</v>
      </c>
      <c r="S394" s="3">
        <v>18</v>
      </c>
      <c r="T394" s="3">
        <v>18</v>
      </c>
      <c r="U394" s="3">
        <v>26</v>
      </c>
      <c r="V394" s="3">
        <v>11</v>
      </c>
      <c r="W394" s="3">
        <v>12</v>
      </c>
      <c r="X394" s="3">
        <v>13</v>
      </c>
      <c r="Y394" s="3">
        <v>14</v>
      </c>
      <c r="Z394" s="3">
        <v>13</v>
      </c>
      <c r="AA394" s="5">
        <f t="shared" si="6"/>
        <v>179</v>
      </c>
    </row>
    <row r="395" spans="1:27" ht="15" customHeight="1" x14ac:dyDescent="0.2">
      <c r="A395" s="3" t="s">
        <v>839</v>
      </c>
      <c r="B395" s="1" t="s">
        <v>840</v>
      </c>
      <c r="C395" s="3">
        <v>24</v>
      </c>
      <c r="D395" s="3">
        <v>23</v>
      </c>
      <c r="E395" s="3">
        <v>23</v>
      </c>
      <c r="F395" s="3">
        <v>25</v>
      </c>
      <c r="G395" s="3">
        <v>31</v>
      </c>
      <c r="H395" s="3">
        <v>34</v>
      </c>
      <c r="I395" s="3">
        <v>42</v>
      </c>
      <c r="J395" s="3">
        <v>17</v>
      </c>
      <c r="K395" s="3">
        <v>18</v>
      </c>
      <c r="L395" s="3">
        <v>22</v>
      </c>
      <c r="M395" s="3">
        <v>21</v>
      </c>
      <c r="N395" s="3">
        <v>23</v>
      </c>
      <c r="O395" s="3">
        <v>19</v>
      </c>
      <c r="P395" s="3">
        <v>25</v>
      </c>
      <c r="Q395" s="3">
        <v>22</v>
      </c>
      <c r="R395" s="3">
        <v>29</v>
      </c>
      <c r="S395" s="3">
        <v>27</v>
      </c>
      <c r="T395" s="3">
        <v>41</v>
      </c>
      <c r="U395" s="3">
        <v>45</v>
      </c>
      <c r="V395" s="3">
        <v>16</v>
      </c>
      <c r="W395" s="3">
        <v>21</v>
      </c>
      <c r="X395" s="3">
        <v>28</v>
      </c>
      <c r="Y395" s="3">
        <v>23</v>
      </c>
      <c r="Z395" s="3">
        <v>23</v>
      </c>
      <c r="AA395" s="5">
        <f t="shared" si="6"/>
        <v>319</v>
      </c>
    </row>
    <row r="396" spans="1:27" ht="15" customHeight="1" x14ac:dyDescent="0.2">
      <c r="A396" s="3" t="s">
        <v>841</v>
      </c>
      <c r="B396" s="1" t="s">
        <v>842</v>
      </c>
      <c r="C396" s="3">
        <v>24</v>
      </c>
      <c r="D396" s="3">
        <v>28</v>
      </c>
      <c r="E396" s="3">
        <v>26</v>
      </c>
      <c r="F396" s="3">
        <v>30</v>
      </c>
      <c r="G396" s="3">
        <v>30</v>
      </c>
      <c r="H396" s="3">
        <v>34</v>
      </c>
      <c r="I396" s="3">
        <v>51</v>
      </c>
      <c r="J396" s="3">
        <v>19</v>
      </c>
      <c r="K396" s="3">
        <v>23</v>
      </c>
      <c r="L396" s="3">
        <v>25</v>
      </c>
      <c r="M396" s="3">
        <v>28</v>
      </c>
      <c r="N396" s="3">
        <v>32</v>
      </c>
      <c r="O396" s="3">
        <v>33</v>
      </c>
      <c r="P396" s="3">
        <v>28</v>
      </c>
      <c r="Q396" s="3">
        <v>27</v>
      </c>
      <c r="R396" s="3">
        <v>28</v>
      </c>
      <c r="S396" s="3">
        <v>35</v>
      </c>
      <c r="T396" s="3">
        <v>48</v>
      </c>
      <c r="U396" s="3">
        <v>45</v>
      </c>
      <c r="V396" s="3">
        <v>17</v>
      </c>
      <c r="W396" s="3">
        <v>25</v>
      </c>
      <c r="X396" s="3">
        <v>28</v>
      </c>
      <c r="Y396" s="3">
        <v>30</v>
      </c>
      <c r="Z396" s="3">
        <v>32</v>
      </c>
      <c r="AA396" s="5">
        <f t="shared" si="6"/>
        <v>376</v>
      </c>
    </row>
    <row r="397" spans="1:27" ht="15" customHeight="1" x14ac:dyDescent="0.2">
      <c r="A397" s="3" t="s">
        <v>843</v>
      </c>
      <c r="B397" s="1" t="s">
        <v>844</v>
      </c>
      <c r="C397" s="3">
        <v>17</v>
      </c>
      <c r="D397" s="3">
        <v>18</v>
      </c>
      <c r="E397" s="3">
        <v>15</v>
      </c>
      <c r="F397" s="3">
        <v>19</v>
      </c>
      <c r="G397" s="3">
        <v>17</v>
      </c>
      <c r="H397" s="3">
        <v>26</v>
      </c>
      <c r="I397" s="3">
        <v>36</v>
      </c>
      <c r="J397" s="3">
        <v>14</v>
      </c>
      <c r="K397" s="3">
        <v>15</v>
      </c>
      <c r="L397" s="3">
        <v>16</v>
      </c>
      <c r="M397" s="3">
        <v>17</v>
      </c>
      <c r="N397" s="3">
        <v>19</v>
      </c>
      <c r="O397" s="3">
        <v>18</v>
      </c>
      <c r="P397" s="3">
        <v>19</v>
      </c>
      <c r="Q397" s="3">
        <v>19</v>
      </c>
      <c r="R397" s="3">
        <v>18</v>
      </c>
      <c r="S397" s="3">
        <v>21</v>
      </c>
      <c r="T397" s="3">
        <v>30</v>
      </c>
      <c r="U397" s="3">
        <v>38</v>
      </c>
      <c r="V397" s="3">
        <v>14</v>
      </c>
      <c r="W397" s="3">
        <v>18</v>
      </c>
      <c r="X397" s="3">
        <v>17</v>
      </c>
      <c r="Y397" s="3">
        <v>16</v>
      </c>
      <c r="Z397" s="3">
        <v>19</v>
      </c>
      <c r="AA397" s="5">
        <f t="shared" si="6"/>
        <v>247</v>
      </c>
    </row>
    <row r="398" spans="1:27" ht="15" customHeight="1" x14ac:dyDescent="0.2">
      <c r="A398" s="3" t="s">
        <v>845</v>
      </c>
      <c r="B398" s="1" t="s">
        <v>846</v>
      </c>
      <c r="C398" s="3">
        <v>22</v>
      </c>
      <c r="D398" s="3">
        <v>25</v>
      </c>
      <c r="E398" s="3">
        <v>24</v>
      </c>
      <c r="F398" s="3">
        <v>27</v>
      </c>
      <c r="G398" s="3">
        <v>32</v>
      </c>
      <c r="H398" s="3">
        <v>38</v>
      </c>
      <c r="I398" s="3">
        <v>42</v>
      </c>
      <c r="J398" s="3">
        <v>19</v>
      </c>
      <c r="K398" s="3">
        <v>20</v>
      </c>
      <c r="L398" s="3">
        <v>27</v>
      </c>
      <c r="M398" s="3">
        <v>24</v>
      </c>
      <c r="N398" s="3">
        <v>25</v>
      </c>
      <c r="O398" s="3">
        <v>25</v>
      </c>
      <c r="P398" s="3">
        <v>25</v>
      </c>
      <c r="Q398" s="3">
        <v>22</v>
      </c>
      <c r="R398" s="3">
        <v>30</v>
      </c>
      <c r="S398" s="3">
        <v>29</v>
      </c>
      <c r="T398" s="3">
        <v>40</v>
      </c>
      <c r="U398" s="3">
        <v>55</v>
      </c>
      <c r="V398" s="3">
        <v>17</v>
      </c>
      <c r="W398" s="3">
        <v>23</v>
      </c>
      <c r="X398" s="3">
        <v>25</v>
      </c>
      <c r="Y398" s="3">
        <v>24</v>
      </c>
      <c r="Z398" s="3">
        <v>24</v>
      </c>
      <c r="AA398" s="5">
        <f t="shared" si="6"/>
        <v>339</v>
      </c>
    </row>
    <row r="399" spans="1:27" ht="15" customHeight="1" x14ac:dyDescent="0.2">
      <c r="A399" s="3" t="s">
        <v>847</v>
      </c>
      <c r="B399" s="1" t="s">
        <v>848</v>
      </c>
      <c r="C399" s="3">
        <v>31</v>
      </c>
      <c r="D399" s="3">
        <v>29</v>
      </c>
      <c r="E399" s="3">
        <v>24</v>
      </c>
      <c r="F399" s="3">
        <v>28</v>
      </c>
      <c r="G399" s="3">
        <v>35</v>
      </c>
      <c r="H399" s="3">
        <v>45</v>
      </c>
      <c r="I399" s="3">
        <v>47</v>
      </c>
      <c r="J399" s="3">
        <v>22</v>
      </c>
      <c r="K399" s="3">
        <v>27</v>
      </c>
      <c r="L399" s="3">
        <v>24</v>
      </c>
      <c r="M399" s="3">
        <v>26</v>
      </c>
      <c r="N399" s="3">
        <v>30</v>
      </c>
      <c r="O399" s="3">
        <v>35</v>
      </c>
      <c r="P399" s="3">
        <v>28</v>
      </c>
      <c r="Q399" s="3">
        <v>26</v>
      </c>
      <c r="R399" s="3">
        <v>31</v>
      </c>
      <c r="S399" s="3">
        <v>35</v>
      </c>
      <c r="T399" s="3">
        <v>50</v>
      </c>
      <c r="U399" s="3">
        <v>63</v>
      </c>
      <c r="V399" s="3">
        <v>23</v>
      </c>
      <c r="W399" s="3">
        <v>24</v>
      </c>
      <c r="X399" s="3">
        <v>35</v>
      </c>
      <c r="Y399" s="3">
        <v>27</v>
      </c>
      <c r="Z399" s="3">
        <v>34</v>
      </c>
      <c r="AA399" s="5">
        <f t="shared" si="6"/>
        <v>411</v>
      </c>
    </row>
    <row r="400" spans="1:27" ht="15" customHeight="1" x14ac:dyDescent="0.2">
      <c r="A400" s="3" t="s">
        <v>849</v>
      </c>
      <c r="B400" s="1" t="s">
        <v>850</v>
      </c>
      <c r="C400" s="3">
        <v>131</v>
      </c>
      <c r="D400" s="3">
        <v>132</v>
      </c>
      <c r="E400" s="3">
        <v>140</v>
      </c>
      <c r="F400" s="3">
        <v>145</v>
      </c>
      <c r="G400" s="3">
        <v>168</v>
      </c>
      <c r="H400" s="3">
        <v>175</v>
      </c>
      <c r="I400" s="3">
        <v>260</v>
      </c>
      <c r="J400" s="3">
        <v>117</v>
      </c>
      <c r="K400" s="3">
        <v>122</v>
      </c>
      <c r="L400" s="3">
        <v>121</v>
      </c>
      <c r="M400" s="3">
        <v>131</v>
      </c>
      <c r="N400" s="3">
        <v>155</v>
      </c>
      <c r="O400" s="3">
        <v>149</v>
      </c>
      <c r="P400" s="3">
        <v>162</v>
      </c>
      <c r="Q400" s="3">
        <v>165</v>
      </c>
      <c r="R400" s="3">
        <v>152</v>
      </c>
      <c r="S400" s="3">
        <v>170</v>
      </c>
      <c r="T400" s="3">
        <v>229</v>
      </c>
      <c r="U400" s="3">
        <v>233</v>
      </c>
      <c r="V400" s="3">
        <v>120</v>
      </c>
      <c r="W400" s="3">
        <v>125</v>
      </c>
      <c r="X400" s="3">
        <v>98</v>
      </c>
      <c r="Y400" s="3">
        <v>158</v>
      </c>
      <c r="Z400" s="3">
        <v>150</v>
      </c>
      <c r="AA400" s="5">
        <f t="shared" si="6"/>
        <v>1911</v>
      </c>
    </row>
    <row r="401" spans="1:27" ht="15" customHeight="1" x14ac:dyDescent="0.2">
      <c r="A401" s="3" t="s">
        <v>851</v>
      </c>
      <c r="B401" s="1" t="s">
        <v>852</v>
      </c>
      <c r="C401" s="3">
        <v>1</v>
      </c>
      <c r="D401" s="3">
        <v>1</v>
      </c>
      <c r="E401" s="3">
        <v>1</v>
      </c>
      <c r="F401" s="3">
        <v>1</v>
      </c>
      <c r="G401" s="3">
        <v>2</v>
      </c>
      <c r="H401" s="3">
        <v>2</v>
      </c>
      <c r="I401" s="3">
        <v>3</v>
      </c>
      <c r="J401" s="3">
        <v>1</v>
      </c>
      <c r="K401" s="3">
        <v>1</v>
      </c>
      <c r="L401" s="3">
        <v>1</v>
      </c>
      <c r="M401" s="3">
        <v>1</v>
      </c>
      <c r="N401" s="3">
        <v>2</v>
      </c>
      <c r="O401" s="3">
        <v>1</v>
      </c>
      <c r="P401" s="3">
        <v>1</v>
      </c>
      <c r="Q401" s="3">
        <v>1</v>
      </c>
      <c r="R401" s="3">
        <v>2</v>
      </c>
      <c r="S401" s="3">
        <v>2</v>
      </c>
      <c r="T401" s="3">
        <v>2</v>
      </c>
      <c r="U401" s="3">
        <v>2</v>
      </c>
      <c r="V401" s="3">
        <v>1</v>
      </c>
      <c r="W401" s="3">
        <v>1</v>
      </c>
      <c r="X401" s="3">
        <v>2</v>
      </c>
      <c r="Y401" s="3">
        <v>1</v>
      </c>
      <c r="Z401" s="3">
        <v>2</v>
      </c>
      <c r="AA401" s="5">
        <f t="shared" si="6"/>
        <v>18</v>
      </c>
    </row>
    <row r="402" spans="1:27" ht="15" customHeight="1" x14ac:dyDescent="0.2">
      <c r="A402" s="3" t="s">
        <v>853</v>
      </c>
      <c r="B402" s="1" t="s">
        <v>854</v>
      </c>
      <c r="C402" s="3">
        <v>13</v>
      </c>
      <c r="D402" s="3">
        <v>12</v>
      </c>
      <c r="E402" s="3">
        <v>12</v>
      </c>
      <c r="F402" s="3">
        <v>13</v>
      </c>
      <c r="G402" s="3">
        <v>16</v>
      </c>
      <c r="H402" s="3">
        <v>23</v>
      </c>
      <c r="I402" s="3">
        <v>25</v>
      </c>
      <c r="J402" s="3">
        <v>9</v>
      </c>
      <c r="K402" s="3">
        <v>11</v>
      </c>
      <c r="L402" s="3">
        <v>12</v>
      </c>
      <c r="M402" s="3">
        <v>12</v>
      </c>
      <c r="N402" s="3">
        <v>16</v>
      </c>
      <c r="O402" s="3">
        <v>13</v>
      </c>
      <c r="P402" s="3">
        <v>13</v>
      </c>
      <c r="Q402" s="3">
        <v>13</v>
      </c>
      <c r="R402" s="3">
        <v>14</v>
      </c>
      <c r="S402" s="3">
        <v>17</v>
      </c>
      <c r="T402" s="3">
        <v>20</v>
      </c>
      <c r="U402" s="3">
        <v>25</v>
      </c>
      <c r="V402" s="3">
        <v>11</v>
      </c>
      <c r="W402" s="3">
        <v>13</v>
      </c>
      <c r="X402" s="3">
        <v>13</v>
      </c>
      <c r="Y402" s="3">
        <v>14</v>
      </c>
      <c r="Z402" s="3">
        <v>14</v>
      </c>
      <c r="AA402" s="5">
        <f t="shared" si="6"/>
        <v>180</v>
      </c>
    </row>
    <row r="403" spans="1:27" ht="15" customHeight="1" x14ac:dyDescent="0.2">
      <c r="A403" s="3" t="s">
        <v>855</v>
      </c>
      <c r="B403" s="1" t="s">
        <v>844</v>
      </c>
      <c r="C403" s="3">
        <v>6</v>
      </c>
      <c r="D403" s="3">
        <v>6</v>
      </c>
      <c r="E403" s="3">
        <v>6</v>
      </c>
      <c r="F403" s="3">
        <v>6</v>
      </c>
      <c r="G403" s="3">
        <v>6</v>
      </c>
      <c r="H403" s="3">
        <v>10</v>
      </c>
      <c r="I403" s="3">
        <v>11</v>
      </c>
      <c r="J403" s="3">
        <v>4</v>
      </c>
      <c r="K403" s="3">
        <v>5</v>
      </c>
      <c r="L403" s="3">
        <v>6</v>
      </c>
      <c r="M403" s="3">
        <v>5</v>
      </c>
      <c r="N403" s="3">
        <v>7</v>
      </c>
      <c r="O403" s="3">
        <v>6</v>
      </c>
      <c r="P403" s="3">
        <v>6</v>
      </c>
      <c r="Q403" s="3">
        <v>5</v>
      </c>
      <c r="R403" s="3">
        <v>6</v>
      </c>
      <c r="S403" s="3">
        <v>7</v>
      </c>
      <c r="T403" s="3">
        <v>9</v>
      </c>
      <c r="U403" s="3">
        <v>10</v>
      </c>
      <c r="V403" s="3">
        <v>5</v>
      </c>
      <c r="W403" s="3">
        <v>5</v>
      </c>
      <c r="X403" s="3">
        <v>6</v>
      </c>
      <c r="Y403" s="3">
        <v>7</v>
      </c>
      <c r="Z403" s="3">
        <v>5</v>
      </c>
      <c r="AA403" s="5">
        <f t="shared" si="6"/>
        <v>77</v>
      </c>
    </row>
    <row r="404" spans="1:27" ht="15" customHeight="1" x14ac:dyDescent="0.2">
      <c r="A404" s="3" t="s">
        <v>856</v>
      </c>
      <c r="B404" s="1" t="s">
        <v>857</v>
      </c>
      <c r="C404" s="3">
        <v>14</v>
      </c>
      <c r="D404" s="3">
        <v>14</v>
      </c>
      <c r="E404" s="3">
        <v>11</v>
      </c>
      <c r="F404" s="3">
        <v>16</v>
      </c>
      <c r="G404" s="3">
        <v>21</v>
      </c>
      <c r="H404" s="3">
        <v>24</v>
      </c>
      <c r="I404" s="3">
        <v>31</v>
      </c>
      <c r="J404" s="3">
        <v>11</v>
      </c>
      <c r="K404" s="3">
        <v>13</v>
      </c>
      <c r="L404" s="3">
        <v>15</v>
      </c>
      <c r="M404" s="3">
        <v>17</v>
      </c>
      <c r="N404" s="3">
        <v>14</v>
      </c>
      <c r="O404" s="3">
        <v>14</v>
      </c>
      <c r="P404" s="3">
        <v>15</v>
      </c>
      <c r="Q404" s="3">
        <v>14</v>
      </c>
      <c r="R404" s="3">
        <v>16</v>
      </c>
      <c r="S404" s="3">
        <v>19</v>
      </c>
      <c r="T404" s="3">
        <v>23</v>
      </c>
      <c r="U404" s="3">
        <v>32</v>
      </c>
      <c r="V404" s="3">
        <v>12</v>
      </c>
      <c r="W404" s="3">
        <v>14</v>
      </c>
      <c r="X404" s="3">
        <v>17</v>
      </c>
      <c r="Y404" s="3">
        <v>12</v>
      </c>
      <c r="Z404" s="3">
        <v>17</v>
      </c>
      <c r="AA404" s="5">
        <f t="shared" si="6"/>
        <v>205</v>
      </c>
    </row>
    <row r="405" spans="1:27" ht="15" customHeight="1" x14ac:dyDescent="0.2">
      <c r="A405" s="3" t="s">
        <v>858</v>
      </c>
      <c r="B405" s="1" t="s">
        <v>859</v>
      </c>
      <c r="C405" s="3">
        <v>25</v>
      </c>
      <c r="D405" s="3">
        <v>21</v>
      </c>
      <c r="E405" s="3">
        <v>24</v>
      </c>
      <c r="F405" s="3">
        <v>21</v>
      </c>
      <c r="G405" s="3">
        <v>25</v>
      </c>
      <c r="H405" s="3">
        <v>37</v>
      </c>
      <c r="I405" s="3">
        <v>48</v>
      </c>
      <c r="J405" s="3">
        <v>20</v>
      </c>
      <c r="K405" s="3">
        <v>25</v>
      </c>
      <c r="L405" s="3">
        <v>28</v>
      </c>
      <c r="M405" s="3">
        <v>26</v>
      </c>
      <c r="N405" s="3">
        <v>29</v>
      </c>
      <c r="O405" s="3">
        <v>27</v>
      </c>
      <c r="P405" s="3">
        <v>27</v>
      </c>
      <c r="Q405" s="3">
        <v>28</v>
      </c>
      <c r="R405" s="3">
        <v>22</v>
      </c>
      <c r="S405" s="3">
        <v>29</v>
      </c>
      <c r="T405" s="3">
        <v>40</v>
      </c>
      <c r="U405" s="3">
        <v>51</v>
      </c>
      <c r="V405" s="3">
        <v>19</v>
      </c>
      <c r="W405" s="3">
        <v>20</v>
      </c>
      <c r="X405" s="3">
        <v>25</v>
      </c>
      <c r="Y405" s="3">
        <v>27</v>
      </c>
      <c r="Z405" s="3">
        <v>25</v>
      </c>
      <c r="AA405" s="5">
        <f t="shared" si="6"/>
        <v>340</v>
      </c>
    </row>
    <row r="406" spans="1:27" ht="15" customHeight="1" x14ac:dyDescent="0.2">
      <c r="A406" s="3" t="s">
        <v>861</v>
      </c>
      <c r="B406" s="1" t="s">
        <v>862</v>
      </c>
      <c r="C406" s="3">
        <v>291</v>
      </c>
      <c r="D406" s="3">
        <v>357</v>
      </c>
      <c r="E406" s="3">
        <v>343</v>
      </c>
      <c r="F406" s="3">
        <v>390</v>
      </c>
      <c r="G406" s="3">
        <v>374</v>
      </c>
      <c r="H406" s="3">
        <v>531</v>
      </c>
      <c r="I406" s="3">
        <v>716</v>
      </c>
      <c r="J406" s="3">
        <v>273</v>
      </c>
      <c r="K406" s="3">
        <v>226</v>
      </c>
      <c r="L406" s="3">
        <v>340</v>
      </c>
      <c r="M406" s="3">
        <v>303</v>
      </c>
      <c r="N406" s="3">
        <v>424</v>
      </c>
      <c r="O406" s="3">
        <v>320</v>
      </c>
      <c r="P406" s="3">
        <v>363</v>
      </c>
      <c r="Q406" s="3">
        <v>316</v>
      </c>
      <c r="R406" s="3">
        <v>305</v>
      </c>
      <c r="S406" s="3">
        <v>464</v>
      </c>
      <c r="T406" s="3">
        <v>585</v>
      </c>
      <c r="U406" s="3">
        <v>580</v>
      </c>
      <c r="V406" s="3">
        <v>277</v>
      </c>
      <c r="W406" s="3">
        <v>317</v>
      </c>
      <c r="X406" s="3">
        <v>357</v>
      </c>
      <c r="Y406" s="3">
        <v>417</v>
      </c>
      <c r="Z406" s="3">
        <v>467</v>
      </c>
      <c r="AA406" s="5">
        <f t="shared" si="6"/>
        <v>4768</v>
      </c>
    </row>
    <row r="407" spans="1:27" ht="15" customHeight="1" x14ac:dyDescent="0.2">
      <c r="A407" s="3" t="s">
        <v>863</v>
      </c>
      <c r="B407" s="1" t="s">
        <v>864</v>
      </c>
      <c r="C407" s="3">
        <v>21</v>
      </c>
      <c r="D407" s="3">
        <v>4</v>
      </c>
      <c r="E407" s="3">
        <v>3</v>
      </c>
      <c r="F407" s="3">
        <v>6</v>
      </c>
      <c r="G407" s="3">
        <v>6</v>
      </c>
      <c r="H407" s="3">
        <v>6</v>
      </c>
      <c r="I407" s="3">
        <v>14</v>
      </c>
      <c r="J407" s="3">
        <v>4</v>
      </c>
      <c r="K407" s="3">
        <v>5</v>
      </c>
      <c r="L407" s="3">
        <v>5</v>
      </c>
      <c r="M407" s="3">
        <v>4</v>
      </c>
      <c r="N407" s="3">
        <v>5</v>
      </c>
      <c r="O407" s="3">
        <v>6</v>
      </c>
      <c r="P407" s="3">
        <v>6</v>
      </c>
      <c r="Q407" s="3">
        <v>3</v>
      </c>
      <c r="R407" s="3">
        <v>28</v>
      </c>
      <c r="S407" s="3">
        <v>4</v>
      </c>
      <c r="T407" s="3">
        <v>4</v>
      </c>
      <c r="U407" s="3">
        <v>4</v>
      </c>
      <c r="V407" s="3">
        <v>5</v>
      </c>
      <c r="W407" s="3">
        <v>4</v>
      </c>
      <c r="X407" s="3">
        <v>4</v>
      </c>
      <c r="Y407" s="3">
        <v>5</v>
      </c>
      <c r="Z407" s="3">
        <v>6</v>
      </c>
      <c r="AA407" s="5">
        <f t="shared" si="6"/>
        <v>79</v>
      </c>
    </row>
    <row r="408" spans="1:27" ht="15" customHeight="1" x14ac:dyDescent="0.2">
      <c r="A408" s="3" t="s">
        <v>865</v>
      </c>
      <c r="B408" s="1" t="s">
        <v>866</v>
      </c>
      <c r="C408" s="3">
        <v>19</v>
      </c>
      <c r="D408" s="3">
        <v>22</v>
      </c>
      <c r="E408" s="3">
        <v>20</v>
      </c>
      <c r="F408" s="3">
        <v>21</v>
      </c>
      <c r="G408" s="3">
        <v>22</v>
      </c>
      <c r="H408" s="3">
        <v>35</v>
      </c>
      <c r="I408" s="3">
        <v>43</v>
      </c>
      <c r="J408" s="3">
        <v>16</v>
      </c>
      <c r="K408" s="3">
        <v>19</v>
      </c>
      <c r="L408" s="3">
        <v>20</v>
      </c>
      <c r="M408" s="3">
        <v>19</v>
      </c>
      <c r="N408" s="3">
        <v>27</v>
      </c>
      <c r="O408" s="3">
        <v>19</v>
      </c>
      <c r="P408" s="3">
        <v>20</v>
      </c>
      <c r="Q408" s="3">
        <v>19</v>
      </c>
      <c r="R408" s="3">
        <v>18</v>
      </c>
      <c r="S408" s="3">
        <v>27</v>
      </c>
      <c r="T408" s="3">
        <v>32</v>
      </c>
      <c r="U408" s="3">
        <v>39</v>
      </c>
      <c r="V408" s="3">
        <v>18</v>
      </c>
      <c r="W408" s="3">
        <v>22</v>
      </c>
      <c r="X408" s="3">
        <v>19</v>
      </c>
      <c r="Y408" s="3">
        <v>27</v>
      </c>
      <c r="Z408" s="3">
        <v>21</v>
      </c>
      <c r="AA408" s="5">
        <f t="shared" si="6"/>
        <v>281</v>
      </c>
    </row>
    <row r="409" spans="1:27" ht="15" customHeight="1" x14ac:dyDescent="0.2">
      <c r="A409" s="3" t="s">
        <v>867</v>
      </c>
      <c r="B409" s="1" t="s">
        <v>868</v>
      </c>
      <c r="C409" s="3">
        <v>78</v>
      </c>
      <c r="D409" s="3">
        <v>64</v>
      </c>
      <c r="E409" s="3">
        <v>68</v>
      </c>
      <c r="F409" s="3">
        <v>79</v>
      </c>
      <c r="G409" s="3">
        <v>82</v>
      </c>
      <c r="H409" s="3">
        <v>119</v>
      </c>
      <c r="I409" s="3">
        <v>150</v>
      </c>
      <c r="J409" s="3">
        <v>62</v>
      </c>
      <c r="K409" s="3">
        <v>75</v>
      </c>
      <c r="L409" s="3">
        <v>82</v>
      </c>
      <c r="M409" s="3">
        <v>75</v>
      </c>
      <c r="N409" s="3">
        <v>80</v>
      </c>
      <c r="O409" s="3">
        <v>78</v>
      </c>
      <c r="P409" s="3">
        <v>87</v>
      </c>
      <c r="Q409" s="3">
        <v>78</v>
      </c>
      <c r="R409" s="3">
        <v>75</v>
      </c>
      <c r="S409" s="3">
        <v>104</v>
      </c>
      <c r="T409" s="3">
        <v>121</v>
      </c>
      <c r="U409" s="3">
        <v>144</v>
      </c>
      <c r="V409" s="3">
        <v>62</v>
      </c>
      <c r="W409" s="3">
        <v>78</v>
      </c>
      <c r="X409" s="3">
        <v>77</v>
      </c>
      <c r="Y409" s="3">
        <v>88</v>
      </c>
      <c r="Z409" s="3">
        <v>84</v>
      </c>
      <c r="AA409" s="5">
        <f t="shared" si="6"/>
        <v>1076</v>
      </c>
    </row>
    <row r="410" spans="1:27" ht="15" customHeight="1" x14ac:dyDescent="0.2">
      <c r="A410" s="3" t="s">
        <v>869</v>
      </c>
      <c r="B410" s="1" t="s">
        <v>870</v>
      </c>
      <c r="C410" s="3">
        <v>55</v>
      </c>
      <c r="D410" s="3">
        <v>60</v>
      </c>
      <c r="E410" s="3">
        <v>54</v>
      </c>
      <c r="F410" s="3">
        <v>55</v>
      </c>
      <c r="G410" s="3">
        <v>70</v>
      </c>
      <c r="H410" s="3">
        <v>99</v>
      </c>
      <c r="I410" s="3">
        <v>124</v>
      </c>
      <c r="J410" s="3">
        <v>52</v>
      </c>
      <c r="K410" s="3">
        <v>54</v>
      </c>
      <c r="L410" s="3">
        <v>55</v>
      </c>
      <c r="M410" s="3">
        <v>63</v>
      </c>
      <c r="N410" s="3">
        <v>63</v>
      </c>
      <c r="O410" s="3">
        <v>70</v>
      </c>
      <c r="P410" s="3">
        <v>57</v>
      </c>
      <c r="Q410" s="3">
        <v>54</v>
      </c>
      <c r="R410" s="3">
        <v>64</v>
      </c>
      <c r="S410" s="3">
        <v>66</v>
      </c>
      <c r="T410" s="3">
        <v>84</v>
      </c>
      <c r="U410" s="3">
        <v>148</v>
      </c>
      <c r="V410" s="3">
        <v>52</v>
      </c>
      <c r="W410" s="3">
        <v>49</v>
      </c>
      <c r="X410" s="3">
        <v>59</v>
      </c>
      <c r="Y410" s="3">
        <v>79</v>
      </c>
      <c r="Z410" s="3">
        <v>75</v>
      </c>
      <c r="AA410" s="5">
        <f t="shared" si="6"/>
        <v>857</v>
      </c>
    </row>
    <row r="411" spans="1:27" ht="15" customHeight="1" x14ac:dyDescent="0.2">
      <c r="A411" s="3" t="s">
        <v>871</v>
      </c>
      <c r="B411" s="1" t="s">
        <v>872</v>
      </c>
      <c r="C411" s="3">
        <v>72</v>
      </c>
      <c r="D411" s="3">
        <v>79</v>
      </c>
      <c r="E411" s="3">
        <v>73</v>
      </c>
      <c r="F411" s="3">
        <v>77</v>
      </c>
      <c r="G411" s="3">
        <v>86</v>
      </c>
      <c r="H411" s="3">
        <v>126</v>
      </c>
      <c r="I411" s="3">
        <v>137</v>
      </c>
      <c r="J411" s="3">
        <v>57</v>
      </c>
      <c r="K411" s="3">
        <v>66</v>
      </c>
      <c r="L411" s="3">
        <v>66</v>
      </c>
      <c r="M411" s="3">
        <v>79</v>
      </c>
      <c r="N411" s="3">
        <v>93</v>
      </c>
      <c r="O411" s="3">
        <v>83</v>
      </c>
      <c r="P411" s="3">
        <v>86</v>
      </c>
      <c r="Q411" s="3">
        <v>82</v>
      </c>
      <c r="R411" s="3">
        <v>73</v>
      </c>
      <c r="S411" s="3">
        <v>87</v>
      </c>
      <c r="T411" s="3">
        <v>118</v>
      </c>
      <c r="U411" s="3">
        <v>135</v>
      </c>
      <c r="V411" s="3">
        <v>57</v>
      </c>
      <c r="W411" s="3">
        <v>61</v>
      </c>
      <c r="X411" s="3">
        <v>79</v>
      </c>
      <c r="Y411" s="3">
        <v>63</v>
      </c>
      <c r="Z411" s="3">
        <v>88</v>
      </c>
      <c r="AA411" s="5">
        <f t="shared" si="6"/>
        <v>1012</v>
      </c>
    </row>
    <row r="412" spans="1:27" ht="15" customHeight="1" x14ac:dyDescent="0.2">
      <c r="A412" s="3" t="s">
        <v>873</v>
      </c>
      <c r="B412" s="1" t="s">
        <v>874</v>
      </c>
      <c r="C412" s="3">
        <v>20</v>
      </c>
      <c r="D412" s="3">
        <v>21</v>
      </c>
      <c r="E412" s="3">
        <v>22</v>
      </c>
      <c r="F412" s="3">
        <v>19</v>
      </c>
      <c r="G412" s="3">
        <v>23</v>
      </c>
      <c r="H412" s="3">
        <v>38</v>
      </c>
      <c r="I412" s="3">
        <v>42</v>
      </c>
      <c r="J412" s="3">
        <v>19</v>
      </c>
      <c r="K412" s="3">
        <v>19</v>
      </c>
      <c r="L412" s="3">
        <v>23</v>
      </c>
      <c r="M412" s="3">
        <v>23</v>
      </c>
      <c r="N412" s="3">
        <v>25</v>
      </c>
      <c r="O412" s="3">
        <v>25</v>
      </c>
      <c r="P412" s="3">
        <v>21</v>
      </c>
      <c r="Q412" s="3">
        <v>22</v>
      </c>
      <c r="R412" s="3">
        <v>23</v>
      </c>
      <c r="S412" s="3">
        <v>25</v>
      </c>
      <c r="T412" s="3">
        <v>32</v>
      </c>
      <c r="U412" s="3">
        <v>35</v>
      </c>
      <c r="V412" s="3">
        <v>17</v>
      </c>
      <c r="W412" s="3">
        <v>23</v>
      </c>
      <c r="X412" s="3">
        <v>23</v>
      </c>
      <c r="Y412" s="3">
        <v>21</v>
      </c>
      <c r="Z412" s="3">
        <v>24</v>
      </c>
      <c r="AA412" s="5">
        <f t="shared" si="6"/>
        <v>291</v>
      </c>
    </row>
    <row r="413" spans="1:27" ht="15" customHeight="1" x14ac:dyDescent="0.2">
      <c r="A413" s="3" t="s">
        <v>875</v>
      </c>
      <c r="B413" s="1" t="s">
        <v>876</v>
      </c>
      <c r="C413" s="3">
        <v>8</v>
      </c>
      <c r="D413" s="3">
        <v>10</v>
      </c>
      <c r="E413" s="3">
        <v>9</v>
      </c>
      <c r="F413" s="3">
        <v>11</v>
      </c>
      <c r="G413" s="3">
        <v>10</v>
      </c>
      <c r="H413" s="3">
        <v>15</v>
      </c>
      <c r="I413" s="3">
        <v>18</v>
      </c>
      <c r="J413" s="3">
        <v>6</v>
      </c>
      <c r="K413" s="3">
        <v>9</v>
      </c>
      <c r="L413" s="3">
        <v>9</v>
      </c>
      <c r="M413" s="3">
        <v>10</v>
      </c>
      <c r="N413" s="3">
        <v>10</v>
      </c>
      <c r="O413" s="3">
        <v>10</v>
      </c>
      <c r="P413" s="3">
        <v>10</v>
      </c>
      <c r="Q413" s="3">
        <v>11</v>
      </c>
      <c r="R413" s="3">
        <v>10</v>
      </c>
      <c r="S413" s="3">
        <v>12</v>
      </c>
      <c r="T413" s="3">
        <v>16</v>
      </c>
      <c r="U413" s="3">
        <v>17</v>
      </c>
      <c r="V413" s="3">
        <v>8</v>
      </c>
      <c r="W413" s="3">
        <v>10</v>
      </c>
      <c r="X413" s="3">
        <v>9</v>
      </c>
      <c r="Y413" s="3">
        <v>10</v>
      </c>
      <c r="Z413" s="3">
        <v>12</v>
      </c>
      <c r="AA413" s="5">
        <f t="shared" si="6"/>
        <v>135</v>
      </c>
    </row>
    <row r="414" spans="1:27" ht="15" customHeight="1" x14ac:dyDescent="0.2">
      <c r="A414" s="3" t="s">
        <v>877</v>
      </c>
      <c r="B414" s="1" t="s">
        <v>878</v>
      </c>
      <c r="C414" s="3">
        <v>80</v>
      </c>
      <c r="D414" s="3">
        <v>84</v>
      </c>
      <c r="E414" s="3">
        <v>83</v>
      </c>
      <c r="F414" s="3">
        <v>73</v>
      </c>
      <c r="G414" s="3">
        <v>82</v>
      </c>
      <c r="H414" s="3">
        <v>127</v>
      </c>
      <c r="I414" s="3">
        <v>136</v>
      </c>
      <c r="J414" s="3">
        <v>60</v>
      </c>
      <c r="K414" s="3">
        <v>69</v>
      </c>
      <c r="L414" s="3">
        <v>77</v>
      </c>
      <c r="M414" s="3">
        <v>91</v>
      </c>
      <c r="N414" s="3">
        <v>80</v>
      </c>
      <c r="O414" s="3">
        <v>70</v>
      </c>
      <c r="P414" s="3">
        <v>80</v>
      </c>
      <c r="Q414" s="3">
        <v>67</v>
      </c>
      <c r="R414" s="3">
        <v>80</v>
      </c>
      <c r="S414" s="3">
        <v>92</v>
      </c>
      <c r="T414" s="3">
        <v>141</v>
      </c>
      <c r="U414" s="3">
        <v>159</v>
      </c>
      <c r="V414" s="3">
        <v>71</v>
      </c>
      <c r="W414" s="3">
        <v>68</v>
      </c>
      <c r="X414" s="3">
        <v>67</v>
      </c>
      <c r="Y414" s="3">
        <v>77</v>
      </c>
      <c r="Z414" s="3">
        <v>95</v>
      </c>
      <c r="AA414" s="5">
        <f t="shared" si="6"/>
        <v>1067</v>
      </c>
    </row>
    <row r="415" spans="1:27" ht="15" customHeight="1" x14ac:dyDescent="0.2">
      <c r="A415" s="3" t="s">
        <v>879</v>
      </c>
      <c r="B415" s="1" t="s">
        <v>880</v>
      </c>
      <c r="C415" s="3">
        <v>76</v>
      </c>
      <c r="D415" s="3">
        <v>78</v>
      </c>
      <c r="E415" s="3">
        <v>64</v>
      </c>
      <c r="F415" s="3">
        <v>77</v>
      </c>
      <c r="G415" s="3">
        <v>107</v>
      </c>
      <c r="H415" s="3">
        <v>113</v>
      </c>
      <c r="I415" s="3">
        <v>154</v>
      </c>
      <c r="J415" s="3">
        <v>62</v>
      </c>
      <c r="K415" s="3">
        <v>69</v>
      </c>
      <c r="L415" s="3">
        <v>80</v>
      </c>
      <c r="M415" s="3">
        <v>80</v>
      </c>
      <c r="N415" s="3">
        <v>71</v>
      </c>
      <c r="O415" s="3">
        <v>81</v>
      </c>
      <c r="P415" s="3">
        <v>78</v>
      </c>
      <c r="Q415" s="3">
        <v>71</v>
      </c>
      <c r="R415" s="3">
        <v>80</v>
      </c>
      <c r="S415" s="3">
        <v>99</v>
      </c>
      <c r="T415" s="3">
        <v>116</v>
      </c>
      <c r="U415" s="3">
        <v>163</v>
      </c>
      <c r="V415" s="3">
        <v>66</v>
      </c>
      <c r="W415" s="3">
        <v>70</v>
      </c>
      <c r="X415" s="3">
        <v>76</v>
      </c>
      <c r="Y415" s="3">
        <v>89</v>
      </c>
      <c r="Z415" s="3">
        <v>94</v>
      </c>
      <c r="AA415" s="5">
        <f t="shared" si="6"/>
        <v>1083</v>
      </c>
    </row>
    <row r="416" spans="1:27" ht="15" customHeight="1" x14ac:dyDescent="0.2">
      <c r="A416" s="3" t="s">
        <v>881</v>
      </c>
      <c r="B416" s="1" t="s">
        <v>882</v>
      </c>
      <c r="C416" s="3">
        <v>45</v>
      </c>
      <c r="D416" s="3">
        <v>48</v>
      </c>
      <c r="E416" s="3">
        <v>50</v>
      </c>
      <c r="F416" s="3">
        <v>42</v>
      </c>
      <c r="G416" s="3">
        <v>53</v>
      </c>
      <c r="H416" s="3">
        <v>84</v>
      </c>
      <c r="I416" s="3">
        <v>89</v>
      </c>
      <c r="J416" s="3">
        <v>40</v>
      </c>
      <c r="K416" s="3">
        <v>41</v>
      </c>
      <c r="L416" s="3">
        <v>47</v>
      </c>
      <c r="M416" s="3">
        <v>54</v>
      </c>
      <c r="N416" s="3">
        <v>50</v>
      </c>
      <c r="O416" s="3">
        <v>46</v>
      </c>
      <c r="P416" s="3">
        <v>58</v>
      </c>
      <c r="Q416" s="3">
        <v>57</v>
      </c>
      <c r="R416" s="3">
        <v>51</v>
      </c>
      <c r="S416" s="3">
        <v>58</v>
      </c>
      <c r="T416" s="3">
        <v>86</v>
      </c>
      <c r="U416" s="3">
        <v>103</v>
      </c>
      <c r="V416" s="3">
        <v>48</v>
      </c>
      <c r="W416" s="3">
        <v>47</v>
      </c>
      <c r="X416" s="3">
        <v>52</v>
      </c>
      <c r="Y416" s="3">
        <v>53</v>
      </c>
      <c r="Z416" s="3">
        <v>56</v>
      </c>
      <c r="AA416" s="5">
        <f t="shared" si="6"/>
        <v>715</v>
      </c>
    </row>
    <row r="417" spans="1:27" ht="15" customHeight="1" x14ac:dyDescent="0.2">
      <c r="A417" s="3" t="s">
        <v>883</v>
      </c>
      <c r="B417" s="1" t="s">
        <v>884</v>
      </c>
      <c r="C417" s="3">
        <v>15</v>
      </c>
      <c r="D417" s="3">
        <v>14</v>
      </c>
      <c r="E417" s="3">
        <v>12</v>
      </c>
      <c r="F417" s="3">
        <v>13</v>
      </c>
      <c r="G417" s="3">
        <v>16</v>
      </c>
      <c r="H417" s="3">
        <v>20</v>
      </c>
      <c r="I417" s="3">
        <v>27</v>
      </c>
      <c r="J417" s="3">
        <v>10</v>
      </c>
      <c r="K417" s="3">
        <v>11</v>
      </c>
      <c r="L417" s="3">
        <v>13</v>
      </c>
      <c r="M417" s="3">
        <v>17</v>
      </c>
      <c r="N417" s="3">
        <v>12</v>
      </c>
      <c r="O417" s="3">
        <v>16</v>
      </c>
      <c r="P417" s="3">
        <v>14</v>
      </c>
      <c r="Q417" s="3">
        <v>14</v>
      </c>
      <c r="R417" s="3">
        <v>14</v>
      </c>
      <c r="S417" s="3">
        <v>18</v>
      </c>
      <c r="T417" s="3">
        <v>20</v>
      </c>
      <c r="U417" s="3">
        <v>27</v>
      </c>
      <c r="V417" s="3">
        <v>12</v>
      </c>
      <c r="W417" s="3">
        <v>11</v>
      </c>
      <c r="X417" s="3">
        <v>16</v>
      </c>
      <c r="Y417" s="3">
        <v>16</v>
      </c>
      <c r="Z417" s="3">
        <v>17</v>
      </c>
      <c r="AA417" s="5">
        <f t="shared" si="6"/>
        <v>195</v>
      </c>
    </row>
    <row r="418" spans="1:27" ht="15" customHeight="1" x14ac:dyDescent="0.2">
      <c r="A418" s="3" t="s">
        <v>885</v>
      </c>
      <c r="B418" s="1" t="s">
        <v>886</v>
      </c>
      <c r="C418" s="3">
        <v>9</v>
      </c>
      <c r="D418" s="3">
        <v>9</v>
      </c>
      <c r="E418" s="3">
        <v>11</v>
      </c>
      <c r="F418" s="3">
        <v>8</v>
      </c>
      <c r="G418" s="3">
        <v>10</v>
      </c>
      <c r="H418" s="3">
        <v>16</v>
      </c>
      <c r="I418" s="3">
        <v>18</v>
      </c>
      <c r="J418" s="3">
        <v>7</v>
      </c>
      <c r="K418" s="3">
        <v>8</v>
      </c>
      <c r="L418" s="3">
        <v>10</v>
      </c>
      <c r="M418" s="3">
        <v>9</v>
      </c>
      <c r="N418" s="3">
        <v>10</v>
      </c>
      <c r="O418" s="3">
        <v>9</v>
      </c>
      <c r="P418" s="3">
        <v>9</v>
      </c>
      <c r="Q418" s="3">
        <v>10</v>
      </c>
      <c r="R418" s="3">
        <v>11</v>
      </c>
      <c r="S418" s="3">
        <v>13</v>
      </c>
      <c r="T418" s="3">
        <v>15</v>
      </c>
      <c r="U418" s="3">
        <v>19</v>
      </c>
      <c r="V418" s="3">
        <v>7</v>
      </c>
      <c r="W418" s="3">
        <v>8</v>
      </c>
      <c r="X418" s="3">
        <v>10</v>
      </c>
      <c r="Y418" s="3">
        <v>13</v>
      </c>
      <c r="Z418" s="3">
        <v>11</v>
      </c>
      <c r="AA418" s="5">
        <f t="shared" si="6"/>
        <v>135</v>
      </c>
    </row>
    <row r="419" spans="1:27" ht="15" customHeight="1" x14ac:dyDescent="0.2">
      <c r="A419" s="3" t="s">
        <v>887</v>
      </c>
      <c r="B419" s="1" t="s">
        <v>888</v>
      </c>
      <c r="C419" s="3">
        <v>25</v>
      </c>
      <c r="D419" s="3">
        <v>24</v>
      </c>
      <c r="E419" s="3">
        <v>18</v>
      </c>
      <c r="F419" s="3">
        <v>31</v>
      </c>
      <c r="G419" s="3">
        <v>19</v>
      </c>
      <c r="H419" s="3">
        <v>23</v>
      </c>
      <c r="I419" s="3">
        <v>20</v>
      </c>
      <c r="J419" s="3">
        <v>24</v>
      </c>
      <c r="K419" s="3">
        <v>15</v>
      </c>
      <c r="L419" s="3">
        <v>14</v>
      </c>
      <c r="M419" s="3">
        <v>16</v>
      </c>
      <c r="N419" s="3">
        <v>14</v>
      </c>
      <c r="O419" s="3">
        <v>16</v>
      </c>
      <c r="P419" s="3">
        <v>14</v>
      </c>
      <c r="Q419" s="3">
        <v>12</v>
      </c>
      <c r="R419" s="3">
        <v>7</v>
      </c>
      <c r="S419" s="3">
        <v>9</v>
      </c>
      <c r="T419" s="3">
        <v>7</v>
      </c>
      <c r="U419" s="3">
        <v>5</v>
      </c>
      <c r="V419" s="3">
        <v>5</v>
      </c>
      <c r="W419" s="3">
        <v>3</v>
      </c>
      <c r="X419" s="3">
        <v>2</v>
      </c>
      <c r="Y419" s="3">
        <v>1</v>
      </c>
      <c r="Z419" s="3">
        <v>2</v>
      </c>
      <c r="AA419" s="5">
        <f t="shared" si="6"/>
        <v>83</v>
      </c>
    </row>
    <row r="420" spans="1:27" ht="15" customHeight="1" x14ac:dyDescent="0.2">
      <c r="A420" s="3" t="s">
        <v>889</v>
      </c>
      <c r="B420" s="1" t="s">
        <v>890</v>
      </c>
      <c r="C420" s="3">
        <v>21</v>
      </c>
      <c r="D420" s="3">
        <v>22</v>
      </c>
      <c r="E420" s="3">
        <v>21</v>
      </c>
      <c r="F420" s="3">
        <v>23</v>
      </c>
      <c r="G420" s="3">
        <v>25</v>
      </c>
      <c r="H420" s="3">
        <v>35</v>
      </c>
      <c r="I420" s="3">
        <v>43</v>
      </c>
      <c r="J420" s="3">
        <v>20</v>
      </c>
      <c r="K420" s="3">
        <v>18</v>
      </c>
      <c r="L420" s="3">
        <v>22</v>
      </c>
      <c r="M420" s="3">
        <v>25</v>
      </c>
      <c r="N420" s="3">
        <v>28</v>
      </c>
      <c r="O420" s="3">
        <v>21</v>
      </c>
      <c r="P420" s="3">
        <v>24</v>
      </c>
      <c r="Q420" s="3">
        <v>22</v>
      </c>
      <c r="R420" s="3">
        <v>24</v>
      </c>
      <c r="S420" s="3">
        <v>29</v>
      </c>
      <c r="T420" s="3">
        <v>32</v>
      </c>
      <c r="U420" s="3">
        <v>41</v>
      </c>
      <c r="V420" s="3">
        <v>18</v>
      </c>
      <c r="W420" s="3">
        <v>19</v>
      </c>
      <c r="X420" s="3">
        <v>23</v>
      </c>
      <c r="Y420" s="3">
        <v>23</v>
      </c>
      <c r="Z420" s="3">
        <v>26</v>
      </c>
      <c r="AA420" s="5">
        <f t="shared" si="6"/>
        <v>302</v>
      </c>
    </row>
    <row r="421" spans="1:27" ht="15" customHeight="1" x14ac:dyDescent="0.2">
      <c r="A421" s="3" t="s">
        <v>891</v>
      </c>
      <c r="B421" s="1" t="s">
        <v>892</v>
      </c>
      <c r="C421" s="3">
        <v>48</v>
      </c>
      <c r="D421" s="3">
        <v>55</v>
      </c>
      <c r="E421" s="3">
        <v>54</v>
      </c>
      <c r="F421" s="3">
        <v>49</v>
      </c>
      <c r="G421" s="3">
        <v>56</v>
      </c>
      <c r="H421" s="3">
        <v>79</v>
      </c>
      <c r="I421" s="3">
        <v>98</v>
      </c>
      <c r="J421" s="3">
        <v>37</v>
      </c>
      <c r="K421" s="3">
        <v>46</v>
      </c>
      <c r="L421" s="3">
        <v>48</v>
      </c>
      <c r="M421" s="3">
        <v>57</v>
      </c>
      <c r="N421" s="3">
        <v>51</v>
      </c>
      <c r="O421" s="3">
        <v>56</v>
      </c>
      <c r="P421" s="3">
        <v>54</v>
      </c>
      <c r="Q421" s="3">
        <v>48</v>
      </c>
      <c r="R421" s="3">
        <v>55</v>
      </c>
      <c r="S421" s="3">
        <v>63</v>
      </c>
      <c r="T421" s="3">
        <v>76</v>
      </c>
      <c r="U421" s="3">
        <v>105</v>
      </c>
      <c r="V421" s="3">
        <v>41</v>
      </c>
      <c r="W421" s="3">
        <v>46</v>
      </c>
      <c r="X421" s="3">
        <v>55</v>
      </c>
      <c r="Y421" s="3">
        <v>60</v>
      </c>
      <c r="Z421" s="3">
        <v>59</v>
      </c>
      <c r="AA421" s="5">
        <f t="shared" si="6"/>
        <v>718</v>
      </c>
    </row>
    <row r="422" spans="1:27" ht="15" customHeight="1" x14ac:dyDescent="0.2">
      <c r="A422" s="3" t="s">
        <v>893</v>
      </c>
      <c r="B422" s="1" t="s">
        <v>894</v>
      </c>
      <c r="C422" s="3">
        <v>18</v>
      </c>
      <c r="D422" s="3">
        <v>15</v>
      </c>
      <c r="E422" s="3">
        <v>12</v>
      </c>
      <c r="F422" s="3">
        <v>15</v>
      </c>
      <c r="G422" s="3">
        <v>20</v>
      </c>
      <c r="H422" s="3">
        <v>25</v>
      </c>
      <c r="I422" s="3">
        <v>30</v>
      </c>
      <c r="J422" s="3">
        <v>12</v>
      </c>
      <c r="K422" s="3">
        <v>11</v>
      </c>
      <c r="L422" s="3">
        <v>17</v>
      </c>
      <c r="M422" s="3">
        <v>17</v>
      </c>
      <c r="N422" s="3">
        <v>18</v>
      </c>
      <c r="O422" s="3">
        <v>14</v>
      </c>
      <c r="P422" s="3">
        <v>17</v>
      </c>
      <c r="Q422" s="3">
        <v>17</v>
      </c>
      <c r="R422" s="3">
        <v>16</v>
      </c>
      <c r="S422" s="3">
        <v>20</v>
      </c>
      <c r="T422" s="3">
        <v>29</v>
      </c>
      <c r="U422" s="3">
        <v>34</v>
      </c>
      <c r="V422" s="3">
        <v>15</v>
      </c>
      <c r="W422" s="3">
        <v>16</v>
      </c>
      <c r="X422" s="3">
        <v>14</v>
      </c>
      <c r="Y422" s="3">
        <v>19</v>
      </c>
      <c r="Z422" s="3">
        <v>18</v>
      </c>
      <c r="AA422" s="5">
        <f t="shared" si="6"/>
        <v>229</v>
      </c>
    </row>
    <row r="423" spans="1:27" ht="15" customHeight="1" x14ac:dyDescent="0.2">
      <c r="A423" s="3" t="s">
        <v>895</v>
      </c>
      <c r="B423" s="1" t="s">
        <v>896</v>
      </c>
      <c r="C423" s="3">
        <v>29</v>
      </c>
      <c r="D423" s="3">
        <v>30</v>
      </c>
      <c r="E423" s="3">
        <v>27</v>
      </c>
      <c r="F423" s="3">
        <v>27</v>
      </c>
      <c r="G423" s="3">
        <v>33</v>
      </c>
      <c r="H423" s="3">
        <v>43</v>
      </c>
      <c r="I423" s="3">
        <v>61</v>
      </c>
      <c r="J423" s="3">
        <v>22</v>
      </c>
      <c r="K423" s="3">
        <v>26</v>
      </c>
      <c r="L423" s="3">
        <v>31</v>
      </c>
      <c r="M423" s="3">
        <v>34</v>
      </c>
      <c r="N423" s="3">
        <v>32</v>
      </c>
      <c r="O423" s="3">
        <v>32</v>
      </c>
      <c r="P423" s="3">
        <v>35</v>
      </c>
      <c r="Q423" s="3">
        <v>33</v>
      </c>
      <c r="R423" s="3">
        <v>32</v>
      </c>
      <c r="S423" s="3">
        <v>35</v>
      </c>
      <c r="T423" s="3">
        <v>51</v>
      </c>
      <c r="U423" s="3">
        <v>57</v>
      </c>
      <c r="V423" s="3">
        <v>25</v>
      </c>
      <c r="W423" s="3">
        <v>31</v>
      </c>
      <c r="X423" s="3">
        <v>36</v>
      </c>
      <c r="Y423" s="3">
        <v>34</v>
      </c>
      <c r="Z423" s="3">
        <v>35</v>
      </c>
      <c r="AA423" s="5">
        <f t="shared" si="6"/>
        <v>436</v>
      </c>
    </row>
    <row r="424" spans="1:27" ht="15" customHeight="1" x14ac:dyDescent="0.2">
      <c r="A424" s="3" t="s">
        <v>897</v>
      </c>
      <c r="B424" s="1" t="s">
        <v>898</v>
      </c>
      <c r="C424" s="3">
        <v>47</v>
      </c>
      <c r="D424" s="3">
        <v>52</v>
      </c>
      <c r="E424" s="3">
        <v>47</v>
      </c>
      <c r="F424" s="3">
        <v>45</v>
      </c>
      <c r="G424" s="3">
        <v>69</v>
      </c>
      <c r="H424" s="3">
        <v>67</v>
      </c>
      <c r="I424" s="3">
        <v>99</v>
      </c>
      <c r="J424" s="3">
        <v>34</v>
      </c>
      <c r="K424" s="3">
        <v>46</v>
      </c>
      <c r="L424" s="3">
        <v>48</v>
      </c>
      <c r="M424" s="3">
        <v>47</v>
      </c>
      <c r="N424" s="3">
        <v>54</v>
      </c>
      <c r="O424" s="3">
        <v>53</v>
      </c>
      <c r="P424" s="3">
        <v>47</v>
      </c>
      <c r="Q424" s="3">
        <v>49</v>
      </c>
      <c r="R424" s="3">
        <v>52</v>
      </c>
      <c r="S424" s="3">
        <v>60</v>
      </c>
      <c r="T424" s="3">
        <v>81</v>
      </c>
      <c r="U424" s="3">
        <v>84</v>
      </c>
      <c r="V424" s="3">
        <v>39</v>
      </c>
      <c r="W424" s="3">
        <v>45</v>
      </c>
      <c r="X424" s="3">
        <v>60</v>
      </c>
      <c r="Y424" s="3">
        <v>60</v>
      </c>
      <c r="Z424" s="3">
        <v>51</v>
      </c>
      <c r="AA424" s="5">
        <f t="shared" si="6"/>
        <v>681</v>
      </c>
    </row>
    <row r="425" spans="1:27" ht="15" customHeight="1" x14ac:dyDescent="0.2">
      <c r="A425" s="3" t="s">
        <v>899</v>
      </c>
      <c r="B425" s="1" t="s">
        <v>900</v>
      </c>
      <c r="C425" s="3">
        <v>17</v>
      </c>
      <c r="D425" s="3">
        <v>16</v>
      </c>
      <c r="E425" s="3">
        <v>20</v>
      </c>
      <c r="F425" s="3">
        <v>20</v>
      </c>
      <c r="G425" s="3">
        <v>24</v>
      </c>
      <c r="H425" s="3">
        <v>28</v>
      </c>
      <c r="I425" s="3">
        <v>38</v>
      </c>
      <c r="J425" s="3">
        <v>14</v>
      </c>
      <c r="K425" s="3">
        <v>18</v>
      </c>
      <c r="L425" s="3">
        <v>18</v>
      </c>
      <c r="M425" s="3">
        <v>18</v>
      </c>
      <c r="N425" s="3">
        <v>23</v>
      </c>
      <c r="O425" s="3">
        <v>18</v>
      </c>
      <c r="P425" s="3">
        <v>21</v>
      </c>
      <c r="Q425" s="3">
        <v>18</v>
      </c>
      <c r="R425" s="3">
        <v>17</v>
      </c>
      <c r="S425" s="3">
        <v>18</v>
      </c>
      <c r="T425" s="3">
        <v>30</v>
      </c>
      <c r="U425" s="3">
        <v>38</v>
      </c>
      <c r="V425" s="3">
        <v>17</v>
      </c>
      <c r="W425" s="3">
        <v>18</v>
      </c>
      <c r="X425" s="3">
        <v>21</v>
      </c>
      <c r="Y425" s="3">
        <v>24</v>
      </c>
      <c r="Z425" s="3">
        <v>18</v>
      </c>
      <c r="AA425" s="5">
        <f t="shared" si="6"/>
        <v>258</v>
      </c>
    </row>
    <row r="426" spans="1:27" ht="15" customHeight="1" x14ac:dyDescent="0.2">
      <c r="A426" s="3" t="s">
        <v>901</v>
      </c>
      <c r="B426" s="1" t="s">
        <v>902</v>
      </c>
      <c r="C426" s="3">
        <v>164</v>
      </c>
      <c r="D426" s="3">
        <v>196</v>
      </c>
      <c r="E426" s="3">
        <v>182</v>
      </c>
      <c r="F426" s="3">
        <v>154</v>
      </c>
      <c r="G426" s="3">
        <v>248</v>
      </c>
      <c r="H426" s="3">
        <v>239</v>
      </c>
      <c r="I426" s="3">
        <v>347</v>
      </c>
      <c r="J426" s="3">
        <v>143</v>
      </c>
      <c r="K426" s="3">
        <v>182</v>
      </c>
      <c r="L426" s="3">
        <v>195</v>
      </c>
      <c r="M426" s="3">
        <v>195</v>
      </c>
      <c r="N426" s="3">
        <v>210</v>
      </c>
      <c r="O426" s="3">
        <v>204</v>
      </c>
      <c r="P426" s="3">
        <v>214</v>
      </c>
      <c r="Q426" s="3">
        <v>170</v>
      </c>
      <c r="R426" s="3">
        <v>179</v>
      </c>
      <c r="S426" s="3">
        <v>272</v>
      </c>
      <c r="T426" s="3">
        <v>257</v>
      </c>
      <c r="U426" s="3">
        <v>373</v>
      </c>
      <c r="V426" s="3">
        <v>136</v>
      </c>
      <c r="W426" s="3">
        <v>188</v>
      </c>
      <c r="X426" s="3">
        <v>204</v>
      </c>
      <c r="Y426" s="3">
        <v>233</v>
      </c>
      <c r="Z426" s="3">
        <v>194</v>
      </c>
      <c r="AA426" s="5">
        <f t="shared" si="6"/>
        <v>2624</v>
      </c>
    </row>
    <row r="427" spans="1:27" ht="15" customHeight="1" x14ac:dyDescent="0.2">
      <c r="A427" s="3" t="s">
        <v>903</v>
      </c>
      <c r="B427" s="1" t="s">
        <v>904</v>
      </c>
      <c r="C427" s="3">
        <v>133</v>
      </c>
      <c r="D427" s="3">
        <v>126</v>
      </c>
      <c r="E427" s="3">
        <v>147</v>
      </c>
      <c r="F427" s="3">
        <v>158</v>
      </c>
      <c r="G427" s="3">
        <v>166</v>
      </c>
      <c r="H427" s="3">
        <v>182</v>
      </c>
      <c r="I427" s="3">
        <v>289</v>
      </c>
      <c r="J427" s="3">
        <v>100</v>
      </c>
      <c r="K427" s="3">
        <v>123</v>
      </c>
      <c r="L427" s="3">
        <v>146</v>
      </c>
      <c r="M427" s="3">
        <v>137</v>
      </c>
      <c r="N427" s="3">
        <v>151</v>
      </c>
      <c r="O427" s="3">
        <v>154</v>
      </c>
      <c r="P427" s="3">
        <v>153</v>
      </c>
      <c r="Q427" s="3">
        <v>144</v>
      </c>
      <c r="R427" s="3">
        <v>154</v>
      </c>
      <c r="S427" s="3">
        <v>214</v>
      </c>
      <c r="T427" s="3">
        <v>256</v>
      </c>
      <c r="U427" s="3">
        <v>287</v>
      </c>
      <c r="V427" s="3">
        <v>105</v>
      </c>
      <c r="W427" s="3">
        <v>128</v>
      </c>
      <c r="X427" s="3">
        <v>134</v>
      </c>
      <c r="Y427" s="3">
        <v>165</v>
      </c>
      <c r="Z427" s="3">
        <v>181</v>
      </c>
      <c r="AA427" s="5">
        <f t="shared" si="6"/>
        <v>2075</v>
      </c>
    </row>
    <row r="428" spans="1:27" ht="15" customHeight="1" x14ac:dyDescent="0.2">
      <c r="A428" s="3" t="s">
        <v>905</v>
      </c>
      <c r="B428" s="1" t="s">
        <v>906</v>
      </c>
      <c r="C428" s="3">
        <v>45</v>
      </c>
      <c r="D428" s="3">
        <v>46</v>
      </c>
      <c r="E428" s="3">
        <v>45</v>
      </c>
      <c r="F428" s="3">
        <v>49</v>
      </c>
      <c r="G428" s="3">
        <v>60</v>
      </c>
      <c r="H428" s="3">
        <v>63</v>
      </c>
      <c r="I428" s="3">
        <v>110</v>
      </c>
      <c r="J428" s="3">
        <v>39</v>
      </c>
      <c r="K428" s="3">
        <v>38</v>
      </c>
      <c r="L428" s="3">
        <v>53</v>
      </c>
      <c r="M428" s="3">
        <v>44</v>
      </c>
      <c r="N428" s="3">
        <v>61</v>
      </c>
      <c r="O428" s="3">
        <v>46</v>
      </c>
      <c r="P428" s="3">
        <v>53</v>
      </c>
      <c r="Q428" s="3">
        <v>43</v>
      </c>
      <c r="R428" s="3">
        <v>52</v>
      </c>
      <c r="S428" s="3">
        <v>39</v>
      </c>
      <c r="T428" s="3">
        <v>68</v>
      </c>
      <c r="U428" s="3">
        <v>107</v>
      </c>
      <c r="V428" s="3">
        <v>36</v>
      </c>
      <c r="W428" s="3">
        <v>48</v>
      </c>
      <c r="X428" s="3">
        <v>49</v>
      </c>
      <c r="Y428" s="3">
        <v>54</v>
      </c>
      <c r="Z428" s="3">
        <v>65</v>
      </c>
      <c r="AA428" s="5">
        <f t="shared" si="6"/>
        <v>660</v>
      </c>
    </row>
    <row r="429" spans="1:27" ht="15" customHeight="1" x14ac:dyDescent="0.2">
      <c r="A429" s="3" t="s">
        <v>907</v>
      </c>
      <c r="B429" s="1" t="s">
        <v>908</v>
      </c>
      <c r="C429" s="3">
        <v>55</v>
      </c>
      <c r="D429" s="3">
        <v>52</v>
      </c>
      <c r="E429" s="3">
        <v>52</v>
      </c>
      <c r="F429" s="3">
        <v>61</v>
      </c>
      <c r="G429" s="3">
        <v>57</v>
      </c>
      <c r="H429" s="3">
        <v>82</v>
      </c>
      <c r="I429" s="3">
        <v>102</v>
      </c>
      <c r="J429" s="3">
        <v>42</v>
      </c>
      <c r="K429" s="3">
        <v>55</v>
      </c>
      <c r="L429" s="3">
        <v>55</v>
      </c>
      <c r="M429" s="3">
        <v>55</v>
      </c>
      <c r="N429" s="3">
        <v>69</v>
      </c>
      <c r="O429" s="3">
        <v>61</v>
      </c>
      <c r="P429" s="3">
        <v>59</v>
      </c>
      <c r="Q429" s="3">
        <v>49</v>
      </c>
      <c r="R429" s="3">
        <v>66</v>
      </c>
      <c r="S429" s="3">
        <v>86</v>
      </c>
      <c r="T429" s="3">
        <v>93</v>
      </c>
      <c r="U429" s="3">
        <v>105</v>
      </c>
      <c r="V429" s="3">
        <v>45</v>
      </c>
      <c r="W429" s="3">
        <v>44</v>
      </c>
      <c r="X429" s="3">
        <v>54</v>
      </c>
      <c r="Y429" s="3">
        <v>56</v>
      </c>
      <c r="Z429" s="3">
        <v>60</v>
      </c>
      <c r="AA429" s="5">
        <f t="shared" si="6"/>
        <v>778</v>
      </c>
    </row>
    <row r="430" spans="1:27" ht="15" customHeight="1" x14ac:dyDescent="0.2">
      <c r="A430" s="3" t="s">
        <v>909</v>
      </c>
      <c r="B430" s="1" t="s">
        <v>910</v>
      </c>
      <c r="C430" s="3">
        <v>12</v>
      </c>
      <c r="D430" s="3">
        <v>12</v>
      </c>
      <c r="E430" s="3">
        <v>12</v>
      </c>
      <c r="F430" s="3">
        <v>11</v>
      </c>
      <c r="G430" s="3">
        <v>14</v>
      </c>
      <c r="H430" s="3">
        <v>19</v>
      </c>
      <c r="I430" s="3">
        <v>25</v>
      </c>
      <c r="J430" s="3">
        <v>10</v>
      </c>
      <c r="K430" s="3">
        <v>11</v>
      </c>
      <c r="L430" s="3">
        <v>13</v>
      </c>
      <c r="M430" s="3">
        <v>13</v>
      </c>
      <c r="N430" s="3">
        <v>15</v>
      </c>
      <c r="O430" s="3">
        <v>13</v>
      </c>
      <c r="P430" s="3">
        <v>13</v>
      </c>
      <c r="Q430" s="3">
        <v>13</v>
      </c>
      <c r="R430" s="3">
        <v>12</v>
      </c>
      <c r="S430" s="3">
        <v>16</v>
      </c>
      <c r="T430" s="3">
        <v>18</v>
      </c>
      <c r="U430" s="3">
        <v>26</v>
      </c>
      <c r="V430" s="3">
        <v>10</v>
      </c>
      <c r="W430" s="3">
        <v>13</v>
      </c>
      <c r="X430" s="3">
        <v>14</v>
      </c>
      <c r="Y430" s="3">
        <v>15</v>
      </c>
      <c r="Z430" s="3">
        <v>14</v>
      </c>
      <c r="AA430" s="5">
        <f t="shared" si="6"/>
        <v>177</v>
      </c>
    </row>
    <row r="431" spans="1:27" ht="15" customHeight="1" x14ac:dyDescent="0.2">
      <c r="A431" s="3" t="s">
        <v>911</v>
      </c>
      <c r="B431" s="1" t="s">
        <v>912</v>
      </c>
      <c r="C431" s="3">
        <v>20</v>
      </c>
      <c r="D431" s="3">
        <v>18</v>
      </c>
      <c r="E431" s="3">
        <v>19</v>
      </c>
      <c r="F431" s="3">
        <v>21</v>
      </c>
      <c r="G431" s="3">
        <v>24</v>
      </c>
      <c r="H431" s="3">
        <v>30</v>
      </c>
      <c r="I431" s="3">
        <v>41</v>
      </c>
      <c r="J431" s="3">
        <v>15</v>
      </c>
      <c r="K431" s="3">
        <v>17</v>
      </c>
      <c r="L431" s="3">
        <v>23</v>
      </c>
      <c r="M431" s="3">
        <v>21</v>
      </c>
      <c r="N431" s="3">
        <v>21</v>
      </c>
      <c r="O431" s="3">
        <v>20</v>
      </c>
      <c r="P431" s="3">
        <v>20</v>
      </c>
      <c r="Q431" s="3">
        <v>22</v>
      </c>
      <c r="R431" s="3">
        <v>22</v>
      </c>
      <c r="S431" s="3">
        <v>25</v>
      </c>
      <c r="T431" s="3">
        <v>30</v>
      </c>
      <c r="U431" s="3">
        <v>42</v>
      </c>
      <c r="V431" s="3">
        <v>16</v>
      </c>
      <c r="W431" s="3">
        <v>20</v>
      </c>
      <c r="X431" s="3">
        <v>21</v>
      </c>
      <c r="Y431" s="3">
        <v>21</v>
      </c>
      <c r="Z431" s="3">
        <v>26</v>
      </c>
      <c r="AA431" s="5">
        <f t="shared" si="6"/>
        <v>285</v>
      </c>
    </row>
    <row r="432" spans="1:27" ht="15" customHeight="1" x14ac:dyDescent="0.2">
      <c r="A432" s="3" t="s">
        <v>913</v>
      </c>
      <c r="B432" s="1" t="s">
        <v>914</v>
      </c>
      <c r="C432" s="3">
        <v>186</v>
      </c>
      <c r="D432" s="3">
        <v>139</v>
      </c>
      <c r="E432" s="3">
        <v>133</v>
      </c>
      <c r="F432" s="3">
        <v>158</v>
      </c>
      <c r="G432" s="3">
        <v>155</v>
      </c>
      <c r="H432" s="3">
        <v>230</v>
      </c>
      <c r="I432" s="3">
        <v>306</v>
      </c>
      <c r="J432" s="3">
        <v>110</v>
      </c>
      <c r="K432" s="3">
        <v>158</v>
      </c>
      <c r="L432" s="3">
        <v>169</v>
      </c>
      <c r="M432" s="3">
        <v>170</v>
      </c>
      <c r="N432" s="3">
        <v>164</v>
      </c>
      <c r="O432" s="3">
        <v>168</v>
      </c>
      <c r="P432" s="3">
        <v>156</v>
      </c>
      <c r="Q432" s="3">
        <v>153</v>
      </c>
      <c r="R432" s="3">
        <v>168</v>
      </c>
      <c r="S432" s="3">
        <v>178</v>
      </c>
      <c r="T432" s="3">
        <v>244</v>
      </c>
      <c r="U432" s="3">
        <v>305</v>
      </c>
      <c r="V432" s="3">
        <v>139</v>
      </c>
      <c r="W432" s="3">
        <v>152</v>
      </c>
      <c r="X432" s="3">
        <v>176</v>
      </c>
      <c r="Y432" s="3">
        <v>156</v>
      </c>
      <c r="Z432" s="3">
        <v>218</v>
      </c>
      <c r="AA432" s="5">
        <f t="shared" si="6"/>
        <v>2213</v>
      </c>
    </row>
    <row r="433" spans="1:27" ht="15" customHeight="1" x14ac:dyDescent="0.2">
      <c r="A433" s="3" t="s">
        <v>915</v>
      </c>
      <c r="B433" s="1" t="s">
        <v>916</v>
      </c>
      <c r="C433" s="3">
        <v>67</v>
      </c>
      <c r="D433" s="3">
        <v>55</v>
      </c>
      <c r="E433" s="3">
        <v>64</v>
      </c>
      <c r="F433" s="3">
        <v>62</v>
      </c>
      <c r="G433" s="3">
        <v>74</v>
      </c>
      <c r="H433" s="3">
        <v>95</v>
      </c>
      <c r="I433" s="3">
        <v>109</v>
      </c>
      <c r="J433" s="3">
        <v>46</v>
      </c>
      <c r="K433" s="3">
        <v>49</v>
      </c>
      <c r="L433" s="3">
        <v>66</v>
      </c>
      <c r="M433" s="3">
        <v>53</v>
      </c>
      <c r="N433" s="3">
        <v>67</v>
      </c>
      <c r="O433" s="3">
        <v>69</v>
      </c>
      <c r="P433" s="3">
        <v>63</v>
      </c>
      <c r="Q433" s="3">
        <v>80</v>
      </c>
      <c r="R433" s="3">
        <v>54</v>
      </c>
      <c r="S433" s="3">
        <v>75</v>
      </c>
      <c r="T433" s="3">
        <v>100</v>
      </c>
      <c r="U433" s="3">
        <v>138</v>
      </c>
      <c r="V433" s="3">
        <v>49</v>
      </c>
      <c r="W433" s="3">
        <v>55</v>
      </c>
      <c r="X433" s="3">
        <v>69</v>
      </c>
      <c r="Y433" s="3">
        <v>69</v>
      </c>
      <c r="Z433" s="3">
        <v>67</v>
      </c>
      <c r="AA433" s="5">
        <f t="shared" si="6"/>
        <v>888</v>
      </c>
    </row>
    <row r="434" spans="1:27" ht="15" customHeight="1" x14ac:dyDescent="0.2">
      <c r="A434" s="3" t="s">
        <v>917</v>
      </c>
      <c r="B434" s="1" t="s">
        <v>918</v>
      </c>
      <c r="C434" s="3">
        <v>32</v>
      </c>
      <c r="D434" s="3">
        <v>38</v>
      </c>
      <c r="E434" s="3">
        <v>28</v>
      </c>
      <c r="F434" s="3">
        <v>34</v>
      </c>
      <c r="G434" s="3">
        <v>39</v>
      </c>
      <c r="H434" s="3">
        <v>38</v>
      </c>
      <c r="I434" s="3">
        <v>68</v>
      </c>
      <c r="J434" s="3">
        <v>25</v>
      </c>
      <c r="K434" s="3">
        <v>32</v>
      </c>
      <c r="L434" s="3">
        <v>29</v>
      </c>
      <c r="M434" s="3">
        <v>37</v>
      </c>
      <c r="N434" s="3">
        <v>34</v>
      </c>
      <c r="O434" s="3">
        <v>39</v>
      </c>
      <c r="P434" s="3">
        <v>30</v>
      </c>
      <c r="Q434" s="3">
        <v>32</v>
      </c>
      <c r="R434" s="3">
        <v>35</v>
      </c>
      <c r="S434" s="3">
        <v>38</v>
      </c>
      <c r="T434" s="3">
        <v>50</v>
      </c>
      <c r="U434" s="3">
        <v>70</v>
      </c>
      <c r="V434" s="3">
        <v>27</v>
      </c>
      <c r="W434" s="3">
        <v>26</v>
      </c>
      <c r="X434" s="3">
        <v>34</v>
      </c>
      <c r="Y434" s="3">
        <v>37</v>
      </c>
      <c r="Z434" s="3">
        <v>45</v>
      </c>
      <c r="AA434" s="5">
        <f t="shared" si="6"/>
        <v>463</v>
      </c>
    </row>
    <row r="435" spans="1:27" ht="15" customHeight="1" x14ac:dyDescent="0.2">
      <c r="A435" s="3" t="s">
        <v>919</v>
      </c>
      <c r="B435" s="1" t="s">
        <v>920</v>
      </c>
      <c r="C435" s="3">
        <v>29</v>
      </c>
      <c r="D435" s="3">
        <v>32</v>
      </c>
      <c r="E435" s="3">
        <v>35</v>
      </c>
      <c r="F435" s="3">
        <v>31</v>
      </c>
      <c r="G435" s="3">
        <v>34</v>
      </c>
      <c r="H435" s="3">
        <v>55</v>
      </c>
      <c r="I435" s="3">
        <v>57</v>
      </c>
      <c r="J435" s="3">
        <v>28</v>
      </c>
      <c r="K435" s="3">
        <v>30</v>
      </c>
      <c r="L435" s="3">
        <v>36</v>
      </c>
      <c r="M435" s="3">
        <v>39</v>
      </c>
      <c r="N435" s="3">
        <v>35</v>
      </c>
      <c r="O435" s="3">
        <v>28</v>
      </c>
      <c r="P435" s="3">
        <v>35</v>
      </c>
      <c r="Q435" s="3">
        <v>32</v>
      </c>
      <c r="R435" s="3">
        <v>35</v>
      </c>
      <c r="S435" s="3">
        <v>39</v>
      </c>
      <c r="T435" s="3">
        <v>46</v>
      </c>
      <c r="U435" s="3">
        <v>56</v>
      </c>
      <c r="V435" s="3">
        <v>27</v>
      </c>
      <c r="W435" s="3">
        <v>38</v>
      </c>
      <c r="X435" s="3">
        <v>37</v>
      </c>
      <c r="Y435" s="3">
        <v>37</v>
      </c>
      <c r="Z435" s="3">
        <v>44</v>
      </c>
      <c r="AA435" s="5">
        <f t="shared" si="6"/>
        <v>454</v>
      </c>
    </row>
    <row r="436" spans="1:27" ht="15" customHeight="1" x14ac:dyDescent="0.2">
      <c r="A436" s="3" t="s">
        <v>921</v>
      </c>
      <c r="B436" s="1" t="s">
        <v>922</v>
      </c>
      <c r="C436" s="3">
        <v>21</v>
      </c>
      <c r="D436" s="3">
        <v>17</v>
      </c>
      <c r="E436" s="3">
        <v>16</v>
      </c>
      <c r="F436" s="3">
        <v>21</v>
      </c>
      <c r="G436" s="3">
        <v>25</v>
      </c>
      <c r="H436" s="3">
        <v>30</v>
      </c>
      <c r="I436" s="3">
        <v>34</v>
      </c>
      <c r="J436" s="3">
        <v>14</v>
      </c>
      <c r="K436" s="3">
        <v>17</v>
      </c>
      <c r="L436" s="3">
        <v>19</v>
      </c>
      <c r="M436" s="3">
        <v>19</v>
      </c>
      <c r="N436" s="3">
        <v>23</v>
      </c>
      <c r="O436" s="3">
        <v>21</v>
      </c>
      <c r="P436" s="3">
        <v>22</v>
      </c>
      <c r="Q436" s="3">
        <v>20</v>
      </c>
      <c r="R436" s="3">
        <v>21</v>
      </c>
      <c r="S436" s="3">
        <v>25</v>
      </c>
      <c r="T436" s="3">
        <v>33</v>
      </c>
      <c r="U436" s="3">
        <v>41</v>
      </c>
      <c r="V436" s="3">
        <v>15</v>
      </c>
      <c r="W436" s="3">
        <v>18</v>
      </c>
      <c r="X436" s="3">
        <v>21</v>
      </c>
      <c r="Y436" s="3">
        <v>23</v>
      </c>
      <c r="Z436" s="3">
        <v>19</v>
      </c>
      <c r="AA436" s="5">
        <f t="shared" si="6"/>
        <v>279</v>
      </c>
    </row>
    <row r="437" spans="1:27" ht="15" customHeight="1" x14ac:dyDescent="0.2">
      <c r="A437" s="3" t="s">
        <v>923</v>
      </c>
      <c r="B437" s="1" t="s">
        <v>924</v>
      </c>
      <c r="C437" s="3">
        <v>24</v>
      </c>
      <c r="D437" s="3">
        <v>18</v>
      </c>
      <c r="E437" s="3">
        <v>15</v>
      </c>
      <c r="F437" s="3">
        <v>18</v>
      </c>
      <c r="G437" s="3">
        <v>14</v>
      </c>
      <c r="H437" s="3">
        <v>13</v>
      </c>
      <c r="I437" s="3">
        <v>15</v>
      </c>
      <c r="J437" s="3">
        <v>13</v>
      </c>
      <c r="K437" s="3">
        <v>11</v>
      </c>
      <c r="L437" s="3">
        <v>15</v>
      </c>
      <c r="M437" s="3">
        <v>9</v>
      </c>
      <c r="N437" s="3">
        <v>12</v>
      </c>
      <c r="O437" s="3">
        <v>7</v>
      </c>
      <c r="P437" s="3">
        <v>10</v>
      </c>
      <c r="Q437" s="3">
        <v>10</v>
      </c>
      <c r="R437" s="3">
        <v>7</v>
      </c>
      <c r="S437" s="3">
        <v>6</v>
      </c>
      <c r="T437" s="3">
        <v>4</v>
      </c>
      <c r="U437" s="3">
        <v>5</v>
      </c>
      <c r="V437" s="3">
        <v>3</v>
      </c>
      <c r="W437" s="3">
        <v>2</v>
      </c>
      <c r="X437" s="3">
        <v>1</v>
      </c>
      <c r="Y437" s="3">
        <v>1</v>
      </c>
      <c r="Z437" s="3">
        <v>1</v>
      </c>
      <c r="AA437" s="5">
        <f t="shared" si="6"/>
        <v>57</v>
      </c>
    </row>
    <row r="438" spans="1:27" ht="15" customHeight="1" x14ac:dyDescent="0.2">
      <c r="A438" s="3" t="s">
        <v>925</v>
      </c>
      <c r="B438" s="1" t="s">
        <v>926</v>
      </c>
      <c r="C438" s="3">
        <v>50</v>
      </c>
      <c r="D438" s="3">
        <v>59</v>
      </c>
      <c r="E438" s="3">
        <v>58</v>
      </c>
      <c r="F438" s="3">
        <v>58</v>
      </c>
      <c r="G438" s="3">
        <v>68</v>
      </c>
      <c r="H438" s="3">
        <v>75</v>
      </c>
      <c r="I438" s="3">
        <v>111</v>
      </c>
      <c r="J438" s="3">
        <v>40</v>
      </c>
      <c r="K438" s="3">
        <v>52</v>
      </c>
      <c r="L438" s="3">
        <v>61</v>
      </c>
      <c r="M438" s="3">
        <v>63</v>
      </c>
      <c r="N438" s="3">
        <v>65</v>
      </c>
      <c r="O438" s="3">
        <v>58</v>
      </c>
      <c r="P438" s="3">
        <v>65</v>
      </c>
      <c r="Q438" s="3">
        <v>56</v>
      </c>
      <c r="R438" s="3">
        <v>60</v>
      </c>
      <c r="S438" s="3">
        <v>74</v>
      </c>
      <c r="T438" s="3">
        <v>87</v>
      </c>
      <c r="U438" s="3">
        <v>124</v>
      </c>
      <c r="V438" s="3">
        <v>47</v>
      </c>
      <c r="W438" s="3">
        <v>50</v>
      </c>
      <c r="X438" s="3">
        <v>59</v>
      </c>
      <c r="Y438" s="3">
        <v>62</v>
      </c>
      <c r="Z438" s="3">
        <v>67</v>
      </c>
      <c r="AA438" s="5">
        <f t="shared" si="6"/>
        <v>809</v>
      </c>
    </row>
    <row r="439" spans="1:27" ht="15" customHeight="1" x14ac:dyDescent="0.2">
      <c r="A439" s="3" t="s">
        <v>927</v>
      </c>
      <c r="B439" s="1" t="s">
        <v>928</v>
      </c>
      <c r="C439" s="3">
        <v>25</v>
      </c>
      <c r="D439" s="3">
        <v>29</v>
      </c>
      <c r="E439" s="3">
        <v>27</v>
      </c>
      <c r="F439" s="3">
        <v>28</v>
      </c>
      <c r="G439" s="3">
        <v>30</v>
      </c>
      <c r="H439" s="3">
        <v>39</v>
      </c>
      <c r="I439" s="3">
        <v>56</v>
      </c>
      <c r="J439" s="3">
        <v>20</v>
      </c>
      <c r="K439" s="3">
        <v>25</v>
      </c>
      <c r="L439" s="3">
        <v>28</v>
      </c>
      <c r="M439" s="3">
        <v>35</v>
      </c>
      <c r="N439" s="3">
        <v>39</v>
      </c>
      <c r="O439" s="3">
        <v>27</v>
      </c>
      <c r="P439" s="3">
        <v>29</v>
      </c>
      <c r="Q439" s="3">
        <v>28</v>
      </c>
      <c r="R439" s="3">
        <v>32</v>
      </c>
      <c r="S439" s="3">
        <v>35</v>
      </c>
      <c r="T439" s="3">
        <v>43</v>
      </c>
      <c r="U439" s="3">
        <v>56</v>
      </c>
      <c r="V439" s="3">
        <v>21</v>
      </c>
      <c r="W439" s="3">
        <v>25</v>
      </c>
      <c r="X439" s="3">
        <v>29</v>
      </c>
      <c r="Y439" s="3">
        <v>36</v>
      </c>
      <c r="Z439" s="3">
        <v>29</v>
      </c>
      <c r="AA439" s="5">
        <f t="shared" si="6"/>
        <v>390</v>
      </c>
    </row>
    <row r="440" spans="1:27" ht="15" customHeight="1" x14ac:dyDescent="0.2">
      <c r="A440" s="3" t="s">
        <v>929</v>
      </c>
      <c r="B440" s="1" t="s">
        <v>930</v>
      </c>
      <c r="C440" s="3">
        <v>36</v>
      </c>
      <c r="D440" s="3">
        <v>44</v>
      </c>
      <c r="E440" s="3">
        <v>32</v>
      </c>
      <c r="F440" s="3">
        <v>42</v>
      </c>
      <c r="G440" s="3">
        <v>37</v>
      </c>
      <c r="H440" s="3">
        <v>62</v>
      </c>
      <c r="I440" s="3">
        <v>71</v>
      </c>
      <c r="J440" s="3">
        <v>29</v>
      </c>
      <c r="K440" s="3">
        <v>33</v>
      </c>
      <c r="L440" s="3">
        <v>39</v>
      </c>
      <c r="M440" s="3">
        <v>39</v>
      </c>
      <c r="N440" s="3">
        <v>36</v>
      </c>
      <c r="O440" s="3">
        <v>35</v>
      </c>
      <c r="P440" s="3">
        <v>34</v>
      </c>
      <c r="Q440" s="3">
        <v>36</v>
      </c>
      <c r="R440" s="3">
        <v>37</v>
      </c>
      <c r="S440" s="3">
        <v>49</v>
      </c>
      <c r="T440" s="3">
        <v>58</v>
      </c>
      <c r="U440" s="3">
        <v>75</v>
      </c>
      <c r="V440" s="3">
        <v>30</v>
      </c>
      <c r="W440" s="3">
        <v>28</v>
      </c>
      <c r="X440" s="3">
        <v>37</v>
      </c>
      <c r="Y440" s="3">
        <v>40</v>
      </c>
      <c r="Z440" s="3">
        <v>43</v>
      </c>
      <c r="AA440" s="5">
        <f t="shared" si="6"/>
        <v>502</v>
      </c>
    </row>
    <row r="441" spans="1:27" ht="15" customHeight="1" x14ac:dyDescent="0.2">
      <c r="A441" s="3" t="s">
        <v>931</v>
      </c>
      <c r="B441" s="1" t="s">
        <v>932</v>
      </c>
      <c r="C441" s="3">
        <v>16</v>
      </c>
      <c r="D441" s="3">
        <v>17</v>
      </c>
      <c r="E441" s="3">
        <v>14</v>
      </c>
      <c r="F441" s="3">
        <v>14</v>
      </c>
      <c r="G441" s="3">
        <v>13</v>
      </c>
      <c r="H441" s="3">
        <v>12</v>
      </c>
      <c r="I441" s="3">
        <v>11</v>
      </c>
      <c r="J441" s="3">
        <v>9</v>
      </c>
      <c r="K441" s="3">
        <v>13</v>
      </c>
      <c r="L441" s="3">
        <v>9</v>
      </c>
      <c r="M441" s="3">
        <v>9</v>
      </c>
      <c r="N441" s="3">
        <v>7</v>
      </c>
      <c r="O441" s="3">
        <v>9</v>
      </c>
      <c r="P441" s="3">
        <v>6</v>
      </c>
      <c r="Q441" s="3">
        <v>6</v>
      </c>
      <c r="R441" s="3">
        <v>6</v>
      </c>
      <c r="S441" s="3">
        <v>5</v>
      </c>
      <c r="T441" s="3">
        <v>4</v>
      </c>
      <c r="U441" s="3">
        <v>3</v>
      </c>
      <c r="V441" s="3">
        <v>2</v>
      </c>
      <c r="W441" s="3">
        <v>1</v>
      </c>
      <c r="X441" s="3">
        <v>1</v>
      </c>
      <c r="Y441" s="3">
        <v>1</v>
      </c>
      <c r="Z441" s="3">
        <v>1</v>
      </c>
      <c r="AA441" s="5">
        <f t="shared" si="6"/>
        <v>45</v>
      </c>
    </row>
    <row r="442" spans="1:27" ht="15" customHeight="1" x14ac:dyDescent="0.2">
      <c r="A442" s="3" t="s">
        <v>933</v>
      </c>
      <c r="B442" s="1" t="s">
        <v>934</v>
      </c>
      <c r="C442" s="3">
        <v>180</v>
      </c>
      <c r="D442" s="3">
        <v>158</v>
      </c>
      <c r="E442" s="3">
        <v>94</v>
      </c>
      <c r="F442" s="3">
        <v>117</v>
      </c>
      <c r="G442" s="3">
        <v>85</v>
      </c>
      <c r="H442" s="3">
        <v>116</v>
      </c>
      <c r="I442" s="3">
        <v>127</v>
      </c>
      <c r="J442" s="3">
        <v>97</v>
      </c>
      <c r="K442" s="3">
        <v>69</v>
      </c>
      <c r="L442" s="3">
        <v>107</v>
      </c>
      <c r="M442" s="3">
        <v>71</v>
      </c>
      <c r="N442" s="3">
        <v>86</v>
      </c>
      <c r="O442" s="3">
        <v>50</v>
      </c>
      <c r="P442" s="3">
        <v>42</v>
      </c>
      <c r="Q442" s="3">
        <v>39</v>
      </c>
      <c r="R442" s="3">
        <v>46</v>
      </c>
      <c r="S442" s="3">
        <v>45</v>
      </c>
      <c r="T442" s="3">
        <v>35</v>
      </c>
      <c r="U442" s="3">
        <v>27</v>
      </c>
      <c r="V442" s="3">
        <v>15</v>
      </c>
      <c r="W442" s="3">
        <v>15</v>
      </c>
      <c r="X442" s="3">
        <v>9</v>
      </c>
      <c r="Y442" s="3">
        <v>8</v>
      </c>
      <c r="Z442" s="3">
        <v>8</v>
      </c>
      <c r="AA442" s="5">
        <f t="shared" si="6"/>
        <v>339</v>
      </c>
    </row>
    <row r="443" spans="1:27" ht="15" customHeight="1" x14ac:dyDescent="0.2">
      <c r="A443" s="3" t="s">
        <v>935</v>
      </c>
      <c r="B443" s="1" t="s">
        <v>936</v>
      </c>
      <c r="C443" s="3">
        <v>30</v>
      </c>
      <c r="D443" s="3">
        <v>32</v>
      </c>
      <c r="E443" s="3">
        <v>30</v>
      </c>
      <c r="F443" s="3">
        <v>37</v>
      </c>
      <c r="G443" s="3">
        <v>45</v>
      </c>
      <c r="H443" s="3">
        <v>42</v>
      </c>
      <c r="I443" s="3">
        <v>63</v>
      </c>
      <c r="J443" s="3">
        <v>28</v>
      </c>
      <c r="K443" s="3">
        <v>24</v>
      </c>
      <c r="L443" s="3">
        <v>33</v>
      </c>
      <c r="M443" s="3">
        <v>36</v>
      </c>
      <c r="N443" s="3">
        <v>37</v>
      </c>
      <c r="O443" s="3">
        <v>33</v>
      </c>
      <c r="P443" s="3">
        <v>39</v>
      </c>
      <c r="Q443" s="3">
        <v>35</v>
      </c>
      <c r="R443" s="3">
        <v>36</v>
      </c>
      <c r="S443" s="3">
        <v>43</v>
      </c>
      <c r="T443" s="3">
        <v>70</v>
      </c>
      <c r="U443" s="3">
        <v>70</v>
      </c>
      <c r="V443" s="3">
        <v>31</v>
      </c>
      <c r="W443" s="3">
        <v>36</v>
      </c>
      <c r="X443" s="3">
        <v>37</v>
      </c>
      <c r="Y443" s="3">
        <v>43</v>
      </c>
      <c r="Z443" s="3">
        <v>42</v>
      </c>
      <c r="AA443" s="5">
        <f t="shared" si="6"/>
        <v>515</v>
      </c>
    </row>
    <row r="444" spans="1:27" ht="15" customHeight="1" x14ac:dyDescent="0.2">
      <c r="A444" s="3" t="s">
        <v>937</v>
      </c>
      <c r="B444" s="1" t="s">
        <v>938</v>
      </c>
      <c r="C444" s="3">
        <v>83</v>
      </c>
      <c r="D444" s="3">
        <v>81</v>
      </c>
      <c r="E444" s="3">
        <v>80</v>
      </c>
      <c r="F444" s="3">
        <v>73</v>
      </c>
      <c r="G444" s="3">
        <v>94</v>
      </c>
      <c r="H444" s="3">
        <v>122</v>
      </c>
      <c r="I444" s="3">
        <v>157</v>
      </c>
      <c r="J444" s="3">
        <v>56</v>
      </c>
      <c r="K444" s="3">
        <v>78</v>
      </c>
      <c r="L444" s="3">
        <v>87</v>
      </c>
      <c r="M444" s="3">
        <v>80</v>
      </c>
      <c r="N444" s="3">
        <v>88</v>
      </c>
      <c r="O444" s="3">
        <v>87</v>
      </c>
      <c r="P444" s="3">
        <v>74</v>
      </c>
      <c r="Q444" s="3">
        <v>94</v>
      </c>
      <c r="R444" s="3">
        <v>82</v>
      </c>
      <c r="S444" s="3">
        <v>96</v>
      </c>
      <c r="T444" s="3">
        <v>126</v>
      </c>
      <c r="U444" s="3">
        <v>170</v>
      </c>
      <c r="V444" s="3">
        <v>75</v>
      </c>
      <c r="W444" s="3">
        <v>72</v>
      </c>
      <c r="X444" s="3">
        <v>84</v>
      </c>
      <c r="Y444" s="3">
        <v>95</v>
      </c>
      <c r="Z444" s="3">
        <v>85</v>
      </c>
      <c r="AA444" s="5">
        <f t="shared" si="6"/>
        <v>1140</v>
      </c>
    </row>
    <row r="445" spans="1:27" ht="15" customHeight="1" x14ac:dyDescent="0.2">
      <c r="A445" s="3" t="s">
        <v>939</v>
      </c>
      <c r="B445" s="1" t="s">
        <v>940</v>
      </c>
      <c r="C445" s="3">
        <v>4</v>
      </c>
      <c r="D445" s="3">
        <v>4</v>
      </c>
      <c r="E445" s="3">
        <v>4</v>
      </c>
      <c r="F445" s="3">
        <v>4</v>
      </c>
      <c r="G445" s="3">
        <v>5</v>
      </c>
      <c r="H445" s="3">
        <v>6</v>
      </c>
      <c r="I445" s="3">
        <v>7</v>
      </c>
      <c r="J445" s="3">
        <v>3</v>
      </c>
      <c r="K445" s="3">
        <v>3</v>
      </c>
      <c r="L445" s="3">
        <v>4</v>
      </c>
      <c r="M445" s="3">
        <v>4</v>
      </c>
      <c r="N445" s="3">
        <v>4</v>
      </c>
      <c r="O445" s="3">
        <v>5</v>
      </c>
      <c r="P445" s="3">
        <v>4</v>
      </c>
      <c r="Q445" s="3">
        <v>5</v>
      </c>
      <c r="R445" s="3">
        <v>5</v>
      </c>
      <c r="S445" s="3">
        <v>5</v>
      </c>
      <c r="T445" s="3">
        <v>7</v>
      </c>
      <c r="U445" s="3">
        <v>8</v>
      </c>
      <c r="V445" s="3">
        <v>3</v>
      </c>
      <c r="W445" s="3">
        <v>4</v>
      </c>
      <c r="X445" s="3">
        <v>5</v>
      </c>
      <c r="Y445" s="3">
        <v>5</v>
      </c>
      <c r="Z445" s="3">
        <v>6</v>
      </c>
      <c r="AA445" s="5">
        <f t="shared" si="6"/>
        <v>62</v>
      </c>
    </row>
    <row r="446" spans="1:27" ht="15" customHeight="1" x14ac:dyDescent="0.2">
      <c r="A446" s="3" t="s">
        <v>941</v>
      </c>
      <c r="B446" s="1" t="s">
        <v>942</v>
      </c>
      <c r="C446" s="3">
        <v>15</v>
      </c>
      <c r="D446" s="3">
        <v>17</v>
      </c>
      <c r="E446" s="3">
        <v>20</v>
      </c>
      <c r="F446" s="3">
        <v>18</v>
      </c>
      <c r="G446" s="3">
        <v>16</v>
      </c>
      <c r="H446" s="3">
        <v>27</v>
      </c>
      <c r="I446" s="3">
        <v>40</v>
      </c>
      <c r="J446" s="3">
        <v>14</v>
      </c>
      <c r="K446" s="3">
        <v>17</v>
      </c>
      <c r="L446" s="3">
        <v>18</v>
      </c>
      <c r="M446" s="3">
        <v>15</v>
      </c>
      <c r="N446" s="3">
        <v>18</v>
      </c>
      <c r="O446" s="3">
        <v>18</v>
      </c>
      <c r="P446" s="3">
        <v>16</v>
      </c>
      <c r="Q446" s="3">
        <v>21</v>
      </c>
      <c r="R446" s="3">
        <v>18</v>
      </c>
      <c r="S446" s="3">
        <v>21</v>
      </c>
      <c r="T446" s="3">
        <v>30</v>
      </c>
      <c r="U446" s="3">
        <v>34</v>
      </c>
      <c r="V446" s="3">
        <v>15</v>
      </c>
      <c r="W446" s="3">
        <v>18</v>
      </c>
      <c r="X446" s="3">
        <v>19</v>
      </c>
      <c r="Y446" s="3">
        <v>20</v>
      </c>
      <c r="Z446" s="3">
        <v>22</v>
      </c>
      <c r="AA446" s="5">
        <f t="shared" si="6"/>
        <v>252</v>
      </c>
    </row>
    <row r="447" spans="1:27" ht="15" customHeight="1" x14ac:dyDescent="0.2">
      <c r="A447" s="3" t="s">
        <v>943</v>
      </c>
      <c r="B447" s="1" t="s">
        <v>944</v>
      </c>
      <c r="C447" s="3">
        <v>17</v>
      </c>
      <c r="D447" s="3">
        <v>18</v>
      </c>
      <c r="E447" s="3">
        <v>16</v>
      </c>
      <c r="F447" s="3">
        <v>18</v>
      </c>
      <c r="G447" s="3">
        <v>21</v>
      </c>
      <c r="H447" s="3">
        <v>25</v>
      </c>
      <c r="I447" s="3">
        <v>33</v>
      </c>
      <c r="J447" s="3">
        <v>14</v>
      </c>
      <c r="K447" s="3">
        <v>14</v>
      </c>
      <c r="L447" s="3">
        <v>18</v>
      </c>
      <c r="M447" s="3">
        <v>16</v>
      </c>
      <c r="N447" s="3">
        <v>21</v>
      </c>
      <c r="O447" s="3">
        <v>20</v>
      </c>
      <c r="P447" s="3">
        <v>19</v>
      </c>
      <c r="Q447" s="3">
        <v>21</v>
      </c>
      <c r="R447" s="3">
        <v>18</v>
      </c>
      <c r="S447" s="3">
        <v>22</v>
      </c>
      <c r="T447" s="3">
        <v>29</v>
      </c>
      <c r="U447" s="3">
        <v>37</v>
      </c>
      <c r="V447" s="3">
        <v>14</v>
      </c>
      <c r="W447" s="3">
        <v>17</v>
      </c>
      <c r="X447" s="3">
        <v>18</v>
      </c>
      <c r="Y447" s="3">
        <v>19</v>
      </c>
      <c r="Z447" s="3">
        <v>18</v>
      </c>
      <c r="AA447" s="5">
        <f t="shared" si="6"/>
        <v>252</v>
      </c>
    </row>
    <row r="448" spans="1:27" ht="15" customHeight="1" x14ac:dyDescent="0.2">
      <c r="A448" s="3" t="s">
        <v>945</v>
      </c>
      <c r="B448" s="1" t="s">
        <v>946</v>
      </c>
      <c r="C448" s="3">
        <v>4</v>
      </c>
      <c r="D448" s="3">
        <v>2</v>
      </c>
      <c r="E448" s="3">
        <v>2</v>
      </c>
      <c r="F448" s="3">
        <v>4</v>
      </c>
      <c r="G448" s="3">
        <v>3</v>
      </c>
      <c r="H448" s="3">
        <v>2</v>
      </c>
      <c r="I448" s="3">
        <v>4</v>
      </c>
      <c r="J448" s="3">
        <v>15</v>
      </c>
      <c r="K448" s="3">
        <v>3</v>
      </c>
      <c r="L448" s="3">
        <v>2</v>
      </c>
      <c r="M448" s="3">
        <v>3</v>
      </c>
      <c r="N448" s="3">
        <v>3</v>
      </c>
      <c r="O448" s="3">
        <v>2</v>
      </c>
      <c r="P448" s="3">
        <v>3</v>
      </c>
      <c r="Q448" s="3">
        <v>3</v>
      </c>
      <c r="R448" s="3">
        <v>11</v>
      </c>
      <c r="S448" s="3">
        <v>18</v>
      </c>
      <c r="T448" s="3">
        <v>11</v>
      </c>
      <c r="U448" s="3">
        <v>19</v>
      </c>
      <c r="V448" s="3">
        <v>4</v>
      </c>
      <c r="W448" s="3">
        <v>2</v>
      </c>
      <c r="X448" s="3">
        <v>3</v>
      </c>
      <c r="Y448" s="3">
        <v>2</v>
      </c>
      <c r="Z448" s="3">
        <v>2</v>
      </c>
      <c r="AA448" s="5">
        <f t="shared" si="6"/>
        <v>80</v>
      </c>
    </row>
    <row r="449" spans="1:27" ht="15" customHeight="1" x14ac:dyDescent="0.2">
      <c r="A449" s="3" t="s">
        <v>947</v>
      </c>
      <c r="B449" s="1" t="s">
        <v>948</v>
      </c>
      <c r="C449" s="3">
        <v>82</v>
      </c>
      <c r="D449" s="3">
        <v>84</v>
      </c>
      <c r="E449" s="3">
        <v>88</v>
      </c>
      <c r="F449" s="3">
        <v>86</v>
      </c>
      <c r="G449" s="3">
        <v>96</v>
      </c>
      <c r="H449" s="3">
        <v>117</v>
      </c>
      <c r="I449" s="3">
        <v>128</v>
      </c>
      <c r="J449" s="3">
        <v>58</v>
      </c>
      <c r="K449" s="3">
        <v>70</v>
      </c>
      <c r="L449" s="3">
        <v>87</v>
      </c>
      <c r="M449" s="3">
        <v>87</v>
      </c>
      <c r="N449" s="3">
        <v>64</v>
      </c>
      <c r="O449" s="3">
        <v>78</v>
      </c>
      <c r="P449" s="3">
        <v>84</v>
      </c>
      <c r="Q449" s="3">
        <v>81</v>
      </c>
      <c r="R449" s="3">
        <v>93</v>
      </c>
      <c r="S449" s="3">
        <v>88</v>
      </c>
      <c r="T449" s="3">
        <v>157</v>
      </c>
      <c r="U449" s="3">
        <v>163</v>
      </c>
      <c r="V449" s="3">
        <v>76</v>
      </c>
      <c r="W449" s="3">
        <v>81</v>
      </c>
      <c r="X449" s="3">
        <v>80</v>
      </c>
      <c r="Y449" s="3">
        <v>87</v>
      </c>
      <c r="Z449" s="3">
        <v>100</v>
      </c>
      <c r="AA449" s="5">
        <f t="shared" si="6"/>
        <v>1168</v>
      </c>
    </row>
    <row r="450" spans="1:27" ht="15" customHeight="1" x14ac:dyDescent="0.2">
      <c r="A450" s="3" t="s">
        <v>949</v>
      </c>
      <c r="B450" s="1" t="s">
        <v>950</v>
      </c>
      <c r="C450" s="3">
        <v>73</v>
      </c>
      <c r="D450" s="3">
        <v>73</v>
      </c>
      <c r="E450" s="3">
        <v>67</v>
      </c>
      <c r="F450" s="3">
        <v>74</v>
      </c>
      <c r="G450" s="3">
        <v>88</v>
      </c>
      <c r="H450" s="3">
        <v>111</v>
      </c>
      <c r="I450" s="3">
        <v>154</v>
      </c>
      <c r="J450" s="3">
        <v>55</v>
      </c>
      <c r="K450" s="3">
        <v>67</v>
      </c>
      <c r="L450" s="3">
        <v>70</v>
      </c>
      <c r="M450" s="3">
        <v>81</v>
      </c>
      <c r="N450" s="3">
        <v>75</v>
      </c>
      <c r="O450" s="3">
        <v>78</v>
      </c>
      <c r="P450" s="3">
        <v>81</v>
      </c>
      <c r="Q450" s="3">
        <v>69</v>
      </c>
      <c r="R450" s="3">
        <v>72</v>
      </c>
      <c r="S450" s="3">
        <v>88</v>
      </c>
      <c r="T450" s="3">
        <v>114</v>
      </c>
      <c r="U450" s="3">
        <v>158</v>
      </c>
      <c r="V450" s="3">
        <v>65</v>
      </c>
      <c r="W450" s="3">
        <v>75</v>
      </c>
      <c r="X450" s="3">
        <v>75</v>
      </c>
      <c r="Y450" s="3">
        <v>72</v>
      </c>
      <c r="Z450" s="3">
        <v>84</v>
      </c>
      <c r="AA450" s="5">
        <f t="shared" si="6"/>
        <v>1031</v>
      </c>
    </row>
    <row r="451" spans="1:27" ht="15" customHeight="1" x14ac:dyDescent="0.2">
      <c r="A451" s="3" t="s">
        <v>951</v>
      </c>
      <c r="B451" s="1" t="s">
        <v>952</v>
      </c>
      <c r="C451" s="3">
        <v>178</v>
      </c>
      <c r="D451" s="3">
        <v>157</v>
      </c>
      <c r="E451" s="3">
        <v>128</v>
      </c>
      <c r="F451" s="3">
        <v>143</v>
      </c>
      <c r="G451" s="3">
        <v>184</v>
      </c>
      <c r="H451" s="3">
        <v>222</v>
      </c>
      <c r="I451" s="3">
        <v>279</v>
      </c>
      <c r="J451" s="3">
        <v>124</v>
      </c>
      <c r="K451" s="3">
        <v>141</v>
      </c>
      <c r="L451" s="3">
        <v>135</v>
      </c>
      <c r="M451" s="3">
        <v>163</v>
      </c>
      <c r="N451" s="3">
        <v>155</v>
      </c>
      <c r="O451" s="3">
        <v>164</v>
      </c>
      <c r="P451" s="3">
        <v>168</v>
      </c>
      <c r="Q451" s="3">
        <v>155</v>
      </c>
      <c r="R451" s="3">
        <v>177</v>
      </c>
      <c r="S451" s="3">
        <v>210</v>
      </c>
      <c r="T451" s="3">
        <v>239</v>
      </c>
      <c r="U451" s="3">
        <v>292</v>
      </c>
      <c r="V451" s="3">
        <v>105</v>
      </c>
      <c r="W451" s="3">
        <v>106</v>
      </c>
      <c r="X451" s="3">
        <v>147</v>
      </c>
      <c r="Y451" s="3">
        <v>162</v>
      </c>
      <c r="Z451" s="3">
        <v>167</v>
      </c>
      <c r="AA451" s="5">
        <f t="shared" si="6"/>
        <v>2092</v>
      </c>
    </row>
    <row r="452" spans="1:27" ht="15" customHeight="1" x14ac:dyDescent="0.2">
      <c r="A452" s="3" t="s">
        <v>953</v>
      </c>
      <c r="B452" s="1" t="s">
        <v>954</v>
      </c>
      <c r="C452" s="3">
        <v>10</v>
      </c>
      <c r="D452" s="3">
        <v>10</v>
      </c>
      <c r="E452" s="3">
        <v>7</v>
      </c>
      <c r="F452" s="3">
        <v>9</v>
      </c>
      <c r="G452" s="3">
        <v>14</v>
      </c>
      <c r="H452" s="3">
        <v>15</v>
      </c>
      <c r="I452" s="3">
        <v>21</v>
      </c>
      <c r="J452" s="3">
        <v>7</v>
      </c>
      <c r="K452" s="3">
        <v>8</v>
      </c>
      <c r="L452" s="3">
        <v>10</v>
      </c>
      <c r="M452" s="3">
        <v>10</v>
      </c>
      <c r="N452" s="3">
        <v>11</v>
      </c>
      <c r="O452" s="3">
        <v>10</v>
      </c>
      <c r="P452" s="3">
        <v>10</v>
      </c>
      <c r="Q452" s="3">
        <v>10</v>
      </c>
      <c r="R452" s="3">
        <v>11</v>
      </c>
      <c r="S452" s="3">
        <v>11</v>
      </c>
      <c r="T452" s="3">
        <v>18</v>
      </c>
      <c r="U452" s="3">
        <v>18</v>
      </c>
      <c r="V452" s="3">
        <v>9</v>
      </c>
      <c r="W452" s="3">
        <v>9</v>
      </c>
      <c r="X452" s="3">
        <v>9</v>
      </c>
      <c r="Y452" s="3">
        <v>9</v>
      </c>
      <c r="Z452" s="3">
        <v>11</v>
      </c>
      <c r="AA452" s="5">
        <f t="shared" si="6"/>
        <v>135</v>
      </c>
    </row>
    <row r="453" spans="1:27" ht="15" customHeight="1" x14ac:dyDescent="0.2">
      <c r="A453" s="3" t="s">
        <v>955</v>
      </c>
      <c r="B453" s="1" t="s">
        <v>956</v>
      </c>
      <c r="C453" s="3">
        <v>166</v>
      </c>
      <c r="D453" s="3">
        <v>135</v>
      </c>
      <c r="E453" s="3">
        <v>138</v>
      </c>
      <c r="F453" s="3">
        <v>137</v>
      </c>
      <c r="G453" s="3">
        <v>143</v>
      </c>
      <c r="H453" s="3">
        <v>217</v>
      </c>
      <c r="I453" s="3">
        <v>274</v>
      </c>
      <c r="J453" s="3">
        <v>108</v>
      </c>
      <c r="K453" s="3">
        <v>125</v>
      </c>
      <c r="L453" s="3">
        <v>140</v>
      </c>
      <c r="M453" s="3">
        <v>146</v>
      </c>
      <c r="N453" s="3">
        <v>142</v>
      </c>
      <c r="O453" s="3">
        <v>140</v>
      </c>
      <c r="P453" s="3">
        <v>152</v>
      </c>
      <c r="Q453" s="3">
        <v>151</v>
      </c>
      <c r="R453" s="3">
        <v>168</v>
      </c>
      <c r="S453" s="3">
        <v>164</v>
      </c>
      <c r="T453" s="3">
        <v>254</v>
      </c>
      <c r="U453" s="3">
        <v>301</v>
      </c>
      <c r="V453" s="3">
        <v>108</v>
      </c>
      <c r="W453" s="3">
        <v>123</v>
      </c>
      <c r="X453" s="3">
        <v>130</v>
      </c>
      <c r="Y453" s="3">
        <v>157</v>
      </c>
      <c r="Z453" s="3">
        <v>168</v>
      </c>
      <c r="AA453" s="5">
        <f t="shared" ref="AA453:AA504" si="7">SUM(O453:Z453)</f>
        <v>2016</v>
      </c>
    </row>
    <row r="454" spans="1:27" ht="15" customHeight="1" x14ac:dyDescent="0.2">
      <c r="A454" s="3" t="s">
        <v>957</v>
      </c>
      <c r="B454" s="1" t="s">
        <v>958</v>
      </c>
      <c r="C454" s="3">
        <v>61</v>
      </c>
      <c r="D454" s="3">
        <v>71</v>
      </c>
      <c r="E454" s="3">
        <v>63</v>
      </c>
      <c r="F454" s="3">
        <v>72</v>
      </c>
      <c r="G454" s="3">
        <v>74</v>
      </c>
      <c r="H454" s="3">
        <v>95</v>
      </c>
      <c r="I454" s="3">
        <v>126</v>
      </c>
      <c r="J454" s="3">
        <v>55</v>
      </c>
      <c r="K454" s="3">
        <v>63</v>
      </c>
      <c r="L454" s="3">
        <v>70</v>
      </c>
      <c r="M454" s="3">
        <v>64</v>
      </c>
      <c r="N454" s="3">
        <v>65</v>
      </c>
      <c r="O454" s="3">
        <v>71</v>
      </c>
      <c r="P454" s="3">
        <v>68</v>
      </c>
      <c r="Q454" s="3">
        <v>69</v>
      </c>
      <c r="R454" s="3">
        <v>69</v>
      </c>
      <c r="S454" s="3">
        <v>77</v>
      </c>
      <c r="T454" s="3">
        <v>101</v>
      </c>
      <c r="U454" s="3">
        <v>150</v>
      </c>
      <c r="V454" s="3">
        <v>53</v>
      </c>
      <c r="W454" s="3">
        <v>67</v>
      </c>
      <c r="X454" s="3">
        <v>72</v>
      </c>
      <c r="Y454" s="3">
        <v>69</v>
      </c>
      <c r="Z454" s="3">
        <v>82</v>
      </c>
      <c r="AA454" s="5">
        <f t="shared" si="7"/>
        <v>948</v>
      </c>
    </row>
    <row r="455" spans="1:27" ht="15" customHeight="1" x14ac:dyDescent="0.2">
      <c r="A455" s="3" t="s">
        <v>959</v>
      </c>
      <c r="B455" s="1" t="s">
        <v>960</v>
      </c>
      <c r="C455" s="3">
        <v>275</v>
      </c>
      <c r="D455" s="3">
        <v>303</v>
      </c>
      <c r="E455" s="3">
        <v>320</v>
      </c>
      <c r="F455" s="3">
        <v>316</v>
      </c>
      <c r="G455" s="3">
        <v>302</v>
      </c>
      <c r="H455" s="3">
        <v>329</v>
      </c>
      <c r="I455" s="3">
        <v>306</v>
      </c>
      <c r="J455" s="3">
        <v>319</v>
      </c>
      <c r="K455" s="3">
        <v>308</v>
      </c>
      <c r="L455" s="3">
        <v>323</v>
      </c>
      <c r="M455" s="3">
        <v>277</v>
      </c>
      <c r="N455" s="3">
        <v>309</v>
      </c>
      <c r="O455" s="3">
        <v>303</v>
      </c>
      <c r="P455" s="3">
        <v>321</v>
      </c>
      <c r="Q455" s="3">
        <v>332</v>
      </c>
      <c r="R455" s="3">
        <v>309</v>
      </c>
      <c r="S455" s="3">
        <v>326</v>
      </c>
      <c r="T455" s="3">
        <v>330</v>
      </c>
      <c r="U455" s="3">
        <v>339</v>
      </c>
      <c r="V455" s="3">
        <v>309</v>
      </c>
      <c r="W455" s="3">
        <v>347</v>
      </c>
      <c r="X455" s="3">
        <v>357</v>
      </c>
      <c r="Y455" s="3">
        <v>342</v>
      </c>
      <c r="Z455" s="3">
        <v>360</v>
      </c>
      <c r="AA455" s="5">
        <f t="shared" si="7"/>
        <v>3975</v>
      </c>
    </row>
    <row r="456" spans="1:27" ht="15" customHeight="1" x14ac:dyDescent="0.2">
      <c r="A456" s="3" t="s">
        <v>963</v>
      </c>
      <c r="B456" s="1" t="s">
        <v>964</v>
      </c>
      <c r="C456" s="3">
        <v>576</v>
      </c>
      <c r="D456" s="3">
        <v>486</v>
      </c>
      <c r="E456" s="3">
        <v>487</v>
      </c>
      <c r="F456" s="3">
        <v>538</v>
      </c>
      <c r="G456" s="3">
        <v>579</v>
      </c>
      <c r="H456" s="3">
        <v>576</v>
      </c>
      <c r="I456" s="3">
        <v>588</v>
      </c>
      <c r="J456" s="3">
        <v>525</v>
      </c>
      <c r="K456" s="3">
        <v>513</v>
      </c>
      <c r="L456" s="3">
        <v>575</v>
      </c>
      <c r="M456" s="3">
        <v>542</v>
      </c>
      <c r="N456" s="3">
        <v>628</v>
      </c>
      <c r="O456" s="3">
        <v>584</v>
      </c>
      <c r="P456" s="3">
        <v>564</v>
      </c>
      <c r="Q456" s="3">
        <v>518</v>
      </c>
      <c r="R456" s="3">
        <v>513</v>
      </c>
      <c r="S456" s="3">
        <v>522</v>
      </c>
      <c r="T456" s="3">
        <v>626</v>
      </c>
      <c r="U456" s="3">
        <v>579</v>
      </c>
      <c r="V456" s="3">
        <v>590</v>
      </c>
      <c r="W456" s="3">
        <v>568</v>
      </c>
      <c r="X456" s="3">
        <v>605</v>
      </c>
      <c r="Y456" s="3">
        <v>640</v>
      </c>
      <c r="Z456" s="3">
        <v>595</v>
      </c>
      <c r="AA456" s="5">
        <f t="shared" si="7"/>
        <v>6904</v>
      </c>
    </row>
    <row r="457" spans="1:27" ht="15" customHeight="1" x14ac:dyDescent="0.2">
      <c r="A457" s="3" t="s">
        <v>966</v>
      </c>
      <c r="B457" s="1" t="s">
        <v>967</v>
      </c>
      <c r="C457" s="3">
        <v>68</v>
      </c>
      <c r="D457" s="3">
        <v>66</v>
      </c>
      <c r="E457" s="3">
        <v>70</v>
      </c>
      <c r="F457" s="3">
        <v>65</v>
      </c>
      <c r="G457" s="3">
        <v>75</v>
      </c>
      <c r="H457" s="3">
        <v>73</v>
      </c>
      <c r="I457" s="3">
        <v>65</v>
      </c>
      <c r="J457" s="3">
        <v>67</v>
      </c>
      <c r="K457" s="3">
        <v>76</v>
      </c>
      <c r="L457" s="3">
        <v>72</v>
      </c>
      <c r="M457" s="3">
        <v>65</v>
      </c>
      <c r="N457" s="3">
        <v>70</v>
      </c>
      <c r="O457" s="3">
        <v>78</v>
      </c>
      <c r="P457" s="3">
        <v>76</v>
      </c>
      <c r="Q457" s="3">
        <v>70</v>
      </c>
      <c r="R457" s="3">
        <v>73</v>
      </c>
      <c r="S457" s="3">
        <v>77</v>
      </c>
      <c r="T457" s="3">
        <v>75</v>
      </c>
      <c r="U457" s="3">
        <v>74</v>
      </c>
      <c r="V457" s="3">
        <v>75</v>
      </c>
      <c r="W457" s="3">
        <v>75</v>
      </c>
      <c r="X457" s="3">
        <v>82</v>
      </c>
      <c r="Y457" s="3">
        <v>73</v>
      </c>
      <c r="Z457" s="3">
        <v>79</v>
      </c>
      <c r="AA457" s="5">
        <f t="shared" si="7"/>
        <v>907</v>
      </c>
    </row>
    <row r="458" spans="1:27" ht="15" customHeight="1" x14ac:dyDescent="0.2">
      <c r="A458" s="3" t="s">
        <v>968</v>
      </c>
      <c r="B458" s="1" t="s">
        <v>969</v>
      </c>
      <c r="C458" s="3">
        <v>918</v>
      </c>
      <c r="D458" s="3">
        <v>940</v>
      </c>
      <c r="E458" s="3">
        <v>893</v>
      </c>
      <c r="F458" s="3">
        <v>855</v>
      </c>
      <c r="G458" s="3">
        <v>985</v>
      </c>
      <c r="H458" s="3">
        <v>823</v>
      </c>
      <c r="I458" s="3">
        <v>795</v>
      </c>
      <c r="J458" s="3">
        <v>751</v>
      </c>
      <c r="K458" s="3">
        <v>799</v>
      </c>
      <c r="L458" s="3">
        <v>977</v>
      </c>
      <c r="M458" s="3">
        <v>860</v>
      </c>
      <c r="N458" s="3">
        <v>881</v>
      </c>
      <c r="O458" s="3">
        <v>940</v>
      </c>
      <c r="P458" s="3">
        <v>880</v>
      </c>
      <c r="Q458" s="3">
        <v>904</v>
      </c>
      <c r="R458" s="3">
        <v>858</v>
      </c>
      <c r="S458" s="3">
        <v>869</v>
      </c>
      <c r="T458" s="3">
        <v>949</v>
      </c>
      <c r="U458" s="3">
        <v>880</v>
      </c>
      <c r="V458" s="3">
        <v>924</v>
      </c>
      <c r="W458" s="3">
        <v>973</v>
      </c>
      <c r="X458" s="3">
        <v>924</v>
      </c>
      <c r="Y458" s="3">
        <v>902</v>
      </c>
      <c r="Z458" s="3">
        <v>1041</v>
      </c>
      <c r="AA458" s="5">
        <f t="shared" si="7"/>
        <v>11044</v>
      </c>
    </row>
    <row r="459" spans="1:27" ht="15" customHeight="1" x14ac:dyDescent="0.2">
      <c r="A459" s="3" t="s">
        <v>970</v>
      </c>
      <c r="B459" s="1" t="s">
        <v>971</v>
      </c>
      <c r="C459" s="3">
        <v>682</v>
      </c>
      <c r="D459" s="3">
        <v>653</v>
      </c>
      <c r="E459" s="3">
        <v>634</v>
      </c>
      <c r="F459" s="3">
        <v>602</v>
      </c>
      <c r="G459" s="3">
        <v>655</v>
      </c>
      <c r="H459" s="3">
        <v>580</v>
      </c>
      <c r="I459" s="3">
        <v>557</v>
      </c>
      <c r="J459" s="3">
        <v>664</v>
      </c>
      <c r="K459" s="3">
        <v>591</v>
      </c>
      <c r="L459" s="3">
        <v>531</v>
      </c>
      <c r="M459" s="3">
        <v>653</v>
      </c>
      <c r="N459" s="3">
        <v>476</v>
      </c>
      <c r="O459" s="3">
        <v>654</v>
      </c>
      <c r="P459" s="3">
        <v>700</v>
      </c>
      <c r="Q459" s="3">
        <v>656</v>
      </c>
      <c r="R459" s="3">
        <v>659</v>
      </c>
      <c r="S459" s="3">
        <v>708</v>
      </c>
      <c r="T459" s="3">
        <v>744</v>
      </c>
      <c r="U459" s="3">
        <v>690</v>
      </c>
      <c r="V459" s="3">
        <v>608</v>
      </c>
      <c r="W459" s="3">
        <v>610</v>
      </c>
      <c r="X459" s="3">
        <v>646</v>
      </c>
      <c r="Y459" s="3">
        <v>640</v>
      </c>
      <c r="Z459" s="3">
        <v>742</v>
      </c>
      <c r="AA459" s="5">
        <f t="shared" si="7"/>
        <v>8057</v>
      </c>
    </row>
    <row r="460" spans="1:27" ht="15" customHeight="1" x14ac:dyDescent="0.2">
      <c r="A460" s="3" t="s">
        <v>972</v>
      </c>
      <c r="B460" s="1" t="s">
        <v>973</v>
      </c>
      <c r="C460" s="3">
        <v>223</v>
      </c>
      <c r="D460" s="3">
        <v>215</v>
      </c>
      <c r="E460" s="3">
        <v>204</v>
      </c>
      <c r="F460" s="3">
        <v>215</v>
      </c>
      <c r="G460" s="3">
        <v>227</v>
      </c>
      <c r="H460" s="3">
        <v>225</v>
      </c>
      <c r="I460" s="3">
        <v>219</v>
      </c>
      <c r="J460" s="3">
        <v>240</v>
      </c>
      <c r="K460" s="3">
        <v>217</v>
      </c>
      <c r="L460" s="3">
        <v>208</v>
      </c>
      <c r="M460" s="3">
        <v>226</v>
      </c>
      <c r="N460" s="3">
        <v>228</v>
      </c>
      <c r="O460" s="3">
        <v>195</v>
      </c>
      <c r="P460" s="3">
        <v>217</v>
      </c>
      <c r="Q460" s="3">
        <v>198</v>
      </c>
      <c r="R460" s="3">
        <v>218</v>
      </c>
      <c r="S460" s="3">
        <v>227</v>
      </c>
      <c r="T460" s="3">
        <v>229</v>
      </c>
      <c r="U460" s="3">
        <v>256</v>
      </c>
      <c r="V460" s="3">
        <v>256</v>
      </c>
      <c r="W460" s="3">
        <v>238</v>
      </c>
      <c r="X460" s="3">
        <v>253</v>
      </c>
      <c r="Y460" s="3">
        <v>232</v>
      </c>
      <c r="Z460" s="3">
        <v>266</v>
      </c>
      <c r="AA460" s="5">
        <f t="shared" si="7"/>
        <v>2785</v>
      </c>
    </row>
    <row r="461" spans="1:27" ht="15" customHeight="1" x14ac:dyDescent="0.2">
      <c r="A461" s="3" t="s">
        <v>974</v>
      </c>
      <c r="B461" s="1" t="s">
        <v>975</v>
      </c>
      <c r="C461" s="3">
        <v>347</v>
      </c>
      <c r="D461" s="3">
        <v>355</v>
      </c>
      <c r="E461" s="3">
        <v>359</v>
      </c>
      <c r="F461" s="3">
        <v>408</v>
      </c>
      <c r="G461" s="3">
        <v>396</v>
      </c>
      <c r="H461" s="3">
        <v>412</v>
      </c>
      <c r="I461" s="3">
        <v>421</v>
      </c>
      <c r="J461" s="3">
        <v>418</v>
      </c>
      <c r="K461" s="3">
        <v>400</v>
      </c>
      <c r="L461" s="3">
        <v>399</v>
      </c>
      <c r="M461" s="3">
        <v>444</v>
      </c>
      <c r="N461" s="3">
        <v>378</v>
      </c>
      <c r="O461" s="3">
        <v>398</v>
      </c>
      <c r="P461" s="3">
        <v>431</v>
      </c>
      <c r="Q461" s="3">
        <v>404</v>
      </c>
      <c r="R461" s="3">
        <v>416</v>
      </c>
      <c r="S461" s="3">
        <v>446</v>
      </c>
      <c r="T461" s="3">
        <v>418</v>
      </c>
      <c r="U461" s="3">
        <v>373</v>
      </c>
      <c r="V461" s="3">
        <v>414</v>
      </c>
      <c r="W461" s="3">
        <v>475</v>
      </c>
      <c r="X461" s="3">
        <v>433</v>
      </c>
      <c r="Y461" s="3">
        <v>440</v>
      </c>
      <c r="Z461" s="3">
        <v>440</v>
      </c>
      <c r="AA461" s="5">
        <f t="shared" si="7"/>
        <v>5088</v>
      </c>
    </row>
    <row r="462" spans="1:27" ht="15" customHeight="1" x14ac:dyDescent="0.2">
      <c r="A462" s="3" t="s">
        <v>976</v>
      </c>
      <c r="B462" s="1" t="s">
        <v>977</v>
      </c>
      <c r="C462" s="3">
        <v>322</v>
      </c>
      <c r="D462" s="3">
        <v>340</v>
      </c>
      <c r="E462" s="3">
        <v>318</v>
      </c>
      <c r="F462" s="3">
        <v>302</v>
      </c>
      <c r="G462" s="3">
        <v>310</v>
      </c>
      <c r="H462" s="3">
        <v>319</v>
      </c>
      <c r="I462" s="3">
        <v>306</v>
      </c>
      <c r="J462" s="3">
        <v>311</v>
      </c>
      <c r="K462" s="3">
        <v>368</v>
      </c>
      <c r="L462" s="3">
        <v>276</v>
      </c>
      <c r="M462" s="3">
        <v>334</v>
      </c>
      <c r="N462" s="3">
        <v>336</v>
      </c>
      <c r="O462" s="3">
        <v>343</v>
      </c>
      <c r="P462" s="3">
        <v>357</v>
      </c>
      <c r="Q462" s="3">
        <v>297</v>
      </c>
      <c r="R462" s="3">
        <v>334</v>
      </c>
      <c r="S462" s="3">
        <v>352</v>
      </c>
      <c r="T462" s="3">
        <v>314</v>
      </c>
      <c r="U462" s="3">
        <v>344</v>
      </c>
      <c r="V462" s="3">
        <v>346</v>
      </c>
      <c r="W462" s="3">
        <v>356</v>
      </c>
      <c r="X462" s="3">
        <v>377</v>
      </c>
      <c r="Y462" s="3">
        <v>363</v>
      </c>
      <c r="Z462" s="3">
        <v>331</v>
      </c>
      <c r="AA462" s="5">
        <f t="shared" si="7"/>
        <v>4114</v>
      </c>
    </row>
    <row r="463" spans="1:27" ht="15" customHeight="1" x14ac:dyDescent="0.2">
      <c r="A463" s="3" t="s">
        <v>978</v>
      </c>
      <c r="B463" s="1" t="s">
        <v>979</v>
      </c>
      <c r="C463" s="3">
        <v>139</v>
      </c>
      <c r="D463" s="3">
        <v>132</v>
      </c>
      <c r="E463" s="3">
        <v>137</v>
      </c>
      <c r="F463" s="3">
        <v>136</v>
      </c>
      <c r="G463" s="3">
        <v>131</v>
      </c>
      <c r="H463" s="3">
        <v>129</v>
      </c>
      <c r="I463" s="3">
        <v>119</v>
      </c>
      <c r="J463" s="3">
        <v>148</v>
      </c>
      <c r="K463" s="3">
        <v>137</v>
      </c>
      <c r="L463" s="3">
        <v>122</v>
      </c>
      <c r="M463" s="3">
        <v>135</v>
      </c>
      <c r="N463" s="3">
        <v>139</v>
      </c>
      <c r="O463" s="3">
        <v>135</v>
      </c>
      <c r="P463" s="3">
        <v>127</v>
      </c>
      <c r="Q463" s="3">
        <v>129</v>
      </c>
      <c r="R463" s="3">
        <v>150</v>
      </c>
      <c r="S463" s="3">
        <v>132</v>
      </c>
      <c r="T463" s="3">
        <v>135</v>
      </c>
      <c r="U463" s="3">
        <v>132</v>
      </c>
      <c r="V463" s="3">
        <v>130</v>
      </c>
      <c r="W463" s="3">
        <v>130</v>
      </c>
      <c r="X463" s="3">
        <v>137</v>
      </c>
      <c r="Y463" s="3">
        <v>145</v>
      </c>
      <c r="Z463" s="3">
        <v>144</v>
      </c>
      <c r="AA463" s="5">
        <f t="shared" si="7"/>
        <v>1626</v>
      </c>
    </row>
    <row r="464" spans="1:27" ht="15" customHeight="1" x14ac:dyDescent="0.2">
      <c r="A464" s="3" t="s">
        <v>980</v>
      </c>
      <c r="B464" s="1" t="s">
        <v>981</v>
      </c>
      <c r="C464" s="3">
        <v>196</v>
      </c>
      <c r="D464" s="3">
        <v>226</v>
      </c>
      <c r="E464" s="3">
        <v>238</v>
      </c>
      <c r="F464" s="3">
        <v>241</v>
      </c>
      <c r="G464" s="3">
        <v>239</v>
      </c>
      <c r="H464" s="3">
        <v>252</v>
      </c>
      <c r="I464" s="3">
        <v>240</v>
      </c>
      <c r="J464" s="3">
        <v>236</v>
      </c>
      <c r="K464" s="3">
        <v>256</v>
      </c>
      <c r="L464" s="3">
        <v>273</v>
      </c>
      <c r="M464" s="3">
        <v>267</v>
      </c>
      <c r="N464" s="3">
        <v>238</v>
      </c>
      <c r="O464" s="3">
        <v>237</v>
      </c>
      <c r="P464" s="3">
        <v>245</v>
      </c>
      <c r="Q464" s="3">
        <v>273</v>
      </c>
      <c r="R464" s="3">
        <v>252</v>
      </c>
      <c r="S464" s="3">
        <v>259</v>
      </c>
      <c r="T464" s="3">
        <v>243</v>
      </c>
      <c r="U464" s="3">
        <v>248</v>
      </c>
      <c r="V464" s="3">
        <v>226</v>
      </c>
      <c r="W464" s="3">
        <v>250</v>
      </c>
      <c r="X464" s="3">
        <v>254</v>
      </c>
      <c r="Y464" s="3">
        <v>269</v>
      </c>
      <c r="Z464" s="3">
        <v>249</v>
      </c>
      <c r="AA464" s="5">
        <f t="shared" si="7"/>
        <v>3005</v>
      </c>
    </row>
    <row r="465" spans="1:27" ht="15" customHeight="1" x14ac:dyDescent="0.2">
      <c r="A465" s="3" t="s">
        <v>982</v>
      </c>
      <c r="B465" s="1" t="s">
        <v>983</v>
      </c>
      <c r="C465" s="3">
        <v>351</v>
      </c>
      <c r="D465" s="3">
        <v>329</v>
      </c>
      <c r="E465" s="3">
        <v>322</v>
      </c>
      <c r="F465" s="3">
        <v>297</v>
      </c>
      <c r="G465" s="3">
        <v>343</v>
      </c>
      <c r="H465" s="3">
        <v>319</v>
      </c>
      <c r="I465" s="3">
        <v>355</v>
      </c>
      <c r="J465" s="3">
        <v>334</v>
      </c>
      <c r="K465" s="3">
        <v>363</v>
      </c>
      <c r="L465" s="3">
        <v>328</v>
      </c>
      <c r="M465" s="3">
        <v>335</v>
      </c>
      <c r="N465" s="3">
        <v>334</v>
      </c>
      <c r="O465" s="3">
        <v>372</v>
      </c>
      <c r="P465" s="3">
        <v>353</v>
      </c>
      <c r="Q465" s="3">
        <v>321</v>
      </c>
      <c r="R465" s="3">
        <v>362</v>
      </c>
      <c r="S465" s="3">
        <v>343</v>
      </c>
      <c r="T465" s="3">
        <v>360</v>
      </c>
      <c r="U465" s="3">
        <v>340</v>
      </c>
      <c r="V465" s="3">
        <v>351</v>
      </c>
      <c r="W465" s="3">
        <v>325</v>
      </c>
      <c r="X465" s="3">
        <v>336</v>
      </c>
      <c r="Y465" s="3">
        <v>383</v>
      </c>
      <c r="Z465" s="3">
        <v>341</v>
      </c>
      <c r="AA465" s="5">
        <f t="shared" si="7"/>
        <v>4187</v>
      </c>
    </row>
    <row r="466" spans="1:27" ht="15" customHeight="1" x14ac:dyDescent="0.2">
      <c r="A466" s="3" t="s">
        <v>984</v>
      </c>
      <c r="B466" s="1" t="s">
        <v>985</v>
      </c>
      <c r="C466" s="3">
        <v>663</v>
      </c>
      <c r="D466" s="3">
        <v>664</v>
      </c>
      <c r="E466" s="3">
        <v>610</v>
      </c>
      <c r="F466" s="3">
        <v>643</v>
      </c>
      <c r="G466" s="3">
        <v>717</v>
      </c>
      <c r="H466" s="3">
        <v>608</v>
      </c>
      <c r="I466" s="3">
        <v>743</v>
      </c>
      <c r="J466" s="3">
        <v>646</v>
      </c>
      <c r="K466" s="3">
        <v>631</v>
      </c>
      <c r="L466" s="3">
        <v>694</v>
      </c>
      <c r="M466" s="3">
        <v>746</v>
      </c>
      <c r="N466" s="3">
        <v>705</v>
      </c>
      <c r="O466" s="3">
        <v>687</v>
      </c>
      <c r="P466" s="3">
        <v>694</v>
      </c>
      <c r="Q466" s="3">
        <v>674</v>
      </c>
      <c r="R466" s="3">
        <v>722</v>
      </c>
      <c r="S466" s="3">
        <v>762</v>
      </c>
      <c r="T466" s="3">
        <v>688</v>
      </c>
      <c r="U466" s="3">
        <v>664</v>
      </c>
      <c r="V466" s="3">
        <v>719</v>
      </c>
      <c r="W466" s="3">
        <v>779</v>
      </c>
      <c r="X466" s="3">
        <v>719</v>
      </c>
      <c r="Y466" s="3">
        <v>757</v>
      </c>
      <c r="Z466" s="3">
        <v>825</v>
      </c>
      <c r="AA466" s="5">
        <f t="shared" si="7"/>
        <v>8690</v>
      </c>
    </row>
    <row r="467" spans="1:27" ht="15" customHeight="1" x14ac:dyDescent="0.2">
      <c r="A467" s="3" t="s">
        <v>986</v>
      </c>
      <c r="B467" s="1" t="s">
        <v>987</v>
      </c>
      <c r="C467" s="3">
        <v>491</v>
      </c>
      <c r="D467" s="3">
        <v>412</v>
      </c>
      <c r="E467" s="3">
        <v>461</v>
      </c>
      <c r="F467" s="3">
        <v>451</v>
      </c>
      <c r="G467" s="3">
        <v>445</v>
      </c>
      <c r="H467" s="3">
        <v>470</v>
      </c>
      <c r="I467" s="3">
        <v>615</v>
      </c>
      <c r="J467" s="3">
        <v>411</v>
      </c>
      <c r="K467" s="3">
        <v>461</v>
      </c>
      <c r="L467" s="3">
        <v>472</v>
      </c>
      <c r="M467" s="3">
        <v>463</v>
      </c>
      <c r="N467" s="3">
        <v>527</v>
      </c>
      <c r="O467" s="3">
        <v>436</v>
      </c>
      <c r="P467" s="3">
        <v>460</v>
      </c>
      <c r="Q467" s="3">
        <v>409</v>
      </c>
      <c r="R467" s="3">
        <v>398</v>
      </c>
      <c r="S467" s="3">
        <v>495</v>
      </c>
      <c r="T467" s="3">
        <v>545</v>
      </c>
      <c r="U467" s="3">
        <v>493</v>
      </c>
      <c r="V467" s="3">
        <v>558</v>
      </c>
      <c r="W467" s="3">
        <v>471</v>
      </c>
      <c r="X467" s="3">
        <v>434</v>
      </c>
      <c r="Y467" s="3">
        <v>471</v>
      </c>
      <c r="Z467" s="3">
        <v>394</v>
      </c>
      <c r="AA467" s="5">
        <f t="shared" si="7"/>
        <v>5564</v>
      </c>
    </row>
    <row r="468" spans="1:27" ht="15" customHeight="1" x14ac:dyDescent="0.2">
      <c r="A468" s="3" t="s">
        <v>988</v>
      </c>
      <c r="B468" s="1" t="s">
        <v>989</v>
      </c>
      <c r="C468" s="3">
        <v>52</v>
      </c>
      <c r="D468" s="3">
        <v>53</v>
      </c>
      <c r="E468" s="3">
        <v>55</v>
      </c>
      <c r="F468" s="3">
        <v>49</v>
      </c>
      <c r="G468" s="3">
        <v>51</v>
      </c>
      <c r="H468" s="3">
        <v>51</v>
      </c>
      <c r="I468" s="3">
        <v>52</v>
      </c>
      <c r="J468" s="3">
        <v>55</v>
      </c>
      <c r="K468" s="3">
        <v>51</v>
      </c>
      <c r="L468" s="3">
        <v>53</v>
      </c>
      <c r="M468" s="3">
        <v>55</v>
      </c>
      <c r="N468" s="3">
        <v>57</v>
      </c>
      <c r="O468" s="3">
        <v>58</v>
      </c>
      <c r="P468" s="3">
        <v>55</v>
      </c>
      <c r="Q468" s="3">
        <v>47</v>
      </c>
      <c r="R468" s="3">
        <v>45</v>
      </c>
      <c r="S468" s="3">
        <v>43</v>
      </c>
      <c r="T468" s="3">
        <v>55</v>
      </c>
      <c r="U468" s="3">
        <v>58</v>
      </c>
      <c r="V468" s="3">
        <v>56</v>
      </c>
      <c r="W468" s="3">
        <v>48</v>
      </c>
      <c r="X468" s="3">
        <v>57</v>
      </c>
      <c r="Y468" s="3">
        <v>60</v>
      </c>
      <c r="Z468" s="3">
        <v>52</v>
      </c>
      <c r="AA468" s="5">
        <f t="shared" si="7"/>
        <v>634</v>
      </c>
    </row>
    <row r="469" spans="1:27" ht="15" customHeight="1" x14ac:dyDescent="0.2">
      <c r="A469" s="3" t="s">
        <v>990</v>
      </c>
      <c r="B469" s="1" t="s">
        <v>991</v>
      </c>
      <c r="C469" s="3">
        <v>80</v>
      </c>
      <c r="D469" s="3">
        <v>73</v>
      </c>
      <c r="E469" s="3">
        <v>75</v>
      </c>
      <c r="F469" s="3">
        <v>88</v>
      </c>
      <c r="G469" s="3">
        <v>73</v>
      </c>
      <c r="H469" s="3">
        <v>71</v>
      </c>
      <c r="I469" s="3">
        <v>69</v>
      </c>
      <c r="J469" s="3">
        <v>76</v>
      </c>
      <c r="K469" s="3">
        <v>65</v>
      </c>
      <c r="L469" s="3">
        <v>69</v>
      </c>
      <c r="M469" s="3">
        <v>86</v>
      </c>
      <c r="N469" s="3">
        <v>68</v>
      </c>
      <c r="O469" s="3">
        <v>80</v>
      </c>
      <c r="P469" s="3">
        <v>85</v>
      </c>
      <c r="Q469" s="3">
        <v>76</v>
      </c>
      <c r="R469" s="3">
        <v>67</v>
      </c>
      <c r="S469" s="3">
        <v>85</v>
      </c>
      <c r="T469" s="3">
        <v>82</v>
      </c>
      <c r="U469" s="3">
        <v>84</v>
      </c>
      <c r="V469" s="3">
        <v>80</v>
      </c>
      <c r="W469" s="3">
        <v>82</v>
      </c>
      <c r="X469" s="3">
        <v>88</v>
      </c>
      <c r="Y469" s="3">
        <v>74</v>
      </c>
      <c r="Z469" s="3">
        <v>80</v>
      </c>
      <c r="AA469" s="5">
        <f t="shared" si="7"/>
        <v>963</v>
      </c>
    </row>
    <row r="470" spans="1:27" ht="15" customHeight="1" x14ac:dyDescent="0.2">
      <c r="A470" s="3" t="s">
        <v>992</v>
      </c>
      <c r="B470" s="1" t="s">
        <v>993</v>
      </c>
      <c r="C470" s="3">
        <v>2348</v>
      </c>
      <c r="D470" s="3">
        <v>238</v>
      </c>
      <c r="E470" s="3">
        <v>372</v>
      </c>
      <c r="F470" s="3">
        <v>178</v>
      </c>
      <c r="G470" s="3">
        <v>316</v>
      </c>
      <c r="H470" s="3">
        <v>1572</v>
      </c>
      <c r="I470" s="3">
        <v>354</v>
      </c>
      <c r="J470" s="3">
        <v>391</v>
      </c>
      <c r="K470" s="3">
        <v>166</v>
      </c>
      <c r="L470" s="3">
        <v>441</v>
      </c>
      <c r="M470" s="3">
        <v>350</v>
      </c>
      <c r="N470" s="3">
        <v>1197</v>
      </c>
      <c r="O470" s="3">
        <v>293</v>
      </c>
      <c r="P470" s="3">
        <v>304</v>
      </c>
      <c r="Q470" s="3">
        <v>2705</v>
      </c>
      <c r="R470" s="3">
        <v>402</v>
      </c>
      <c r="S470" s="3">
        <v>1681</v>
      </c>
      <c r="T470" s="3">
        <v>366</v>
      </c>
      <c r="U470" s="3">
        <v>1932</v>
      </c>
      <c r="V470" s="3">
        <v>332</v>
      </c>
      <c r="W470" s="3">
        <v>289</v>
      </c>
      <c r="X470" s="3">
        <v>329</v>
      </c>
      <c r="Y470" s="3">
        <v>1299</v>
      </c>
      <c r="Z470" s="3">
        <v>1502</v>
      </c>
      <c r="AA470" s="5">
        <f t="shared" si="7"/>
        <v>11434</v>
      </c>
    </row>
    <row r="471" spans="1:27" ht="15" customHeight="1" x14ac:dyDescent="0.2">
      <c r="A471" s="3" t="s">
        <v>994</v>
      </c>
      <c r="B471" s="1" t="s">
        <v>995</v>
      </c>
      <c r="C471" s="3">
        <v>550</v>
      </c>
      <c r="D471" s="3">
        <v>518</v>
      </c>
      <c r="E471" s="3">
        <v>557</v>
      </c>
      <c r="F471" s="3">
        <v>471</v>
      </c>
      <c r="G471" s="3">
        <v>469</v>
      </c>
      <c r="H471" s="3">
        <v>576</v>
      </c>
      <c r="I471" s="3">
        <v>548</v>
      </c>
      <c r="J471" s="3">
        <v>627</v>
      </c>
      <c r="K471" s="3">
        <v>481</v>
      </c>
      <c r="L471" s="3">
        <v>682</v>
      </c>
      <c r="M471" s="3">
        <v>521</v>
      </c>
      <c r="N471" s="3">
        <v>672</v>
      </c>
      <c r="O471" s="3">
        <v>639</v>
      </c>
      <c r="P471" s="3">
        <v>652</v>
      </c>
      <c r="Q471" s="3">
        <v>431</v>
      </c>
      <c r="R471" s="3">
        <v>510</v>
      </c>
      <c r="S471" s="3">
        <v>634</v>
      </c>
      <c r="T471" s="3">
        <v>533</v>
      </c>
      <c r="U471" s="3">
        <v>579</v>
      </c>
      <c r="V471" s="3">
        <v>545</v>
      </c>
      <c r="W471" s="3">
        <v>607</v>
      </c>
      <c r="X471" s="3">
        <v>511</v>
      </c>
      <c r="Y471" s="3">
        <v>514</v>
      </c>
      <c r="Z471" s="3">
        <v>632</v>
      </c>
      <c r="AA471" s="5">
        <f t="shared" si="7"/>
        <v>6787</v>
      </c>
    </row>
    <row r="472" spans="1:27" ht="15" customHeight="1" x14ac:dyDescent="0.2">
      <c r="A472" s="3" t="s">
        <v>996</v>
      </c>
      <c r="B472" s="1" t="s">
        <v>997</v>
      </c>
      <c r="C472" s="3">
        <v>987</v>
      </c>
      <c r="D472" s="3">
        <v>952</v>
      </c>
      <c r="E472" s="3">
        <v>940</v>
      </c>
      <c r="F472" s="3">
        <v>1001</v>
      </c>
      <c r="G472" s="3">
        <v>937</v>
      </c>
      <c r="H472" s="3">
        <v>1026</v>
      </c>
      <c r="I472" s="3">
        <v>872</v>
      </c>
      <c r="J472" s="3">
        <v>941</v>
      </c>
      <c r="K472" s="3">
        <v>910</v>
      </c>
      <c r="L472" s="3">
        <v>1076</v>
      </c>
      <c r="M472" s="3">
        <v>885</v>
      </c>
      <c r="N472" s="3">
        <v>948</v>
      </c>
      <c r="O472" s="3">
        <v>1019</v>
      </c>
      <c r="P472" s="3">
        <v>1040</v>
      </c>
      <c r="Q472" s="3">
        <v>961</v>
      </c>
      <c r="R472" s="3">
        <v>889</v>
      </c>
      <c r="S472" s="3">
        <v>1010</v>
      </c>
      <c r="T472" s="3">
        <v>986</v>
      </c>
      <c r="U472" s="3">
        <v>980</v>
      </c>
      <c r="V472" s="3">
        <v>958</v>
      </c>
      <c r="W472" s="3">
        <v>1038</v>
      </c>
      <c r="X472" s="3">
        <v>932</v>
      </c>
      <c r="Y472" s="3">
        <v>1068</v>
      </c>
      <c r="Z472" s="3">
        <v>971</v>
      </c>
      <c r="AA472" s="5">
        <f t="shared" si="7"/>
        <v>11852</v>
      </c>
    </row>
    <row r="473" spans="1:27" ht="15" customHeight="1" x14ac:dyDescent="0.2">
      <c r="A473" s="3" t="s">
        <v>998</v>
      </c>
      <c r="B473" s="1" t="s">
        <v>999</v>
      </c>
      <c r="C473" s="3">
        <v>106</v>
      </c>
      <c r="D473" s="3">
        <v>104</v>
      </c>
      <c r="E473" s="3">
        <v>106</v>
      </c>
      <c r="F473" s="3">
        <v>101</v>
      </c>
      <c r="G473" s="3">
        <v>114</v>
      </c>
      <c r="H473" s="3">
        <v>100</v>
      </c>
      <c r="I473" s="3">
        <v>93</v>
      </c>
      <c r="J473" s="3">
        <v>96</v>
      </c>
      <c r="K473" s="3">
        <v>86</v>
      </c>
      <c r="L473" s="3">
        <v>80</v>
      </c>
      <c r="M473" s="3">
        <v>97</v>
      </c>
      <c r="N473" s="3">
        <v>72</v>
      </c>
      <c r="O473" s="3">
        <v>116</v>
      </c>
      <c r="P473" s="3">
        <v>105</v>
      </c>
      <c r="Q473" s="3">
        <v>95</v>
      </c>
      <c r="R473" s="3">
        <v>106</v>
      </c>
      <c r="S473" s="3">
        <v>92</v>
      </c>
      <c r="T473" s="3">
        <v>108</v>
      </c>
      <c r="U473" s="3">
        <v>111</v>
      </c>
      <c r="V473" s="3">
        <v>95</v>
      </c>
      <c r="W473" s="3">
        <v>99</v>
      </c>
      <c r="X473" s="3">
        <v>103</v>
      </c>
      <c r="Y473" s="3">
        <v>105</v>
      </c>
      <c r="Z473" s="3">
        <v>124</v>
      </c>
      <c r="AA473" s="5">
        <f t="shared" si="7"/>
        <v>1259</v>
      </c>
    </row>
    <row r="474" spans="1:27" ht="15" customHeight="1" x14ac:dyDescent="0.2">
      <c r="A474" s="3" t="s">
        <v>1000</v>
      </c>
      <c r="B474" s="1" t="s">
        <v>1001</v>
      </c>
      <c r="C474" s="3">
        <v>900</v>
      </c>
      <c r="D474" s="3">
        <v>961</v>
      </c>
      <c r="E474" s="3">
        <v>942</v>
      </c>
      <c r="F474" s="3">
        <v>682</v>
      </c>
      <c r="G474" s="3">
        <v>809</v>
      </c>
      <c r="H474" s="3">
        <v>882</v>
      </c>
      <c r="I474" s="3">
        <v>940</v>
      </c>
      <c r="J474" s="3">
        <v>907</v>
      </c>
      <c r="K474" s="3">
        <v>806</v>
      </c>
      <c r="L474" s="3">
        <v>976</v>
      </c>
      <c r="M474" s="3">
        <v>923</v>
      </c>
      <c r="N474" s="3">
        <v>803</v>
      </c>
      <c r="O474" s="3">
        <v>854</v>
      </c>
      <c r="P474" s="3">
        <v>892</v>
      </c>
      <c r="Q474" s="3">
        <v>883</v>
      </c>
      <c r="R474" s="3">
        <v>944</v>
      </c>
      <c r="S474" s="3">
        <v>1065</v>
      </c>
      <c r="T474" s="3">
        <v>899</v>
      </c>
      <c r="U474" s="3">
        <v>916</v>
      </c>
      <c r="V474" s="3">
        <v>877</v>
      </c>
      <c r="W474" s="3">
        <v>817</v>
      </c>
      <c r="X474" s="3">
        <v>963</v>
      </c>
      <c r="Y474" s="3">
        <v>963</v>
      </c>
      <c r="Z474" s="3">
        <v>832</v>
      </c>
      <c r="AA474" s="5">
        <f t="shared" si="7"/>
        <v>10905</v>
      </c>
    </row>
    <row r="475" spans="1:27" ht="15" customHeight="1" x14ac:dyDescent="0.2">
      <c r="A475" s="3" t="s">
        <v>1002</v>
      </c>
      <c r="B475" s="1" t="s">
        <v>1003</v>
      </c>
      <c r="C475" s="3">
        <v>177</v>
      </c>
      <c r="D475" s="3">
        <v>133</v>
      </c>
      <c r="E475" s="3">
        <v>93</v>
      </c>
      <c r="F475" s="3">
        <v>143</v>
      </c>
      <c r="G475" s="3">
        <v>565</v>
      </c>
      <c r="H475" s="3">
        <v>163</v>
      </c>
      <c r="I475" s="3">
        <v>124</v>
      </c>
      <c r="J475" s="3">
        <v>361</v>
      </c>
      <c r="K475" s="3">
        <v>97</v>
      </c>
      <c r="L475" s="3">
        <v>122</v>
      </c>
      <c r="M475" s="3">
        <v>140</v>
      </c>
      <c r="N475" s="3">
        <v>120</v>
      </c>
      <c r="O475" s="3">
        <v>51</v>
      </c>
      <c r="P475" s="3">
        <v>160</v>
      </c>
      <c r="Q475" s="3">
        <v>145</v>
      </c>
      <c r="R475" s="3">
        <v>888</v>
      </c>
      <c r="S475" s="3">
        <v>125</v>
      </c>
      <c r="T475" s="3">
        <v>94</v>
      </c>
      <c r="U475" s="3">
        <v>87</v>
      </c>
      <c r="V475" s="3">
        <v>171</v>
      </c>
      <c r="W475" s="3">
        <v>661</v>
      </c>
      <c r="X475" s="3">
        <v>776</v>
      </c>
      <c r="Y475" s="3">
        <v>133</v>
      </c>
      <c r="Z475" s="3">
        <v>138</v>
      </c>
      <c r="AA475" s="5">
        <f t="shared" si="7"/>
        <v>3429</v>
      </c>
    </row>
    <row r="476" spans="1:27" ht="15" customHeight="1" x14ac:dyDescent="0.2">
      <c r="A476" s="3" t="s">
        <v>1004</v>
      </c>
      <c r="B476" s="1" t="s">
        <v>1005</v>
      </c>
      <c r="C476" s="3">
        <v>150</v>
      </c>
      <c r="D476" s="3">
        <v>159</v>
      </c>
      <c r="E476" s="3">
        <v>176</v>
      </c>
      <c r="F476" s="3">
        <v>166</v>
      </c>
      <c r="G476" s="3">
        <v>170</v>
      </c>
      <c r="H476" s="3">
        <v>188</v>
      </c>
      <c r="I476" s="3">
        <v>163</v>
      </c>
      <c r="J476" s="3">
        <v>177</v>
      </c>
      <c r="K476" s="3">
        <v>181</v>
      </c>
      <c r="L476" s="3">
        <v>185</v>
      </c>
      <c r="M476" s="3">
        <v>167</v>
      </c>
      <c r="N476" s="3">
        <v>183</v>
      </c>
      <c r="O476" s="3">
        <v>166</v>
      </c>
      <c r="P476" s="3">
        <v>196</v>
      </c>
      <c r="Q476" s="3">
        <v>168</v>
      </c>
      <c r="R476" s="3">
        <v>165</v>
      </c>
      <c r="S476" s="3">
        <v>189</v>
      </c>
      <c r="T476" s="3">
        <v>207</v>
      </c>
      <c r="U476" s="3">
        <v>191</v>
      </c>
      <c r="V476" s="3">
        <v>174</v>
      </c>
      <c r="W476" s="3">
        <v>184</v>
      </c>
      <c r="X476" s="3">
        <v>200</v>
      </c>
      <c r="Y476" s="3">
        <v>185</v>
      </c>
      <c r="Z476" s="3">
        <v>187</v>
      </c>
      <c r="AA476" s="5">
        <f t="shared" si="7"/>
        <v>2212</v>
      </c>
    </row>
    <row r="477" spans="1:27" ht="15" customHeight="1" x14ac:dyDescent="0.2">
      <c r="A477" s="3" t="s">
        <v>1006</v>
      </c>
      <c r="B477" s="1" t="s">
        <v>1007</v>
      </c>
      <c r="C477" s="3">
        <v>371</v>
      </c>
      <c r="D477" s="3">
        <v>346</v>
      </c>
      <c r="E477" s="3">
        <v>360</v>
      </c>
      <c r="F477" s="3">
        <v>373</v>
      </c>
      <c r="G477" s="3">
        <v>385</v>
      </c>
      <c r="H477" s="3">
        <v>384</v>
      </c>
      <c r="I477" s="3">
        <v>344</v>
      </c>
      <c r="J477" s="3">
        <v>414</v>
      </c>
      <c r="K477" s="3">
        <v>402</v>
      </c>
      <c r="L477" s="3">
        <v>430</v>
      </c>
      <c r="M477" s="3">
        <v>402</v>
      </c>
      <c r="N477" s="3">
        <v>391</v>
      </c>
      <c r="O477" s="3">
        <v>377</v>
      </c>
      <c r="P477" s="3">
        <v>390</v>
      </c>
      <c r="Q477" s="3">
        <v>376</v>
      </c>
      <c r="R477" s="3">
        <v>426</v>
      </c>
      <c r="S477" s="3">
        <v>406</v>
      </c>
      <c r="T477" s="3">
        <v>419</v>
      </c>
      <c r="U477" s="3">
        <v>398</v>
      </c>
      <c r="V477" s="3">
        <v>391</v>
      </c>
      <c r="W477" s="3">
        <v>395</v>
      </c>
      <c r="X477" s="3">
        <v>411</v>
      </c>
      <c r="Y477" s="3">
        <v>360</v>
      </c>
      <c r="Z477" s="3">
        <v>414</v>
      </c>
      <c r="AA477" s="5">
        <f t="shared" si="7"/>
        <v>4763</v>
      </c>
    </row>
    <row r="478" spans="1:27" ht="15" customHeight="1" x14ac:dyDescent="0.2">
      <c r="A478" s="3" t="s">
        <v>1008</v>
      </c>
      <c r="B478" s="1" t="s">
        <v>1009</v>
      </c>
      <c r="C478" s="3">
        <v>227</v>
      </c>
      <c r="D478" s="3">
        <v>223</v>
      </c>
      <c r="E478" s="3">
        <v>241</v>
      </c>
      <c r="F478" s="3">
        <v>224</v>
      </c>
      <c r="G478" s="3">
        <v>234</v>
      </c>
      <c r="H478" s="3">
        <v>236</v>
      </c>
      <c r="I478" s="3">
        <v>261</v>
      </c>
      <c r="J478" s="3">
        <v>249</v>
      </c>
      <c r="K478" s="3">
        <v>239</v>
      </c>
      <c r="L478" s="3">
        <v>245</v>
      </c>
      <c r="M478" s="3">
        <v>226</v>
      </c>
      <c r="N478" s="3">
        <v>236</v>
      </c>
      <c r="O478" s="3">
        <v>213</v>
      </c>
      <c r="P478" s="3">
        <v>241</v>
      </c>
      <c r="Q478" s="3">
        <v>264</v>
      </c>
      <c r="R478" s="3">
        <v>233</v>
      </c>
      <c r="S478" s="3">
        <v>237</v>
      </c>
      <c r="T478" s="3">
        <v>229</v>
      </c>
      <c r="U478" s="3">
        <v>266</v>
      </c>
      <c r="V478" s="3">
        <v>251</v>
      </c>
      <c r="W478" s="3">
        <v>224</v>
      </c>
      <c r="X478" s="3">
        <v>241</v>
      </c>
      <c r="Y478" s="3">
        <v>278</v>
      </c>
      <c r="Z478" s="3">
        <v>274</v>
      </c>
      <c r="AA478" s="5">
        <f t="shared" si="7"/>
        <v>2951</v>
      </c>
    </row>
    <row r="479" spans="1:27" ht="15" customHeight="1" x14ac:dyDescent="0.2">
      <c r="A479" s="3" t="s">
        <v>1010</v>
      </c>
      <c r="B479" s="1" t="s">
        <v>1011</v>
      </c>
      <c r="C479" s="3">
        <v>268</v>
      </c>
      <c r="D479" s="3">
        <v>242</v>
      </c>
      <c r="E479" s="3">
        <v>225</v>
      </c>
      <c r="F479" s="3">
        <v>251</v>
      </c>
      <c r="G479" s="3">
        <v>258</v>
      </c>
      <c r="H479" s="3">
        <v>244</v>
      </c>
      <c r="I479" s="3">
        <v>237</v>
      </c>
      <c r="J479" s="3">
        <v>230</v>
      </c>
      <c r="K479" s="3">
        <v>255</v>
      </c>
      <c r="L479" s="3">
        <v>275</v>
      </c>
      <c r="M479" s="3">
        <v>280</v>
      </c>
      <c r="N479" s="3">
        <v>221</v>
      </c>
      <c r="O479" s="3">
        <v>251</v>
      </c>
      <c r="P479" s="3">
        <v>271</v>
      </c>
      <c r="Q479" s="3">
        <v>253</v>
      </c>
      <c r="R479" s="3">
        <v>249</v>
      </c>
      <c r="S479" s="3">
        <v>244</v>
      </c>
      <c r="T479" s="3">
        <v>236</v>
      </c>
      <c r="U479" s="3">
        <v>261</v>
      </c>
      <c r="V479" s="3">
        <v>269</v>
      </c>
      <c r="W479" s="3">
        <v>277</v>
      </c>
      <c r="X479" s="3">
        <v>263</v>
      </c>
      <c r="Y479" s="3">
        <v>282</v>
      </c>
      <c r="Z479" s="3">
        <v>274</v>
      </c>
      <c r="AA479" s="5">
        <f t="shared" si="7"/>
        <v>3130</v>
      </c>
    </row>
    <row r="480" spans="1:27" ht="15" customHeight="1" x14ac:dyDescent="0.2">
      <c r="A480" s="3" t="s">
        <v>1012</v>
      </c>
      <c r="B480" s="1" t="s">
        <v>1013</v>
      </c>
      <c r="C480" s="3">
        <v>216</v>
      </c>
      <c r="D480" s="3">
        <v>208</v>
      </c>
      <c r="E480" s="3">
        <v>222</v>
      </c>
      <c r="F480" s="3">
        <v>195</v>
      </c>
      <c r="G480" s="3">
        <v>193</v>
      </c>
      <c r="H480" s="3">
        <v>231</v>
      </c>
      <c r="I480" s="3">
        <v>220</v>
      </c>
      <c r="J480" s="3">
        <v>211</v>
      </c>
      <c r="K480" s="3">
        <v>206</v>
      </c>
      <c r="L480" s="3">
        <v>233</v>
      </c>
      <c r="M480" s="3">
        <v>223</v>
      </c>
      <c r="N480" s="3">
        <v>232</v>
      </c>
      <c r="O480" s="3">
        <v>242</v>
      </c>
      <c r="P480" s="3">
        <v>228</v>
      </c>
      <c r="Q480" s="3">
        <v>256</v>
      </c>
      <c r="R480" s="3">
        <v>253</v>
      </c>
      <c r="S480" s="3">
        <v>219</v>
      </c>
      <c r="T480" s="3">
        <v>251</v>
      </c>
      <c r="U480" s="3">
        <v>233</v>
      </c>
      <c r="V480" s="3">
        <v>234</v>
      </c>
      <c r="W480" s="3">
        <v>235</v>
      </c>
      <c r="X480" s="3">
        <v>231</v>
      </c>
      <c r="Y480" s="3">
        <v>236</v>
      </c>
      <c r="Z480" s="3">
        <v>234</v>
      </c>
      <c r="AA480" s="5">
        <f t="shared" si="7"/>
        <v>2852</v>
      </c>
    </row>
    <row r="481" spans="1:27" ht="15" customHeight="1" x14ac:dyDescent="0.2">
      <c r="A481" s="3" t="s">
        <v>1014</v>
      </c>
      <c r="B481" s="1" t="s">
        <v>1015</v>
      </c>
      <c r="C481" s="3">
        <v>611</v>
      </c>
      <c r="D481" s="3">
        <v>640</v>
      </c>
      <c r="E481" s="3">
        <v>555</v>
      </c>
      <c r="F481" s="3">
        <v>499</v>
      </c>
      <c r="G481" s="3">
        <v>549</v>
      </c>
      <c r="H481" s="3">
        <v>496</v>
      </c>
      <c r="I481" s="3">
        <v>535</v>
      </c>
      <c r="J481" s="3">
        <v>553</v>
      </c>
      <c r="K481" s="3">
        <v>620</v>
      </c>
      <c r="L481" s="3">
        <v>569</v>
      </c>
      <c r="M481" s="3">
        <v>604</v>
      </c>
      <c r="N481" s="3">
        <v>598</v>
      </c>
      <c r="O481" s="3">
        <v>629</v>
      </c>
      <c r="P481" s="3">
        <v>586</v>
      </c>
      <c r="Q481" s="3">
        <v>558</v>
      </c>
      <c r="R481" s="3">
        <v>632</v>
      </c>
      <c r="S481" s="3">
        <v>628</v>
      </c>
      <c r="T481" s="3">
        <v>682</v>
      </c>
      <c r="U481" s="3">
        <v>591</v>
      </c>
      <c r="V481" s="3">
        <v>651</v>
      </c>
      <c r="W481" s="3">
        <v>621</v>
      </c>
      <c r="X481" s="3">
        <v>600</v>
      </c>
      <c r="Y481" s="3">
        <v>642</v>
      </c>
      <c r="Z481" s="3">
        <v>500</v>
      </c>
      <c r="AA481" s="5">
        <f t="shared" si="7"/>
        <v>7320</v>
      </c>
    </row>
    <row r="482" spans="1:27" ht="15" customHeight="1" x14ac:dyDescent="0.2">
      <c r="A482" s="3" t="s">
        <v>1016</v>
      </c>
      <c r="B482" s="1" t="s">
        <v>1017</v>
      </c>
      <c r="C482" s="3">
        <v>529</v>
      </c>
      <c r="D482" s="3">
        <v>479</v>
      </c>
      <c r="E482" s="3">
        <v>510</v>
      </c>
      <c r="F482" s="3">
        <v>545</v>
      </c>
      <c r="G482" s="3">
        <v>517</v>
      </c>
      <c r="H482" s="3">
        <v>505</v>
      </c>
      <c r="I482" s="3">
        <v>501</v>
      </c>
      <c r="J482" s="3">
        <v>559</v>
      </c>
      <c r="K482" s="3">
        <v>502</v>
      </c>
      <c r="L482" s="3">
        <v>634</v>
      </c>
      <c r="M482" s="3">
        <v>577</v>
      </c>
      <c r="N482" s="3">
        <v>519</v>
      </c>
      <c r="O482" s="3">
        <v>536</v>
      </c>
      <c r="P482" s="3">
        <v>543</v>
      </c>
      <c r="Q482" s="3">
        <v>572</v>
      </c>
      <c r="R482" s="3">
        <v>583</v>
      </c>
      <c r="S482" s="3">
        <v>567</v>
      </c>
      <c r="T482" s="3">
        <v>566</v>
      </c>
      <c r="U482" s="3">
        <v>567</v>
      </c>
      <c r="V482" s="3">
        <v>639</v>
      </c>
      <c r="W482" s="3">
        <v>505</v>
      </c>
      <c r="X482" s="3">
        <v>578</v>
      </c>
      <c r="Y482" s="3">
        <v>552</v>
      </c>
      <c r="Z482" s="3">
        <v>509</v>
      </c>
      <c r="AA482" s="5">
        <f t="shared" si="7"/>
        <v>6717</v>
      </c>
    </row>
    <row r="483" spans="1:27" ht="15" customHeight="1" x14ac:dyDescent="0.2">
      <c r="A483" s="3" t="s">
        <v>1018</v>
      </c>
      <c r="B483" s="1" t="s">
        <v>1019</v>
      </c>
      <c r="C483" s="3">
        <v>176</v>
      </c>
      <c r="D483" s="3">
        <v>196</v>
      </c>
      <c r="E483" s="3">
        <v>206</v>
      </c>
      <c r="F483" s="3">
        <v>205</v>
      </c>
      <c r="G483" s="3">
        <v>194</v>
      </c>
      <c r="H483" s="3">
        <v>207</v>
      </c>
      <c r="I483" s="3">
        <v>189</v>
      </c>
      <c r="J483" s="3">
        <v>192</v>
      </c>
      <c r="K483" s="3">
        <v>210</v>
      </c>
      <c r="L483" s="3">
        <v>179</v>
      </c>
      <c r="M483" s="3">
        <v>218</v>
      </c>
      <c r="N483" s="3">
        <v>195</v>
      </c>
      <c r="O483" s="3">
        <v>181</v>
      </c>
      <c r="P483" s="3">
        <v>210</v>
      </c>
      <c r="Q483" s="3">
        <v>209</v>
      </c>
      <c r="R483" s="3">
        <v>204</v>
      </c>
      <c r="S483" s="3">
        <v>206</v>
      </c>
      <c r="T483" s="3">
        <v>213</v>
      </c>
      <c r="U483" s="3">
        <v>183</v>
      </c>
      <c r="V483" s="3">
        <v>234</v>
      </c>
      <c r="W483" s="3">
        <v>193</v>
      </c>
      <c r="X483" s="3">
        <v>206</v>
      </c>
      <c r="Y483" s="3">
        <v>209</v>
      </c>
      <c r="Z483" s="3">
        <v>216</v>
      </c>
      <c r="AA483" s="5">
        <f t="shared" si="7"/>
        <v>2464</v>
      </c>
    </row>
    <row r="484" spans="1:27" ht="15" customHeight="1" x14ac:dyDescent="0.2">
      <c r="A484" s="3" t="s">
        <v>1020</v>
      </c>
      <c r="B484" s="1" t="s">
        <v>1021</v>
      </c>
      <c r="C484" s="3">
        <v>533</v>
      </c>
      <c r="D484" s="3">
        <v>513</v>
      </c>
      <c r="E484" s="3">
        <v>566</v>
      </c>
      <c r="F484" s="3">
        <v>538</v>
      </c>
      <c r="G484" s="3">
        <v>461</v>
      </c>
      <c r="H484" s="3">
        <v>530</v>
      </c>
      <c r="I484" s="3">
        <v>515</v>
      </c>
      <c r="J484" s="3">
        <v>537</v>
      </c>
      <c r="K484" s="3">
        <v>522</v>
      </c>
      <c r="L484" s="3">
        <v>479</v>
      </c>
      <c r="M484" s="3">
        <v>618</v>
      </c>
      <c r="N484" s="3">
        <v>548</v>
      </c>
      <c r="O484" s="3">
        <v>538</v>
      </c>
      <c r="P484" s="3">
        <v>518</v>
      </c>
      <c r="Q484" s="3">
        <v>545</v>
      </c>
      <c r="R484" s="3">
        <v>531</v>
      </c>
      <c r="S484" s="3">
        <v>483</v>
      </c>
      <c r="T484" s="3">
        <v>538</v>
      </c>
      <c r="U484" s="3">
        <v>539</v>
      </c>
      <c r="V484" s="3">
        <v>562</v>
      </c>
      <c r="W484" s="3">
        <v>565</v>
      </c>
      <c r="X484" s="3">
        <v>499</v>
      </c>
      <c r="Y484" s="3">
        <v>556</v>
      </c>
      <c r="Z484" s="3">
        <v>586</v>
      </c>
      <c r="AA484" s="5">
        <f t="shared" si="7"/>
        <v>6460</v>
      </c>
    </row>
    <row r="485" spans="1:27" ht="15" customHeight="1" x14ac:dyDescent="0.2">
      <c r="A485" s="3" t="s">
        <v>1022</v>
      </c>
      <c r="B485" s="1" t="s">
        <v>1023</v>
      </c>
      <c r="C485" s="3">
        <v>156</v>
      </c>
      <c r="D485" s="3">
        <v>170</v>
      </c>
      <c r="E485" s="3">
        <v>166</v>
      </c>
      <c r="F485" s="3">
        <v>173</v>
      </c>
      <c r="G485" s="3">
        <v>175</v>
      </c>
      <c r="H485" s="3">
        <v>189</v>
      </c>
      <c r="I485" s="3">
        <v>174</v>
      </c>
      <c r="J485" s="3">
        <v>162</v>
      </c>
      <c r="K485" s="3">
        <v>178</v>
      </c>
      <c r="L485" s="3">
        <v>167</v>
      </c>
      <c r="M485" s="3">
        <v>177</v>
      </c>
      <c r="N485" s="3">
        <v>181</v>
      </c>
      <c r="O485" s="3">
        <v>174</v>
      </c>
      <c r="P485" s="3">
        <v>172</v>
      </c>
      <c r="Q485" s="3">
        <v>177</v>
      </c>
      <c r="R485" s="3">
        <v>171</v>
      </c>
      <c r="S485" s="3">
        <v>160</v>
      </c>
      <c r="T485" s="3">
        <v>161</v>
      </c>
      <c r="U485" s="3">
        <v>184</v>
      </c>
      <c r="V485" s="3">
        <v>196</v>
      </c>
      <c r="W485" s="3">
        <v>179</v>
      </c>
      <c r="X485" s="3">
        <v>163</v>
      </c>
      <c r="Y485" s="3">
        <v>162</v>
      </c>
      <c r="Z485" s="3">
        <v>179</v>
      </c>
      <c r="AA485" s="5">
        <f t="shared" si="7"/>
        <v>2078</v>
      </c>
    </row>
    <row r="486" spans="1:27" ht="15" customHeight="1" x14ac:dyDescent="0.2">
      <c r="A486" s="3" t="s">
        <v>1024</v>
      </c>
      <c r="B486" s="1" t="s">
        <v>1025</v>
      </c>
      <c r="C486" s="3">
        <v>286</v>
      </c>
      <c r="D486" s="3">
        <v>255</v>
      </c>
      <c r="E486" s="3">
        <v>273</v>
      </c>
      <c r="F486" s="3">
        <v>266</v>
      </c>
      <c r="G486" s="3">
        <v>276</v>
      </c>
      <c r="H486" s="3">
        <v>302</v>
      </c>
      <c r="I486" s="3">
        <v>279</v>
      </c>
      <c r="J486" s="3">
        <v>277</v>
      </c>
      <c r="K486" s="3">
        <v>254</v>
      </c>
      <c r="L486" s="3">
        <v>279</v>
      </c>
      <c r="M486" s="3">
        <v>299</v>
      </c>
      <c r="N486" s="3">
        <v>277</v>
      </c>
      <c r="O486" s="3">
        <v>262</v>
      </c>
      <c r="P486" s="3">
        <v>286</v>
      </c>
      <c r="Q486" s="3">
        <v>279</v>
      </c>
      <c r="R486" s="3">
        <v>300</v>
      </c>
      <c r="S486" s="3">
        <v>301</v>
      </c>
      <c r="T486" s="3">
        <v>245</v>
      </c>
      <c r="U486" s="3">
        <v>277</v>
      </c>
      <c r="V486" s="3">
        <v>303</v>
      </c>
      <c r="W486" s="3">
        <v>281</v>
      </c>
      <c r="X486" s="3">
        <v>248</v>
      </c>
      <c r="Y486" s="3">
        <v>291</v>
      </c>
      <c r="Z486" s="3">
        <v>262</v>
      </c>
      <c r="AA486" s="5">
        <f t="shared" si="7"/>
        <v>3335</v>
      </c>
    </row>
    <row r="487" spans="1:27" ht="15" customHeight="1" x14ac:dyDescent="0.2">
      <c r="A487" s="3" t="s">
        <v>1026</v>
      </c>
      <c r="B487" s="1" t="s">
        <v>1027</v>
      </c>
      <c r="C487" s="3">
        <v>394</v>
      </c>
      <c r="D487" s="3">
        <v>360</v>
      </c>
      <c r="E487" s="3">
        <v>400</v>
      </c>
      <c r="F487" s="3">
        <v>367</v>
      </c>
      <c r="G487" s="3">
        <v>462</v>
      </c>
      <c r="H487" s="3">
        <v>373</v>
      </c>
      <c r="I487" s="3">
        <v>410</v>
      </c>
      <c r="J487" s="3">
        <v>396</v>
      </c>
      <c r="K487" s="3">
        <v>416</v>
      </c>
      <c r="L487" s="3">
        <v>427</v>
      </c>
      <c r="M487" s="3">
        <v>419</v>
      </c>
      <c r="N487" s="3">
        <v>406</v>
      </c>
      <c r="O487" s="3">
        <v>389</v>
      </c>
      <c r="P487" s="3">
        <v>415</v>
      </c>
      <c r="Q487" s="3">
        <v>379</v>
      </c>
      <c r="R487" s="3">
        <v>420</v>
      </c>
      <c r="S487" s="3">
        <v>407</v>
      </c>
      <c r="T487" s="3">
        <v>413</v>
      </c>
      <c r="U487" s="3">
        <v>424</v>
      </c>
      <c r="V487" s="3">
        <v>423</v>
      </c>
      <c r="W487" s="3">
        <v>412</v>
      </c>
      <c r="X487" s="3">
        <v>456</v>
      </c>
      <c r="Y487" s="3">
        <v>415</v>
      </c>
      <c r="Z487" s="3">
        <v>427</v>
      </c>
      <c r="AA487" s="5">
        <f t="shared" si="7"/>
        <v>4980</v>
      </c>
    </row>
    <row r="488" spans="1:27" ht="15" customHeight="1" x14ac:dyDescent="0.2">
      <c r="A488" s="3" t="s">
        <v>1028</v>
      </c>
      <c r="B488" s="1" t="s">
        <v>1029</v>
      </c>
      <c r="C488" s="3">
        <v>186</v>
      </c>
      <c r="D488" s="3">
        <v>202</v>
      </c>
      <c r="E488" s="3">
        <v>181</v>
      </c>
      <c r="F488" s="3">
        <v>197</v>
      </c>
      <c r="G488" s="3">
        <v>202</v>
      </c>
      <c r="H488" s="3">
        <v>202</v>
      </c>
      <c r="I488" s="3">
        <v>216</v>
      </c>
      <c r="J488" s="3">
        <v>196</v>
      </c>
      <c r="K488" s="3">
        <v>195</v>
      </c>
      <c r="L488" s="3">
        <v>202</v>
      </c>
      <c r="M488" s="3">
        <v>211</v>
      </c>
      <c r="N488" s="3">
        <v>201</v>
      </c>
      <c r="O488" s="3">
        <v>216</v>
      </c>
      <c r="P488" s="3">
        <v>212</v>
      </c>
      <c r="Q488" s="3">
        <v>216</v>
      </c>
      <c r="R488" s="3">
        <v>219</v>
      </c>
      <c r="S488" s="3">
        <v>202</v>
      </c>
      <c r="T488" s="3">
        <v>201</v>
      </c>
      <c r="U488" s="3">
        <v>222</v>
      </c>
      <c r="V488" s="3">
        <v>235</v>
      </c>
      <c r="W488" s="3">
        <v>235</v>
      </c>
      <c r="X488" s="3">
        <v>220</v>
      </c>
      <c r="Y488" s="3">
        <v>234</v>
      </c>
      <c r="Z488" s="3">
        <v>226</v>
      </c>
      <c r="AA488" s="5">
        <f t="shared" si="7"/>
        <v>2638</v>
      </c>
    </row>
    <row r="489" spans="1:27" ht="15" customHeight="1" x14ac:dyDescent="0.2">
      <c r="A489" s="3" t="s">
        <v>1030</v>
      </c>
      <c r="B489" s="1" t="s">
        <v>1031</v>
      </c>
      <c r="C489" s="3">
        <v>387</v>
      </c>
      <c r="D489" s="3">
        <v>426</v>
      </c>
      <c r="E489" s="3">
        <v>405</v>
      </c>
      <c r="F489" s="3">
        <v>473</v>
      </c>
      <c r="G489" s="3">
        <v>466</v>
      </c>
      <c r="H489" s="3">
        <v>469</v>
      </c>
      <c r="I489" s="3">
        <v>381</v>
      </c>
      <c r="J489" s="3">
        <v>367</v>
      </c>
      <c r="K489" s="3">
        <v>479</v>
      </c>
      <c r="L489" s="3">
        <v>424</v>
      </c>
      <c r="M489" s="3">
        <v>396</v>
      </c>
      <c r="N489" s="3">
        <v>509</v>
      </c>
      <c r="O489" s="3">
        <v>380</v>
      </c>
      <c r="P489" s="3">
        <v>458</v>
      </c>
      <c r="Q489" s="3">
        <v>522</v>
      </c>
      <c r="R489" s="3">
        <v>470</v>
      </c>
      <c r="S489" s="3">
        <v>524</v>
      </c>
      <c r="T489" s="3">
        <v>498</v>
      </c>
      <c r="U489" s="3">
        <v>421</v>
      </c>
      <c r="V489" s="3">
        <v>484</v>
      </c>
      <c r="W489" s="3">
        <v>585</v>
      </c>
      <c r="X489" s="3">
        <v>518</v>
      </c>
      <c r="Y489" s="3">
        <v>515</v>
      </c>
      <c r="Z489" s="3">
        <v>555</v>
      </c>
      <c r="AA489" s="5">
        <f t="shared" si="7"/>
        <v>5930</v>
      </c>
    </row>
    <row r="490" spans="1:27" ht="15" customHeight="1" x14ac:dyDescent="0.2">
      <c r="A490" s="3" t="s">
        <v>1032</v>
      </c>
      <c r="B490" s="1" t="s">
        <v>1033</v>
      </c>
      <c r="C490" s="3">
        <v>948</v>
      </c>
      <c r="D490" s="3">
        <v>867</v>
      </c>
      <c r="E490" s="3">
        <v>917</v>
      </c>
      <c r="F490" s="3">
        <v>942</v>
      </c>
      <c r="G490" s="3">
        <v>893</v>
      </c>
      <c r="H490" s="3">
        <v>1011</v>
      </c>
      <c r="I490" s="3">
        <v>951</v>
      </c>
      <c r="J490" s="3">
        <v>905</v>
      </c>
      <c r="K490" s="3">
        <v>853</v>
      </c>
      <c r="L490" s="3">
        <v>1031</v>
      </c>
      <c r="M490" s="3">
        <v>815</v>
      </c>
      <c r="N490" s="3">
        <v>915</v>
      </c>
      <c r="O490" s="3">
        <v>975</v>
      </c>
      <c r="P490" s="3">
        <v>1037</v>
      </c>
      <c r="Q490" s="3">
        <v>898</v>
      </c>
      <c r="R490" s="3">
        <v>979</v>
      </c>
      <c r="S490" s="3">
        <v>1072</v>
      </c>
      <c r="T490" s="3">
        <v>958</v>
      </c>
      <c r="U490" s="3">
        <v>972</v>
      </c>
      <c r="V490" s="3">
        <v>966</v>
      </c>
      <c r="W490" s="3">
        <v>1012</v>
      </c>
      <c r="X490" s="3">
        <v>1013</v>
      </c>
      <c r="Y490" s="3">
        <v>1029</v>
      </c>
      <c r="Z490" s="3">
        <v>942</v>
      </c>
      <c r="AA490" s="5">
        <f t="shared" si="7"/>
        <v>11853</v>
      </c>
    </row>
    <row r="491" spans="1:27" ht="15" customHeight="1" x14ac:dyDescent="0.2">
      <c r="A491" s="3" t="s">
        <v>1034</v>
      </c>
      <c r="B491" s="1" t="s">
        <v>1035</v>
      </c>
      <c r="C491" s="3">
        <v>353</v>
      </c>
      <c r="D491" s="3">
        <v>287</v>
      </c>
      <c r="E491" s="3">
        <v>292</v>
      </c>
      <c r="F491" s="3">
        <v>328</v>
      </c>
      <c r="G491" s="3">
        <v>271</v>
      </c>
      <c r="H491" s="3">
        <v>323</v>
      </c>
      <c r="I491" s="3">
        <v>284</v>
      </c>
      <c r="J491" s="3">
        <v>279</v>
      </c>
      <c r="K491" s="3">
        <v>281</v>
      </c>
      <c r="L491" s="3">
        <v>289</v>
      </c>
      <c r="M491" s="3">
        <v>304</v>
      </c>
      <c r="N491" s="3">
        <v>257</v>
      </c>
      <c r="O491" s="3">
        <v>325</v>
      </c>
      <c r="P491" s="3">
        <v>316</v>
      </c>
      <c r="Q491" s="3">
        <v>306</v>
      </c>
      <c r="R491" s="3">
        <v>311</v>
      </c>
      <c r="S491" s="3">
        <v>277</v>
      </c>
      <c r="T491" s="3">
        <v>342</v>
      </c>
      <c r="U491" s="3">
        <v>350</v>
      </c>
      <c r="V491" s="3">
        <v>280</v>
      </c>
      <c r="W491" s="3">
        <v>333</v>
      </c>
      <c r="X491" s="3">
        <v>284</v>
      </c>
      <c r="Y491" s="3">
        <v>338</v>
      </c>
      <c r="Z491" s="3">
        <v>318</v>
      </c>
      <c r="AA491" s="5">
        <f t="shared" si="7"/>
        <v>3780</v>
      </c>
    </row>
    <row r="492" spans="1:27" ht="15" customHeight="1" x14ac:dyDescent="0.2">
      <c r="A492" s="3" t="s">
        <v>1036</v>
      </c>
      <c r="B492" s="1" t="s">
        <v>1037</v>
      </c>
      <c r="C492" s="3">
        <v>1333</v>
      </c>
      <c r="D492" s="3">
        <v>1444</v>
      </c>
      <c r="E492" s="3">
        <v>1484</v>
      </c>
      <c r="F492" s="3">
        <v>1338</v>
      </c>
      <c r="G492" s="3">
        <v>1383</v>
      </c>
      <c r="H492" s="3">
        <v>1410</v>
      </c>
      <c r="I492" s="3">
        <v>1428</v>
      </c>
      <c r="J492" s="3">
        <v>1539</v>
      </c>
      <c r="K492" s="3">
        <v>1261</v>
      </c>
      <c r="L492" s="3">
        <v>1456</v>
      </c>
      <c r="M492" s="3">
        <v>1563</v>
      </c>
      <c r="N492" s="3">
        <v>1559</v>
      </c>
      <c r="O492" s="3">
        <v>1495</v>
      </c>
      <c r="P492" s="3">
        <v>1473</v>
      </c>
      <c r="Q492" s="3">
        <v>1557</v>
      </c>
      <c r="R492" s="3">
        <v>1421</v>
      </c>
      <c r="S492" s="3">
        <v>1477</v>
      </c>
      <c r="T492" s="3">
        <v>1481</v>
      </c>
      <c r="U492" s="3">
        <v>1487</v>
      </c>
      <c r="V492" s="3">
        <v>1710</v>
      </c>
      <c r="W492" s="3">
        <v>1631</v>
      </c>
      <c r="X492" s="3">
        <v>1505</v>
      </c>
      <c r="Y492" s="3">
        <v>1615</v>
      </c>
      <c r="Z492" s="3">
        <v>1483</v>
      </c>
      <c r="AA492" s="5">
        <f t="shared" si="7"/>
        <v>18335</v>
      </c>
    </row>
    <row r="493" spans="1:27" ht="15" customHeight="1" x14ac:dyDescent="0.2">
      <c r="A493" s="3" t="s">
        <v>1038</v>
      </c>
      <c r="B493" s="1" t="s">
        <v>1039</v>
      </c>
      <c r="C493" s="3">
        <v>81</v>
      </c>
      <c r="D493" s="3">
        <v>75</v>
      </c>
      <c r="E493" s="3">
        <v>76</v>
      </c>
      <c r="F493" s="3">
        <v>72</v>
      </c>
      <c r="G493" s="3">
        <v>71</v>
      </c>
      <c r="H493" s="3">
        <v>79</v>
      </c>
      <c r="I493" s="3">
        <v>73</v>
      </c>
      <c r="J493" s="3">
        <v>73</v>
      </c>
      <c r="K493" s="3">
        <v>82</v>
      </c>
      <c r="L493" s="3">
        <v>71</v>
      </c>
      <c r="M493" s="3">
        <v>78</v>
      </c>
      <c r="N493" s="3">
        <v>77</v>
      </c>
      <c r="O493" s="3">
        <v>74</v>
      </c>
      <c r="P493" s="3">
        <v>84</v>
      </c>
      <c r="Q493" s="3">
        <v>81</v>
      </c>
      <c r="R493" s="3">
        <v>77</v>
      </c>
      <c r="S493" s="3">
        <v>68</v>
      </c>
      <c r="T493" s="3">
        <v>93</v>
      </c>
      <c r="U493" s="3">
        <v>78</v>
      </c>
      <c r="V493" s="3">
        <v>74</v>
      </c>
      <c r="W493" s="3">
        <v>77</v>
      </c>
      <c r="X493" s="3">
        <v>78</v>
      </c>
      <c r="Y493" s="3">
        <v>85</v>
      </c>
      <c r="Z493" s="3">
        <v>76</v>
      </c>
      <c r="AA493" s="5">
        <f t="shared" si="7"/>
        <v>945</v>
      </c>
    </row>
    <row r="494" spans="1:27" ht="15" customHeight="1" x14ac:dyDescent="0.2">
      <c r="A494" s="3" t="s">
        <v>1040</v>
      </c>
      <c r="B494" s="1" t="s">
        <v>1041</v>
      </c>
      <c r="C494" s="3">
        <v>59</v>
      </c>
      <c r="D494" s="3">
        <v>280</v>
      </c>
      <c r="E494" s="3">
        <v>61</v>
      </c>
      <c r="F494" s="3">
        <v>60</v>
      </c>
      <c r="G494" s="3">
        <v>48</v>
      </c>
      <c r="H494" s="3">
        <v>427</v>
      </c>
      <c r="I494" s="3">
        <v>77</v>
      </c>
      <c r="J494" s="3">
        <v>82</v>
      </c>
      <c r="K494" s="3">
        <v>72</v>
      </c>
      <c r="L494" s="3">
        <v>47</v>
      </c>
      <c r="M494" s="3">
        <v>84</v>
      </c>
      <c r="N494" s="3">
        <v>63</v>
      </c>
      <c r="O494" s="3">
        <v>341</v>
      </c>
      <c r="P494" s="3">
        <v>72</v>
      </c>
      <c r="Q494" s="3">
        <v>55</v>
      </c>
      <c r="R494" s="3">
        <v>43</v>
      </c>
      <c r="S494" s="3">
        <v>53</v>
      </c>
      <c r="T494" s="3">
        <v>71</v>
      </c>
      <c r="U494" s="3">
        <v>61</v>
      </c>
      <c r="V494" s="3">
        <v>72</v>
      </c>
      <c r="W494" s="3">
        <v>74</v>
      </c>
      <c r="X494" s="3">
        <v>68</v>
      </c>
      <c r="Y494" s="3">
        <v>328</v>
      </c>
      <c r="Z494" s="3">
        <v>47</v>
      </c>
      <c r="AA494" s="5">
        <f t="shared" si="7"/>
        <v>1285</v>
      </c>
    </row>
    <row r="495" spans="1:27" ht="15" customHeight="1" x14ac:dyDescent="0.2">
      <c r="A495" s="3" t="s">
        <v>1042</v>
      </c>
      <c r="B495" s="1" t="s">
        <v>1043</v>
      </c>
      <c r="C495" s="3">
        <v>256</v>
      </c>
      <c r="D495" s="3">
        <v>231</v>
      </c>
      <c r="E495" s="3">
        <v>238</v>
      </c>
      <c r="F495" s="3">
        <v>245</v>
      </c>
      <c r="G495" s="3">
        <v>251</v>
      </c>
      <c r="H495" s="3">
        <v>224</v>
      </c>
      <c r="I495" s="3">
        <v>234</v>
      </c>
      <c r="J495" s="3">
        <v>256</v>
      </c>
      <c r="K495" s="3">
        <v>240</v>
      </c>
      <c r="L495" s="3">
        <v>224</v>
      </c>
      <c r="M495" s="3">
        <v>265</v>
      </c>
      <c r="N495" s="3">
        <v>209</v>
      </c>
      <c r="O495" s="3">
        <v>248</v>
      </c>
      <c r="P495" s="3">
        <v>262</v>
      </c>
      <c r="Q495" s="3">
        <v>265</v>
      </c>
      <c r="R495" s="3">
        <v>235</v>
      </c>
      <c r="S495" s="3">
        <v>258</v>
      </c>
      <c r="T495" s="3">
        <v>247</v>
      </c>
      <c r="U495" s="3">
        <v>233</v>
      </c>
      <c r="V495" s="3">
        <v>267</v>
      </c>
      <c r="W495" s="3">
        <v>257</v>
      </c>
      <c r="X495" s="3">
        <v>264</v>
      </c>
      <c r="Y495" s="3">
        <v>273</v>
      </c>
      <c r="Z495" s="3">
        <v>268</v>
      </c>
      <c r="AA495" s="5">
        <f t="shared" si="7"/>
        <v>3077</v>
      </c>
    </row>
    <row r="496" spans="1:27" ht="15" customHeight="1" x14ac:dyDescent="0.2">
      <c r="A496" s="3" t="s">
        <v>1044</v>
      </c>
      <c r="B496" s="1" t="s">
        <v>1045</v>
      </c>
      <c r="C496" s="3">
        <v>255</v>
      </c>
      <c r="D496" s="3">
        <v>261</v>
      </c>
      <c r="E496" s="3">
        <v>257</v>
      </c>
      <c r="F496" s="3">
        <v>257</v>
      </c>
      <c r="G496" s="3">
        <v>242</v>
      </c>
      <c r="H496" s="3">
        <v>288</v>
      </c>
      <c r="I496" s="3">
        <v>269</v>
      </c>
      <c r="J496" s="3">
        <v>251</v>
      </c>
      <c r="K496" s="3">
        <v>284</v>
      </c>
      <c r="L496" s="3">
        <v>265</v>
      </c>
      <c r="M496" s="3">
        <v>274</v>
      </c>
      <c r="N496" s="3">
        <v>264</v>
      </c>
      <c r="O496" s="3">
        <v>264</v>
      </c>
      <c r="P496" s="3">
        <v>273</v>
      </c>
      <c r="Q496" s="3">
        <v>257</v>
      </c>
      <c r="R496" s="3">
        <v>260</v>
      </c>
      <c r="S496" s="3">
        <v>286</v>
      </c>
      <c r="T496" s="3">
        <v>286</v>
      </c>
      <c r="U496" s="3">
        <v>295</v>
      </c>
      <c r="V496" s="3">
        <v>272</v>
      </c>
      <c r="W496" s="3">
        <v>276</v>
      </c>
      <c r="X496" s="3">
        <v>263</v>
      </c>
      <c r="Y496" s="3">
        <v>269</v>
      </c>
      <c r="Z496" s="3">
        <v>307</v>
      </c>
      <c r="AA496" s="5">
        <f t="shared" si="7"/>
        <v>3308</v>
      </c>
    </row>
    <row r="497" spans="1:27" ht="15" customHeight="1" x14ac:dyDescent="0.2">
      <c r="A497" s="3" t="s">
        <v>1046</v>
      </c>
      <c r="B497" s="1" t="s">
        <v>1047</v>
      </c>
      <c r="C497" s="3">
        <v>451</v>
      </c>
      <c r="D497" s="3">
        <v>401</v>
      </c>
      <c r="E497" s="3">
        <v>398</v>
      </c>
      <c r="F497" s="3">
        <v>374</v>
      </c>
      <c r="G497" s="3">
        <v>451</v>
      </c>
      <c r="H497" s="3">
        <v>472</v>
      </c>
      <c r="I497" s="3">
        <v>428</v>
      </c>
      <c r="J497" s="3">
        <v>383</v>
      </c>
      <c r="K497" s="3">
        <v>459</v>
      </c>
      <c r="L497" s="3">
        <v>441</v>
      </c>
      <c r="M497" s="3">
        <v>445</v>
      </c>
      <c r="N497" s="3">
        <v>428</v>
      </c>
      <c r="O497" s="3">
        <v>478</v>
      </c>
      <c r="P497" s="3">
        <v>455</v>
      </c>
      <c r="Q497" s="3">
        <v>478</v>
      </c>
      <c r="R497" s="3">
        <v>452</v>
      </c>
      <c r="S497" s="3">
        <v>457</v>
      </c>
      <c r="T497" s="3">
        <v>456</v>
      </c>
      <c r="U497" s="3">
        <v>398</v>
      </c>
      <c r="V497" s="3">
        <v>464</v>
      </c>
      <c r="W497" s="3">
        <v>475</v>
      </c>
      <c r="X497" s="3">
        <v>452</v>
      </c>
      <c r="Y497" s="3">
        <v>481</v>
      </c>
      <c r="Z497" s="3">
        <v>466</v>
      </c>
      <c r="AA497" s="5">
        <f t="shared" si="7"/>
        <v>5512</v>
      </c>
    </row>
    <row r="498" spans="1:27" ht="15" customHeight="1" x14ac:dyDescent="0.2">
      <c r="A498" s="3" t="s">
        <v>1048</v>
      </c>
      <c r="B498" s="1" t="s">
        <v>1049</v>
      </c>
      <c r="C498" s="3">
        <v>68</v>
      </c>
      <c r="D498" s="3">
        <v>70</v>
      </c>
      <c r="E498" s="3">
        <v>68</v>
      </c>
      <c r="F498" s="3">
        <v>77</v>
      </c>
      <c r="G498" s="3">
        <v>73</v>
      </c>
      <c r="H498" s="3">
        <v>73</v>
      </c>
      <c r="I498" s="3">
        <v>78</v>
      </c>
      <c r="J498" s="3">
        <v>76</v>
      </c>
      <c r="K498" s="3">
        <v>79</v>
      </c>
      <c r="L498" s="3">
        <v>71</v>
      </c>
      <c r="M498" s="3">
        <v>78</v>
      </c>
      <c r="N498" s="3">
        <v>69</v>
      </c>
      <c r="O498" s="3">
        <v>75</v>
      </c>
      <c r="P498" s="3">
        <v>71</v>
      </c>
      <c r="Q498" s="3">
        <v>85</v>
      </c>
      <c r="R498" s="3">
        <v>76</v>
      </c>
      <c r="S498" s="3">
        <v>79</v>
      </c>
      <c r="T498" s="3">
        <v>77</v>
      </c>
      <c r="U498" s="3">
        <v>85</v>
      </c>
      <c r="V498" s="3">
        <v>78</v>
      </c>
      <c r="W498" s="3">
        <v>87</v>
      </c>
      <c r="X498" s="3">
        <v>81</v>
      </c>
      <c r="Y498" s="3">
        <v>80</v>
      </c>
      <c r="Z498" s="3">
        <v>77</v>
      </c>
      <c r="AA498" s="5">
        <f t="shared" si="7"/>
        <v>951</v>
      </c>
    </row>
    <row r="499" spans="1:27" ht="15" customHeight="1" x14ac:dyDescent="0.2">
      <c r="A499" s="3" t="s">
        <v>1050</v>
      </c>
      <c r="B499" s="1" t="s">
        <v>1051</v>
      </c>
      <c r="C499" s="3">
        <v>439</v>
      </c>
      <c r="D499" s="3">
        <v>390</v>
      </c>
      <c r="E499" s="3">
        <v>375</v>
      </c>
      <c r="F499" s="3">
        <v>422</v>
      </c>
      <c r="G499" s="3">
        <v>385</v>
      </c>
      <c r="H499" s="3">
        <v>386</v>
      </c>
      <c r="I499" s="3">
        <v>414</v>
      </c>
      <c r="J499" s="3">
        <v>406</v>
      </c>
      <c r="K499" s="3">
        <v>397</v>
      </c>
      <c r="L499" s="3">
        <v>447</v>
      </c>
      <c r="M499" s="3">
        <v>394</v>
      </c>
      <c r="N499" s="3">
        <v>431</v>
      </c>
      <c r="O499" s="3">
        <v>407</v>
      </c>
      <c r="P499" s="3">
        <v>433</v>
      </c>
      <c r="Q499" s="3">
        <v>406</v>
      </c>
      <c r="R499" s="3">
        <v>420</v>
      </c>
      <c r="S499" s="3">
        <v>400</v>
      </c>
      <c r="T499" s="3">
        <v>456</v>
      </c>
      <c r="U499" s="3">
        <v>434</v>
      </c>
      <c r="V499" s="3">
        <v>467</v>
      </c>
      <c r="W499" s="3">
        <v>448</v>
      </c>
      <c r="X499" s="3">
        <v>470</v>
      </c>
      <c r="Y499" s="3">
        <v>469</v>
      </c>
      <c r="Z499" s="3">
        <v>467</v>
      </c>
      <c r="AA499" s="5">
        <f t="shared" si="7"/>
        <v>5277</v>
      </c>
    </row>
    <row r="500" spans="1:27" ht="15" customHeight="1" x14ac:dyDescent="0.2">
      <c r="A500" s="3" t="s">
        <v>1052</v>
      </c>
      <c r="B500" s="1" t="s">
        <v>1053</v>
      </c>
      <c r="C500" s="3">
        <v>362</v>
      </c>
      <c r="D500" s="3">
        <v>384</v>
      </c>
      <c r="E500" s="3">
        <v>372</v>
      </c>
      <c r="F500" s="3">
        <v>361</v>
      </c>
      <c r="G500" s="3">
        <v>365</v>
      </c>
      <c r="H500" s="3">
        <v>360</v>
      </c>
      <c r="I500" s="3">
        <v>363</v>
      </c>
      <c r="J500" s="3">
        <v>379</v>
      </c>
      <c r="K500" s="3">
        <v>378</v>
      </c>
      <c r="L500" s="3">
        <v>403</v>
      </c>
      <c r="M500" s="3">
        <v>341</v>
      </c>
      <c r="N500" s="3">
        <v>379</v>
      </c>
      <c r="O500" s="3">
        <v>358</v>
      </c>
      <c r="P500" s="3">
        <v>355</v>
      </c>
      <c r="Q500" s="3">
        <v>382</v>
      </c>
      <c r="R500" s="3">
        <v>368</v>
      </c>
      <c r="S500" s="3">
        <v>421</v>
      </c>
      <c r="T500" s="3">
        <v>394</v>
      </c>
      <c r="U500" s="3">
        <v>392</v>
      </c>
      <c r="V500" s="3">
        <v>375</v>
      </c>
      <c r="W500" s="3">
        <v>431</v>
      </c>
      <c r="X500" s="3">
        <v>367</v>
      </c>
      <c r="Y500" s="3">
        <v>434</v>
      </c>
      <c r="Z500" s="3">
        <v>431</v>
      </c>
      <c r="AA500" s="5">
        <f t="shared" si="7"/>
        <v>4708</v>
      </c>
    </row>
    <row r="501" spans="1:27" ht="15" customHeight="1" x14ac:dyDescent="0.2">
      <c r="A501" s="3" t="s">
        <v>1054</v>
      </c>
      <c r="B501" s="1" t="s">
        <v>1055</v>
      </c>
      <c r="C501" s="3">
        <v>118</v>
      </c>
      <c r="D501" s="3">
        <v>123</v>
      </c>
      <c r="E501" s="3">
        <v>124</v>
      </c>
      <c r="F501" s="3">
        <v>121</v>
      </c>
      <c r="G501" s="3">
        <v>117</v>
      </c>
      <c r="H501" s="3">
        <v>118</v>
      </c>
      <c r="I501" s="3">
        <v>126</v>
      </c>
      <c r="J501" s="3">
        <v>134</v>
      </c>
      <c r="K501" s="3">
        <v>124</v>
      </c>
      <c r="L501" s="3">
        <v>136</v>
      </c>
      <c r="M501" s="3">
        <v>120</v>
      </c>
      <c r="N501" s="3">
        <v>137</v>
      </c>
      <c r="O501" s="3">
        <v>125</v>
      </c>
      <c r="P501" s="3">
        <v>145</v>
      </c>
      <c r="Q501" s="3">
        <v>130</v>
      </c>
      <c r="R501" s="3">
        <v>121</v>
      </c>
      <c r="S501" s="3">
        <v>126</v>
      </c>
      <c r="T501" s="3">
        <v>135</v>
      </c>
      <c r="U501" s="3">
        <v>141</v>
      </c>
      <c r="V501" s="3">
        <v>132</v>
      </c>
      <c r="W501" s="3">
        <v>125</v>
      </c>
      <c r="X501" s="3">
        <v>139</v>
      </c>
      <c r="Y501" s="3">
        <v>132</v>
      </c>
      <c r="Z501" s="3">
        <v>135</v>
      </c>
      <c r="AA501" s="5">
        <f t="shared" si="7"/>
        <v>1586</v>
      </c>
    </row>
    <row r="502" spans="1:27" ht="15" customHeight="1" x14ac:dyDescent="0.2">
      <c r="A502" s="3" t="s">
        <v>1056</v>
      </c>
      <c r="B502" s="1" t="s">
        <v>1057</v>
      </c>
      <c r="C502" s="3">
        <v>85</v>
      </c>
      <c r="D502" s="3">
        <v>85</v>
      </c>
      <c r="E502" s="3">
        <v>88</v>
      </c>
      <c r="F502" s="3">
        <v>81</v>
      </c>
      <c r="G502" s="3">
        <v>79</v>
      </c>
      <c r="H502" s="3">
        <v>87</v>
      </c>
      <c r="I502" s="3">
        <v>83</v>
      </c>
      <c r="J502" s="3">
        <v>87</v>
      </c>
      <c r="K502" s="3">
        <v>85</v>
      </c>
      <c r="L502" s="3">
        <v>87</v>
      </c>
      <c r="M502" s="3">
        <v>83</v>
      </c>
      <c r="N502" s="3">
        <v>99</v>
      </c>
      <c r="O502" s="3">
        <v>92</v>
      </c>
      <c r="P502" s="3">
        <v>86</v>
      </c>
      <c r="Q502" s="3">
        <v>89</v>
      </c>
      <c r="R502" s="3">
        <v>101</v>
      </c>
      <c r="S502" s="3">
        <v>96</v>
      </c>
      <c r="T502" s="3">
        <v>85</v>
      </c>
      <c r="U502" s="3">
        <v>91</v>
      </c>
      <c r="V502" s="3">
        <v>76</v>
      </c>
      <c r="W502" s="3">
        <v>88</v>
      </c>
      <c r="X502" s="3">
        <v>96</v>
      </c>
      <c r="Y502" s="3">
        <v>102</v>
      </c>
      <c r="Z502" s="3">
        <v>102</v>
      </c>
      <c r="AA502" s="5">
        <f t="shared" si="7"/>
        <v>1104</v>
      </c>
    </row>
    <row r="503" spans="1:27" ht="15" customHeight="1" x14ac:dyDescent="0.2">
      <c r="A503" s="3" t="s">
        <v>1058</v>
      </c>
      <c r="B503" s="1" t="s">
        <v>1059</v>
      </c>
      <c r="C503" s="3">
        <v>326</v>
      </c>
      <c r="D503" s="3">
        <v>352</v>
      </c>
      <c r="E503" s="3">
        <v>240</v>
      </c>
      <c r="F503" s="3">
        <v>290</v>
      </c>
      <c r="G503" s="3">
        <v>335</v>
      </c>
      <c r="H503" s="3">
        <v>303</v>
      </c>
      <c r="I503" s="3">
        <v>308</v>
      </c>
      <c r="J503" s="3">
        <v>333</v>
      </c>
      <c r="K503" s="3">
        <v>304</v>
      </c>
      <c r="L503" s="3">
        <v>268</v>
      </c>
      <c r="M503" s="3">
        <v>272</v>
      </c>
      <c r="N503" s="3">
        <v>399</v>
      </c>
      <c r="O503" s="3">
        <v>289</v>
      </c>
      <c r="P503" s="3">
        <v>342</v>
      </c>
      <c r="Q503" s="3">
        <v>289</v>
      </c>
      <c r="R503" s="3">
        <v>292</v>
      </c>
      <c r="S503" s="3">
        <v>371</v>
      </c>
      <c r="T503" s="3">
        <v>363</v>
      </c>
      <c r="U503" s="3">
        <v>313</v>
      </c>
      <c r="V503" s="3">
        <v>370</v>
      </c>
      <c r="W503" s="3">
        <v>408</v>
      </c>
      <c r="X503" s="3">
        <v>290</v>
      </c>
      <c r="Y503" s="3">
        <v>288</v>
      </c>
      <c r="Z503" s="3">
        <v>313</v>
      </c>
      <c r="AA503" s="5">
        <f t="shared" si="7"/>
        <v>3928</v>
      </c>
    </row>
    <row r="504" spans="1:27" ht="15" customHeight="1" x14ac:dyDescent="0.2">
      <c r="A504" s="3" t="s">
        <v>1060</v>
      </c>
      <c r="B504" s="1" t="s">
        <v>1061</v>
      </c>
      <c r="C504" s="3">
        <v>223</v>
      </c>
      <c r="D504" s="3">
        <v>234</v>
      </c>
      <c r="E504" s="3">
        <v>209</v>
      </c>
      <c r="F504" s="3">
        <v>243</v>
      </c>
      <c r="G504" s="3">
        <v>238</v>
      </c>
      <c r="H504" s="3">
        <v>237</v>
      </c>
      <c r="I504" s="3">
        <v>211</v>
      </c>
      <c r="J504" s="3">
        <v>232</v>
      </c>
      <c r="K504" s="3">
        <v>262</v>
      </c>
      <c r="L504" s="3">
        <v>256</v>
      </c>
      <c r="M504" s="3">
        <v>236</v>
      </c>
      <c r="N504" s="3">
        <v>235</v>
      </c>
      <c r="O504" s="3">
        <v>257</v>
      </c>
      <c r="P504" s="3">
        <v>255</v>
      </c>
      <c r="Q504" s="3">
        <v>267</v>
      </c>
      <c r="R504" s="3">
        <v>231</v>
      </c>
      <c r="S504" s="3">
        <v>250</v>
      </c>
      <c r="T504" s="3">
        <v>249</v>
      </c>
      <c r="U504" s="3">
        <v>221</v>
      </c>
      <c r="V504" s="3">
        <v>233</v>
      </c>
      <c r="W504" s="3">
        <v>251</v>
      </c>
      <c r="X504" s="3">
        <v>225</v>
      </c>
      <c r="Y504" s="3">
        <v>254</v>
      </c>
      <c r="Z504" s="3">
        <v>269</v>
      </c>
      <c r="AA504" s="5">
        <f t="shared" si="7"/>
        <v>2962</v>
      </c>
    </row>
    <row r="505" spans="1:27" ht="15" customHeight="1" x14ac:dyDescent="0.2">
      <c r="B505" s="6" t="s">
        <v>1092</v>
      </c>
      <c r="C505" s="7">
        <f t="shared" ref="C505:Z505" si="8">SUM(C5:C504)</f>
        <v>65396</v>
      </c>
      <c r="D505" s="7">
        <f t="shared" si="8"/>
        <v>63137</v>
      </c>
      <c r="E505" s="7">
        <f t="shared" si="8"/>
        <v>60661</v>
      </c>
      <c r="F505" s="7">
        <f t="shared" si="8"/>
        <v>62809</v>
      </c>
      <c r="G505" s="7">
        <f t="shared" si="8"/>
        <v>68866</v>
      </c>
      <c r="H505" s="7">
        <f t="shared" si="8"/>
        <v>81077</v>
      </c>
      <c r="I505" s="7">
        <f t="shared" si="8"/>
        <v>91895</v>
      </c>
      <c r="J505" s="7">
        <f t="shared" si="8"/>
        <v>56009</v>
      </c>
      <c r="K505" s="7">
        <f t="shared" si="8"/>
        <v>58756</v>
      </c>
      <c r="L505" s="7">
        <f t="shared" si="8"/>
        <v>64086</v>
      </c>
      <c r="M505" s="7">
        <f t="shared" si="8"/>
        <v>65237</v>
      </c>
      <c r="N505" s="7">
        <f t="shared" si="8"/>
        <v>67666</v>
      </c>
      <c r="O505" s="7">
        <f t="shared" si="8"/>
        <v>65706</v>
      </c>
      <c r="P505" s="7">
        <f t="shared" si="8"/>
        <v>66150</v>
      </c>
      <c r="Q505" s="7">
        <f t="shared" si="8"/>
        <v>65814</v>
      </c>
      <c r="R505" s="7">
        <f t="shared" si="8"/>
        <v>66128</v>
      </c>
      <c r="S505" s="7">
        <f t="shared" si="8"/>
        <v>73576</v>
      </c>
      <c r="T505" s="7">
        <f t="shared" si="8"/>
        <v>83105</v>
      </c>
      <c r="U505" s="7">
        <f t="shared" si="8"/>
        <v>96910</v>
      </c>
      <c r="V505" s="7">
        <f t="shared" si="8"/>
        <v>58453</v>
      </c>
      <c r="W505" s="7">
        <f t="shared" si="8"/>
        <v>62674</v>
      </c>
      <c r="X505" s="7">
        <f t="shared" si="8"/>
        <v>66632</v>
      </c>
      <c r="Y505" s="7">
        <f t="shared" si="8"/>
        <v>70034</v>
      </c>
      <c r="Z505" s="7">
        <f t="shared" si="8"/>
        <v>71104</v>
      </c>
    </row>
    <row r="527" spans="1:27" ht="15" customHeight="1" x14ac:dyDescent="0.2">
      <c r="A527" s="40" t="s">
        <v>1062</v>
      </c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</row>
    <row r="528" spans="1:27" ht="15" customHeight="1" x14ac:dyDescent="0.2">
      <c r="A528" s="25" t="s">
        <v>1093</v>
      </c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spans="1:27" ht="15" customHeight="1" x14ac:dyDescent="0.2">
      <c r="A529" s="25" t="s">
        <v>1094</v>
      </c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</sheetData>
  <mergeCells count="5">
    <mergeCell ref="A1:AA1"/>
    <mergeCell ref="A2:AA2"/>
    <mergeCell ref="A527:AA527"/>
    <mergeCell ref="A528:AA528"/>
    <mergeCell ref="A529:AA529"/>
  </mergeCells>
  <pageMargins left="0.75" right="0.75" top="1" bottom="1" header="0.511811023622047" footer="0.511811023622047"/>
  <pageSetup paperSize="9" orientation="portrait" horizontalDpi="300" verticalDpi="300"/>
  <ignoredErrors>
    <ignoredError sqref="AA5:AA504" formulaRange="1"/>
  </ignoredErrors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10"/>
  <sheetViews>
    <sheetView showGridLines="0" zoomScale="150" zoomScaleNormal="15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5" sqref="F5"/>
    </sheetView>
  </sheetViews>
  <sheetFormatPr baseColWidth="10" defaultColWidth="8.6640625" defaultRowHeight="15" x14ac:dyDescent="0.2"/>
  <cols>
    <col min="1" max="1" width="8.6640625" bestFit="1" customWidth="1"/>
    <col min="2" max="2" width="20.6640625" bestFit="1" customWidth="1"/>
    <col min="3" max="3" width="11.5" bestFit="1" customWidth="1"/>
    <col min="4" max="4" width="11.33203125" bestFit="1" customWidth="1"/>
    <col min="5" max="5" width="12.6640625" customWidth="1"/>
    <col min="6" max="6" width="13.83203125" bestFit="1" customWidth="1"/>
    <col min="7" max="7" width="10.6640625" bestFit="1" customWidth="1"/>
    <col min="8" max="8" width="7.6640625" bestFit="1" customWidth="1"/>
    <col min="9" max="9" width="10.5" bestFit="1" customWidth="1"/>
    <col min="10" max="10" width="15.5" bestFit="1" customWidth="1"/>
    <col min="11" max="11" width="9.6640625" bestFit="1" customWidth="1"/>
    <col min="12" max="12" width="10.33203125" bestFit="1" customWidth="1"/>
    <col min="13" max="13" width="10.1640625" bestFit="1" customWidth="1"/>
    <col min="14" max="16" width="10.33203125" bestFit="1" customWidth="1"/>
    <col min="17" max="17" width="10.5" bestFit="1" customWidth="1"/>
  </cols>
  <sheetData>
    <row r="1" spans="1:17" ht="31.5" customHeight="1" x14ac:dyDescent="0.2">
      <c r="A1" s="42" t="s">
        <v>1095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17" ht="18" customHeight="1" x14ac:dyDescent="0.2">
      <c r="A2" s="32" t="s">
        <v>1096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4" spans="1:17" ht="24" customHeight="1" x14ac:dyDescent="0.2">
      <c r="A4" s="2" t="s">
        <v>28</v>
      </c>
      <c r="B4" s="2" t="s">
        <v>29</v>
      </c>
      <c r="C4" s="2" t="s">
        <v>30</v>
      </c>
      <c r="D4" s="2" t="s">
        <v>1097</v>
      </c>
      <c r="E4" s="2" t="s">
        <v>1098</v>
      </c>
      <c r="F4" s="2" t="s">
        <v>1099</v>
      </c>
      <c r="G4" s="2" t="s">
        <v>1100</v>
      </c>
      <c r="H4" s="2" t="s">
        <v>1101</v>
      </c>
      <c r="I4" s="2" t="s">
        <v>1102</v>
      </c>
      <c r="J4" s="2" t="s">
        <v>1103</v>
      </c>
      <c r="K4" s="2" t="s">
        <v>1104</v>
      </c>
      <c r="L4" s="2" t="s">
        <v>1105</v>
      </c>
      <c r="M4" s="2" t="s">
        <v>1106</v>
      </c>
      <c r="N4" s="2" t="s">
        <v>1107</v>
      </c>
      <c r="O4" s="2" t="s">
        <v>1108</v>
      </c>
      <c r="P4" s="2" t="s">
        <v>1109</v>
      </c>
      <c r="Q4" s="2" t="s">
        <v>1110</v>
      </c>
    </row>
    <row r="5" spans="1:17" ht="15" customHeight="1" x14ac:dyDescent="0.2">
      <c r="A5" s="3" t="str">
        <f>'2. Demand History'!A5</f>
        <v>NT10001</v>
      </c>
      <c r="B5" s="1" t="str">
        <f>'2. Demand History'!B5</f>
        <v>Nova X427 128GB</v>
      </c>
      <c r="C5" s="3" t="str">
        <f>'1. Master Data'!C5</f>
        <v>Smartphones</v>
      </c>
      <c r="D5" s="3" t="s">
        <v>1111</v>
      </c>
      <c r="E5" s="3" t="str">
        <f t="shared" ref="E5:E68" si="0">IF(D5="Yes","Seasonal Naive","Moving Avg 3")</f>
        <v>Seasonal Naive</v>
      </c>
      <c r="F5" s="3">
        <f>ROUND(AVERAGE('2. Demand History'!O5:Z5),1)</f>
        <v>95.1</v>
      </c>
      <c r="G5" s="3">
        <f>ROUND(STDEV('2. Demand History'!O5:Z5),1)</f>
        <v>32.200000000000003</v>
      </c>
      <c r="H5" s="8">
        <f t="shared" ref="H5:H68" si="1">IF(F5=0,0,ROUND(G5/F5,2))</f>
        <v>0.34</v>
      </c>
      <c r="I5" s="8">
        <f>ROUND(SUM('2. Demand History'!O5:Z5)/MAX(SUM('2. Demand History'!C5:N5),1),2)</f>
        <v>1.04</v>
      </c>
      <c r="J5" s="5">
        <f>IF(D5="Yes",ROUND('2. Demand History'!O5*I5,0),ROUND(AVERAGE('2. Demand History'!X5:Z5),0))</f>
        <v>103</v>
      </c>
      <c r="K5" s="9">
        <f t="shared" ref="K5:K68" si="2">ROUND(AVERAGE(L5:Q5),3)</f>
        <v>8.8999999999999996E-2</v>
      </c>
      <c r="L5" s="10">
        <f>ROUND(ABS('2. Demand History'!U5-IF($D5="Yes",'2. Demand History'!I5,AVERAGE('2. Demand History'!R5:T5)))/MAX('2. Demand History'!U5,1),3)</f>
        <v>1.2E-2</v>
      </c>
      <c r="M5" s="10">
        <f>ROUND(ABS('2. Demand History'!V5-IF($D5="Yes",'2. Demand History'!J5,AVERAGE('2. Demand History'!S5:U5)))/MAX('2. Demand History'!V5,1),3)</f>
        <v>6.7000000000000004E-2</v>
      </c>
      <c r="N5" s="10">
        <f>ROUND(ABS('2. Demand History'!W5-IF($D5="Yes",'2. Demand History'!K5,AVERAGE('2. Demand History'!T5:V5)))/MAX('2. Demand History'!W5,1),3)</f>
        <v>0.23</v>
      </c>
      <c r="O5" s="10">
        <f>ROUND(ABS('2. Demand History'!X5-IF($D5="Yes",'2. Demand History'!L5,AVERAGE('2. Demand History'!U5:W5)))/MAX('2. Demand History'!X5,1),3)</f>
        <v>0</v>
      </c>
      <c r="P5" s="10">
        <f>ROUND(ABS('2. Demand History'!Y5-IF($D5="Yes",'2. Demand History'!M5,AVERAGE('2. Demand History'!V5:X5)))/MAX('2. Demand History'!Y5,1),3)</f>
        <v>0.112</v>
      </c>
      <c r="Q5" s="10">
        <f>ROUND(ABS('2. Demand History'!Z5-IF($D5="Yes",'2. Demand History'!N5,AVERAGE('2. Demand History'!W5:Y5)))/MAX('2. Demand History'!Z5,1),3)</f>
        <v>0.114</v>
      </c>
    </row>
    <row r="6" spans="1:17" ht="15" customHeight="1" x14ac:dyDescent="0.2">
      <c r="A6" s="3" t="str">
        <f>'2. Demand History'!A6</f>
        <v>NT10002</v>
      </c>
      <c r="B6" s="1" t="str">
        <f>'2. Demand History'!B6</f>
        <v>Pulse 962 Dual SIM</v>
      </c>
      <c r="C6" s="3" t="str">
        <f>'1. Master Data'!C6</f>
        <v>Smartphones</v>
      </c>
      <c r="D6" s="3" t="s">
        <v>1111</v>
      </c>
      <c r="E6" s="3" t="str">
        <f t="shared" si="0"/>
        <v>Seasonal Naive</v>
      </c>
      <c r="F6" s="3">
        <f>ROUND(AVERAGE('2. Demand History'!O6:Z6),1)</f>
        <v>52.8</v>
      </c>
      <c r="G6" s="3">
        <f>ROUND(STDEV('2. Demand History'!O6:Z6),1)</f>
        <v>15.8</v>
      </c>
      <c r="H6" s="8">
        <f t="shared" si="1"/>
        <v>0.3</v>
      </c>
      <c r="I6" s="8">
        <f>ROUND(SUM('2. Demand History'!O6:Z6)/MAX(SUM('2. Demand History'!C6:N6),1),2)</f>
        <v>1.01</v>
      </c>
      <c r="J6" s="5">
        <f>IF(D6="Yes",ROUND('2. Demand History'!O6*I6,0),ROUND(AVERAGE('2. Demand History'!X6:Z6),0))</f>
        <v>42</v>
      </c>
      <c r="K6" s="9">
        <f t="shared" si="2"/>
        <v>0.125</v>
      </c>
      <c r="L6" s="10">
        <f>ROUND(ABS('2. Demand History'!U6-IF($D6="Yes",'2. Demand History'!I6,AVERAGE('2. Demand History'!R6:T6)))/MAX('2. Demand History'!U6,1),3)</f>
        <v>3.4000000000000002E-2</v>
      </c>
      <c r="M6" s="10">
        <f>ROUND(ABS('2. Demand History'!V6-IF($D6="Yes",'2. Demand History'!J6,AVERAGE('2. Demand History'!S6:U6)))/MAX('2. Demand History'!V6,1),3)</f>
        <v>8.1000000000000003E-2</v>
      </c>
      <c r="N6" s="10">
        <f>ROUND(ABS('2. Demand History'!W6-IF($D6="Yes",'2. Demand History'!K6,AVERAGE('2. Demand History'!T6:V6)))/MAX('2. Demand History'!W6,1),3)</f>
        <v>0.34300000000000003</v>
      </c>
      <c r="O6" s="10">
        <f>ROUND(ABS('2. Demand History'!X6-IF($D6="Yes",'2. Demand History'!L6,AVERAGE('2. Demand History'!U6:W6)))/MAX('2. Demand History'!X6,1),3)</f>
        <v>8.3000000000000004E-2</v>
      </c>
      <c r="P6" s="10">
        <f>ROUND(ABS('2. Demand History'!Y6-IF($D6="Yes",'2. Demand History'!M6,AVERAGE('2. Demand History'!V6:X6)))/MAX('2. Demand History'!Y6,1),3)</f>
        <v>0.122</v>
      </c>
      <c r="Q6" s="10">
        <f>ROUND(ABS('2. Demand History'!Z6-IF($D6="Yes",'2. Demand History'!N6,AVERAGE('2. Demand History'!W6:Y6)))/MAX('2. Demand History'!Z6,1),3)</f>
        <v>8.5999999999999993E-2</v>
      </c>
    </row>
    <row r="7" spans="1:17" ht="15" customHeight="1" x14ac:dyDescent="0.2">
      <c r="A7" s="3" t="str">
        <f>'2. Demand History'!A7</f>
        <v>NT10003</v>
      </c>
      <c r="B7" s="1" t="str">
        <f>'2. Demand History'!B7</f>
        <v>Nova Lite 936 64GB</v>
      </c>
      <c r="C7" s="3" t="str">
        <f>'1. Master Data'!C7</f>
        <v>Smartphones</v>
      </c>
      <c r="D7" s="3" t="s">
        <v>1111</v>
      </c>
      <c r="E7" s="3" t="str">
        <f t="shared" si="0"/>
        <v>Seasonal Naive</v>
      </c>
      <c r="F7" s="3">
        <f>ROUND(AVERAGE('2. Demand History'!O7:Z7),1)</f>
        <v>120.8</v>
      </c>
      <c r="G7" s="3">
        <f>ROUND(STDEV('2. Demand History'!O7:Z7),1)</f>
        <v>38</v>
      </c>
      <c r="H7" s="8">
        <f t="shared" si="1"/>
        <v>0.31</v>
      </c>
      <c r="I7" s="8">
        <f>ROUND(SUM('2. Demand History'!O7:Z7)/MAX(SUM('2. Demand History'!C7:N7),1),2)</f>
        <v>1.07</v>
      </c>
      <c r="J7" s="5">
        <f>IF(D7="Yes",ROUND('2. Demand History'!O7*I7,0),ROUND(AVERAGE('2. Demand History'!X7:Z7),0))</f>
        <v>117</v>
      </c>
      <c r="K7" s="9">
        <f t="shared" si="2"/>
        <v>6.0999999999999999E-2</v>
      </c>
      <c r="L7" s="10">
        <f>ROUND(ABS('2. Demand History'!U7-IF($D7="Yes",'2. Demand History'!I7,AVERAGE('2. Demand History'!R7:T7)))/MAX('2. Demand History'!U7,1),3)</f>
        <v>5.0999999999999997E-2</v>
      </c>
      <c r="M7" s="10">
        <f>ROUND(ABS('2. Demand History'!V7-IF($D7="Yes",'2. Demand History'!J7,AVERAGE('2. Demand History'!S7:U7)))/MAX('2. Demand History'!V7,1),3)</f>
        <v>5.7000000000000002E-2</v>
      </c>
      <c r="N7" s="10">
        <f>ROUND(ABS('2. Demand History'!W7-IF($D7="Yes",'2. Demand History'!K7,AVERAGE('2. Demand History'!T7:V7)))/MAX('2. Demand History'!W7,1),3)</f>
        <v>0.13700000000000001</v>
      </c>
      <c r="O7" s="10">
        <f>ROUND(ABS('2. Demand History'!X7-IF($D7="Yes",'2. Demand History'!L7,AVERAGE('2. Demand History'!U7:W7)))/MAX('2. Demand History'!X7,1),3)</f>
        <v>3.3000000000000002E-2</v>
      </c>
      <c r="P7" s="10">
        <f>ROUND(ABS('2. Demand History'!Y7-IF($D7="Yes",'2. Demand History'!M7,AVERAGE('2. Demand History'!V7:X7)))/MAX('2. Demand History'!Y7,1),3)</f>
        <v>0</v>
      </c>
      <c r="Q7" s="10">
        <f>ROUND(ABS('2. Demand History'!Z7-IF($D7="Yes",'2. Demand History'!N7,AVERAGE('2. Demand History'!W7:Y7)))/MAX('2. Demand History'!Z7,1),3)</f>
        <v>0.09</v>
      </c>
    </row>
    <row r="8" spans="1:17" ht="15" customHeight="1" x14ac:dyDescent="0.2">
      <c r="A8" s="3" t="str">
        <f>'2. Demand History'!A8</f>
        <v>NT10004</v>
      </c>
      <c r="B8" s="1" t="str">
        <f>'2. Demand History'!B8</f>
        <v>Nova Lite 315 64GB</v>
      </c>
      <c r="C8" s="3" t="str">
        <f>'1. Master Data'!C8</f>
        <v>Smartphones</v>
      </c>
      <c r="D8" s="3" t="s">
        <v>1111</v>
      </c>
      <c r="E8" s="3" t="str">
        <f t="shared" si="0"/>
        <v>Seasonal Naive</v>
      </c>
      <c r="F8" s="3">
        <f>ROUND(AVERAGE('2. Demand History'!O8:Z8),1)</f>
        <v>67</v>
      </c>
      <c r="G8" s="3">
        <f>ROUND(STDEV('2. Demand History'!O8:Z8),1)</f>
        <v>24.6</v>
      </c>
      <c r="H8" s="8">
        <f t="shared" si="1"/>
        <v>0.37</v>
      </c>
      <c r="I8" s="8">
        <f>ROUND(SUM('2. Demand History'!O8:Z8)/MAX(SUM('2. Demand History'!C8:N8),1),2)</f>
        <v>1.07</v>
      </c>
      <c r="J8" s="5">
        <f>IF(D8="Yes",ROUND('2. Demand History'!O8*I8,0),ROUND(AVERAGE('2. Demand History'!X8:Z8),0))</f>
        <v>65</v>
      </c>
      <c r="K8" s="9">
        <f t="shared" si="2"/>
        <v>0.17799999999999999</v>
      </c>
      <c r="L8" s="10">
        <f>ROUND(ABS('2. Demand History'!U8-IF($D8="Yes",'2. Demand History'!I8,AVERAGE('2. Demand History'!R8:T8)))/MAX('2. Demand History'!U8,1),3)</f>
        <v>0.25800000000000001</v>
      </c>
      <c r="M8" s="10">
        <f>ROUND(ABS('2. Demand History'!V8-IF($D8="Yes",'2. Demand History'!J8,AVERAGE('2. Demand History'!S8:U8)))/MAX('2. Demand History'!V8,1),3)</f>
        <v>0.216</v>
      </c>
      <c r="N8" s="10">
        <f>ROUND(ABS('2. Demand History'!W8-IF($D8="Yes",'2. Demand History'!K8,AVERAGE('2. Demand History'!T8:V8)))/MAX('2. Demand History'!W8,1),3)</f>
        <v>0.16700000000000001</v>
      </c>
      <c r="O8" s="10">
        <f>ROUND(ABS('2. Demand History'!X8-IF($D8="Yes",'2. Demand History'!L8,AVERAGE('2. Demand History'!U8:W8)))/MAX('2. Demand History'!X8,1),3)</f>
        <v>0.14499999999999999</v>
      </c>
      <c r="P8" s="10">
        <f>ROUND(ABS('2. Demand History'!Y8-IF($D8="Yes",'2. Demand History'!M8,AVERAGE('2. Demand History'!V8:X8)))/MAX('2. Demand History'!Y8,1),3)</f>
        <v>0.26400000000000001</v>
      </c>
      <c r="Q8" s="10">
        <f>ROUND(ABS('2. Demand History'!Z8-IF($D8="Yes",'2. Demand History'!N8,AVERAGE('2. Demand History'!W8:Y8)))/MAX('2. Demand History'!Z8,1),3)</f>
        <v>1.4999999999999999E-2</v>
      </c>
    </row>
    <row r="9" spans="1:17" ht="15" customHeight="1" x14ac:dyDescent="0.2">
      <c r="A9" s="3" t="str">
        <f>'2. Demand History'!A9</f>
        <v>NT10005</v>
      </c>
      <c r="B9" s="1" t="str">
        <f>'2. Demand History'!B9</f>
        <v>Pulse 753 Dual SIM</v>
      </c>
      <c r="C9" s="3" t="str">
        <f>'1. Master Data'!C9</f>
        <v>Smartphones</v>
      </c>
      <c r="D9" s="3" t="s">
        <v>1111</v>
      </c>
      <c r="E9" s="3" t="str">
        <f t="shared" si="0"/>
        <v>Seasonal Naive</v>
      </c>
      <c r="F9" s="3">
        <f>ROUND(AVERAGE('2. Demand History'!O9:Z9),1)</f>
        <v>35.200000000000003</v>
      </c>
      <c r="G9" s="3">
        <f>ROUND(STDEV('2. Demand History'!O9:Z9),1)</f>
        <v>10</v>
      </c>
      <c r="H9" s="8">
        <f t="shared" si="1"/>
        <v>0.28000000000000003</v>
      </c>
      <c r="I9" s="8">
        <f>ROUND(SUM('2. Demand History'!O9:Z9)/MAX(SUM('2. Demand History'!C9:N9),1),2)</f>
        <v>1.07</v>
      </c>
      <c r="J9" s="5">
        <f>IF(D9="Yes",ROUND('2. Demand History'!O9*I9,0),ROUND(AVERAGE('2. Demand History'!X9:Z9),0))</f>
        <v>32</v>
      </c>
      <c r="K9" s="9">
        <f t="shared" si="2"/>
        <v>0.11700000000000001</v>
      </c>
      <c r="L9" s="10">
        <f>ROUND(ABS('2. Demand History'!U9-IF($D9="Yes",'2. Demand History'!I9,AVERAGE('2. Demand History'!R9:T9)))/MAX('2. Demand History'!U9,1),3)</f>
        <v>3.3000000000000002E-2</v>
      </c>
      <c r="M9" s="10">
        <f>ROUND(ABS('2. Demand History'!V9-IF($D9="Yes",'2. Demand History'!J9,AVERAGE('2. Demand History'!S9:U9)))/MAX('2. Demand History'!V9,1),3)</f>
        <v>0.154</v>
      </c>
      <c r="N9" s="10">
        <f>ROUND(ABS('2. Demand History'!W9-IF($D9="Yes",'2. Demand History'!K9,AVERAGE('2. Demand History'!T9:V9)))/MAX('2. Demand History'!W9,1),3)</f>
        <v>0.10299999999999999</v>
      </c>
      <c r="O9" s="10">
        <f>ROUND(ABS('2. Demand History'!X9-IF($D9="Yes",'2. Demand History'!L9,AVERAGE('2. Demand History'!U9:W9)))/MAX('2. Demand History'!X9,1),3)</f>
        <v>0.188</v>
      </c>
      <c r="P9" s="10">
        <f>ROUND(ABS('2. Demand History'!Y9-IF($D9="Yes",'2. Demand History'!M9,AVERAGE('2. Demand History'!V9:X9)))/MAX('2. Demand History'!Y9,1),3)</f>
        <v>0.114</v>
      </c>
      <c r="Q9" s="10">
        <f>ROUND(ABS('2. Demand History'!Z9-IF($D9="Yes",'2. Demand History'!N9,AVERAGE('2. Demand History'!W9:Y9)))/MAX('2. Demand History'!Z9,1),3)</f>
        <v>0.111</v>
      </c>
    </row>
    <row r="10" spans="1:17" ht="15" customHeight="1" x14ac:dyDescent="0.2">
      <c r="A10" s="3" t="str">
        <f>'2. Demand History'!A10</f>
        <v>NT10006</v>
      </c>
      <c r="B10" s="1" t="str">
        <f>'2. Demand History'!B10</f>
        <v>Edge 244 5G 128GB</v>
      </c>
      <c r="C10" s="3" t="str">
        <f>'1. Master Data'!C10</f>
        <v>Smartphones</v>
      </c>
      <c r="D10" s="3" t="s">
        <v>1111</v>
      </c>
      <c r="E10" s="3" t="str">
        <f t="shared" si="0"/>
        <v>Seasonal Naive</v>
      </c>
      <c r="F10" s="3">
        <f>ROUND(AVERAGE('2. Demand History'!O10:Z10),1)</f>
        <v>66.2</v>
      </c>
      <c r="G10" s="3">
        <f>ROUND(STDEV('2. Demand History'!O10:Z10),1)</f>
        <v>19.3</v>
      </c>
      <c r="H10" s="8">
        <f t="shared" si="1"/>
        <v>0.28999999999999998</v>
      </c>
      <c r="I10" s="8">
        <f>ROUND(SUM('2. Demand History'!O10:Z10)/MAX(SUM('2. Demand History'!C10:N10),1),2)</f>
        <v>1.06</v>
      </c>
      <c r="J10" s="5">
        <f>IF(D10="Yes",ROUND('2. Demand History'!O10*I10,0),ROUND(AVERAGE('2. Demand History'!X10:Z10),0))</f>
        <v>63</v>
      </c>
      <c r="K10" s="9">
        <f t="shared" si="2"/>
        <v>0.14399999999999999</v>
      </c>
      <c r="L10" s="10">
        <f>ROUND(ABS('2. Demand History'!U10-IF($D10="Yes",'2. Demand History'!I10,AVERAGE('2. Demand History'!R10:T10)))/MAX('2. Demand History'!U10,1),3)</f>
        <v>6.5000000000000002E-2</v>
      </c>
      <c r="M10" s="10">
        <f>ROUND(ABS('2. Demand History'!V10-IF($D10="Yes",'2. Demand History'!J10,AVERAGE('2. Demand History'!S10:U10)))/MAX('2. Demand History'!V10,1),3)</f>
        <v>0.4</v>
      </c>
      <c r="N10" s="10">
        <f>ROUND(ABS('2. Demand History'!W10-IF($D10="Yes",'2. Demand History'!K10,AVERAGE('2. Demand History'!T10:V10)))/MAX('2. Demand History'!W10,1),3)</f>
        <v>8.7999999999999995E-2</v>
      </c>
      <c r="O10" s="10">
        <f>ROUND(ABS('2. Demand History'!X10-IF($D10="Yes",'2. Demand History'!L10,AVERAGE('2. Demand History'!U10:W10)))/MAX('2. Demand History'!X10,1),3)</f>
        <v>7.8E-2</v>
      </c>
      <c r="P10" s="10">
        <f>ROUND(ABS('2. Demand History'!Y10-IF($D10="Yes",'2. Demand History'!M10,AVERAGE('2. Demand History'!V10:X10)))/MAX('2. Demand History'!Y10,1),3)</f>
        <v>4.8000000000000001E-2</v>
      </c>
      <c r="Q10" s="10">
        <f>ROUND(ABS('2. Demand History'!Z10-IF($D10="Yes",'2. Demand History'!N10,AVERAGE('2. Demand History'!W10:Y10)))/MAX('2. Demand History'!Z10,1),3)</f>
        <v>0.182</v>
      </c>
    </row>
    <row r="11" spans="1:17" ht="15" customHeight="1" x14ac:dyDescent="0.2">
      <c r="A11" s="3" t="str">
        <f>'2. Demand History'!A11</f>
        <v>NT10007</v>
      </c>
      <c r="B11" s="1" t="str">
        <f>'2. Demand History'!B11</f>
        <v>Pulse 667 Dual SIM</v>
      </c>
      <c r="C11" s="3" t="str">
        <f>'1. Master Data'!C11</f>
        <v>Smartphones</v>
      </c>
      <c r="D11" s="3" t="s">
        <v>1111</v>
      </c>
      <c r="E11" s="3" t="str">
        <f t="shared" si="0"/>
        <v>Seasonal Naive</v>
      </c>
      <c r="F11" s="3">
        <f>ROUND(AVERAGE('2. Demand History'!O11:Z11),1)</f>
        <v>34.4</v>
      </c>
      <c r="G11" s="3">
        <f>ROUND(STDEV('2. Demand History'!O11:Z11),1)</f>
        <v>12.1</v>
      </c>
      <c r="H11" s="8">
        <f t="shared" si="1"/>
        <v>0.35</v>
      </c>
      <c r="I11" s="8">
        <f>ROUND(SUM('2. Demand History'!O11:Z11)/MAX(SUM('2. Demand History'!C11:N11),1),2)</f>
        <v>1.08</v>
      </c>
      <c r="J11" s="5">
        <f>IF(D11="Yes",ROUND('2. Demand History'!O11*I11,0),ROUND(AVERAGE('2. Demand History'!X11:Z11),0))</f>
        <v>33</v>
      </c>
      <c r="K11" s="9">
        <f t="shared" si="2"/>
        <v>7.4999999999999997E-2</v>
      </c>
      <c r="L11" s="10">
        <f>ROUND(ABS('2. Demand History'!U11-IF($D11="Yes",'2. Demand History'!I11,AVERAGE('2. Demand History'!R11:T11)))/MAX('2. Demand History'!U11,1),3)</f>
        <v>0.13</v>
      </c>
      <c r="M11" s="10">
        <f>ROUND(ABS('2. Demand History'!V11-IF($D11="Yes",'2. Demand History'!J11,AVERAGE('2. Demand History'!S11:U11)))/MAX('2. Demand History'!V11,1),3)</f>
        <v>7.6999999999999999E-2</v>
      </c>
      <c r="N11" s="10">
        <f>ROUND(ABS('2. Demand History'!W11-IF($D11="Yes",'2. Demand History'!K11,AVERAGE('2. Demand History'!T11:V11)))/MAX('2. Demand History'!W11,1),3)</f>
        <v>4.4999999999999998E-2</v>
      </c>
      <c r="O11" s="10">
        <f>ROUND(ABS('2. Demand History'!X11-IF($D11="Yes",'2. Demand History'!L11,AVERAGE('2. Demand History'!U11:W11)))/MAX('2. Demand History'!X11,1),3)</f>
        <v>3.2000000000000001E-2</v>
      </c>
      <c r="P11" s="10">
        <f>ROUND(ABS('2. Demand History'!Y11-IF($D11="Yes",'2. Demand History'!M11,AVERAGE('2. Demand History'!V11:X11)))/MAX('2. Demand History'!Y11,1),3)</f>
        <v>0.16700000000000001</v>
      </c>
      <c r="Q11" s="10">
        <f>ROUND(ABS('2. Demand History'!Z11-IF($D11="Yes",'2. Demand History'!N11,AVERAGE('2. Demand History'!W11:Y11)))/MAX('2. Demand History'!Z11,1),3)</f>
        <v>0</v>
      </c>
    </row>
    <row r="12" spans="1:17" ht="15" customHeight="1" x14ac:dyDescent="0.2">
      <c r="A12" s="3" t="str">
        <f>'2. Demand History'!A12</f>
        <v>NT10008</v>
      </c>
      <c r="B12" s="1" t="str">
        <f>'2. Demand History'!B12</f>
        <v>Edge 637 5G 128GB</v>
      </c>
      <c r="C12" s="3" t="str">
        <f>'1. Master Data'!C12</f>
        <v>Smartphones</v>
      </c>
      <c r="D12" s="3" t="s">
        <v>1111</v>
      </c>
      <c r="E12" s="3" t="str">
        <f t="shared" si="0"/>
        <v>Seasonal Naive</v>
      </c>
      <c r="F12" s="3">
        <f>ROUND(AVERAGE('2. Demand History'!O12:Z12),1)</f>
        <v>135.80000000000001</v>
      </c>
      <c r="G12" s="3">
        <f>ROUND(STDEV('2. Demand History'!O12:Z12),1)</f>
        <v>50.6</v>
      </c>
      <c r="H12" s="8">
        <f t="shared" si="1"/>
        <v>0.37</v>
      </c>
      <c r="I12" s="8">
        <f>ROUND(SUM('2. Demand History'!O12:Z12)/MAX(SUM('2. Demand History'!C12:N12),1),2)</f>
        <v>1.01</v>
      </c>
      <c r="J12" s="5">
        <f>IF(D12="Yes",ROUND('2. Demand History'!O12*I12,0),ROUND(AVERAGE('2. Demand History'!X12:Z12),0))</f>
        <v>88</v>
      </c>
      <c r="K12" s="9">
        <f t="shared" si="2"/>
        <v>7.0000000000000007E-2</v>
      </c>
      <c r="L12" s="10">
        <f>ROUND(ABS('2. Demand History'!U12-IF($D12="Yes",'2. Demand History'!I12,AVERAGE('2. Demand History'!R12:T12)))/MAX('2. Demand History'!U12,1),3)</f>
        <v>5.5E-2</v>
      </c>
      <c r="M12" s="10">
        <f>ROUND(ABS('2. Demand History'!V12-IF($D12="Yes",'2. Demand History'!J12,AVERAGE('2. Demand History'!S12:U12)))/MAX('2. Demand History'!V12,1),3)</f>
        <v>0.151</v>
      </c>
      <c r="N12" s="10">
        <f>ROUND(ABS('2. Demand History'!W12-IF($D12="Yes",'2. Demand History'!K12,AVERAGE('2. Demand History'!T12:V12)))/MAX('2. Demand History'!W12,1),3)</f>
        <v>5.2999999999999999E-2</v>
      </c>
      <c r="O12" s="10">
        <f>ROUND(ABS('2. Demand History'!X12-IF($D12="Yes",'2. Demand History'!L12,AVERAGE('2. Demand History'!U12:W12)))/MAX('2. Demand History'!X12,1),3)</f>
        <v>1.7000000000000001E-2</v>
      </c>
      <c r="P12" s="10">
        <f>ROUND(ABS('2. Demand History'!Y12-IF($D12="Yes",'2. Demand History'!M12,AVERAGE('2. Demand History'!V12:X12)))/MAX('2. Demand History'!Y12,1),3)</f>
        <v>0.11799999999999999</v>
      </c>
      <c r="Q12" s="10">
        <f>ROUND(ABS('2. Demand History'!Z12-IF($D12="Yes",'2. Demand History'!N12,AVERAGE('2. Demand History'!W12:Y12)))/MAX('2. Demand History'!Z12,1),3)</f>
        <v>2.8000000000000001E-2</v>
      </c>
    </row>
    <row r="13" spans="1:17" ht="15" customHeight="1" x14ac:dyDescent="0.2">
      <c r="A13" s="3" t="str">
        <f>'2. Demand History'!A13</f>
        <v>NT10009</v>
      </c>
      <c r="B13" s="1" t="str">
        <f>'2. Demand History'!B13</f>
        <v>Nova X689 128GB</v>
      </c>
      <c r="C13" s="3" t="str">
        <f>'1. Master Data'!C13</f>
        <v>Smartphones</v>
      </c>
      <c r="D13" s="3" t="s">
        <v>1111</v>
      </c>
      <c r="E13" s="3" t="str">
        <f t="shared" si="0"/>
        <v>Seasonal Naive</v>
      </c>
      <c r="F13" s="3">
        <f>ROUND(AVERAGE('2. Demand History'!O13:Z13),1)</f>
        <v>49.4</v>
      </c>
      <c r="G13" s="3">
        <f>ROUND(STDEV('2. Demand History'!O13:Z13),1)</f>
        <v>13.3</v>
      </c>
      <c r="H13" s="8">
        <f t="shared" si="1"/>
        <v>0.27</v>
      </c>
      <c r="I13" s="8">
        <f>ROUND(SUM('2. Demand History'!O13:Z13)/MAX(SUM('2. Demand History'!C13:N13),1),2)</f>
        <v>1.1100000000000001</v>
      </c>
      <c r="J13" s="5">
        <f>IF(D13="Yes",ROUND('2. Demand History'!O13*I13,0),ROUND(AVERAGE('2. Demand History'!X13:Z13),0))</f>
        <v>42</v>
      </c>
      <c r="K13" s="9">
        <f t="shared" si="2"/>
        <v>0.129</v>
      </c>
      <c r="L13" s="10">
        <f>ROUND(ABS('2. Demand History'!U13-IF($D13="Yes",'2. Demand History'!I13,AVERAGE('2. Demand History'!R13:T13)))/MAX('2. Demand History'!U13,1),3)</f>
        <v>3.6999999999999998E-2</v>
      </c>
      <c r="M13" s="10">
        <f>ROUND(ABS('2. Demand History'!V13-IF($D13="Yes",'2. Demand History'!J13,AVERAGE('2. Demand History'!S13:U13)))/MAX('2. Demand History'!V13,1),3)</f>
        <v>3.1E-2</v>
      </c>
      <c r="N13" s="10">
        <f>ROUND(ABS('2. Demand History'!W13-IF($D13="Yes",'2. Demand History'!K13,AVERAGE('2. Demand History'!T13:V13)))/MAX('2. Demand History'!W13,1),3)</f>
        <v>0.23300000000000001</v>
      </c>
      <c r="O13" s="10">
        <f>ROUND(ABS('2. Demand History'!X13-IF($D13="Yes",'2. Demand History'!L13,AVERAGE('2. Demand History'!U13:W13)))/MAX('2. Demand History'!X13,1),3)</f>
        <v>0.14000000000000001</v>
      </c>
      <c r="P13" s="10">
        <f>ROUND(ABS('2. Demand History'!Y13-IF($D13="Yes",'2. Demand History'!M13,AVERAGE('2. Demand History'!V13:X13)))/MAX('2. Demand History'!Y13,1),3)</f>
        <v>8.8999999999999996E-2</v>
      </c>
      <c r="Q13" s="10">
        <f>ROUND(ABS('2. Demand History'!Z13-IF($D13="Yes",'2. Demand History'!N13,AVERAGE('2. Demand History'!W13:Y13)))/MAX('2. Demand History'!Z13,1),3)</f>
        <v>0.245</v>
      </c>
    </row>
    <row r="14" spans="1:17" ht="15" customHeight="1" x14ac:dyDescent="0.2">
      <c r="A14" s="3" t="str">
        <f>'2. Demand History'!A14</f>
        <v>NT10010</v>
      </c>
      <c r="B14" s="1" t="str">
        <f>'2. Demand History'!B14</f>
        <v>Nova X834 128GB</v>
      </c>
      <c r="C14" s="3" t="str">
        <f>'1. Master Data'!C14</f>
        <v>Smartphones</v>
      </c>
      <c r="D14" s="3" t="s">
        <v>1111</v>
      </c>
      <c r="E14" s="3" t="str">
        <f t="shared" si="0"/>
        <v>Seasonal Naive</v>
      </c>
      <c r="F14" s="3">
        <f>ROUND(AVERAGE('2. Demand History'!O14:Z14),1)</f>
        <v>229.8</v>
      </c>
      <c r="G14" s="3">
        <f>ROUND(STDEV('2. Demand History'!O14:Z14),1)</f>
        <v>72.400000000000006</v>
      </c>
      <c r="H14" s="8">
        <f t="shared" si="1"/>
        <v>0.32</v>
      </c>
      <c r="I14" s="8">
        <f>ROUND(SUM('2. Demand History'!O14:Z14)/MAX(SUM('2. Demand History'!C14:N14),1),2)</f>
        <v>1.08</v>
      </c>
      <c r="J14" s="5">
        <f>IF(D14="Yes",ROUND('2. Demand History'!O14*I14,0),ROUND(AVERAGE('2. Demand History'!X14:Z14),0))</f>
        <v>215</v>
      </c>
      <c r="K14" s="9">
        <f t="shared" si="2"/>
        <v>9.1999999999999998E-2</v>
      </c>
      <c r="L14" s="10">
        <f>ROUND(ABS('2. Demand History'!U14-IF($D14="Yes",'2. Demand History'!I14,AVERAGE('2. Demand History'!R14:T14)))/MAX('2. Demand History'!U14,1),3)</f>
        <v>0.14699999999999999</v>
      </c>
      <c r="M14" s="10">
        <f>ROUND(ABS('2. Demand History'!V14-IF($D14="Yes",'2. Demand History'!J14,AVERAGE('2. Demand History'!S14:U14)))/MAX('2. Demand History'!V14,1),3)</f>
        <v>2.4E-2</v>
      </c>
      <c r="N14" s="10">
        <f>ROUND(ABS('2. Demand History'!W14-IF($D14="Yes",'2. Demand History'!K14,AVERAGE('2. Demand History'!T14:V14)))/MAX('2. Demand History'!W14,1),3)</f>
        <v>6.0000000000000001E-3</v>
      </c>
      <c r="O14" s="10">
        <f>ROUND(ABS('2. Demand History'!X14-IF($D14="Yes",'2. Demand History'!L14,AVERAGE('2. Demand History'!U14:W14)))/MAX('2. Demand History'!X14,1),3)</f>
        <v>0.30399999999999999</v>
      </c>
      <c r="P14" s="10">
        <f>ROUND(ABS('2. Demand History'!Y14-IF($D14="Yes",'2. Demand History'!M14,AVERAGE('2. Demand History'!V14:X14)))/MAX('2. Demand History'!Y14,1),3)</f>
        <v>4.4999999999999998E-2</v>
      </c>
      <c r="Q14" s="10">
        <f>ROUND(ABS('2. Demand History'!Z14-IF($D14="Yes",'2. Demand History'!N14,AVERAGE('2. Demand History'!W14:Y14)))/MAX('2. Demand History'!Z14,1),3)</f>
        <v>2.8000000000000001E-2</v>
      </c>
    </row>
    <row r="15" spans="1:17" ht="15" customHeight="1" x14ac:dyDescent="0.2">
      <c r="A15" s="3" t="str">
        <f>'2. Demand History'!A15</f>
        <v>NT10011</v>
      </c>
      <c r="B15" s="1" t="str">
        <f>'2. Demand History'!B15</f>
        <v>Edge 790 5G 128GB</v>
      </c>
      <c r="C15" s="3" t="str">
        <f>'1. Master Data'!C15</f>
        <v>Smartphones</v>
      </c>
      <c r="D15" s="3" t="s">
        <v>1111</v>
      </c>
      <c r="E15" s="3" t="str">
        <f t="shared" si="0"/>
        <v>Seasonal Naive</v>
      </c>
      <c r="F15" s="3">
        <f>ROUND(AVERAGE('2. Demand History'!O15:Z15),1)</f>
        <v>91.2</v>
      </c>
      <c r="G15" s="3">
        <f>ROUND(STDEV('2. Demand History'!O15:Z15),1)</f>
        <v>29.7</v>
      </c>
      <c r="H15" s="8">
        <f t="shared" si="1"/>
        <v>0.33</v>
      </c>
      <c r="I15" s="8">
        <f>ROUND(SUM('2. Demand History'!O15:Z15)/MAX(SUM('2. Demand History'!C15:N15),1),2)</f>
        <v>1.08</v>
      </c>
      <c r="J15" s="5">
        <f>IF(D15="Yes",ROUND('2. Demand History'!O15*I15,0),ROUND(AVERAGE('2. Demand History'!X15:Z15),0))</f>
        <v>84</v>
      </c>
      <c r="K15" s="9">
        <f t="shared" si="2"/>
        <v>8.3000000000000004E-2</v>
      </c>
      <c r="L15" s="10">
        <f>ROUND(ABS('2. Demand History'!U15-IF($D15="Yes",'2. Demand History'!I15,AVERAGE('2. Demand History'!R15:T15)))/MAX('2. Demand History'!U15,1),3)</f>
        <v>0.221</v>
      </c>
      <c r="M15" s="10">
        <f>ROUND(ABS('2. Demand History'!V15-IF($D15="Yes",'2. Demand History'!J15,AVERAGE('2. Demand History'!S15:U15)))/MAX('2. Demand History'!V15,1),3)</f>
        <v>3.2000000000000001E-2</v>
      </c>
      <c r="N15" s="10">
        <f>ROUND(ABS('2. Demand History'!W15-IF($D15="Yes",'2. Demand History'!K15,AVERAGE('2. Demand History'!T15:V15)))/MAX('2. Demand History'!W15,1),3)</f>
        <v>0.13300000000000001</v>
      </c>
      <c r="O15" s="10">
        <f>ROUND(ABS('2. Demand History'!X15-IF($D15="Yes",'2. Demand History'!L15,AVERAGE('2. Demand History'!U15:W15)))/MAX('2. Demand History'!X15,1),3)</f>
        <v>2.4E-2</v>
      </c>
      <c r="P15" s="10">
        <f>ROUND(ABS('2. Demand History'!Y15-IF($D15="Yes",'2. Demand History'!M15,AVERAGE('2. Demand History'!V15:X15)))/MAX('2. Demand History'!Y15,1),3)</f>
        <v>1.2E-2</v>
      </c>
      <c r="Q15" s="10">
        <f>ROUND(ABS('2. Demand History'!Z15-IF($D15="Yes",'2. Demand History'!N15,AVERAGE('2. Demand History'!W15:Y15)))/MAX('2. Demand History'!Z15,1),3)</f>
        <v>7.6999999999999999E-2</v>
      </c>
    </row>
    <row r="16" spans="1:17" ht="15" customHeight="1" x14ac:dyDescent="0.2">
      <c r="A16" s="3" t="str">
        <f>'2. Demand History'!A16</f>
        <v>NT10012</v>
      </c>
      <c r="B16" s="1" t="str">
        <f>'2. Demand History'!B16</f>
        <v>Pulse 918 Dual SIM</v>
      </c>
      <c r="C16" s="3" t="str">
        <f>'1. Master Data'!C16</f>
        <v>Smartphones</v>
      </c>
      <c r="D16" s="3" t="s">
        <v>1111</v>
      </c>
      <c r="E16" s="3" t="str">
        <f t="shared" si="0"/>
        <v>Seasonal Naive</v>
      </c>
      <c r="F16" s="3">
        <f>ROUND(AVERAGE('2. Demand History'!O16:Z16),1)</f>
        <v>10.1</v>
      </c>
      <c r="G16" s="3">
        <f>ROUND(STDEV('2. Demand History'!O16:Z16),1)</f>
        <v>2.8</v>
      </c>
      <c r="H16" s="8">
        <f t="shared" si="1"/>
        <v>0.28000000000000003</v>
      </c>
      <c r="I16" s="8">
        <f>ROUND(SUM('2. Demand History'!O16:Z16)/MAX(SUM('2. Demand History'!C16:N16),1),2)</f>
        <v>1.1000000000000001</v>
      </c>
      <c r="J16" s="5">
        <f>IF(D16="Yes",ROUND('2. Demand History'!O16*I16,0),ROUND(AVERAGE('2. Demand History'!X16:Z16),0))</f>
        <v>9</v>
      </c>
      <c r="K16" s="9">
        <f t="shared" si="2"/>
        <v>0.03</v>
      </c>
      <c r="L16" s="10">
        <f>ROUND(ABS('2. Demand History'!U16-IF($D16="Yes",'2. Demand History'!I16,AVERAGE('2. Demand History'!R16:T16)))/MAX('2. Demand History'!U16,1),3)</f>
        <v>0</v>
      </c>
      <c r="M16" s="10">
        <f>ROUND(ABS('2. Demand History'!V16-IF($D16="Yes",'2. Demand History'!J16,AVERAGE('2. Demand History'!S16:U16)))/MAX('2. Demand History'!V16,1),3)</f>
        <v>0</v>
      </c>
      <c r="N16" s="10">
        <f>ROUND(ABS('2. Demand History'!W16-IF($D16="Yes",'2. Demand History'!K16,AVERAGE('2. Demand History'!T16:V16)))/MAX('2. Demand History'!W16,1),3)</f>
        <v>0</v>
      </c>
      <c r="O16" s="10">
        <f>ROUND(ABS('2. Demand History'!X16-IF($D16="Yes",'2. Demand History'!L16,AVERAGE('2. Demand History'!U16:W16)))/MAX('2. Demand History'!X16,1),3)</f>
        <v>0</v>
      </c>
      <c r="P16" s="10">
        <f>ROUND(ABS('2. Demand History'!Y16-IF($D16="Yes",'2. Demand History'!M16,AVERAGE('2. Demand History'!V16:X16)))/MAX('2. Demand History'!Y16,1),3)</f>
        <v>9.0999999999999998E-2</v>
      </c>
      <c r="Q16" s="10">
        <f>ROUND(ABS('2. Demand History'!Z16-IF($D16="Yes",'2. Demand History'!N16,AVERAGE('2. Demand History'!W16:Y16)))/MAX('2. Demand History'!Z16,1),3)</f>
        <v>9.0999999999999998E-2</v>
      </c>
    </row>
    <row r="17" spans="1:17" ht="15" customHeight="1" x14ac:dyDescent="0.2">
      <c r="A17" s="3" t="str">
        <f>'2. Demand History'!A17</f>
        <v>NT10013</v>
      </c>
      <c r="B17" s="1" t="str">
        <f>'2. Demand History'!B17</f>
        <v>Pulse 569 Dual SIM</v>
      </c>
      <c r="C17" s="3" t="str">
        <f>'1. Master Data'!C17</f>
        <v>Smartphones</v>
      </c>
      <c r="D17" s="3" t="s">
        <v>1111</v>
      </c>
      <c r="E17" s="3" t="str">
        <f t="shared" si="0"/>
        <v>Seasonal Naive</v>
      </c>
      <c r="F17" s="3">
        <f>ROUND(AVERAGE('2. Demand History'!O17:Z17),1)</f>
        <v>4.0999999999999996</v>
      </c>
      <c r="G17" s="3">
        <f>ROUND(STDEV('2. Demand History'!O17:Z17),1)</f>
        <v>3</v>
      </c>
      <c r="H17" s="8">
        <f t="shared" si="1"/>
        <v>0.73</v>
      </c>
      <c r="I17" s="8">
        <f>ROUND(SUM('2. Demand History'!O17:Z17)/MAX(SUM('2. Demand History'!C17:N17),1),2)</f>
        <v>0.32</v>
      </c>
      <c r="J17" s="5">
        <f>IF(D17="Yes",ROUND('2. Demand History'!O17*I17,0),ROUND(AVERAGE('2. Demand History'!X17:Z17),0))</f>
        <v>3</v>
      </c>
      <c r="K17" s="9">
        <f t="shared" si="2"/>
        <v>6.8330000000000002</v>
      </c>
      <c r="L17" s="10">
        <f>ROUND(ABS('2. Demand History'!U17-IF($D17="Yes",'2. Demand History'!I17,AVERAGE('2. Demand History'!R17:T17)))/MAX('2. Demand History'!U17,1),3)</f>
        <v>2</v>
      </c>
      <c r="M17" s="10">
        <f>ROUND(ABS('2. Demand History'!V17-IF($D17="Yes",'2. Demand History'!J17,AVERAGE('2. Demand History'!S17:U17)))/MAX('2. Demand History'!V17,1),3)</f>
        <v>2</v>
      </c>
      <c r="N17" s="10">
        <f>ROUND(ABS('2. Demand History'!W17-IF($D17="Yes",'2. Demand History'!K17,AVERAGE('2. Demand History'!T17:V17)))/MAX('2. Demand History'!W17,1),3)</f>
        <v>7</v>
      </c>
      <c r="O17" s="10">
        <f>ROUND(ABS('2. Demand History'!X17-IF($D17="Yes",'2. Demand History'!L17,AVERAGE('2. Demand History'!U17:W17)))/MAX('2. Demand History'!X17,1),3)</f>
        <v>13</v>
      </c>
      <c r="P17" s="10">
        <f>ROUND(ABS('2. Demand History'!Y17-IF($D17="Yes",'2. Demand History'!M17,AVERAGE('2. Demand History'!V17:X17)))/MAX('2. Demand History'!Y17,1),3)</f>
        <v>8</v>
      </c>
      <c r="Q17" s="10">
        <f>ROUND(ABS('2. Demand History'!Z17-IF($D17="Yes",'2. Demand History'!N17,AVERAGE('2. Demand History'!W17:Y17)))/MAX('2. Demand History'!Z17,1),3)</f>
        <v>9</v>
      </c>
    </row>
    <row r="18" spans="1:17" ht="15" customHeight="1" x14ac:dyDescent="0.2">
      <c r="A18" s="3" t="str">
        <f>'2. Demand History'!A18</f>
        <v>NT10014</v>
      </c>
      <c r="B18" s="1" t="str">
        <f>'2. Demand History'!B18</f>
        <v>Edge 927 5G 128GB</v>
      </c>
      <c r="C18" s="3" t="str">
        <f>'1. Master Data'!C18</f>
        <v>Smartphones</v>
      </c>
      <c r="D18" s="3" t="s">
        <v>1111</v>
      </c>
      <c r="E18" s="3" t="str">
        <f t="shared" si="0"/>
        <v>Seasonal Naive</v>
      </c>
      <c r="F18" s="3">
        <f>ROUND(AVERAGE('2. Demand History'!O18:Z18),1)</f>
        <v>9.3000000000000007</v>
      </c>
      <c r="G18" s="3">
        <f>ROUND(STDEV('2. Demand History'!O18:Z18),1)</f>
        <v>6.6</v>
      </c>
      <c r="H18" s="8">
        <f t="shared" si="1"/>
        <v>0.71</v>
      </c>
      <c r="I18" s="8">
        <f>ROUND(SUM('2. Demand History'!O18:Z18)/MAX(SUM('2. Demand History'!C18:N18),1),2)</f>
        <v>0.28000000000000003</v>
      </c>
      <c r="J18" s="5">
        <f>IF(D18="Yes",ROUND('2. Demand History'!O18*I18,0),ROUND(AVERAGE('2. Demand History'!X18:Z18),0))</f>
        <v>7</v>
      </c>
      <c r="K18" s="9">
        <f t="shared" si="2"/>
        <v>6.5359999999999996</v>
      </c>
      <c r="L18" s="10">
        <f>ROUND(ABS('2. Demand History'!U18-IF($D18="Yes",'2. Demand History'!I18,AVERAGE('2. Demand History'!R18:T18)))/MAX('2. Demand History'!U18,1),3)</f>
        <v>1.8</v>
      </c>
      <c r="M18" s="10">
        <f>ROUND(ABS('2. Demand History'!V18-IF($D18="Yes",'2. Demand History'!J18,AVERAGE('2. Demand History'!S18:U18)))/MAX('2. Demand History'!V18,1),3)</f>
        <v>3.25</v>
      </c>
      <c r="N18" s="10">
        <f>ROUND(ABS('2. Demand History'!W18-IF($D18="Yes",'2. Demand History'!K18,AVERAGE('2. Demand History'!T18:V18)))/MAX('2. Demand History'!W18,1),3)</f>
        <v>7.3330000000000002</v>
      </c>
      <c r="O18" s="10">
        <f>ROUND(ABS('2. Demand History'!X18-IF($D18="Yes",'2. Demand History'!L18,AVERAGE('2. Demand History'!U18:W18)))/MAX('2. Demand History'!X18,1),3)</f>
        <v>10.5</v>
      </c>
      <c r="P18" s="10">
        <f>ROUND(ABS('2. Demand History'!Y18-IF($D18="Yes",'2. Demand History'!M18,AVERAGE('2. Demand History'!V18:X18)))/MAX('2. Demand History'!Y18,1),3)</f>
        <v>5.3330000000000002</v>
      </c>
      <c r="Q18" s="10">
        <f>ROUND(ABS('2. Demand History'!Z18-IF($D18="Yes",'2. Demand History'!N18,AVERAGE('2. Demand History'!W18:Y18)))/MAX('2. Demand History'!Z18,1),3)</f>
        <v>11</v>
      </c>
    </row>
    <row r="19" spans="1:17" ht="15" customHeight="1" x14ac:dyDescent="0.2">
      <c r="A19" s="3" t="str">
        <f>'2. Demand History'!A19</f>
        <v>NT10015</v>
      </c>
      <c r="B19" s="1" t="str">
        <f>'2. Demand History'!B19</f>
        <v>Edge 805 5G 128GB</v>
      </c>
      <c r="C19" s="3" t="str">
        <f>'1. Master Data'!C19</f>
        <v>Smartphones</v>
      </c>
      <c r="D19" s="3" t="s">
        <v>1111</v>
      </c>
      <c r="E19" s="3" t="str">
        <f t="shared" si="0"/>
        <v>Seasonal Naive</v>
      </c>
      <c r="F19" s="3">
        <f>ROUND(AVERAGE('2. Demand History'!O19:Z19),1)</f>
        <v>50</v>
      </c>
      <c r="G19" s="3">
        <f>ROUND(STDEV('2. Demand History'!O19:Z19),1)</f>
        <v>14.7</v>
      </c>
      <c r="H19" s="8">
        <f t="shared" si="1"/>
        <v>0.28999999999999998</v>
      </c>
      <c r="I19" s="8">
        <f>ROUND(SUM('2. Demand History'!O19:Z19)/MAX(SUM('2. Demand History'!C19:N19),1),2)</f>
        <v>1.07</v>
      </c>
      <c r="J19" s="5">
        <f>IF(D19="Yes",ROUND('2. Demand History'!O19*I19,0),ROUND(AVERAGE('2. Demand History'!X19:Z19),0))</f>
        <v>46</v>
      </c>
      <c r="K19" s="9">
        <f t="shared" si="2"/>
        <v>9.2999999999999999E-2</v>
      </c>
      <c r="L19" s="10">
        <f>ROUND(ABS('2. Demand History'!U19-IF($D19="Yes",'2. Demand History'!I19,AVERAGE('2. Demand History'!R19:T19)))/MAX('2. Demand History'!U19,1),3)</f>
        <v>0.113</v>
      </c>
      <c r="M19" s="10">
        <f>ROUND(ABS('2. Demand History'!V19-IF($D19="Yes",'2. Demand History'!J19,AVERAGE('2. Demand History'!S19:U19)))/MAX('2. Demand History'!V19,1),3)</f>
        <v>6.7000000000000004E-2</v>
      </c>
      <c r="N19" s="10">
        <f>ROUND(ABS('2. Demand History'!W19-IF($D19="Yes",'2. Demand History'!K19,AVERAGE('2. Demand History'!T19:V19)))/MAX('2. Demand History'!W19,1),3)</f>
        <v>0</v>
      </c>
      <c r="O19" s="10">
        <f>ROUND(ABS('2. Demand History'!X19-IF($D19="Yes",'2. Demand History'!L19,AVERAGE('2. Demand History'!U19:W19)))/MAX('2. Demand History'!X19,1),3)</f>
        <v>0.157</v>
      </c>
      <c r="P19" s="10">
        <f>ROUND(ABS('2. Demand History'!Y19-IF($D19="Yes",'2. Demand History'!M19,AVERAGE('2. Demand History'!V19:X19)))/MAX('2. Demand History'!Y19,1),3)</f>
        <v>7.0000000000000007E-2</v>
      </c>
      <c r="Q19" s="10">
        <f>ROUND(ABS('2. Demand History'!Z19-IF($D19="Yes",'2. Demand History'!N19,AVERAGE('2. Demand History'!W19:Y19)))/MAX('2. Demand History'!Z19,1),3)</f>
        <v>0.153</v>
      </c>
    </row>
    <row r="20" spans="1:17" ht="15" customHeight="1" x14ac:dyDescent="0.2">
      <c r="A20" s="3" t="str">
        <f>'2. Demand History'!A20</f>
        <v>NT10016</v>
      </c>
      <c r="B20" s="1" t="str">
        <f>'2. Demand History'!B20</f>
        <v>Nova Lite 610 64GB</v>
      </c>
      <c r="C20" s="3" t="str">
        <f>'1. Master Data'!C20</f>
        <v>Smartphones</v>
      </c>
      <c r="D20" s="3" t="s">
        <v>1111</v>
      </c>
      <c r="E20" s="3" t="str">
        <f t="shared" si="0"/>
        <v>Seasonal Naive</v>
      </c>
      <c r="F20" s="3">
        <f>ROUND(AVERAGE('2. Demand History'!O20:Z20),1)</f>
        <v>109.5</v>
      </c>
      <c r="G20" s="3">
        <f>ROUND(STDEV('2. Demand History'!O20:Z20),1)</f>
        <v>25.8</v>
      </c>
      <c r="H20" s="8">
        <f t="shared" si="1"/>
        <v>0.24</v>
      </c>
      <c r="I20" s="8">
        <f>ROUND(SUM('2. Demand History'!O20:Z20)/MAX(SUM('2. Demand History'!C20:N20),1),2)</f>
        <v>0.96</v>
      </c>
      <c r="J20" s="5">
        <f>IF(D20="Yes",ROUND('2. Demand History'!O20*I20,0),ROUND(AVERAGE('2. Demand History'!X20:Z20),0))</f>
        <v>116</v>
      </c>
      <c r="K20" s="9">
        <f t="shared" si="2"/>
        <v>0.112</v>
      </c>
      <c r="L20" s="10">
        <f>ROUND(ABS('2. Demand History'!U20-IF($D20="Yes",'2. Demand History'!I20,AVERAGE('2. Demand History'!R20:T20)))/MAX('2. Demand History'!U20,1),3)</f>
        <v>0.16</v>
      </c>
      <c r="M20" s="10">
        <f>ROUND(ABS('2. Demand History'!V20-IF($D20="Yes",'2. Demand History'!J20,AVERAGE('2. Demand History'!S20:U20)))/MAX('2. Demand History'!V20,1),3)</f>
        <v>0.19700000000000001</v>
      </c>
      <c r="N20" s="10">
        <f>ROUND(ABS('2. Demand History'!W20-IF($D20="Yes",'2. Demand History'!K20,AVERAGE('2. Demand History'!T20:V20)))/MAX('2. Demand History'!W20,1),3)</f>
        <v>0.24099999999999999</v>
      </c>
      <c r="O20" s="10">
        <f>ROUND(ABS('2. Demand History'!X20-IF($D20="Yes",'2. Demand History'!L20,AVERAGE('2. Demand History'!U20:W20)))/MAX('2. Demand History'!X20,1),3)</f>
        <v>4.9000000000000002E-2</v>
      </c>
      <c r="P20" s="10">
        <f>ROUND(ABS('2. Demand History'!Y20-IF($D20="Yes",'2. Demand History'!M20,AVERAGE('2. Demand History'!V20:X20)))/MAX('2. Demand History'!Y20,1),3)</f>
        <v>0</v>
      </c>
      <c r="Q20" s="10">
        <f>ROUND(ABS('2. Demand History'!Z20-IF($D20="Yes",'2. Demand History'!N20,AVERAGE('2. Demand History'!W20:Y20)))/MAX('2. Demand History'!Z20,1),3)</f>
        <v>2.4E-2</v>
      </c>
    </row>
    <row r="21" spans="1:17" ht="15" customHeight="1" x14ac:dyDescent="0.2">
      <c r="A21" s="3" t="str">
        <f>'2. Demand History'!A21</f>
        <v>NT10017</v>
      </c>
      <c r="B21" s="1" t="str">
        <f>'2. Demand History'!B21</f>
        <v>Nova X194 128GB</v>
      </c>
      <c r="C21" s="3" t="str">
        <f>'1. Master Data'!C21</f>
        <v>Smartphones</v>
      </c>
      <c r="D21" s="3" t="s">
        <v>1111</v>
      </c>
      <c r="E21" s="3" t="str">
        <f t="shared" si="0"/>
        <v>Seasonal Naive</v>
      </c>
      <c r="F21" s="3">
        <f>ROUND(AVERAGE('2. Demand History'!O21:Z21),1)</f>
        <v>35.799999999999997</v>
      </c>
      <c r="G21" s="3">
        <f>ROUND(STDEV('2. Demand History'!O21:Z21),1)</f>
        <v>13.9</v>
      </c>
      <c r="H21" s="8">
        <f t="shared" si="1"/>
        <v>0.39</v>
      </c>
      <c r="I21" s="8">
        <f>ROUND(SUM('2. Demand History'!O21:Z21)/MAX(SUM('2. Demand History'!C21:N21),1),2)</f>
        <v>1.03</v>
      </c>
      <c r="J21" s="5">
        <f>IF(D21="Yes",ROUND('2. Demand History'!O21*I21,0),ROUND(AVERAGE('2. Demand History'!X21:Z21),0))</f>
        <v>25</v>
      </c>
      <c r="K21" s="9">
        <f t="shared" si="2"/>
        <v>7.0000000000000007E-2</v>
      </c>
      <c r="L21" s="10">
        <f>ROUND(ABS('2. Demand History'!U21-IF($D21="Yes",'2. Demand History'!I21,AVERAGE('2. Demand History'!R21:T21)))/MAX('2. Demand History'!U21,1),3)</f>
        <v>8.3000000000000004E-2</v>
      </c>
      <c r="M21" s="10">
        <f>ROUND(ABS('2. Demand History'!V21-IF($D21="Yes",'2. Demand History'!J21,AVERAGE('2. Demand History'!S21:U21)))/MAX('2. Demand History'!V21,1),3)</f>
        <v>4.2000000000000003E-2</v>
      </c>
      <c r="N21" s="10">
        <f>ROUND(ABS('2. Demand History'!W21-IF($D21="Yes",'2. Demand History'!K21,AVERAGE('2. Demand History'!T21:V21)))/MAX('2. Demand History'!W21,1),3)</f>
        <v>3.3000000000000002E-2</v>
      </c>
      <c r="O21" s="10">
        <f>ROUND(ABS('2. Demand History'!X21-IF($D21="Yes",'2. Demand History'!L21,AVERAGE('2. Demand History'!U21:W21)))/MAX('2. Demand History'!X21,1),3)</f>
        <v>0.23100000000000001</v>
      </c>
      <c r="P21" s="10">
        <f>ROUND(ABS('2. Demand History'!Y21-IF($D21="Yes",'2. Demand History'!M21,AVERAGE('2. Demand History'!V21:X21)))/MAX('2. Demand History'!Y21,1),3)</f>
        <v>3.3000000000000002E-2</v>
      </c>
      <c r="Q21" s="10">
        <f>ROUND(ABS('2. Demand History'!Z21-IF($D21="Yes",'2. Demand History'!N21,AVERAGE('2. Demand History'!W21:Y21)))/MAX('2. Demand History'!Z21,1),3)</f>
        <v>0</v>
      </c>
    </row>
    <row r="22" spans="1:17" ht="15" customHeight="1" x14ac:dyDescent="0.2">
      <c r="A22" s="3" t="str">
        <f>'2. Demand History'!A22</f>
        <v>NT10018</v>
      </c>
      <c r="B22" s="1" t="str">
        <f>'2. Demand History'!B22</f>
        <v>Nova X223 Pro 256GB</v>
      </c>
      <c r="C22" s="3" t="str">
        <f>'1. Master Data'!C22</f>
        <v>Smartphones</v>
      </c>
      <c r="D22" s="3" t="s">
        <v>1111</v>
      </c>
      <c r="E22" s="3" t="str">
        <f t="shared" si="0"/>
        <v>Seasonal Naive</v>
      </c>
      <c r="F22" s="3">
        <f>ROUND(AVERAGE('2. Demand History'!O22:Z22),1)</f>
        <v>144.9</v>
      </c>
      <c r="G22" s="3">
        <f>ROUND(STDEV('2. Demand History'!O22:Z22),1)</f>
        <v>39.9</v>
      </c>
      <c r="H22" s="8">
        <f t="shared" si="1"/>
        <v>0.28000000000000003</v>
      </c>
      <c r="I22" s="8">
        <f>ROUND(SUM('2. Demand History'!O22:Z22)/MAX(SUM('2. Demand History'!C22:N22),1),2)</f>
        <v>1.1000000000000001</v>
      </c>
      <c r="J22" s="5">
        <f>IF(D22="Yes",ROUND('2. Demand History'!O22*I22,0),ROUND(AVERAGE('2. Demand History'!X22:Z22),0))</f>
        <v>151</v>
      </c>
      <c r="K22" s="9">
        <f t="shared" si="2"/>
        <v>9.9000000000000005E-2</v>
      </c>
      <c r="L22" s="10">
        <f>ROUND(ABS('2. Demand History'!U22-IF($D22="Yes",'2. Demand History'!I22,AVERAGE('2. Demand History'!R22:T22)))/MAX('2. Demand History'!U22,1),3)</f>
        <v>2.1999999999999999E-2</v>
      </c>
      <c r="M22" s="10">
        <f>ROUND(ABS('2. Demand History'!V22-IF($D22="Yes",'2. Demand History'!J22,AVERAGE('2. Demand History'!S22:U22)))/MAX('2. Demand History'!V22,1),3)</f>
        <v>1.0999999999999999E-2</v>
      </c>
      <c r="N22" s="10">
        <f>ROUND(ABS('2. Demand History'!W22-IF($D22="Yes",'2. Demand History'!K22,AVERAGE('2. Demand History'!T22:V22)))/MAX('2. Demand History'!W22,1),3)</f>
        <v>9.2999999999999999E-2</v>
      </c>
      <c r="O22" s="10">
        <f>ROUND(ABS('2. Demand History'!X22-IF($D22="Yes",'2. Demand History'!L22,AVERAGE('2. Demand History'!U22:W22)))/MAX('2. Demand History'!X22,1),3)</f>
        <v>0.113</v>
      </c>
      <c r="P22" s="10">
        <f>ROUND(ABS('2. Demand History'!Y22-IF($D22="Yes",'2. Demand History'!M22,AVERAGE('2. Demand History'!V22:X22)))/MAX('2. Demand History'!Y22,1),3)</f>
        <v>1.7000000000000001E-2</v>
      </c>
      <c r="Q22" s="10">
        <f>ROUND(ABS('2. Demand History'!Z22-IF($D22="Yes",'2. Demand History'!N22,AVERAGE('2. Demand History'!W22:Y22)))/MAX('2. Demand History'!Z22,1),3)</f>
        <v>0.33500000000000002</v>
      </c>
    </row>
    <row r="23" spans="1:17" ht="15" customHeight="1" x14ac:dyDescent="0.2">
      <c r="A23" s="3" t="str">
        <f>'2. Demand History'!A23</f>
        <v>NT10019</v>
      </c>
      <c r="B23" s="1" t="str">
        <f>'2. Demand History'!B23</f>
        <v>Nova Lite 258 64GB</v>
      </c>
      <c r="C23" s="3" t="str">
        <f>'1. Master Data'!C23</f>
        <v>Smartphones</v>
      </c>
      <c r="D23" s="3" t="s">
        <v>1111</v>
      </c>
      <c r="E23" s="3" t="str">
        <f t="shared" si="0"/>
        <v>Seasonal Naive</v>
      </c>
      <c r="F23" s="3">
        <f>ROUND(AVERAGE('2. Demand History'!O23:Z23),1)</f>
        <v>48.1</v>
      </c>
      <c r="G23" s="3">
        <f>ROUND(STDEV('2. Demand History'!O23:Z23),1)</f>
        <v>16.399999999999999</v>
      </c>
      <c r="H23" s="8">
        <f t="shared" si="1"/>
        <v>0.34</v>
      </c>
      <c r="I23" s="8">
        <f>ROUND(SUM('2. Demand History'!O23:Z23)/MAX(SUM('2. Demand History'!C23:N23),1),2)</f>
        <v>1.1000000000000001</v>
      </c>
      <c r="J23" s="5">
        <f>IF(D23="Yes",ROUND('2. Demand History'!O23*I23,0),ROUND(AVERAGE('2. Demand History'!X23:Z23),0))</f>
        <v>51</v>
      </c>
      <c r="K23" s="9">
        <f t="shared" si="2"/>
        <v>0.17599999999999999</v>
      </c>
      <c r="L23" s="10">
        <f>ROUND(ABS('2. Demand History'!U23-IF($D23="Yes",'2. Demand History'!I23,AVERAGE('2. Demand History'!R23:T23)))/MAX('2. Demand History'!U23,1),3)</f>
        <v>0.255</v>
      </c>
      <c r="M23" s="10">
        <f>ROUND(ABS('2. Demand History'!V23-IF($D23="Yes",'2. Demand History'!J23,AVERAGE('2. Demand History'!S23:U23)))/MAX('2. Demand History'!V23,1),3)</f>
        <v>0.13900000000000001</v>
      </c>
      <c r="N23" s="10">
        <f>ROUND(ABS('2. Demand History'!W23-IF($D23="Yes",'2. Demand History'!K23,AVERAGE('2. Demand History'!T23:V23)))/MAX('2. Demand History'!W23,1),3)</f>
        <v>0</v>
      </c>
      <c r="O23" s="10">
        <f>ROUND(ABS('2. Demand History'!X23-IF($D23="Yes",'2. Demand History'!L23,AVERAGE('2. Demand History'!U23:W23)))/MAX('2. Demand History'!X23,1),3)</f>
        <v>0.192</v>
      </c>
      <c r="P23" s="10">
        <f>ROUND(ABS('2. Demand History'!Y23-IF($D23="Yes",'2. Demand History'!M23,AVERAGE('2. Demand History'!V23:X23)))/MAX('2. Demand History'!Y23,1),3)</f>
        <v>0.308</v>
      </c>
      <c r="Q23" s="10">
        <f>ROUND(ABS('2. Demand History'!Z23-IF($D23="Yes",'2. Demand History'!N23,AVERAGE('2. Demand History'!W23:Y23)))/MAX('2. Demand History'!Z23,1),3)</f>
        <v>0.16200000000000001</v>
      </c>
    </row>
    <row r="24" spans="1:17" ht="15" customHeight="1" x14ac:dyDescent="0.2">
      <c r="A24" s="3" t="str">
        <f>'2. Demand History'!A24</f>
        <v>NT10020</v>
      </c>
      <c r="B24" s="1" t="str">
        <f>'2. Demand History'!B24</f>
        <v>Nova X658 Pro 256GB</v>
      </c>
      <c r="C24" s="3" t="str">
        <f>'1. Master Data'!C24</f>
        <v>Smartphones</v>
      </c>
      <c r="D24" s="3" t="s">
        <v>1111</v>
      </c>
      <c r="E24" s="3" t="str">
        <f t="shared" si="0"/>
        <v>Seasonal Naive</v>
      </c>
      <c r="F24" s="3">
        <f>ROUND(AVERAGE('2. Demand History'!O24:Z24),1)</f>
        <v>39.299999999999997</v>
      </c>
      <c r="G24" s="3">
        <f>ROUND(STDEV('2. Demand History'!O24:Z24),1)</f>
        <v>13.7</v>
      </c>
      <c r="H24" s="8">
        <f t="shared" si="1"/>
        <v>0.35</v>
      </c>
      <c r="I24" s="8">
        <f>ROUND(SUM('2. Demand History'!O24:Z24)/MAX(SUM('2. Demand History'!C24:N24),1),2)</f>
        <v>1.08</v>
      </c>
      <c r="J24" s="5">
        <f>IF(D24="Yes",ROUND('2. Demand History'!O24*I24,0),ROUND(AVERAGE('2. Demand History'!X24:Z24),0))</f>
        <v>37</v>
      </c>
      <c r="K24" s="9">
        <f t="shared" si="2"/>
        <v>0.15</v>
      </c>
      <c r="L24" s="10">
        <f>ROUND(ABS('2. Demand History'!U24-IF($D24="Yes",'2. Demand History'!I24,AVERAGE('2. Demand History'!R24:T24)))/MAX('2. Demand History'!U24,1),3)</f>
        <v>0.247</v>
      </c>
      <c r="M24" s="10">
        <f>ROUND(ABS('2. Demand History'!V24-IF($D24="Yes",'2. Demand History'!J24,AVERAGE('2. Demand History'!S24:U24)))/MAX('2. Demand History'!V24,1),3)</f>
        <v>0.17899999999999999</v>
      </c>
      <c r="N24" s="10">
        <f>ROUND(ABS('2. Demand History'!W24-IF($D24="Yes",'2. Demand History'!K24,AVERAGE('2. Demand History'!T24:V24)))/MAX('2. Demand History'!W24,1),3)</f>
        <v>0.20799999999999999</v>
      </c>
      <c r="O24" s="10">
        <f>ROUND(ABS('2. Demand History'!X24-IF($D24="Yes",'2. Demand History'!L24,AVERAGE('2. Demand History'!U24:W24)))/MAX('2. Demand History'!X24,1),3)</f>
        <v>6.3E-2</v>
      </c>
      <c r="P24" s="10">
        <f>ROUND(ABS('2. Demand History'!Y24-IF($D24="Yes",'2. Demand History'!M24,AVERAGE('2. Demand History'!V24:X24)))/MAX('2. Demand History'!Y24,1),3)</f>
        <v>2.5999999999999999E-2</v>
      </c>
      <c r="Q24" s="10">
        <f>ROUND(ABS('2. Demand History'!Z24-IF($D24="Yes",'2. Demand History'!N24,AVERAGE('2. Demand History'!W24:Y24)))/MAX('2. Demand History'!Z24,1),3)</f>
        <v>0.17899999999999999</v>
      </c>
    </row>
    <row r="25" spans="1:17" ht="15" customHeight="1" x14ac:dyDescent="0.2">
      <c r="A25" s="3" t="str">
        <f>'2. Demand History'!A25</f>
        <v>NT10021</v>
      </c>
      <c r="B25" s="1" t="str">
        <f>'2. Demand History'!B25</f>
        <v>Pulse 397 Dual SIM</v>
      </c>
      <c r="C25" s="3" t="str">
        <f>'1. Master Data'!C25</f>
        <v>Smartphones</v>
      </c>
      <c r="D25" s="3" t="s">
        <v>1111</v>
      </c>
      <c r="E25" s="3" t="str">
        <f t="shared" si="0"/>
        <v>Seasonal Naive</v>
      </c>
      <c r="F25" s="3">
        <f>ROUND(AVERAGE('2. Demand History'!O25:Z25),1)</f>
        <v>67.8</v>
      </c>
      <c r="G25" s="3">
        <f>ROUND(STDEV('2. Demand History'!O25:Z25),1)</f>
        <v>22.2</v>
      </c>
      <c r="H25" s="8">
        <f t="shared" si="1"/>
        <v>0.33</v>
      </c>
      <c r="I25" s="8">
        <f>ROUND(SUM('2. Demand History'!O25:Z25)/MAX(SUM('2. Demand History'!C25:N25),1),2)</f>
        <v>1.02</v>
      </c>
      <c r="J25" s="5">
        <f>IF(D25="Yes",ROUND('2. Demand History'!O25*I25,0),ROUND(AVERAGE('2. Demand History'!X25:Z25),0))</f>
        <v>58</v>
      </c>
      <c r="K25" s="9">
        <f t="shared" si="2"/>
        <v>0.14699999999999999</v>
      </c>
      <c r="L25" s="10">
        <f>ROUND(ABS('2. Demand History'!U25-IF($D25="Yes",'2. Demand History'!I25,AVERAGE('2. Demand History'!R25:T25)))/MAX('2. Demand History'!U25,1),3)</f>
        <v>0.109</v>
      </c>
      <c r="M25" s="10">
        <f>ROUND(ABS('2. Demand History'!V25-IF($D25="Yes",'2. Demand History'!J25,AVERAGE('2. Demand History'!S25:U25)))/MAX('2. Demand History'!V25,1),3)</f>
        <v>4.2999999999999997E-2</v>
      </c>
      <c r="N25" s="10">
        <f>ROUND(ABS('2. Demand History'!W25-IF($D25="Yes",'2. Demand History'!K25,AVERAGE('2. Demand History'!T25:V25)))/MAX('2. Demand History'!W25,1),3)</f>
        <v>8.2000000000000003E-2</v>
      </c>
      <c r="O25" s="10">
        <f>ROUND(ABS('2. Demand History'!X25-IF($D25="Yes",'2. Demand History'!L25,AVERAGE('2. Demand History'!U25:W25)))/MAX('2. Demand History'!X25,1),3)</f>
        <v>0.29399999999999998</v>
      </c>
      <c r="P25" s="10">
        <f>ROUND(ABS('2. Demand History'!Y25-IF($D25="Yes",'2. Demand History'!M25,AVERAGE('2. Demand History'!V25:X25)))/MAX('2. Demand History'!Y25,1),3)</f>
        <v>0.13600000000000001</v>
      </c>
      <c r="Q25" s="10">
        <f>ROUND(ABS('2. Demand History'!Z25-IF($D25="Yes",'2. Demand History'!N25,AVERAGE('2. Demand History'!W25:Y25)))/MAX('2. Demand History'!Z25,1),3)</f>
        <v>0.217</v>
      </c>
    </row>
    <row r="26" spans="1:17" ht="15" customHeight="1" x14ac:dyDescent="0.2">
      <c r="A26" s="3" t="str">
        <f>'2. Demand History'!A26</f>
        <v>NT10022</v>
      </c>
      <c r="B26" s="1" t="str">
        <f>'2. Demand History'!B26</f>
        <v>Pulse 521 Dual SIM</v>
      </c>
      <c r="C26" s="3" t="str">
        <f>'1. Master Data'!C26</f>
        <v>Smartphones</v>
      </c>
      <c r="D26" s="3" t="s">
        <v>1111</v>
      </c>
      <c r="E26" s="3" t="str">
        <f t="shared" si="0"/>
        <v>Seasonal Naive</v>
      </c>
      <c r="F26" s="3">
        <f>ROUND(AVERAGE('2. Demand History'!O26:Z26),1)</f>
        <v>118.1</v>
      </c>
      <c r="G26" s="3">
        <f>ROUND(STDEV('2. Demand History'!O26:Z26),1)</f>
        <v>36.700000000000003</v>
      </c>
      <c r="H26" s="8">
        <f t="shared" si="1"/>
        <v>0.31</v>
      </c>
      <c r="I26" s="8">
        <f>ROUND(SUM('2. Demand History'!O26:Z26)/MAX(SUM('2. Demand History'!C26:N26),1),2)</f>
        <v>1.07</v>
      </c>
      <c r="J26" s="5">
        <f>IF(D26="Yes",ROUND('2. Demand History'!O26*I26,0),ROUND(AVERAGE('2. Demand History'!X26:Z26),0))</f>
        <v>121</v>
      </c>
      <c r="K26" s="9">
        <f t="shared" si="2"/>
        <v>0.121</v>
      </c>
      <c r="L26" s="10">
        <f>ROUND(ABS('2. Demand History'!U26-IF($D26="Yes",'2. Demand History'!I26,AVERAGE('2. Demand History'!R26:T26)))/MAX('2. Demand History'!U26,1),3)</f>
        <v>0.19500000000000001</v>
      </c>
      <c r="M26" s="10">
        <f>ROUND(ABS('2. Demand History'!V26-IF($D26="Yes",'2. Demand History'!J26,AVERAGE('2. Demand History'!S26:U26)))/MAX('2. Demand History'!V26,1),3)</f>
        <v>4.4999999999999998E-2</v>
      </c>
      <c r="N26" s="10">
        <f>ROUND(ABS('2. Demand History'!W26-IF($D26="Yes",'2. Demand History'!K26,AVERAGE('2. Demand History'!T26:V26)))/MAX('2. Demand History'!W26,1),3)</f>
        <v>3.2000000000000001E-2</v>
      </c>
      <c r="O26" s="10">
        <f>ROUND(ABS('2. Demand History'!X26-IF($D26="Yes",'2. Demand History'!L26,AVERAGE('2. Demand History'!U26:W26)))/MAX('2. Demand History'!X26,1),3)</f>
        <v>0.17100000000000001</v>
      </c>
      <c r="P26" s="10">
        <f>ROUND(ABS('2. Demand History'!Y26-IF($D26="Yes",'2. Demand History'!M26,AVERAGE('2. Demand History'!V26:X26)))/MAX('2. Demand History'!Y26,1),3)</f>
        <v>0.11799999999999999</v>
      </c>
      <c r="Q26" s="10">
        <f>ROUND(ABS('2. Demand History'!Z26-IF($D26="Yes",'2. Demand History'!N26,AVERAGE('2. Demand History'!W26:Y26)))/MAX('2. Demand History'!Z26,1),3)</f>
        <v>0.16300000000000001</v>
      </c>
    </row>
    <row r="27" spans="1:17" ht="15" customHeight="1" x14ac:dyDescent="0.2">
      <c r="A27" s="3" t="str">
        <f>'2. Demand History'!A27</f>
        <v>NT10023</v>
      </c>
      <c r="B27" s="1" t="str">
        <f>'2. Demand History'!B27</f>
        <v>Edge 175 5G 128GB</v>
      </c>
      <c r="C27" s="3" t="str">
        <f>'1. Master Data'!C27</f>
        <v>Smartphones</v>
      </c>
      <c r="D27" s="3" t="s">
        <v>1111</v>
      </c>
      <c r="E27" s="3" t="str">
        <f t="shared" si="0"/>
        <v>Seasonal Naive</v>
      </c>
      <c r="F27" s="3">
        <f>ROUND(AVERAGE('2. Demand History'!O27:Z27),1)</f>
        <v>29.2</v>
      </c>
      <c r="G27" s="3">
        <f>ROUND(STDEV('2. Demand History'!O27:Z27),1)</f>
        <v>9.5</v>
      </c>
      <c r="H27" s="8">
        <f t="shared" si="1"/>
        <v>0.33</v>
      </c>
      <c r="I27" s="8">
        <f>ROUND(SUM('2. Demand History'!O27:Z27)/MAX(SUM('2. Demand History'!C27:N27),1),2)</f>
        <v>1.1200000000000001</v>
      </c>
      <c r="J27" s="5">
        <f>IF(D27="Yes",ROUND('2. Demand History'!O27*I27,0),ROUND(AVERAGE('2. Demand History'!X27:Z27),0))</f>
        <v>32</v>
      </c>
      <c r="K27" s="9">
        <f t="shared" si="2"/>
        <v>0.121</v>
      </c>
      <c r="L27" s="10">
        <f>ROUND(ABS('2. Demand History'!U27-IF($D27="Yes",'2. Demand History'!I27,AVERAGE('2. Demand History'!R27:T27)))/MAX('2. Demand History'!U27,1),3)</f>
        <v>0.25</v>
      </c>
      <c r="M27" s="10">
        <f>ROUND(ABS('2. Demand History'!V27-IF($D27="Yes",'2. Demand History'!J27,AVERAGE('2. Demand History'!S27:U27)))/MAX('2. Demand History'!V27,1),3)</f>
        <v>0.105</v>
      </c>
      <c r="N27" s="10">
        <f>ROUND(ABS('2. Demand History'!W27-IF($D27="Yes",'2. Demand History'!K27,AVERAGE('2. Demand History'!T27:V27)))/MAX('2. Demand History'!W27,1),3)</f>
        <v>0</v>
      </c>
      <c r="O27" s="10">
        <f>ROUND(ABS('2. Demand History'!X27-IF($D27="Yes",'2. Demand History'!L27,AVERAGE('2. Demand History'!U27:W27)))/MAX('2. Demand History'!X27,1),3)</f>
        <v>0.14299999999999999</v>
      </c>
      <c r="P27" s="10">
        <f>ROUND(ABS('2. Demand History'!Y27-IF($D27="Yes",'2. Demand History'!M27,AVERAGE('2. Demand History'!V27:X27)))/MAX('2. Demand History'!Y27,1),3)</f>
        <v>0</v>
      </c>
      <c r="Q27" s="10">
        <f>ROUND(ABS('2. Demand History'!Z27-IF($D27="Yes",'2. Demand History'!N27,AVERAGE('2. Demand History'!W27:Y27)))/MAX('2. Demand History'!Z27,1),3)</f>
        <v>0.22600000000000001</v>
      </c>
    </row>
    <row r="28" spans="1:17" ht="15" customHeight="1" x14ac:dyDescent="0.2">
      <c r="A28" s="3" t="str">
        <f>'2. Demand History'!A28</f>
        <v>NT10024</v>
      </c>
      <c r="B28" s="1" t="str">
        <f>'2. Demand History'!B28</f>
        <v>Nova Lite 799 64GB</v>
      </c>
      <c r="C28" s="3" t="str">
        <f>'1. Master Data'!C28</f>
        <v>Smartphones</v>
      </c>
      <c r="D28" s="3" t="s">
        <v>1111</v>
      </c>
      <c r="E28" s="3" t="str">
        <f t="shared" si="0"/>
        <v>Seasonal Naive</v>
      </c>
      <c r="F28" s="3">
        <f>ROUND(AVERAGE('2. Demand History'!O28:Z28),1)</f>
        <v>132.30000000000001</v>
      </c>
      <c r="G28" s="3">
        <f>ROUND(STDEV('2. Demand History'!O28:Z28),1)</f>
        <v>39.799999999999997</v>
      </c>
      <c r="H28" s="8">
        <f t="shared" si="1"/>
        <v>0.3</v>
      </c>
      <c r="I28" s="8">
        <f>ROUND(SUM('2. Demand History'!O28:Z28)/MAX(SUM('2. Demand History'!C28:N28),1),2)</f>
        <v>1.05</v>
      </c>
      <c r="J28" s="5">
        <f>IF(D28="Yes",ROUND('2. Demand History'!O28*I28,0),ROUND(AVERAGE('2. Demand History'!X28:Z28),0))</f>
        <v>117</v>
      </c>
      <c r="K28" s="9">
        <f t="shared" si="2"/>
        <v>6.0999999999999999E-2</v>
      </c>
      <c r="L28" s="10">
        <f>ROUND(ABS('2. Demand History'!U28-IF($D28="Yes",'2. Demand History'!I28,AVERAGE('2. Demand History'!R28:T28)))/MAX('2. Demand History'!U28,1),3)</f>
        <v>0.13200000000000001</v>
      </c>
      <c r="M28" s="10">
        <f>ROUND(ABS('2. Demand History'!V28-IF($D28="Yes",'2. Demand History'!J28,AVERAGE('2. Demand History'!S28:U28)))/MAX('2. Demand History'!V28,1),3)</f>
        <v>9.8000000000000004E-2</v>
      </c>
      <c r="N28" s="10">
        <f>ROUND(ABS('2. Demand History'!W28-IF($D28="Yes",'2. Demand History'!K28,AVERAGE('2. Demand History'!T28:V28)))/MAX('2. Demand History'!W28,1),3)</f>
        <v>6.7000000000000004E-2</v>
      </c>
      <c r="O28" s="10">
        <f>ROUND(ABS('2. Demand History'!X28-IF($D28="Yes",'2. Demand History'!L28,AVERAGE('2. Demand History'!U28:W28)))/MAX('2. Demand History'!X28,1),3)</f>
        <v>1.7999999999999999E-2</v>
      </c>
      <c r="P28" s="10">
        <f>ROUND(ABS('2. Demand History'!Y28-IF($D28="Yes",'2. Demand History'!M28,AVERAGE('2. Demand History'!V28:X28)))/MAX('2. Demand History'!Y28,1),3)</f>
        <v>3.1E-2</v>
      </c>
      <c r="Q28" s="10">
        <f>ROUND(ABS('2. Demand History'!Z28-IF($D28="Yes",'2. Demand History'!N28,AVERAGE('2. Demand History'!W28:Y28)))/MAX('2. Demand History'!Z28,1),3)</f>
        <v>1.7000000000000001E-2</v>
      </c>
    </row>
    <row r="29" spans="1:17" ht="15" customHeight="1" x14ac:dyDescent="0.2">
      <c r="A29" s="3" t="str">
        <f>'2. Demand History'!A29</f>
        <v>NT10025</v>
      </c>
      <c r="B29" s="1" t="str">
        <f>'2. Demand History'!B29</f>
        <v>Pulse 733 Dual SIM</v>
      </c>
      <c r="C29" s="3" t="str">
        <f>'1. Master Data'!C29</f>
        <v>Smartphones</v>
      </c>
      <c r="D29" s="3" t="s">
        <v>1111</v>
      </c>
      <c r="E29" s="3" t="str">
        <f t="shared" si="0"/>
        <v>Seasonal Naive</v>
      </c>
      <c r="F29" s="3">
        <f>ROUND(AVERAGE('2. Demand History'!O29:Z29),1)</f>
        <v>88.8</v>
      </c>
      <c r="G29" s="3">
        <f>ROUND(STDEV('2. Demand History'!O29:Z29),1)</f>
        <v>22.9</v>
      </c>
      <c r="H29" s="8">
        <f t="shared" si="1"/>
        <v>0.26</v>
      </c>
      <c r="I29" s="8">
        <f>ROUND(SUM('2. Demand History'!O29:Z29)/MAX(SUM('2. Demand History'!C29:N29),1),2)</f>
        <v>1.1000000000000001</v>
      </c>
      <c r="J29" s="5">
        <f>IF(D29="Yes",ROUND('2. Demand History'!O29*I29,0),ROUND(AVERAGE('2. Demand History'!X29:Z29),0))</f>
        <v>88</v>
      </c>
      <c r="K29" s="9">
        <f t="shared" si="2"/>
        <v>0.13600000000000001</v>
      </c>
      <c r="L29" s="10">
        <f>ROUND(ABS('2. Demand History'!U29-IF($D29="Yes",'2. Demand History'!I29,AVERAGE('2. Demand History'!R29:T29)))/MAX('2. Demand History'!U29,1),3)</f>
        <v>4.1000000000000002E-2</v>
      </c>
      <c r="M29" s="10">
        <f>ROUND(ABS('2. Demand History'!V29-IF($D29="Yes",'2. Demand History'!J29,AVERAGE('2. Demand History'!S29:U29)))/MAX('2. Demand History'!V29,1),3)</f>
        <v>0.25700000000000001</v>
      </c>
      <c r="N29" s="10">
        <f>ROUND(ABS('2. Demand History'!W29-IF($D29="Yes",'2. Demand History'!K29,AVERAGE('2. Demand History'!T29:V29)))/MAX('2. Demand History'!W29,1),3)</f>
        <v>0.13200000000000001</v>
      </c>
      <c r="O29" s="10">
        <f>ROUND(ABS('2. Demand History'!X29-IF($D29="Yes",'2. Demand History'!L29,AVERAGE('2. Demand History'!U29:W29)))/MAX('2. Demand History'!X29,1),3)</f>
        <v>3.6999999999999998E-2</v>
      </c>
      <c r="P29" s="10">
        <f>ROUND(ABS('2. Demand History'!Y29-IF($D29="Yes",'2. Demand History'!M29,AVERAGE('2. Demand History'!V29:X29)))/MAX('2. Demand History'!Y29,1),3)</f>
        <v>0.12</v>
      </c>
      <c r="Q29" s="10">
        <f>ROUND(ABS('2. Demand History'!Z29-IF($D29="Yes",'2. Demand History'!N29,AVERAGE('2. Demand History'!W29:Y29)))/MAX('2. Demand History'!Z29,1),3)</f>
        <v>0.22800000000000001</v>
      </c>
    </row>
    <row r="30" spans="1:17" ht="15" customHeight="1" x14ac:dyDescent="0.2">
      <c r="A30" s="3" t="str">
        <f>'2. Demand History'!A30</f>
        <v>NT10026</v>
      </c>
      <c r="B30" s="1" t="str">
        <f>'2. Demand History'!B30</f>
        <v>Edge 712 5G 128GB</v>
      </c>
      <c r="C30" s="3" t="str">
        <f>'1. Master Data'!C30</f>
        <v>Smartphones</v>
      </c>
      <c r="D30" s="3" t="s">
        <v>1111</v>
      </c>
      <c r="E30" s="3" t="str">
        <f t="shared" si="0"/>
        <v>Seasonal Naive</v>
      </c>
      <c r="F30" s="3">
        <f>ROUND(AVERAGE('2. Demand History'!O30:Z30),1)</f>
        <v>567.29999999999995</v>
      </c>
      <c r="G30" s="3">
        <f>ROUND(STDEV('2. Demand History'!O30:Z30),1)</f>
        <v>177.3</v>
      </c>
      <c r="H30" s="8">
        <f t="shared" si="1"/>
        <v>0.31</v>
      </c>
      <c r="I30" s="8">
        <f>ROUND(SUM('2. Demand History'!O30:Z30)/MAX(SUM('2. Demand History'!C30:N30),1),2)</f>
        <v>1.01</v>
      </c>
      <c r="J30" s="5">
        <f>IF(D30="Yes",ROUND('2. Demand History'!O30*I30,0),ROUND(AVERAGE('2. Demand History'!X30:Z30),0))</f>
        <v>497</v>
      </c>
      <c r="K30" s="9">
        <f t="shared" si="2"/>
        <v>0.08</v>
      </c>
      <c r="L30" s="10">
        <f>ROUND(ABS('2. Demand History'!U30-IF($D30="Yes",'2. Demand History'!I30,AVERAGE('2. Demand History'!R30:T30)))/MAX('2. Demand History'!U30,1),3)</f>
        <v>0.11600000000000001</v>
      </c>
      <c r="M30" s="10">
        <f>ROUND(ABS('2. Demand History'!V30-IF($D30="Yes",'2. Demand History'!J30,AVERAGE('2. Demand History'!S30:U30)))/MAX('2. Demand History'!V30,1),3)</f>
        <v>7.6999999999999999E-2</v>
      </c>
      <c r="N30" s="10">
        <f>ROUND(ABS('2. Demand History'!W30-IF($D30="Yes",'2. Demand History'!K30,AVERAGE('2. Demand History'!T30:V30)))/MAX('2. Demand History'!W30,1),3)</f>
        <v>5.6000000000000001E-2</v>
      </c>
      <c r="O30" s="10">
        <f>ROUND(ABS('2. Demand History'!X30-IF($D30="Yes",'2. Demand History'!L30,AVERAGE('2. Demand History'!U30:W30)))/MAX('2. Demand History'!X30,1),3)</f>
        <v>3.5000000000000003E-2</v>
      </c>
      <c r="P30" s="10">
        <f>ROUND(ABS('2. Demand History'!Y30-IF($D30="Yes",'2. Demand History'!M30,AVERAGE('2. Demand History'!V30:X30)))/MAX('2. Demand History'!Y30,1),3)</f>
        <v>0.14799999999999999</v>
      </c>
      <c r="Q30" s="10">
        <f>ROUND(ABS('2. Demand History'!Z30-IF($D30="Yes",'2. Demand History'!N30,AVERAGE('2. Demand History'!W30:Y30)))/MAX('2. Demand History'!Z30,1),3)</f>
        <v>4.8000000000000001E-2</v>
      </c>
    </row>
    <row r="31" spans="1:17" ht="15" customHeight="1" x14ac:dyDescent="0.2">
      <c r="A31" s="3" t="str">
        <f>'2. Demand History'!A31</f>
        <v>NT10027</v>
      </c>
      <c r="B31" s="1" t="str">
        <f>'2. Demand History'!B31</f>
        <v>Nova X763 128GB</v>
      </c>
      <c r="C31" s="3" t="str">
        <f>'1. Master Data'!C31</f>
        <v>Smartphones</v>
      </c>
      <c r="D31" s="3" t="s">
        <v>1111</v>
      </c>
      <c r="E31" s="3" t="str">
        <f t="shared" si="0"/>
        <v>Seasonal Naive</v>
      </c>
      <c r="F31" s="3">
        <f>ROUND(AVERAGE('2. Demand History'!O31:Z31),1)</f>
        <v>79.400000000000006</v>
      </c>
      <c r="G31" s="3">
        <f>ROUND(STDEV('2. Demand History'!O31:Z31),1)</f>
        <v>26.4</v>
      </c>
      <c r="H31" s="8">
        <f t="shared" si="1"/>
        <v>0.33</v>
      </c>
      <c r="I31" s="8">
        <f>ROUND(SUM('2. Demand History'!O31:Z31)/MAX(SUM('2. Demand History'!C31:N31),1),2)</f>
        <v>1.03</v>
      </c>
      <c r="J31" s="5">
        <f>IF(D31="Yes",ROUND('2. Demand History'!O31*I31,0),ROUND(AVERAGE('2. Demand History'!X31:Z31),0))</f>
        <v>71</v>
      </c>
      <c r="K31" s="9">
        <f t="shared" si="2"/>
        <v>0.154</v>
      </c>
      <c r="L31" s="10">
        <f>ROUND(ABS('2. Demand History'!U31-IF($D31="Yes",'2. Demand History'!I31,AVERAGE('2. Demand History'!R31:T31)))/MAX('2. Demand History'!U31,1),3)</f>
        <v>3.9E-2</v>
      </c>
      <c r="M31" s="10">
        <f>ROUND(ABS('2. Demand History'!V31-IF($D31="Yes",'2. Demand History'!J31,AVERAGE('2. Demand History'!S31:U31)))/MAX('2. Demand History'!V31,1),3)</f>
        <v>0.28299999999999997</v>
      </c>
      <c r="N31" s="10">
        <f>ROUND(ABS('2. Demand History'!W31-IF($D31="Yes",'2. Demand History'!K31,AVERAGE('2. Demand History'!T31:V31)))/MAX('2. Demand History'!W31,1),3)</f>
        <v>0.35399999999999998</v>
      </c>
      <c r="O31" s="10">
        <f>ROUND(ABS('2. Demand History'!X31-IF($D31="Yes",'2. Demand History'!L31,AVERAGE('2. Demand History'!U31:W31)))/MAX('2. Demand History'!X31,1),3)</f>
        <v>0.09</v>
      </c>
      <c r="P31" s="10">
        <f>ROUND(ABS('2. Demand History'!Y31-IF($D31="Yes",'2. Demand History'!M31,AVERAGE('2. Demand History'!V31:X31)))/MAX('2. Demand History'!Y31,1),3)</f>
        <v>0.10299999999999999</v>
      </c>
      <c r="Q31" s="10">
        <f>ROUND(ABS('2. Demand History'!Z31-IF($D31="Yes",'2. Demand History'!N31,AVERAGE('2. Demand History'!W31:Y31)))/MAX('2. Demand History'!Z31,1),3)</f>
        <v>5.2999999999999999E-2</v>
      </c>
    </row>
    <row r="32" spans="1:17" ht="15" customHeight="1" x14ac:dyDescent="0.2">
      <c r="A32" s="3" t="str">
        <f>'2. Demand History'!A32</f>
        <v>NT10028</v>
      </c>
      <c r="B32" s="1" t="str">
        <f>'2. Demand History'!B32</f>
        <v>Nova X761 Pro 256GB</v>
      </c>
      <c r="C32" s="3" t="str">
        <f>'1. Master Data'!C32</f>
        <v>Smartphones</v>
      </c>
      <c r="D32" s="3" t="s">
        <v>1111</v>
      </c>
      <c r="E32" s="3" t="str">
        <f t="shared" si="0"/>
        <v>Seasonal Naive</v>
      </c>
      <c r="F32" s="3">
        <f>ROUND(AVERAGE('2. Demand History'!O32:Z32),1)</f>
        <v>326.8</v>
      </c>
      <c r="G32" s="3">
        <f>ROUND(STDEV('2. Demand History'!O32:Z32),1)</f>
        <v>114.9</v>
      </c>
      <c r="H32" s="8">
        <f t="shared" si="1"/>
        <v>0.35</v>
      </c>
      <c r="I32" s="8">
        <f>ROUND(SUM('2. Demand History'!O32:Z32)/MAX(SUM('2. Demand History'!C32:N32),1),2)</f>
        <v>1.0900000000000001</v>
      </c>
      <c r="J32" s="5">
        <f>IF(D32="Yes",ROUND('2. Demand History'!O32*I32,0),ROUND(AVERAGE('2. Demand History'!X32:Z32),0))</f>
        <v>417</v>
      </c>
      <c r="K32" s="9">
        <f t="shared" si="2"/>
        <v>0.20399999999999999</v>
      </c>
      <c r="L32" s="10">
        <f>ROUND(ABS('2. Demand History'!U32-IF($D32="Yes",'2. Demand History'!I32,AVERAGE('2. Demand History'!R32:T32)))/MAX('2. Demand History'!U32,1),3)</f>
        <v>0.156</v>
      </c>
      <c r="M32" s="10">
        <f>ROUND(ABS('2. Demand History'!V32-IF($D32="Yes",'2. Demand History'!J32,AVERAGE('2. Demand History'!S32:U32)))/MAX('2. Demand History'!V32,1),3)</f>
        <v>0.129</v>
      </c>
      <c r="N32" s="10">
        <f>ROUND(ABS('2. Demand History'!W32-IF($D32="Yes",'2. Demand History'!K32,AVERAGE('2. Demand History'!T32:V32)))/MAX('2. Demand History'!W32,1),3)</f>
        <v>0.19900000000000001</v>
      </c>
      <c r="O32" s="10">
        <f>ROUND(ABS('2. Demand History'!X32-IF($D32="Yes",'2. Demand History'!L32,AVERAGE('2. Demand History'!U32:W32)))/MAX('2. Demand History'!X32,1),3)</f>
        <v>0.14099999999999999</v>
      </c>
      <c r="P32" s="10">
        <f>ROUND(ABS('2. Demand History'!Y32-IF($D32="Yes",'2. Demand History'!M32,AVERAGE('2. Demand History'!V32:X32)))/MAX('2. Demand History'!Y32,1),3)</f>
        <v>0.376</v>
      </c>
      <c r="Q32" s="10">
        <f>ROUND(ABS('2. Demand History'!Z32-IF($D32="Yes",'2. Demand History'!N32,AVERAGE('2. Demand History'!W32:Y32)))/MAX('2. Demand History'!Z32,1),3)</f>
        <v>0.223</v>
      </c>
    </row>
    <row r="33" spans="1:17" ht="15" customHeight="1" x14ac:dyDescent="0.2">
      <c r="A33" s="3" t="str">
        <f>'2. Demand History'!A33</f>
        <v>NT10029</v>
      </c>
      <c r="B33" s="1" t="str">
        <f>'2. Demand History'!B33</f>
        <v>Edge 379 5G 128GB</v>
      </c>
      <c r="C33" s="3" t="str">
        <f>'1. Master Data'!C33</f>
        <v>Smartphones</v>
      </c>
      <c r="D33" s="3" t="s">
        <v>1111</v>
      </c>
      <c r="E33" s="3" t="str">
        <f t="shared" si="0"/>
        <v>Seasonal Naive</v>
      </c>
      <c r="F33" s="3">
        <f>ROUND(AVERAGE('2. Demand History'!O33:Z33),1)</f>
        <v>130</v>
      </c>
      <c r="G33" s="3">
        <f>ROUND(STDEV('2. Demand History'!O33:Z33),1)</f>
        <v>43.2</v>
      </c>
      <c r="H33" s="8">
        <f t="shared" si="1"/>
        <v>0.33</v>
      </c>
      <c r="I33" s="8">
        <f>ROUND(SUM('2. Demand History'!O33:Z33)/MAX(SUM('2. Demand History'!C33:N33),1),2)</f>
        <v>1.1100000000000001</v>
      </c>
      <c r="J33" s="5">
        <f>IF(D33="Yes",ROUND('2. Demand History'!O33*I33,0),ROUND(AVERAGE('2. Demand History'!X33:Z33),0))</f>
        <v>134</v>
      </c>
      <c r="K33" s="9">
        <f t="shared" si="2"/>
        <v>0.15</v>
      </c>
      <c r="L33" s="10">
        <f>ROUND(ABS('2. Demand History'!U33-IF($D33="Yes",'2. Demand History'!I33,AVERAGE('2. Demand History'!R33:T33)))/MAX('2. Demand History'!U33,1),3)</f>
        <v>0.124</v>
      </c>
      <c r="M33" s="10">
        <f>ROUND(ABS('2. Demand History'!V33-IF($D33="Yes",'2. Demand History'!J33,AVERAGE('2. Demand History'!S33:U33)))/MAX('2. Demand History'!V33,1),3)</f>
        <v>0.13400000000000001</v>
      </c>
      <c r="N33" s="10">
        <f>ROUND(ABS('2. Demand History'!W33-IF($D33="Yes",'2. Demand History'!K33,AVERAGE('2. Demand History'!T33:V33)))/MAX('2. Demand History'!W33,1),3)</f>
        <v>4.2999999999999997E-2</v>
      </c>
      <c r="O33" s="10">
        <f>ROUND(ABS('2. Demand History'!X33-IF($D33="Yes",'2. Demand History'!L33,AVERAGE('2. Demand History'!U33:W33)))/MAX('2. Demand History'!X33,1),3)</f>
        <v>0.255</v>
      </c>
      <c r="P33" s="10">
        <f>ROUND(ABS('2. Demand History'!Y33-IF($D33="Yes",'2. Demand History'!M33,AVERAGE('2. Demand History'!V33:X33)))/MAX('2. Demand History'!Y33,1),3)</f>
        <v>7.2999999999999995E-2</v>
      </c>
      <c r="Q33" s="10">
        <f>ROUND(ABS('2. Demand History'!Z33-IF($D33="Yes",'2. Demand History'!N33,AVERAGE('2. Demand History'!W33:Y33)))/MAX('2. Demand History'!Z33,1),3)</f>
        <v>0.27100000000000002</v>
      </c>
    </row>
    <row r="34" spans="1:17" ht="15" customHeight="1" x14ac:dyDescent="0.2">
      <c r="A34" s="3" t="str">
        <f>'2. Demand History'!A34</f>
        <v>NT10030</v>
      </c>
      <c r="B34" s="1" t="str">
        <f>'2. Demand History'!B34</f>
        <v>Nova Lite 278 64GB</v>
      </c>
      <c r="C34" s="3" t="str">
        <f>'1. Master Data'!C34</f>
        <v>Smartphones</v>
      </c>
      <c r="D34" s="3" t="s">
        <v>1111</v>
      </c>
      <c r="E34" s="3" t="str">
        <f t="shared" si="0"/>
        <v>Seasonal Naive</v>
      </c>
      <c r="F34" s="3">
        <f>ROUND(AVERAGE('2. Demand History'!O34:Z34),1)</f>
        <v>3.5</v>
      </c>
      <c r="G34" s="3">
        <f>ROUND(STDEV('2. Demand History'!O34:Z34),1)</f>
        <v>2.4</v>
      </c>
      <c r="H34" s="8">
        <f t="shared" si="1"/>
        <v>0.69</v>
      </c>
      <c r="I34" s="8">
        <f>ROUND(SUM('2. Demand History'!O34:Z34)/MAX(SUM('2. Demand History'!C34:N34),1),2)</f>
        <v>0.32</v>
      </c>
      <c r="J34" s="5">
        <f>IF(D34="Yes",ROUND('2. Demand History'!O34*I34,0),ROUND(AVERAGE('2. Demand History'!X34:Z34),0))</f>
        <v>2</v>
      </c>
      <c r="K34" s="9">
        <f t="shared" si="2"/>
        <v>5.806</v>
      </c>
      <c r="L34" s="10">
        <f>ROUND(ABS('2. Demand History'!U34-IF($D34="Yes",'2. Demand History'!I34,AVERAGE('2. Demand History'!R34:T34)))/MAX('2. Demand History'!U34,1),3)</f>
        <v>4.5</v>
      </c>
      <c r="M34" s="10">
        <f>ROUND(ABS('2. Demand History'!V34-IF($D34="Yes",'2. Demand History'!J34,AVERAGE('2. Demand History'!S34:U34)))/MAX('2. Demand History'!V34,1),3)</f>
        <v>1.333</v>
      </c>
      <c r="N34" s="10">
        <f>ROUND(ABS('2. Demand History'!W34-IF($D34="Yes",'2. Demand History'!K34,AVERAGE('2. Demand History'!T34:V34)))/MAX('2. Demand History'!W34,1),3)</f>
        <v>10</v>
      </c>
      <c r="O34" s="10">
        <f>ROUND(ABS('2. Demand History'!X34-IF($D34="Yes",'2. Demand History'!L34,AVERAGE('2. Demand History'!U34:W34)))/MAX('2. Demand History'!X34,1),3)</f>
        <v>7</v>
      </c>
      <c r="P34" s="10">
        <f>ROUND(ABS('2. Demand History'!Y34-IF($D34="Yes",'2. Demand History'!M34,AVERAGE('2. Demand History'!V34:X34)))/MAX('2. Demand History'!Y34,1),3)</f>
        <v>8</v>
      </c>
      <c r="Q34" s="10">
        <f>ROUND(ABS('2. Demand History'!Z34-IF($D34="Yes",'2. Demand History'!N34,AVERAGE('2. Demand History'!W34:Y34)))/MAX('2. Demand History'!Z34,1),3)</f>
        <v>4</v>
      </c>
    </row>
    <row r="35" spans="1:17" ht="15" customHeight="1" x14ac:dyDescent="0.2">
      <c r="A35" s="3" t="str">
        <f>'2. Demand History'!A35</f>
        <v>NT10031</v>
      </c>
      <c r="B35" s="1" t="str">
        <f>'2. Demand History'!B35</f>
        <v>Nova Lite 631 64GB</v>
      </c>
      <c r="C35" s="3" t="str">
        <f>'1. Master Data'!C35</f>
        <v>Smartphones</v>
      </c>
      <c r="D35" s="3" t="s">
        <v>1111</v>
      </c>
      <c r="E35" s="3" t="str">
        <f t="shared" si="0"/>
        <v>Seasonal Naive</v>
      </c>
      <c r="F35" s="3">
        <f>ROUND(AVERAGE('2. Demand History'!O35:Z35),1)</f>
        <v>85.5</v>
      </c>
      <c r="G35" s="3">
        <f>ROUND(STDEV('2. Demand History'!O35:Z35),1)</f>
        <v>24</v>
      </c>
      <c r="H35" s="8">
        <f t="shared" si="1"/>
        <v>0.28000000000000003</v>
      </c>
      <c r="I35" s="8">
        <f>ROUND(SUM('2. Demand History'!O35:Z35)/MAX(SUM('2. Demand History'!C35:N35),1),2)</f>
        <v>1.07</v>
      </c>
      <c r="J35" s="5">
        <f>IF(D35="Yes",ROUND('2. Demand History'!O35*I35,0),ROUND(AVERAGE('2. Demand History'!X35:Z35),0))</f>
        <v>75</v>
      </c>
      <c r="K35" s="9">
        <f t="shared" si="2"/>
        <v>0.151</v>
      </c>
      <c r="L35" s="10">
        <f>ROUND(ABS('2. Demand History'!U35-IF($D35="Yes",'2. Demand History'!I35,AVERAGE('2. Demand History'!R35:T35)))/MAX('2. Demand History'!U35,1),3)</f>
        <v>0.06</v>
      </c>
      <c r="M35" s="10">
        <f>ROUND(ABS('2. Demand History'!V35-IF($D35="Yes",'2. Demand History'!J35,AVERAGE('2. Demand History'!S35:U35)))/MAX('2. Demand History'!V35,1),3)</f>
        <v>0.245</v>
      </c>
      <c r="N35" s="10">
        <f>ROUND(ABS('2. Demand History'!W35-IF($D35="Yes",'2. Demand History'!K35,AVERAGE('2. Demand History'!T35:V35)))/MAX('2. Demand History'!W35,1),3)</f>
        <v>7.3999999999999996E-2</v>
      </c>
      <c r="O35" s="10">
        <f>ROUND(ABS('2. Demand History'!X35-IF($D35="Yes",'2. Demand History'!L35,AVERAGE('2. Demand History'!U35:W35)))/MAX('2. Demand History'!X35,1),3)</f>
        <v>0.26500000000000001</v>
      </c>
      <c r="P35" s="10">
        <f>ROUND(ABS('2. Demand History'!Y35-IF($D35="Yes",'2. Demand History'!M35,AVERAGE('2. Demand History'!V35:X35)))/MAX('2. Demand History'!Y35,1),3)</f>
        <v>0.22600000000000001</v>
      </c>
      <c r="Q35" s="10">
        <f>ROUND(ABS('2. Demand History'!Z35-IF($D35="Yes",'2. Demand History'!N35,AVERAGE('2. Demand History'!W35:Y35)))/MAX('2. Demand History'!Z35,1),3)</f>
        <v>3.6999999999999998E-2</v>
      </c>
    </row>
    <row r="36" spans="1:17" ht="15" customHeight="1" x14ac:dyDescent="0.2">
      <c r="A36" s="3" t="str">
        <f>'2. Demand History'!A36</f>
        <v>NT10032</v>
      </c>
      <c r="B36" s="1" t="str">
        <f>'2. Demand History'!B36</f>
        <v>Nova X968 128GB</v>
      </c>
      <c r="C36" s="3" t="str">
        <f>'1. Master Data'!C36</f>
        <v>Smartphones</v>
      </c>
      <c r="D36" s="3" t="s">
        <v>1111</v>
      </c>
      <c r="E36" s="3" t="str">
        <f t="shared" si="0"/>
        <v>Seasonal Naive</v>
      </c>
      <c r="F36" s="3">
        <f>ROUND(AVERAGE('2. Demand History'!O36:Z36),1)</f>
        <v>56.3</v>
      </c>
      <c r="G36" s="3">
        <f>ROUND(STDEV('2. Demand History'!O36:Z36),1)</f>
        <v>18</v>
      </c>
      <c r="H36" s="8">
        <f t="shared" si="1"/>
        <v>0.32</v>
      </c>
      <c r="I36" s="8">
        <f>ROUND(SUM('2. Demand History'!O36:Z36)/MAX(SUM('2. Demand History'!C36:N36),1),2)</f>
        <v>1.01</v>
      </c>
      <c r="J36" s="5">
        <f>IF(D36="Yes",ROUND('2. Demand History'!O36*I36,0),ROUND(AVERAGE('2. Demand History'!X36:Z36),0))</f>
        <v>38</v>
      </c>
      <c r="K36" s="9">
        <f t="shared" si="2"/>
        <v>0.10299999999999999</v>
      </c>
      <c r="L36" s="10">
        <f>ROUND(ABS('2. Demand History'!U36-IF($D36="Yes",'2. Demand History'!I36,AVERAGE('2. Demand History'!R36:T36)))/MAX('2. Demand History'!U36,1),3)</f>
        <v>0.03</v>
      </c>
      <c r="M36" s="10">
        <f>ROUND(ABS('2. Demand History'!V36-IF($D36="Yes",'2. Demand History'!J36,AVERAGE('2. Demand History'!S36:U36)))/MAX('2. Demand History'!V36,1),3)</f>
        <v>8.5999999999999993E-2</v>
      </c>
      <c r="N36" s="10">
        <f>ROUND(ABS('2. Demand History'!W36-IF($D36="Yes",'2. Demand History'!K36,AVERAGE('2. Demand History'!T36:V36)))/MAX('2. Demand History'!W36,1),3)</f>
        <v>0.19400000000000001</v>
      </c>
      <c r="O36" s="10">
        <f>ROUND(ABS('2. Demand History'!X36-IF($D36="Yes",'2. Demand History'!L36,AVERAGE('2. Demand History'!U36:W36)))/MAX('2. Demand History'!X36,1),3)</f>
        <v>0.20699999999999999</v>
      </c>
      <c r="P36" s="10">
        <f>ROUND(ABS('2. Demand History'!Y36-IF($D36="Yes",'2. Demand History'!M36,AVERAGE('2. Demand History'!V36:X36)))/MAX('2. Demand History'!Y36,1),3)</f>
        <v>8.5000000000000006E-2</v>
      </c>
      <c r="Q36" s="10">
        <f>ROUND(ABS('2. Demand History'!Z36-IF($D36="Yes",'2. Demand History'!N36,AVERAGE('2. Demand History'!W36:Y36)))/MAX('2. Demand History'!Z36,1),3)</f>
        <v>1.7000000000000001E-2</v>
      </c>
    </row>
    <row r="37" spans="1:17" ht="15" customHeight="1" x14ac:dyDescent="0.2">
      <c r="A37" s="3" t="str">
        <f>'2. Demand History'!A37</f>
        <v>NT10033</v>
      </c>
      <c r="B37" s="1" t="str">
        <f>'2. Demand History'!B37</f>
        <v>Pulse 902 Dual SIM</v>
      </c>
      <c r="C37" s="3" t="str">
        <f>'1. Master Data'!C37</f>
        <v>Smartphones</v>
      </c>
      <c r="D37" s="3" t="s">
        <v>1111</v>
      </c>
      <c r="E37" s="3" t="str">
        <f t="shared" si="0"/>
        <v>Seasonal Naive</v>
      </c>
      <c r="F37" s="3">
        <f>ROUND(AVERAGE('2. Demand History'!O37:Z37),1)</f>
        <v>124.7</v>
      </c>
      <c r="G37" s="3">
        <f>ROUND(STDEV('2. Demand History'!O37:Z37),1)</f>
        <v>38.5</v>
      </c>
      <c r="H37" s="8">
        <f t="shared" si="1"/>
        <v>0.31</v>
      </c>
      <c r="I37" s="8">
        <f>ROUND(SUM('2. Demand History'!O37:Z37)/MAX(SUM('2. Demand History'!C37:N37),1),2)</f>
        <v>1.07</v>
      </c>
      <c r="J37" s="5">
        <f>IF(D37="Yes",ROUND('2. Demand History'!O37*I37,0),ROUND(AVERAGE('2. Demand History'!X37:Z37),0))</f>
        <v>110</v>
      </c>
      <c r="K37" s="9">
        <f t="shared" si="2"/>
        <v>0.13600000000000001</v>
      </c>
      <c r="L37" s="10">
        <f>ROUND(ABS('2. Demand History'!U37-IF($D37="Yes",'2. Demand History'!I37,AVERAGE('2. Demand History'!R37:T37)))/MAX('2. Demand History'!U37,1),3)</f>
        <v>0.06</v>
      </c>
      <c r="M37" s="10">
        <f>ROUND(ABS('2. Demand History'!V37-IF($D37="Yes",'2. Demand History'!J37,AVERAGE('2. Demand History'!S37:U37)))/MAX('2. Demand History'!V37,1),3)</f>
        <v>3.5999999999999997E-2</v>
      </c>
      <c r="N37" s="10">
        <f>ROUND(ABS('2. Demand History'!W37-IF($D37="Yes",'2. Demand History'!K37,AVERAGE('2. Demand History'!T37:V37)))/MAX('2. Demand History'!W37,1),3)</f>
        <v>0.111</v>
      </c>
      <c r="O37" s="10">
        <f>ROUND(ABS('2. Demand History'!X37-IF($D37="Yes",'2. Demand History'!L37,AVERAGE('2. Demand History'!U37:W37)))/MAX('2. Demand History'!X37,1),3)</f>
        <v>6.6000000000000003E-2</v>
      </c>
      <c r="P37" s="10">
        <f>ROUND(ABS('2. Demand History'!Y37-IF($D37="Yes",'2. Demand History'!M37,AVERAGE('2. Demand History'!V37:X37)))/MAX('2. Demand History'!Y37,1),3)</f>
        <v>0.16500000000000001</v>
      </c>
      <c r="Q37" s="10">
        <f>ROUND(ABS('2. Demand History'!Z37-IF($D37="Yes",'2. Demand History'!N37,AVERAGE('2. Demand History'!W37:Y37)))/MAX('2. Demand History'!Z37,1),3)</f>
        <v>0.379</v>
      </c>
    </row>
    <row r="38" spans="1:17" ht="15" customHeight="1" x14ac:dyDescent="0.2">
      <c r="A38" s="3" t="str">
        <f>'2. Demand History'!A38</f>
        <v>NT10034</v>
      </c>
      <c r="B38" s="1" t="str">
        <f>'2. Demand History'!B38</f>
        <v>Pulse 910 Dual SIM</v>
      </c>
      <c r="C38" s="3" t="str">
        <f>'1. Master Data'!C38</f>
        <v>Smartphones</v>
      </c>
      <c r="D38" s="3" t="s">
        <v>1111</v>
      </c>
      <c r="E38" s="3" t="str">
        <f t="shared" si="0"/>
        <v>Seasonal Naive</v>
      </c>
      <c r="F38" s="3">
        <f>ROUND(AVERAGE('2. Demand History'!O38:Z38),1)</f>
        <v>39.6</v>
      </c>
      <c r="G38" s="3">
        <f>ROUND(STDEV('2. Demand History'!O38:Z38),1)</f>
        <v>36.4</v>
      </c>
      <c r="H38" s="8">
        <f t="shared" si="1"/>
        <v>0.92</v>
      </c>
      <c r="I38" s="8">
        <f>ROUND(SUM('2. Demand History'!O38:Z38)/MAX(SUM('2. Demand History'!C38:N38),1),2)</f>
        <v>1.1599999999999999</v>
      </c>
      <c r="J38" s="5">
        <f>IF(D38="Yes",ROUND('2. Demand History'!O38*I38,0),ROUND(AVERAGE('2. Demand History'!X38:Z38),0))</f>
        <v>34</v>
      </c>
      <c r="K38" s="9">
        <f t="shared" si="2"/>
        <v>0.38</v>
      </c>
      <c r="L38" s="10">
        <f>ROUND(ABS('2. Demand History'!U38-IF($D38="Yes",'2. Demand History'!I38,AVERAGE('2. Demand History'!R38:T38)))/MAX('2. Demand History'!U38,1),3)</f>
        <v>0.16700000000000001</v>
      </c>
      <c r="M38" s="10">
        <f>ROUND(ABS('2. Demand History'!V38-IF($D38="Yes",'2. Demand History'!J38,AVERAGE('2. Demand History'!S38:U38)))/MAX('2. Demand History'!V38,1),3)</f>
        <v>0.309</v>
      </c>
      <c r="N38" s="10">
        <f>ROUND(ABS('2. Demand History'!W38-IF($D38="Yes",'2. Demand History'!K38,AVERAGE('2. Demand History'!T38:V38)))/MAX('2. Demand History'!W38,1),3)</f>
        <v>0.76900000000000002</v>
      </c>
      <c r="O38" s="10">
        <f>ROUND(ABS('2. Demand History'!X38-IF($D38="Yes",'2. Demand History'!L38,AVERAGE('2. Demand History'!U38:W38)))/MAX('2. Demand History'!X38,1),3)</f>
        <v>0.60599999999999998</v>
      </c>
      <c r="P38" s="10">
        <f>ROUND(ABS('2. Demand History'!Y38-IF($D38="Yes",'2. Demand History'!M38,AVERAGE('2. Demand History'!V38:X38)))/MAX('2. Demand History'!Y38,1),3)</f>
        <v>0.20799999999999999</v>
      </c>
      <c r="Q38" s="10">
        <f>ROUND(ABS('2. Demand History'!Z38-IF($D38="Yes",'2. Demand History'!N38,AVERAGE('2. Demand History'!W38:Y38)))/MAX('2. Demand History'!Z38,1),3)</f>
        <v>0.222</v>
      </c>
    </row>
    <row r="39" spans="1:17" ht="15" customHeight="1" x14ac:dyDescent="0.2">
      <c r="A39" s="3" t="str">
        <f>'2. Demand History'!A39</f>
        <v>NT10035</v>
      </c>
      <c r="B39" s="1" t="str">
        <f>'2. Demand History'!B39</f>
        <v>Nova X683 Pro 256GB</v>
      </c>
      <c r="C39" s="3" t="str">
        <f>'1. Master Data'!C39</f>
        <v>Smartphones</v>
      </c>
      <c r="D39" s="3" t="s">
        <v>1111</v>
      </c>
      <c r="E39" s="3" t="str">
        <f t="shared" si="0"/>
        <v>Seasonal Naive</v>
      </c>
      <c r="F39" s="3">
        <f>ROUND(AVERAGE('2. Demand History'!O39:Z39),1)</f>
        <v>283.3</v>
      </c>
      <c r="G39" s="3">
        <f>ROUND(STDEV('2. Demand History'!O39:Z39),1)</f>
        <v>93.4</v>
      </c>
      <c r="H39" s="8">
        <f t="shared" si="1"/>
        <v>0.33</v>
      </c>
      <c r="I39" s="8">
        <f>ROUND(SUM('2. Demand History'!O39:Z39)/MAX(SUM('2. Demand History'!C39:N39),1),2)</f>
        <v>1.08</v>
      </c>
      <c r="J39" s="5">
        <f>IF(D39="Yes",ROUND('2. Demand History'!O39*I39,0),ROUND(AVERAGE('2. Demand History'!X39:Z39),0))</f>
        <v>275</v>
      </c>
      <c r="K39" s="9">
        <f t="shared" si="2"/>
        <v>6.2E-2</v>
      </c>
      <c r="L39" s="10">
        <f>ROUND(ABS('2. Demand History'!U39-IF($D39="Yes",'2. Demand History'!I39,AVERAGE('2. Demand History'!R39:T39)))/MAX('2. Demand History'!U39,1),3)</f>
        <v>0.10100000000000001</v>
      </c>
      <c r="M39" s="10">
        <f>ROUND(ABS('2. Demand History'!V39-IF($D39="Yes",'2. Demand History'!J39,AVERAGE('2. Demand History'!S39:U39)))/MAX('2. Demand History'!V39,1),3)</f>
        <v>0</v>
      </c>
      <c r="N39" s="10">
        <f>ROUND(ABS('2. Demand History'!W39-IF($D39="Yes",'2. Demand History'!K39,AVERAGE('2. Demand History'!T39:V39)))/MAX('2. Demand History'!W39,1),3)</f>
        <v>7.5999999999999998E-2</v>
      </c>
      <c r="O39" s="10">
        <f>ROUND(ABS('2. Demand History'!X39-IF($D39="Yes",'2. Demand History'!L39,AVERAGE('2. Demand History'!U39:W39)))/MAX('2. Demand History'!X39,1),3)</f>
        <v>0.14699999999999999</v>
      </c>
      <c r="P39" s="10">
        <f>ROUND(ABS('2. Demand History'!Y39-IF($D39="Yes",'2. Demand History'!M39,AVERAGE('2. Demand History'!V39:X39)))/MAX('2. Demand History'!Y39,1),3)</f>
        <v>3.9E-2</v>
      </c>
      <c r="Q39" s="10">
        <f>ROUND(ABS('2. Demand History'!Z39-IF($D39="Yes",'2. Demand History'!N39,AVERAGE('2. Demand History'!W39:Y39)))/MAX('2. Demand History'!Z39,1),3)</f>
        <v>1.0999999999999999E-2</v>
      </c>
    </row>
    <row r="40" spans="1:17" ht="15" customHeight="1" x14ac:dyDescent="0.2">
      <c r="A40" s="3" t="str">
        <f>'2. Demand History'!A40</f>
        <v>NT10036</v>
      </c>
      <c r="B40" s="1" t="str">
        <f>'2. Demand History'!B40</f>
        <v>Edge 275 5G 128GB</v>
      </c>
      <c r="C40" s="3" t="str">
        <f>'1. Master Data'!C40</f>
        <v>Smartphones</v>
      </c>
      <c r="D40" s="3" t="s">
        <v>1111</v>
      </c>
      <c r="E40" s="3" t="str">
        <f t="shared" si="0"/>
        <v>Seasonal Naive</v>
      </c>
      <c r="F40" s="3">
        <f>ROUND(AVERAGE('2. Demand History'!O40:Z40),1)</f>
        <v>31.4</v>
      </c>
      <c r="G40" s="3">
        <f>ROUND(STDEV('2. Demand History'!O40:Z40),1)</f>
        <v>10.6</v>
      </c>
      <c r="H40" s="8">
        <f t="shared" si="1"/>
        <v>0.34</v>
      </c>
      <c r="I40" s="8">
        <f>ROUND(SUM('2. Demand History'!O40:Z40)/MAX(SUM('2. Demand History'!C40:N40),1),2)</f>
        <v>1.1499999999999999</v>
      </c>
      <c r="J40" s="5">
        <f>IF(D40="Yes",ROUND('2. Demand History'!O40*I40,0),ROUND(AVERAGE('2. Demand History'!X40:Z40),0))</f>
        <v>32</v>
      </c>
      <c r="K40" s="9">
        <f t="shared" si="2"/>
        <v>0.105</v>
      </c>
      <c r="L40" s="10">
        <f>ROUND(ABS('2. Demand History'!U40-IF($D40="Yes",'2. Demand History'!I40,AVERAGE('2. Demand History'!R40:T40)))/MAX('2. Demand History'!U40,1),3)</f>
        <v>0.161</v>
      </c>
      <c r="M40" s="10">
        <f>ROUND(ABS('2. Demand History'!V40-IF($D40="Yes",'2. Demand History'!J40,AVERAGE('2. Demand History'!S40:U40)))/MAX('2. Demand History'!V40,1),3)</f>
        <v>9.0999999999999998E-2</v>
      </c>
      <c r="N40" s="10">
        <f>ROUND(ABS('2. Demand History'!W40-IF($D40="Yes",'2. Demand History'!K40,AVERAGE('2. Demand History'!T40:V40)))/MAX('2. Demand History'!W40,1),3)</f>
        <v>0</v>
      </c>
      <c r="O40" s="10">
        <f>ROUND(ABS('2. Demand History'!X40-IF($D40="Yes",'2. Demand History'!L40,AVERAGE('2. Demand History'!U40:W40)))/MAX('2. Demand History'!X40,1),3)</f>
        <v>0.17199999999999999</v>
      </c>
      <c r="P40" s="10">
        <f>ROUND(ABS('2. Demand History'!Y40-IF($D40="Yes",'2. Demand History'!M40,AVERAGE('2. Demand History'!V40:X40)))/MAX('2. Demand History'!Y40,1),3)</f>
        <v>0.20799999999999999</v>
      </c>
      <c r="Q40" s="10">
        <f>ROUND(ABS('2. Demand History'!Z40-IF($D40="Yes",'2. Demand History'!N40,AVERAGE('2. Demand History'!W40:Y40)))/MAX('2. Demand History'!Z40,1),3)</f>
        <v>0</v>
      </c>
    </row>
    <row r="41" spans="1:17" ht="15" customHeight="1" x14ac:dyDescent="0.2">
      <c r="A41" s="3" t="str">
        <f>'2. Demand History'!A41</f>
        <v>NT10037</v>
      </c>
      <c r="B41" s="1" t="str">
        <f>'2. Demand History'!B41</f>
        <v>Nova X618 128GB</v>
      </c>
      <c r="C41" s="3" t="str">
        <f>'1. Master Data'!C41</f>
        <v>Smartphones</v>
      </c>
      <c r="D41" s="3" t="s">
        <v>1111</v>
      </c>
      <c r="E41" s="3" t="str">
        <f t="shared" si="0"/>
        <v>Seasonal Naive</v>
      </c>
      <c r="F41" s="3">
        <f>ROUND(AVERAGE('2. Demand History'!O41:Z41),1)</f>
        <v>124.1</v>
      </c>
      <c r="G41" s="3">
        <f>ROUND(STDEV('2. Demand History'!O41:Z41),1)</f>
        <v>29.7</v>
      </c>
      <c r="H41" s="8">
        <f t="shared" si="1"/>
        <v>0.24</v>
      </c>
      <c r="I41" s="8">
        <f>ROUND(SUM('2. Demand History'!O41:Z41)/MAX(SUM('2. Demand History'!C41:N41),1),2)</f>
        <v>1.0900000000000001</v>
      </c>
      <c r="J41" s="5">
        <f>IF(D41="Yes",ROUND('2. Demand History'!O41*I41,0),ROUND(AVERAGE('2. Demand History'!X41:Z41),0))</f>
        <v>106</v>
      </c>
      <c r="K41" s="9">
        <f t="shared" si="2"/>
        <v>7.3999999999999996E-2</v>
      </c>
      <c r="L41" s="10">
        <f>ROUND(ABS('2. Demand History'!U41-IF($D41="Yes",'2. Demand History'!I41,AVERAGE('2. Demand History'!R41:T41)))/MAX('2. Demand History'!U41,1),3)</f>
        <v>6.0000000000000001E-3</v>
      </c>
      <c r="M41" s="10">
        <f>ROUND(ABS('2. Demand History'!V41-IF($D41="Yes",'2. Demand History'!J41,AVERAGE('2. Demand History'!S41:U41)))/MAX('2. Demand History'!V41,1),3)</f>
        <v>7.9000000000000001E-2</v>
      </c>
      <c r="N41" s="10">
        <f>ROUND(ABS('2. Demand History'!W41-IF($D41="Yes",'2. Demand History'!K41,AVERAGE('2. Demand History'!T41:V41)))/MAX('2. Demand History'!W41,1),3)</f>
        <v>0.112</v>
      </c>
      <c r="O41" s="10">
        <f>ROUND(ABS('2. Demand History'!X41-IF($D41="Yes",'2. Demand History'!L41,AVERAGE('2. Demand History'!U41:W41)))/MAX('2. Demand History'!X41,1),3)</f>
        <v>8.9999999999999993E-3</v>
      </c>
      <c r="P41" s="10">
        <f>ROUND(ABS('2. Demand History'!Y41-IF($D41="Yes",'2. Demand History'!M41,AVERAGE('2. Demand History'!V41:X41)))/MAX('2. Demand History'!Y41,1),3)</f>
        <v>0.16</v>
      </c>
      <c r="Q41" s="10">
        <f>ROUND(ABS('2. Demand History'!Z41-IF($D41="Yes",'2. Demand History'!N41,AVERAGE('2. Demand History'!W41:Y41)))/MAX('2. Demand History'!Z41,1),3)</f>
        <v>0.08</v>
      </c>
    </row>
    <row r="42" spans="1:17" ht="15" customHeight="1" x14ac:dyDescent="0.2">
      <c r="A42" s="3" t="str">
        <f>'2. Demand History'!A42</f>
        <v>NT10038</v>
      </c>
      <c r="B42" s="1" t="str">
        <f>'2. Demand History'!B42</f>
        <v>Nova X367 Pro 256GB</v>
      </c>
      <c r="C42" s="3" t="str">
        <f>'1. Master Data'!C42</f>
        <v>Smartphones</v>
      </c>
      <c r="D42" s="3" t="s">
        <v>1111</v>
      </c>
      <c r="E42" s="3" t="str">
        <f t="shared" si="0"/>
        <v>Seasonal Naive</v>
      </c>
      <c r="F42" s="3">
        <f>ROUND(AVERAGE('2. Demand History'!O42:Z42),1)</f>
        <v>32.5</v>
      </c>
      <c r="G42" s="3">
        <f>ROUND(STDEV('2. Demand History'!O42:Z42),1)</f>
        <v>8.4</v>
      </c>
      <c r="H42" s="8">
        <f t="shared" si="1"/>
        <v>0.26</v>
      </c>
      <c r="I42" s="8">
        <f>ROUND(SUM('2. Demand History'!O42:Z42)/MAX(SUM('2. Demand History'!C42:N42),1),2)</f>
        <v>1.04</v>
      </c>
      <c r="J42" s="5">
        <f>IF(D42="Yes",ROUND('2. Demand History'!O42*I42,0),ROUND(AVERAGE('2. Demand History'!X42:Z42),0))</f>
        <v>35</v>
      </c>
      <c r="K42" s="9">
        <f t="shared" si="2"/>
        <v>8.8999999999999996E-2</v>
      </c>
      <c r="L42" s="10">
        <f>ROUND(ABS('2. Demand History'!U42-IF($D42="Yes",'2. Demand History'!I42,AVERAGE('2. Demand History'!R42:T42)))/MAX('2. Demand History'!U42,1),3)</f>
        <v>5.5E-2</v>
      </c>
      <c r="M42" s="10">
        <f>ROUND(ABS('2. Demand History'!V42-IF($D42="Yes",'2. Demand History'!J42,AVERAGE('2. Demand History'!S42:U42)))/MAX('2. Demand History'!V42,1),3)</f>
        <v>0.308</v>
      </c>
      <c r="N42" s="10">
        <f>ROUND(ABS('2. Demand History'!W42-IF($D42="Yes",'2. Demand History'!K42,AVERAGE('2. Demand History'!T42:V42)))/MAX('2. Demand History'!W42,1),3)</f>
        <v>3.5999999999999997E-2</v>
      </c>
      <c r="O42" s="10">
        <f>ROUND(ABS('2. Demand History'!X42-IF($D42="Yes",'2. Demand History'!L42,AVERAGE('2. Demand History'!U42:W42)))/MAX('2. Demand History'!X42,1),3)</f>
        <v>0</v>
      </c>
      <c r="P42" s="10">
        <f>ROUND(ABS('2. Demand History'!Y42-IF($D42="Yes",'2. Demand History'!M42,AVERAGE('2. Demand History'!V42:X42)))/MAX('2. Demand History'!Y42,1),3)</f>
        <v>9.7000000000000003E-2</v>
      </c>
      <c r="Q42" s="10">
        <f>ROUND(ABS('2. Demand History'!Z42-IF($D42="Yes",'2. Demand History'!N42,AVERAGE('2. Demand History'!W42:Y42)))/MAX('2. Demand History'!Z42,1),3)</f>
        <v>3.6999999999999998E-2</v>
      </c>
    </row>
    <row r="43" spans="1:17" ht="15" customHeight="1" x14ac:dyDescent="0.2">
      <c r="A43" s="3" t="str">
        <f>'2. Demand History'!A43</f>
        <v>NT10039</v>
      </c>
      <c r="B43" s="1" t="str">
        <f>'2. Demand History'!B43</f>
        <v>Nova X158 128GB</v>
      </c>
      <c r="C43" s="3" t="str">
        <f>'1. Master Data'!C43</f>
        <v>Smartphones</v>
      </c>
      <c r="D43" s="3" t="s">
        <v>1111</v>
      </c>
      <c r="E43" s="3" t="str">
        <f t="shared" si="0"/>
        <v>Seasonal Naive</v>
      </c>
      <c r="F43" s="3">
        <f>ROUND(AVERAGE('2. Demand History'!O43:Z43),1)</f>
        <v>142.9</v>
      </c>
      <c r="G43" s="3">
        <f>ROUND(STDEV('2. Demand History'!O43:Z43),1)</f>
        <v>44.4</v>
      </c>
      <c r="H43" s="8">
        <f t="shared" si="1"/>
        <v>0.31</v>
      </c>
      <c r="I43" s="8">
        <f>ROUND(SUM('2. Demand History'!O43:Z43)/MAX(SUM('2. Demand History'!C43:N43),1),2)</f>
        <v>1.03</v>
      </c>
      <c r="J43" s="5">
        <f>IF(D43="Yes",ROUND('2. Demand History'!O43*I43,0),ROUND(AVERAGE('2. Demand History'!X43:Z43),0))</f>
        <v>130</v>
      </c>
      <c r="K43" s="9">
        <f t="shared" si="2"/>
        <v>8.3000000000000004E-2</v>
      </c>
      <c r="L43" s="10">
        <f>ROUND(ABS('2. Demand History'!U43-IF($D43="Yes",'2. Demand History'!I43,AVERAGE('2. Demand History'!R43:T43)))/MAX('2. Demand History'!U43,1),3)</f>
        <v>7.5999999999999998E-2</v>
      </c>
      <c r="M43" s="10">
        <f>ROUND(ABS('2. Demand History'!V43-IF($D43="Yes",'2. Demand History'!J43,AVERAGE('2. Demand History'!S43:U43)))/MAX('2. Demand History'!V43,1),3)</f>
        <v>7.5999999999999998E-2</v>
      </c>
      <c r="N43" s="10">
        <f>ROUND(ABS('2. Demand History'!W43-IF($D43="Yes",'2. Demand History'!K43,AVERAGE('2. Demand History'!T43:V43)))/MAX('2. Demand History'!W43,1),3)</f>
        <v>3.6999999999999998E-2</v>
      </c>
      <c r="O43" s="10">
        <f>ROUND(ABS('2. Demand History'!X43-IF($D43="Yes",'2. Demand History'!L43,AVERAGE('2. Demand History'!U43:W43)))/MAX('2. Demand History'!X43,1),3)</f>
        <v>3.2000000000000001E-2</v>
      </c>
      <c r="P43" s="10">
        <f>ROUND(ABS('2. Demand History'!Y43-IF($D43="Yes",'2. Demand History'!M43,AVERAGE('2. Demand History'!V43:X43)))/MAX('2. Demand History'!Y43,1),3)</f>
        <v>0.255</v>
      </c>
      <c r="Q43" s="10">
        <f>ROUND(ABS('2. Demand History'!Z43-IF($D43="Yes",'2. Demand History'!N43,AVERAGE('2. Demand History'!W43:Y43)))/MAX('2. Demand History'!Z43,1),3)</f>
        <v>2.3E-2</v>
      </c>
    </row>
    <row r="44" spans="1:17" ht="15" customHeight="1" x14ac:dyDescent="0.2">
      <c r="A44" s="3" t="str">
        <f>'2. Demand History'!A44</f>
        <v>NT10040</v>
      </c>
      <c r="B44" s="1" t="str">
        <f>'2. Demand History'!B44</f>
        <v>Nova Lite 898 64GB</v>
      </c>
      <c r="C44" s="3" t="str">
        <f>'1. Master Data'!C44</f>
        <v>Smartphones</v>
      </c>
      <c r="D44" s="3" t="s">
        <v>1111</v>
      </c>
      <c r="E44" s="3" t="str">
        <f t="shared" si="0"/>
        <v>Seasonal Naive</v>
      </c>
      <c r="F44" s="3">
        <f>ROUND(AVERAGE('2. Demand History'!O44:Z44),1)</f>
        <v>44.3</v>
      </c>
      <c r="G44" s="3">
        <f>ROUND(STDEV('2. Demand History'!O44:Z44),1)</f>
        <v>33.6</v>
      </c>
      <c r="H44" s="8">
        <f t="shared" si="1"/>
        <v>0.76</v>
      </c>
      <c r="I44" s="8">
        <f>ROUND(SUM('2. Demand History'!O44:Z44)/MAX(SUM('2. Demand History'!C44:N44),1),2)</f>
        <v>0.95</v>
      </c>
      <c r="J44" s="5">
        <f>IF(D44="Yes",ROUND('2. Demand History'!O44*I44,0),ROUND(AVERAGE('2. Demand History'!X44:Z44),0))</f>
        <v>23</v>
      </c>
      <c r="K44" s="9">
        <f t="shared" si="2"/>
        <v>1.4650000000000001</v>
      </c>
      <c r="L44" s="10">
        <f>ROUND(ABS('2. Demand History'!U44-IF($D44="Yes",'2. Demand History'!I44,AVERAGE('2. Demand History'!R44:T44)))/MAX('2. Demand History'!U44,1),3)</f>
        <v>8.6999999999999994E-2</v>
      </c>
      <c r="M44" s="10">
        <f>ROUND(ABS('2. Demand History'!V44-IF($D44="Yes",'2. Demand History'!J44,AVERAGE('2. Demand History'!S44:U44)))/MAX('2. Demand History'!V44,1),3)</f>
        <v>5.8639999999999999</v>
      </c>
      <c r="N44" s="10">
        <f>ROUND(ABS('2. Demand History'!W44-IF($D44="Yes",'2. Demand History'!K44,AVERAGE('2. Demand History'!T44:V44)))/MAX('2. Demand History'!W44,1),3)</f>
        <v>1.75</v>
      </c>
      <c r="O44" s="10">
        <f>ROUND(ABS('2. Demand History'!X44-IF($D44="Yes",'2. Demand History'!L44,AVERAGE('2. Demand History'!U44:W44)))/MAX('2. Demand History'!X44,1),3)</f>
        <v>0.08</v>
      </c>
      <c r="P44" s="10">
        <f>ROUND(ABS('2. Demand History'!Y44-IF($D44="Yes",'2. Demand History'!M44,AVERAGE('2. Demand History'!V44:X44)))/MAX('2. Demand History'!Y44,1),3)</f>
        <v>0.16700000000000001</v>
      </c>
      <c r="Q44" s="10">
        <f>ROUND(ABS('2. Demand History'!Z44-IF($D44="Yes",'2. Demand History'!N44,AVERAGE('2. Demand History'!W44:Y44)))/MAX('2. Demand History'!Z44,1),3)</f>
        <v>0.84199999999999997</v>
      </c>
    </row>
    <row r="45" spans="1:17" ht="15" customHeight="1" x14ac:dyDescent="0.2">
      <c r="A45" s="3" t="str">
        <f>'2. Demand History'!A45</f>
        <v>NT10041</v>
      </c>
      <c r="B45" s="1" t="str">
        <f>'2. Demand History'!B45</f>
        <v>Nova Lite 722 64GB</v>
      </c>
      <c r="C45" s="3" t="str">
        <f>'1. Master Data'!C45</f>
        <v>Smartphones</v>
      </c>
      <c r="D45" s="3" t="s">
        <v>1111</v>
      </c>
      <c r="E45" s="3" t="str">
        <f t="shared" si="0"/>
        <v>Seasonal Naive</v>
      </c>
      <c r="F45" s="3">
        <f>ROUND(AVERAGE('2. Demand History'!O45:Z45),1)</f>
        <v>74.3</v>
      </c>
      <c r="G45" s="3">
        <f>ROUND(STDEV('2. Demand History'!O45:Z45),1)</f>
        <v>20</v>
      </c>
      <c r="H45" s="8">
        <f t="shared" si="1"/>
        <v>0.27</v>
      </c>
      <c r="I45" s="8">
        <f>ROUND(SUM('2. Demand History'!O45:Z45)/MAX(SUM('2. Demand History'!C45:N45),1),2)</f>
        <v>1.05</v>
      </c>
      <c r="J45" s="5">
        <f>IF(D45="Yes",ROUND('2. Demand History'!O45*I45,0),ROUND(AVERAGE('2. Demand History'!X45:Z45),0))</f>
        <v>81</v>
      </c>
      <c r="K45" s="9">
        <f t="shared" si="2"/>
        <v>0.121</v>
      </c>
      <c r="L45" s="10">
        <f>ROUND(ABS('2. Demand History'!U45-IF($D45="Yes",'2. Demand History'!I45,AVERAGE('2. Demand History'!R45:T45)))/MAX('2. Demand History'!U45,1),3)</f>
        <v>0.114</v>
      </c>
      <c r="M45" s="10">
        <f>ROUND(ABS('2. Demand History'!V45-IF($D45="Yes",'2. Demand History'!J45,AVERAGE('2. Demand History'!S45:U45)))/MAX('2. Demand History'!V45,1),3)</f>
        <v>5.8999999999999997E-2</v>
      </c>
      <c r="N45" s="10">
        <f>ROUND(ABS('2. Demand History'!W45-IF($D45="Yes",'2. Demand History'!K45,AVERAGE('2. Demand History'!T45:V45)))/MAX('2. Demand History'!W45,1),3)</f>
        <v>0.186</v>
      </c>
      <c r="O45" s="10">
        <f>ROUND(ABS('2. Demand History'!X45-IF($D45="Yes",'2. Demand History'!L45,AVERAGE('2. Demand History'!U45:W45)))/MAX('2. Demand History'!X45,1),3)</f>
        <v>0.13700000000000001</v>
      </c>
      <c r="P45" s="10">
        <f>ROUND(ABS('2. Demand History'!Y45-IF($D45="Yes",'2. Demand History'!M45,AVERAGE('2. Demand History'!V45:X45)))/MAX('2. Demand History'!Y45,1),3)</f>
        <v>0.19700000000000001</v>
      </c>
      <c r="Q45" s="10">
        <f>ROUND(ABS('2. Demand History'!Z45-IF($D45="Yes",'2. Demand History'!N45,AVERAGE('2. Demand History'!W45:Y45)))/MAX('2. Demand History'!Z45,1),3)</f>
        <v>0.03</v>
      </c>
    </row>
    <row r="46" spans="1:17" ht="15" customHeight="1" x14ac:dyDescent="0.2">
      <c r="A46" s="3" t="str">
        <f>'2. Demand History'!A46</f>
        <v>NT10042</v>
      </c>
      <c r="B46" s="1" t="str">
        <f>'2. Demand History'!B46</f>
        <v>Nova Lite 981 64GB</v>
      </c>
      <c r="C46" s="3" t="str">
        <f>'1. Master Data'!C46</f>
        <v>Smartphones</v>
      </c>
      <c r="D46" s="3" t="s">
        <v>1111</v>
      </c>
      <c r="E46" s="3" t="str">
        <f t="shared" si="0"/>
        <v>Seasonal Naive</v>
      </c>
      <c r="F46" s="3">
        <f>ROUND(AVERAGE('2. Demand History'!O46:Z46),1)</f>
        <v>135.5</v>
      </c>
      <c r="G46" s="3">
        <f>ROUND(STDEV('2. Demand History'!O46:Z46),1)</f>
        <v>54.8</v>
      </c>
      <c r="H46" s="8">
        <f t="shared" si="1"/>
        <v>0.4</v>
      </c>
      <c r="I46" s="8">
        <f>ROUND(SUM('2. Demand History'!O46:Z46)/MAX(SUM('2. Demand History'!C46:N46),1),2)</f>
        <v>1</v>
      </c>
      <c r="J46" s="5">
        <f>IF(D46="Yes",ROUND('2. Demand History'!O46*I46,0),ROUND(AVERAGE('2. Demand History'!X46:Z46),0))</f>
        <v>119</v>
      </c>
      <c r="K46" s="9">
        <f t="shared" si="2"/>
        <v>0.121</v>
      </c>
      <c r="L46" s="10">
        <f>ROUND(ABS('2. Demand History'!U46-IF($D46="Yes",'2. Demand History'!I46,AVERAGE('2. Demand History'!R46:T46)))/MAX('2. Demand History'!U46,1),3)</f>
        <v>0.155</v>
      </c>
      <c r="M46" s="10">
        <f>ROUND(ABS('2. Demand History'!V46-IF($D46="Yes",'2. Demand History'!J46,AVERAGE('2. Demand History'!S46:U46)))/MAX('2. Demand History'!V46,1),3)</f>
        <v>8.3000000000000004E-2</v>
      </c>
      <c r="N46" s="10">
        <f>ROUND(ABS('2. Demand History'!W46-IF($D46="Yes",'2. Demand History'!K46,AVERAGE('2. Demand History'!T46:V46)))/MAX('2. Demand History'!W46,1),3)</f>
        <v>3.6999999999999998E-2</v>
      </c>
      <c r="O46" s="10">
        <f>ROUND(ABS('2. Demand History'!X46-IF($D46="Yes",'2. Demand History'!L46,AVERAGE('2. Demand History'!U46:W46)))/MAX('2. Demand History'!X46,1),3)</f>
        <v>0.17699999999999999</v>
      </c>
      <c r="P46" s="10">
        <f>ROUND(ABS('2. Demand History'!Y46-IF($D46="Yes",'2. Demand History'!M46,AVERAGE('2. Demand History'!V46:X46)))/MAX('2. Demand History'!Y46,1),3)</f>
        <v>0.10199999999999999</v>
      </c>
      <c r="Q46" s="10">
        <f>ROUND(ABS('2. Demand History'!Z46-IF($D46="Yes",'2. Demand History'!N46,AVERAGE('2. Demand History'!W46:Y46)))/MAX('2. Demand History'!Z46,1),3)</f>
        <v>0.17299999999999999</v>
      </c>
    </row>
    <row r="47" spans="1:17" ht="15" customHeight="1" x14ac:dyDescent="0.2">
      <c r="A47" s="3" t="str">
        <f>'2. Demand History'!A47</f>
        <v>NT10043</v>
      </c>
      <c r="B47" s="1" t="str">
        <f>'2. Demand History'!B47</f>
        <v>Edge 999 5G 128GB</v>
      </c>
      <c r="C47" s="3" t="str">
        <f>'1. Master Data'!C47</f>
        <v>Smartphones</v>
      </c>
      <c r="D47" s="3" t="s">
        <v>1111</v>
      </c>
      <c r="E47" s="3" t="str">
        <f t="shared" si="0"/>
        <v>Seasonal Naive</v>
      </c>
      <c r="F47" s="3">
        <f>ROUND(AVERAGE('2. Demand History'!O47:Z47),1)</f>
        <v>28.1</v>
      </c>
      <c r="G47" s="3">
        <f>ROUND(STDEV('2. Demand History'!O47:Z47),1)</f>
        <v>9.5</v>
      </c>
      <c r="H47" s="8">
        <f t="shared" si="1"/>
        <v>0.34</v>
      </c>
      <c r="I47" s="8">
        <f>ROUND(SUM('2. Demand History'!O47:Z47)/MAX(SUM('2. Demand History'!C47:N47),1),2)</f>
        <v>1.05</v>
      </c>
      <c r="J47" s="5">
        <f>IF(D47="Yes",ROUND('2. Demand History'!O47*I47,0),ROUND(AVERAGE('2. Demand History'!X47:Z47),0))</f>
        <v>25</v>
      </c>
      <c r="K47" s="9">
        <f t="shared" si="2"/>
        <v>0.14000000000000001</v>
      </c>
      <c r="L47" s="10">
        <f>ROUND(ABS('2. Demand History'!U47-IF($D47="Yes",'2. Demand History'!I47,AVERAGE('2. Demand History'!R47:T47)))/MAX('2. Demand History'!U47,1),3)</f>
        <v>5.8000000000000003E-2</v>
      </c>
      <c r="M47" s="10">
        <f>ROUND(ABS('2. Demand History'!V47-IF($D47="Yes",'2. Demand History'!J47,AVERAGE('2. Demand History'!S47:U47)))/MAX('2. Demand History'!V47,1),3)</f>
        <v>0.25</v>
      </c>
      <c r="N47" s="10">
        <f>ROUND(ABS('2. Demand History'!W47-IF($D47="Yes",'2. Demand History'!K47,AVERAGE('2. Demand History'!T47:V47)))/MAX('2. Demand History'!W47,1),3)</f>
        <v>0.105</v>
      </c>
      <c r="O47" s="10">
        <f>ROUND(ABS('2. Demand History'!X47-IF($D47="Yes",'2. Demand History'!L47,AVERAGE('2. Demand History'!U47:W47)))/MAX('2. Demand History'!X47,1),3)</f>
        <v>0.217</v>
      </c>
      <c r="P47" s="10">
        <f>ROUND(ABS('2. Demand History'!Y47-IF($D47="Yes",'2. Demand History'!M47,AVERAGE('2. Demand History'!V47:X47)))/MAX('2. Demand History'!Y47,1),3)</f>
        <v>0</v>
      </c>
      <c r="Q47" s="10">
        <f>ROUND(ABS('2. Demand History'!Z47-IF($D47="Yes",'2. Demand History'!N47,AVERAGE('2. Demand History'!W47:Y47)))/MAX('2. Demand History'!Z47,1),3)</f>
        <v>0.20699999999999999</v>
      </c>
    </row>
    <row r="48" spans="1:17" ht="15" customHeight="1" x14ac:dyDescent="0.2">
      <c r="A48" s="3" t="str">
        <f>'2. Demand History'!A48</f>
        <v>NT10044</v>
      </c>
      <c r="B48" s="1" t="str">
        <f>'2. Demand History'!B48</f>
        <v>Nova Lite 886 64GB</v>
      </c>
      <c r="C48" s="3" t="str">
        <f>'1. Master Data'!C48</f>
        <v>Smartphones</v>
      </c>
      <c r="D48" s="3" t="s">
        <v>1111</v>
      </c>
      <c r="E48" s="3" t="str">
        <f t="shared" si="0"/>
        <v>Seasonal Naive</v>
      </c>
      <c r="F48" s="3">
        <f>ROUND(AVERAGE('2. Demand History'!O48:Z48),1)</f>
        <v>133.9</v>
      </c>
      <c r="G48" s="3">
        <f>ROUND(STDEV('2. Demand History'!O48:Z48),1)</f>
        <v>48.9</v>
      </c>
      <c r="H48" s="8">
        <f t="shared" si="1"/>
        <v>0.37</v>
      </c>
      <c r="I48" s="8">
        <f>ROUND(SUM('2. Demand History'!O48:Z48)/MAX(SUM('2. Demand History'!C48:N48),1),2)</f>
        <v>1.07</v>
      </c>
      <c r="J48" s="5">
        <f>IF(D48="Yes",ROUND('2. Demand History'!O48*I48,0),ROUND(AVERAGE('2. Demand History'!X48:Z48),0))</f>
        <v>129</v>
      </c>
      <c r="K48" s="9">
        <f t="shared" si="2"/>
        <v>0.16200000000000001</v>
      </c>
      <c r="L48" s="10">
        <f>ROUND(ABS('2. Demand History'!U48-IF($D48="Yes",'2. Demand History'!I48,AVERAGE('2. Demand History'!R48:T48)))/MAX('2. Demand History'!U48,1),3)</f>
        <v>0.22800000000000001</v>
      </c>
      <c r="M48" s="10">
        <f>ROUND(ABS('2. Demand History'!V48-IF($D48="Yes",'2. Demand History'!J48,AVERAGE('2. Demand History'!S48:U48)))/MAX('2. Demand History'!V48,1),3)</f>
        <v>6.9000000000000006E-2</v>
      </c>
      <c r="N48" s="10">
        <f>ROUND(ABS('2. Demand History'!W48-IF($D48="Yes",'2. Demand History'!K48,AVERAGE('2. Demand History'!T48:V48)))/MAX('2. Demand History'!W48,1),3)</f>
        <v>0.27</v>
      </c>
      <c r="O48" s="10">
        <f>ROUND(ABS('2. Demand History'!X48-IF($D48="Yes",'2. Demand History'!L48,AVERAGE('2. Demand History'!U48:W48)))/MAX('2. Demand History'!X48,1),3)</f>
        <v>0.105</v>
      </c>
      <c r="P48" s="10">
        <f>ROUND(ABS('2. Demand History'!Y48-IF($D48="Yes",'2. Demand History'!M48,AVERAGE('2. Demand History'!V48:X48)))/MAX('2. Demand History'!Y48,1),3)</f>
        <v>6.6000000000000003E-2</v>
      </c>
      <c r="Q48" s="10">
        <f>ROUND(ABS('2. Demand History'!Z48-IF($D48="Yes",'2. Demand History'!N48,AVERAGE('2. Demand History'!W48:Y48)))/MAX('2. Demand History'!Z48,1),3)</f>
        <v>0.23599999999999999</v>
      </c>
    </row>
    <row r="49" spans="1:17" ht="15" customHeight="1" x14ac:dyDescent="0.2">
      <c r="A49" s="3" t="str">
        <f>'2. Demand History'!A49</f>
        <v>NT10045</v>
      </c>
      <c r="B49" s="1" t="str">
        <f>'2. Demand History'!B49</f>
        <v>Nova X674 Pro 256GB</v>
      </c>
      <c r="C49" s="3" t="str">
        <f>'1. Master Data'!C49</f>
        <v>Smartphones</v>
      </c>
      <c r="D49" s="3" t="s">
        <v>1111</v>
      </c>
      <c r="E49" s="3" t="str">
        <f t="shared" si="0"/>
        <v>Seasonal Naive</v>
      </c>
      <c r="F49" s="3">
        <f>ROUND(AVERAGE('2. Demand History'!O49:Z49),1)</f>
        <v>69</v>
      </c>
      <c r="G49" s="3">
        <f>ROUND(STDEV('2. Demand History'!O49:Z49),1)</f>
        <v>17.3</v>
      </c>
      <c r="H49" s="8">
        <f t="shared" si="1"/>
        <v>0.25</v>
      </c>
      <c r="I49" s="8">
        <f>ROUND(SUM('2. Demand History'!O49:Z49)/MAX(SUM('2. Demand History'!C49:N49),1),2)</f>
        <v>1.01</v>
      </c>
      <c r="J49" s="5">
        <f>IF(D49="Yes",ROUND('2. Demand History'!O49*I49,0),ROUND(AVERAGE('2. Demand History'!X49:Z49),0))</f>
        <v>57</v>
      </c>
      <c r="K49" s="9">
        <f t="shared" si="2"/>
        <v>0.158</v>
      </c>
      <c r="L49" s="10">
        <f>ROUND(ABS('2. Demand History'!U49-IF($D49="Yes",'2. Demand History'!I49,AVERAGE('2. Demand History'!R49:T49)))/MAX('2. Demand History'!U49,1),3)</f>
        <v>0.19800000000000001</v>
      </c>
      <c r="M49" s="10">
        <f>ROUND(ABS('2. Demand History'!V49-IF($D49="Yes",'2. Demand History'!J49,AVERAGE('2. Demand History'!S49:U49)))/MAX('2. Demand History'!V49,1),3)</f>
        <v>3.7999999999999999E-2</v>
      </c>
      <c r="N49" s="10">
        <f>ROUND(ABS('2. Demand History'!W49-IF($D49="Yes",'2. Demand History'!K49,AVERAGE('2. Demand History'!T49:V49)))/MAX('2. Demand History'!W49,1),3)</f>
        <v>0.246</v>
      </c>
      <c r="O49" s="10">
        <f>ROUND(ABS('2. Demand History'!X49-IF($D49="Yes",'2. Demand History'!L49,AVERAGE('2. Demand History'!U49:W49)))/MAX('2. Demand History'!X49,1),3)</f>
        <v>0.13600000000000001</v>
      </c>
      <c r="P49" s="10">
        <f>ROUND(ABS('2. Demand History'!Y49-IF($D49="Yes",'2. Demand History'!M49,AVERAGE('2. Demand History'!V49:X49)))/MAX('2. Demand History'!Y49,1),3)</f>
        <v>0.182</v>
      </c>
      <c r="Q49" s="10">
        <f>ROUND(ABS('2. Demand History'!Z49-IF($D49="Yes",'2. Demand History'!N49,AVERAGE('2. Demand History'!W49:Y49)))/MAX('2. Demand History'!Z49,1),3)</f>
        <v>0.14799999999999999</v>
      </c>
    </row>
    <row r="50" spans="1:17" ht="15" customHeight="1" x14ac:dyDescent="0.2">
      <c r="A50" s="3" t="str">
        <f>'2. Demand History'!A50</f>
        <v>NT10046</v>
      </c>
      <c r="B50" s="1" t="str">
        <f>'2. Demand History'!B50</f>
        <v>Nova Lite 711 64GB</v>
      </c>
      <c r="C50" s="3" t="str">
        <f>'1. Master Data'!C50</f>
        <v>Smartphones</v>
      </c>
      <c r="D50" s="3" t="s">
        <v>1111</v>
      </c>
      <c r="E50" s="3" t="str">
        <f t="shared" si="0"/>
        <v>Seasonal Naive</v>
      </c>
      <c r="F50" s="3">
        <f>ROUND(AVERAGE('2. Demand History'!O50:Z50),1)</f>
        <v>89.3</v>
      </c>
      <c r="G50" s="3">
        <f>ROUND(STDEV('2. Demand History'!O50:Z50),1)</f>
        <v>28.9</v>
      </c>
      <c r="H50" s="8">
        <f t="shared" si="1"/>
        <v>0.32</v>
      </c>
      <c r="I50" s="8">
        <f>ROUND(SUM('2. Demand History'!O50:Z50)/MAX(SUM('2. Demand History'!C50:N50),1),2)</f>
        <v>0.98</v>
      </c>
      <c r="J50" s="5">
        <f>IF(D50="Yes",ROUND('2. Demand History'!O50*I50,0),ROUND(AVERAGE('2. Demand History'!X50:Z50),0))</f>
        <v>63</v>
      </c>
      <c r="K50" s="9">
        <f t="shared" si="2"/>
        <v>7.8E-2</v>
      </c>
      <c r="L50" s="10">
        <f>ROUND(ABS('2. Demand History'!U50-IF($D50="Yes",'2. Demand History'!I50,AVERAGE('2. Demand History'!R50:T50)))/MAX('2. Demand History'!U50,1),3)</f>
        <v>5.8999999999999997E-2</v>
      </c>
      <c r="M50" s="10">
        <f>ROUND(ABS('2. Demand History'!V50-IF($D50="Yes",'2. Demand History'!J50,AVERAGE('2. Demand History'!S50:U50)))/MAX('2. Demand History'!V50,1),3)</f>
        <v>1.4E-2</v>
      </c>
      <c r="N50" s="10">
        <f>ROUND(ABS('2. Demand History'!W50-IF($D50="Yes",'2. Demand History'!K50,AVERAGE('2. Demand History'!T50:V50)))/MAX('2. Demand History'!W50,1),3)</f>
        <v>0.14899999999999999</v>
      </c>
      <c r="O50" s="10">
        <f>ROUND(ABS('2. Demand History'!X50-IF($D50="Yes",'2. Demand History'!L50,AVERAGE('2. Demand History'!U50:W50)))/MAX('2. Demand History'!X50,1),3)</f>
        <v>2.3E-2</v>
      </c>
      <c r="P50" s="10">
        <f>ROUND(ABS('2. Demand History'!Y50-IF($D50="Yes",'2. Demand History'!M50,AVERAGE('2. Demand History'!V50:X50)))/MAX('2. Demand History'!Y50,1),3)</f>
        <v>0.14499999999999999</v>
      </c>
      <c r="Q50" s="10">
        <f>ROUND(ABS('2. Demand History'!Z50-IF($D50="Yes",'2. Demand History'!N50,AVERAGE('2. Demand History'!W50:Y50)))/MAX('2. Demand History'!Z50,1),3)</f>
        <v>7.5999999999999998E-2</v>
      </c>
    </row>
    <row r="51" spans="1:17" ht="15" customHeight="1" x14ac:dyDescent="0.2">
      <c r="A51" s="3" t="str">
        <f>'2. Demand History'!A51</f>
        <v>NT10047</v>
      </c>
      <c r="B51" s="1" t="str">
        <f>'2. Demand History'!B51</f>
        <v>Edge 345 5G 128GB</v>
      </c>
      <c r="C51" s="3" t="str">
        <f>'1. Master Data'!C51</f>
        <v>Smartphones</v>
      </c>
      <c r="D51" s="3" t="s">
        <v>1111</v>
      </c>
      <c r="E51" s="3" t="str">
        <f t="shared" si="0"/>
        <v>Seasonal Naive</v>
      </c>
      <c r="F51" s="3">
        <f>ROUND(AVERAGE('2. Demand History'!O51:Z51),1)</f>
        <v>190.2</v>
      </c>
      <c r="G51" s="3">
        <f>ROUND(STDEV('2. Demand History'!O51:Z51),1)</f>
        <v>56.5</v>
      </c>
      <c r="H51" s="8">
        <f t="shared" si="1"/>
        <v>0.3</v>
      </c>
      <c r="I51" s="8">
        <f>ROUND(SUM('2. Demand History'!O51:Z51)/MAX(SUM('2. Demand History'!C51:N51),1),2)</f>
        <v>1.05</v>
      </c>
      <c r="J51" s="5">
        <f>IF(D51="Yes",ROUND('2. Demand History'!O51*I51,0),ROUND(AVERAGE('2. Demand History'!X51:Z51),0))</f>
        <v>194</v>
      </c>
      <c r="K51" s="9">
        <f t="shared" si="2"/>
        <v>0.107</v>
      </c>
      <c r="L51" s="10">
        <f>ROUND(ABS('2. Demand History'!U51-IF($D51="Yes",'2. Demand History'!I51,AVERAGE('2. Demand History'!R51:T51)))/MAX('2. Demand History'!U51,1),3)</f>
        <v>0.14799999999999999</v>
      </c>
      <c r="M51" s="10">
        <f>ROUND(ABS('2. Demand History'!V51-IF($D51="Yes",'2. Demand History'!J51,AVERAGE('2. Demand History'!S51:U51)))/MAX('2. Demand History'!V51,1),3)</f>
        <v>8.9999999999999993E-3</v>
      </c>
      <c r="N51" s="10">
        <f>ROUND(ABS('2. Demand History'!W51-IF($D51="Yes",'2. Demand History'!K51,AVERAGE('2. Demand History'!T51:V51)))/MAX('2. Demand History'!W51,1),3)</f>
        <v>9.7000000000000003E-2</v>
      </c>
      <c r="O51" s="10">
        <f>ROUND(ABS('2. Demand History'!X51-IF($D51="Yes",'2. Demand History'!L51,AVERAGE('2. Demand History'!U51:W51)))/MAX('2. Demand History'!X51,1),3)</f>
        <v>9.0999999999999998E-2</v>
      </c>
      <c r="P51" s="10">
        <f>ROUND(ABS('2. Demand History'!Y51-IF($D51="Yes",'2. Demand History'!M51,AVERAGE('2. Demand History'!V51:X51)))/MAX('2. Demand History'!Y51,1),3)</f>
        <v>0.14699999999999999</v>
      </c>
      <c r="Q51" s="10">
        <f>ROUND(ABS('2. Demand History'!Z51-IF($D51="Yes",'2. Demand History'!N51,AVERAGE('2. Demand History'!W51:Y51)))/MAX('2. Demand History'!Z51,1),3)</f>
        <v>0.14799999999999999</v>
      </c>
    </row>
    <row r="52" spans="1:17" ht="15" customHeight="1" x14ac:dyDescent="0.2">
      <c r="A52" s="3" t="str">
        <f>'2. Demand History'!A52</f>
        <v>NT10048</v>
      </c>
      <c r="B52" s="1" t="str">
        <f>'2. Demand History'!B52</f>
        <v>Pulse 800 Dual SIM</v>
      </c>
      <c r="C52" s="3" t="str">
        <f>'1. Master Data'!C52</f>
        <v>Smartphones</v>
      </c>
      <c r="D52" s="3" t="s">
        <v>1111</v>
      </c>
      <c r="E52" s="3" t="str">
        <f t="shared" si="0"/>
        <v>Seasonal Naive</v>
      </c>
      <c r="F52" s="3">
        <f>ROUND(AVERAGE('2. Demand History'!O52:Z52),1)</f>
        <v>25</v>
      </c>
      <c r="G52" s="3">
        <f>ROUND(STDEV('2. Demand History'!O52:Z52),1)</f>
        <v>17</v>
      </c>
      <c r="H52" s="8">
        <f t="shared" si="1"/>
        <v>0.68</v>
      </c>
      <c r="I52" s="8">
        <f>ROUND(SUM('2. Demand History'!O52:Z52)/MAX(SUM('2. Demand History'!C52:N52),1),2)</f>
        <v>0.34</v>
      </c>
      <c r="J52" s="5">
        <f>IF(D52="Yes",ROUND('2. Demand History'!O52*I52,0),ROUND(AVERAGE('2. Demand History'!X52:Z52),0))</f>
        <v>18</v>
      </c>
      <c r="K52" s="9">
        <f t="shared" si="2"/>
        <v>5.5030000000000001</v>
      </c>
      <c r="L52" s="10">
        <f>ROUND(ABS('2. Demand History'!U52-IF($D52="Yes",'2. Demand History'!I52,AVERAGE('2. Demand History'!R52:T52)))/MAX('2. Demand History'!U52,1),3)</f>
        <v>2.0830000000000002</v>
      </c>
      <c r="M52" s="10">
        <f>ROUND(ABS('2. Demand History'!V52-IF($D52="Yes",'2. Demand History'!J52,AVERAGE('2. Demand History'!S52:U52)))/MAX('2. Demand History'!V52,1),3)</f>
        <v>3.4740000000000002</v>
      </c>
      <c r="N52" s="10">
        <f>ROUND(ABS('2. Demand History'!W52-IF($D52="Yes",'2. Demand History'!K52,AVERAGE('2. Demand History'!T52:V52)))/MAX('2. Demand History'!W52,1),3)</f>
        <v>2.6920000000000002</v>
      </c>
      <c r="O52" s="10">
        <f>ROUND(ABS('2. Demand History'!X52-IF($D52="Yes",'2. Demand History'!L52,AVERAGE('2. Demand History'!U52:W52)))/MAX('2. Demand History'!X52,1),3)</f>
        <v>6.8330000000000002</v>
      </c>
      <c r="P52" s="10">
        <f>ROUND(ABS('2. Demand History'!Y52-IF($D52="Yes",'2. Demand History'!M52,AVERAGE('2. Demand History'!V52:X52)))/MAX('2. Demand History'!Y52,1),3)</f>
        <v>6.3330000000000002</v>
      </c>
      <c r="Q52" s="10">
        <f>ROUND(ABS('2. Demand History'!Z52-IF($D52="Yes",'2. Demand History'!N52,AVERAGE('2. Demand History'!W52:Y52)))/MAX('2. Demand History'!Z52,1),3)</f>
        <v>11.6</v>
      </c>
    </row>
    <row r="53" spans="1:17" ht="15" customHeight="1" x14ac:dyDescent="0.2">
      <c r="A53" s="3" t="str">
        <f>'2. Demand History'!A53</f>
        <v>NT10049</v>
      </c>
      <c r="B53" s="1" t="str">
        <f>'2. Demand History'!B53</f>
        <v>Nova Lite 422 64GB</v>
      </c>
      <c r="C53" s="3" t="str">
        <f>'1. Master Data'!C53</f>
        <v>Smartphones</v>
      </c>
      <c r="D53" s="3" t="s">
        <v>1111</v>
      </c>
      <c r="E53" s="3" t="str">
        <f t="shared" si="0"/>
        <v>Seasonal Naive</v>
      </c>
      <c r="F53" s="3">
        <f>ROUND(AVERAGE('2. Demand History'!O53:Z53),1)</f>
        <v>56.7</v>
      </c>
      <c r="G53" s="3">
        <f>ROUND(STDEV('2. Demand History'!O53:Z53),1)</f>
        <v>14.4</v>
      </c>
      <c r="H53" s="8">
        <f t="shared" si="1"/>
        <v>0.25</v>
      </c>
      <c r="I53" s="8">
        <f>ROUND(SUM('2. Demand History'!O53:Z53)/MAX(SUM('2. Demand History'!C53:N53),1),2)</f>
        <v>1.06</v>
      </c>
      <c r="J53" s="5">
        <f>IF(D53="Yes",ROUND('2. Demand History'!O53*I53,0),ROUND(AVERAGE('2. Demand History'!X53:Z53),0))</f>
        <v>54</v>
      </c>
      <c r="K53" s="9">
        <f t="shared" si="2"/>
        <v>0.09</v>
      </c>
      <c r="L53" s="10">
        <f>ROUND(ABS('2. Demand History'!U53-IF($D53="Yes",'2. Demand History'!I53,AVERAGE('2. Demand History'!R53:T53)))/MAX('2. Demand History'!U53,1),3)</f>
        <v>2.1999999999999999E-2</v>
      </c>
      <c r="M53" s="10">
        <f>ROUND(ABS('2. Demand History'!V53-IF($D53="Yes",'2. Demand History'!J53,AVERAGE('2. Demand History'!S53:U53)))/MAX('2. Demand History'!V53,1),3)</f>
        <v>0.122</v>
      </c>
      <c r="N53" s="10">
        <f>ROUND(ABS('2. Demand History'!W53-IF($D53="Yes",'2. Demand History'!K53,AVERAGE('2. Demand History'!T53:V53)))/MAX('2. Demand History'!W53,1),3)</f>
        <v>0.111</v>
      </c>
      <c r="O53" s="10">
        <f>ROUND(ABS('2. Demand History'!X53-IF($D53="Yes",'2. Demand History'!L53,AVERAGE('2. Demand History'!U53:W53)))/MAX('2. Demand History'!X53,1),3)</f>
        <v>9.6000000000000002E-2</v>
      </c>
      <c r="P53" s="10">
        <f>ROUND(ABS('2. Demand History'!Y53-IF($D53="Yes",'2. Demand History'!M53,AVERAGE('2. Demand History'!V53:X53)))/MAX('2. Demand History'!Y53,1),3)</f>
        <v>8.5999999999999993E-2</v>
      </c>
      <c r="Q53" s="10">
        <f>ROUND(ABS('2. Demand History'!Z53-IF($D53="Yes",'2. Demand History'!N53,AVERAGE('2. Demand History'!W53:Y53)))/MAX('2. Demand History'!Z53,1),3)</f>
        <v>0.105</v>
      </c>
    </row>
    <row r="54" spans="1:17" ht="15" customHeight="1" x14ac:dyDescent="0.2">
      <c r="A54" s="3" t="str">
        <f>'2. Demand History'!A54</f>
        <v>NT10050</v>
      </c>
      <c r="B54" s="1" t="str">
        <f>'2. Demand History'!B54</f>
        <v>Nova Lite 448 64GB</v>
      </c>
      <c r="C54" s="3" t="str">
        <f>'1. Master Data'!C54</f>
        <v>Smartphones</v>
      </c>
      <c r="D54" s="3" t="s">
        <v>1111</v>
      </c>
      <c r="E54" s="3" t="str">
        <f t="shared" si="0"/>
        <v>Seasonal Naive</v>
      </c>
      <c r="F54" s="3">
        <f>ROUND(AVERAGE('2. Demand History'!O54:Z54),1)</f>
        <v>164.8</v>
      </c>
      <c r="G54" s="3">
        <f>ROUND(STDEV('2. Demand History'!O54:Z54),1)</f>
        <v>41.1</v>
      </c>
      <c r="H54" s="8">
        <f t="shared" si="1"/>
        <v>0.25</v>
      </c>
      <c r="I54" s="8">
        <f>ROUND(SUM('2. Demand History'!O54:Z54)/MAX(SUM('2. Demand History'!C54:N54),1),2)</f>
        <v>1.05</v>
      </c>
      <c r="J54" s="5">
        <f>IF(D54="Yes",ROUND('2. Demand History'!O54*I54,0),ROUND(AVERAGE('2. Demand History'!X54:Z54),0))</f>
        <v>162</v>
      </c>
      <c r="K54" s="9">
        <f t="shared" si="2"/>
        <v>7.8E-2</v>
      </c>
      <c r="L54" s="10">
        <f>ROUND(ABS('2. Demand History'!U54-IF($D54="Yes",'2. Demand History'!I54,AVERAGE('2. Demand History'!R54:T54)))/MAX('2. Demand History'!U54,1),3)</f>
        <v>0.13500000000000001</v>
      </c>
      <c r="M54" s="10">
        <f>ROUND(ABS('2. Demand History'!V54-IF($D54="Yes",'2. Demand History'!J54,AVERAGE('2. Demand History'!S54:U54)))/MAX('2. Demand History'!V54,1),3)</f>
        <v>0.153</v>
      </c>
      <c r="N54" s="10">
        <f>ROUND(ABS('2. Demand History'!W54-IF($D54="Yes",'2. Demand History'!K54,AVERAGE('2. Demand History'!T54:V54)))/MAX('2. Demand History'!W54,1),3)</f>
        <v>8.9999999999999993E-3</v>
      </c>
      <c r="O54" s="10">
        <f>ROUND(ABS('2. Demand History'!X54-IF($D54="Yes",'2. Demand History'!L54,AVERAGE('2. Demand History'!U54:W54)))/MAX('2. Demand History'!X54,1),3)</f>
        <v>2.5999999999999999E-2</v>
      </c>
      <c r="P54" s="10">
        <f>ROUND(ABS('2. Demand History'!Y54-IF($D54="Yes",'2. Demand History'!M54,AVERAGE('2. Demand History'!V54:X54)))/MAX('2. Demand History'!Y54,1),3)</f>
        <v>0.13700000000000001</v>
      </c>
      <c r="Q54" s="10">
        <f>ROUND(ABS('2. Demand History'!Z54-IF($D54="Yes",'2. Demand History'!N54,AVERAGE('2. Demand History'!W54:Y54)))/MAX('2. Demand History'!Z54,1),3)</f>
        <v>6.0000000000000001E-3</v>
      </c>
    </row>
    <row r="55" spans="1:17" ht="15" customHeight="1" x14ac:dyDescent="0.2">
      <c r="A55" s="3" t="str">
        <f>'2. Demand History'!A55</f>
        <v>NT10051</v>
      </c>
      <c r="B55" s="1" t="str">
        <f>'2. Demand History'!B55</f>
        <v>CreatorPro 982 i9 16in</v>
      </c>
      <c r="C55" s="3" t="str">
        <f>'1. Master Data'!C55</f>
        <v>Laptops</v>
      </c>
      <c r="D55" s="3" t="s">
        <v>1111</v>
      </c>
      <c r="E55" s="3" t="str">
        <f t="shared" si="0"/>
        <v>Seasonal Naive</v>
      </c>
      <c r="F55" s="3">
        <f>ROUND(AVERAGE('2. Demand History'!O55:Z55),1)</f>
        <v>183.1</v>
      </c>
      <c r="G55" s="3">
        <f>ROUND(STDEV('2. Demand History'!O55:Z55),1)</f>
        <v>55.6</v>
      </c>
      <c r="H55" s="8">
        <f t="shared" si="1"/>
        <v>0.3</v>
      </c>
      <c r="I55" s="8">
        <f>ROUND(SUM('2. Demand History'!O55:Z55)/MAX(SUM('2. Demand History'!C55:N55),1),2)</f>
        <v>1.03</v>
      </c>
      <c r="J55" s="5">
        <f>IF(D55="Yes",ROUND('2. Demand History'!O55*I55,0),ROUND(AVERAGE('2. Demand History'!X55:Z55),0))</f>
        <v>160</v>
      </c>
      <c r="K55" s="9">
        <f t="shared" si="2"/>
        <v>0.13700000000000001</v>
      </c>
      <c r="L55" s="10">
        <f>ROUND(ABS('2. Demand History'!U55-IF($D55="Yes",'2. Demand History'!I55,AVERAGE('2. Demand History'!R55:T55)))/MAX('2. Demand History'!U55,1),3)</f>
        <v>1.2E-2</v>
      </c>
      <c r="M55" s="10">
        <f>ROUND(ABS('2. Demand History'!V55-IF($D55="Yes",'2. Demand History'!J55,AVERAGE('2. Demand History'!S55:U55)))/MAX('2. Demand History'!V55,1),3)</f>
        <v>7.9000000000000001E-2</v>
      </c>
      <c r="N55" s="10">
        <f>ROUND(ABS('2. Demand History'!W55-IF($D55="Yes",'2. Demand History'!K55,AVERAGE('2. Demand History'!T55:V55)))/MAX('2. Demand History'!W55,1),3)</f>
        <v>0.24199999999999999</v>
      </c>
      <c r="O55" s="10">
        <f>ROUND(ABS('2. Demand History'!X55-IF($D55="Yes",'2. Demand History'!L55,AVERAGE('2. Demand History'!U55:W55)))/MAX('2. Demand History'!X55,1),3)</f>
        <v>0.32800000000000001</v>
      </c>
      <c r="P55" s="10">
        <f>ROUND(ABS('2. Demand History'!Y55-IF($D55="Yes",'2. Demand History'!M55,AVERAGE('2. Demand History'!V55:X55)))/MAX('2. Demand History'!Y55,1),3)</f>
        <v>3.1E-2</v>
      </c>
      <c r="Q55" s="10">
        <f>ROUND(ABS('2. Demand History'!Z55-IF($D55="Yes",'2. Demand History'!N55,AVERAGE('2. Demand History'!W55:Y55)))/MAX('2. Demand History'!Z55,1),3)</f>
        <v>0.129</v>
      </c>
    </row>
    <row r="56" spans="1:17" ht="15" customHeight="1" x14ac:dyDescent="0.2">
      <c r="A56" s="3" t="str">
        <f>'2. Demand History'!A56</f>
        <v>NT10052</v>
      </c>
      <c r="B56" s="1" t="str">
        <f>'2. Demand History'!B56</f>
        <v>ProBook 483 i7 15in</v>
      </c>
      <c r="C56" s="3" t="str">
        <f>'1. Master Data'!C56</f>
        <v>Laptops</v>
      </c>
      <c r="D56" s="3" t="s">
        <v>1111</v>
      </c>
      <c r="E56" s="3" t="str">
        <f t="shared" si="0"/>
        <v>Seasonal Naive</v>
      </c>
      <c r="F56" s="3">
        <f>ROUND(AVERAGE('2. Demand History'!O56:Z56),1)</f>
        <v>25.2</v>
      </c>
      <c r="G56" s="3">
        <f>ROUND(STDEV('2. Demand History'!O56:Z56),1)</f>
        <v>24.5</v>
      </c>
      <c r="H56" s="8">
        <f t="shared" si="1"/>
        <v>0.97</v>
      </c>
      <c r="I56" s="8">
        <f>ROUND(SUM('2. Demand History'!O56:Z56)/MAX(SUM('2. Demand History'!C56:N56),1),2)</f>
        <v>1.1399999999999999</v>
      </c>
      <c r="J56" s="5">
        <f>IF(D56="Yes",ROUND('2. Demand History'!O56*I56,0),ROUND(AVERAGE('2. Demand History'!X56:Z56),0))</f>
        <v>74</v>
      </c>
      <c r="K56" s="9">
        <f t="shared" si="2"/>
        <v>1.9239999999999999</v>
      </c>
      <c r="L56" s="10">
        <f>ROUND(ABS('2. Demand History'!U56-IF($D56="Yes",'2. Demand History'!I56,AVERAGE('2. Demand History'!R56:T56)))/MAX('2. Demand History'!U56,1),3)</f>
        <v>4.1109999999999998</v>
      </c>
      <c r="M56" s="10">
        <f>ROUND(ABS('2. Demand History'!V56-IF($D56="Yes",'2. Demand History'!J56,AVERAGE('2. Demand History'!S56:U56)))/MAX('2. Demand History'!V56,1),3)</f>
        <v>0.25</v>
      </c>
      <c r="N56" s="10">
        <f>ROUND(ABS('2. Demand History'!W56-IF($D56="Yes",'2. Demand History'!K56,AVERAGE('2. Demand History'!T56:V56)))/MAX('2. Demand History'!W56,1),3)</f>
        <v>6</v>
      </c>
      <c r="O56" s="10">
        <f>ROUND(ABS('2. Demand History'!X56-IF($D56="Yes",'2. Demand History'!L56,AVERAGE('2. Demand History'!U56:W56)))/MAX('2. Demand History'!X56,1),3)</f>
        <v>0.25</v>
      </c>
      <c r="P56" s="10">
        <f>ROUND(ABS('2. Demand History'!Y56-IF($D56="Yes",'2. Demand History'!M56,AVERAGE('2. Demand History'!V56:X56)))/MAX('2. Demand History'!Y56,1),3)</f>
        <v>0.93300000000000005</v>
      </c>
      <c r="Q56" s="10">
        <f>ROUND(ABS('2. Demand History'!Z56-IF($D56="Yes",'2. Demand History'!N56,AVERAGE('2. Demand History'!W56:Y56)))/MAX('2. Demand History'!Z56,1),3)</f>
        <v>0</v>
      </c>
    </row>
    <row r="57" spans="1:17" ht="15" customHeight="1" x14ac:dyDescent="0.2">
      <c r="A57" s="3" t="str">
        <f>'2. Demand History'!A57</f>
        <v>NT10053</v>
      </c>
      <c r="B57" s="1" t="str">
        <f>'2. Demand History'!B57</f>
        <v>CreatorPro 419 i9 16in</v>
      </c>
      <c r="C57" s="3" t="str">
        <f>'1. Master Data'!C57</f>
        <v>Laptops</v>
      </c>
      <c r="D57" s="3" t="s">
        <v>1111</v>
      </c>
      <c r="E57" s="3" t="str">
        <f t="shared" si="0"/>
        <v>Seasonal Naive</v>
      </c>
      <c r="F57" s="3">
        <f>ROUND(AVERAGE('2. Demand History'!O57:Z57),1)</f>
        <v>11.7</v>
      </c>
      <c r="G57" s="3">
        <f>ROUND(STDEV('2. Demand History'!O57:Z57),1)</f>
        <v>3.3</v>
      </c>
      <c r="H57" s="8">
        <f t="shared" si="1"/>
        <v>0.28000000000000003</v>
      </c>
      <c r="I57" s="8">
        <f>ROUND(SUM('2. Demand History'!O57:Z57)/MAX(SUM('2. Demand History'!C57:N57),1),2)</f>
        <v>1.1100000000000001</v>
      </c>
      <c r="J57" s="5">
        <f>IF(D57="Yes",ROUND('2. Demand History'!O57*I57,0),ROUND(AVERAGE('2. Demand History'!X57:Z57),0))</f>
        <v>11</v>
      </c>
      <c r="K57" s="9">
        <f t="shared" si="2"/>
        <v>0.158</v>
      </c>
      <c r="L57" s="10">
        <f>ROUND(ABS('2. Demand History'!U57-IF($D57="Yes",'2. Demand History'!I57,AVERAGE('2. Demand History'!R57:T57)))/MAX('2. Demand History'!U57,1),3)</f>
        <v>0.19</v>
      </c>
      <c r="M57" s="10">
        <f>ROUND(ABS('2. Demand History'!V57-IF($D57="Yes",'2. Demand History'!J57,AVERAGE('2. Demand History'!S57:U57)))/MAX('2. Demand History'!V57,1),3)</f>
        <v>0.25</v>
      </c>
      <c r="N57" s="10">
        <f>ROUND(ABS('2. Demand History'!W57-IF($D57="Yes",'2. Demand History'!K57,AVERAGE('2. Demand History'!T57:V57)))/MAX('2. Demand History'!W57,1),3)</f>
        <v>0.111</v>
      </c>
      <c r="O57" s="10">
        <f>ROUND(ABS('2. Demand History'!X57-IF($D57="Yes",'2. Demand History'!L57,AVERAGE('2. Demand History'!U57:W57)))/MAX('2. Demand History'!X57,1),3)</f>
        <v>9.0999999999999998E-2</v>
      </c>
      <c r="P57" s="10">
        <f>ROUND(ABS('2. Demand History'!Y57-IF($D57="Yes",'2. Demand History'!M57,AVERAGE('2. Demand History'!V57:X57)))/MAX('2. Demand History'!Y57,1),3)</f>
        <v>0</v>
      </c>
      <c r="Q57" s="10">
        <f>ROUND(ABS('2. Demand History'!Z57-IF($D57="Yes",'2. Demand History'!N57,AVERAGE('2. Demand History'!W57:Y57)))/MAX('2. Demand History'!Z57,1),3)</f>
        <v>0.308</v>
      </c>
    </row>
    <row r="58" spans="1:17" ht="15" customHeight="1" x14ac:dyDescent="0.2">
      <c r="A58" s="3" t="str">
        <f>'2. Demand History'!A58</f>
        <v>NT10054</v>
      </c>
      <c r="B58" s="1" t="str">
        <f>'2. Demand History'!B58</f>
        <v>WorkMate 914 i3 14in</v>
      </c>
      <c r="C58" s="3" t="str">
        <f>'1. Master Data'!C58</f>
        <v>Laptops</v>
      </c>
      <c r="D58" s="3" t="s">
        <v>1111</v>
      </c>
      <c r="E58" s="3" t="str">
        <f t="shared" si="0"/>
        <v>Seasonal Naive</v>
      </c>
      <c r="F58" s="3">
        <f>ROUND(AVERAGE('2. Demand History'!O58:Z58),1)</f>
        <v>16.2</v>
      </c>
      <c r="G58" s="3">
        <f>ROUND(STDEV('2. Demand History'!O58:Z58),1)</f>
        <v>4.5999999999999996</v>
      </c>
      <c r="H58" s="8">
        <f t="shared" si="1"/>
        <v>0.28000000000000003</v>
      </c>
      <c r="I58" s="8">
        <f>ROUND(SUM('2. Demand History'!O58:Z58)/MAX(SUM('2. Demand History'!C58:N58),1),2)</f>
        <v>1.04</v>
      </c>
      <c r="J58" s="5">
        <f>IF(D58="Yes",ROUND('2. Demand History'!O58*I58,0),ROUND(AVERAGE('2. Demand History'!X58:Z58),0))</f>
        <v>14</v>
      </c>
      <c r="K58" s="9">
        <f t="shared" si="2"/>
        <v>0.13500000000000001</v>
      </c>
      <c r="L58" s="10">
        <f>ROUND(ABS('2. Demand History'!U58-IF($D58="Yes",'2. Demand History'!I58,AVERAGE('2. Demand History'!R58:T58)))/MAX('2. Demand History'!U58,1),3)</f>
        <v>0.107</v>
      </c>
      <c r="M58" s="10">
        <f>ROUND(ABS('2. Demand History'!V58-IF($D58="Yes",'2. Demand History'!J58,AVERAGE('2. Demand History'!S58:U58)))/MAX('2. Demand History'!V58,1),3)</f>
        <v>9.0999999999999998E-2</v>
      </c>
      <c r="N58" s="10">
        <f>ROUND(ABS('2. Demand History'!W58-IF($D58="Yes",'2. Demand History'!K58,AVERAGE('2. Demand History'!T58:V58)))/MAX('2. Demand History'!W58,1),3)</f>
        <v>0.182</v>
      </c>
      <c r="O58" s="10">
        <f>ROUND(ABS('2. Demand History'!X58-IF($D58="Yes",'2. Demand History'!L58,AVERAGE('2. Demand History'!U58:W58)))/MAX('2. Demand History'!X58,1),3)</f>
        <v>0.188</v>
      </c>
      <c r="P58" s="10">
        <f>ROUND(ABS('2. Demand History'!Y58-IF($D58="Yes",'2. Demand History'!M58,AVERAGE('2. Demand History'!V58:X58)))/MAX('2. Demand History'!Y58,1),3)</f>
        <v>0.17599999999999999</v>
      </c>
      <c r="Q58" s="10">
        <f>ROUND(ABS('2. Demand History'!Z58-IF($D58="Yes",'2. Demand History'!N58,AVERAGE('2. Demand History'!W58:Y58)))/MAX('2. Demand History'!Z58,1),3)</f>
        <v>6.3E-2</v>
      </c>
    </row>
    <row r="59" spans="1:17" ht="15" customHeight="1" x14ac:dyDescent="0.2">
      <c r="A59" s="3" t="str">
        <f>'2. Demand History'!A59</f>
        <v>NT10055</v>
      </c>
      <c r="B59" s="1" t="str">
        <f>'2. Demand History'!B59</f>
        <v>UltraSlim 241 Ryzen 5</v>
      </c>
      <c r="C59" s="3" t="str">
        <f>'1. Master Data'!C59</f>
        <v>Laptops</v>
      </c>
      <c r="D59" s="3" t="s">
        <v>1111</v>
      </c>
      <c r="E59" s="3" t="str">
        <f t="shared" si="0"/>
        <v>Seasonal Naive</v>
      </c>
      <c r="F59" s="3">
        <f>ROUND(AVERAGE('2. Demand History'!O59:Z59),1)</f>
        <v>9.6999999999999993</v>
      </c>
      <c r="G59" s="3">
        <f>ROUND(STDEV('2. Demand History'!O59:Z59),1)</f>
        <v>2.5</v>
      </c>
      <c r="H59" s="8">
        <f t="shared" si="1"/>
        <v>0.26</v>
      </c>
      <c r="I59" s="8">
        <f>ROUND(SUM('2. Demand History'!O59:Z59)/MAX(SUM('2. Demand History'!C59:N59),1),2)</f>
        <v>0.94</v>
      </c>
      <c r="J59" s="5">
        <f>IF(D59="Yes",ROUND('2. Demand History'!O59*I59,0),ROUND(AVERAGE('2. Demand History'!X59:Z59),0))</f>
        <v>10</v>
      </c>
      <c r="K59" s="9">
        <f t="shared" si="2"/>
        <v>0.17100000000000001</v>
      </c>
      <c r="L59" s="10">
        <f>ROUND(ABS('2. Demand History'!U59-IF($D59="Yes",'2. Demand History'!I59,AVERAGE('2. Demand History'!R59:T59)))/MAX('2. Demand History'!U59,1),3)</f>
        <v>0.42899999999999999</v>
      </c>
      <c r="M59" s="10">
        <f>ROUND(ABS('2. Demand History'!V59-IF($D59="Yes",'2. Demand History'!J59,AVERAGE('2. Demand History'!S59:U59)))/MAX('2. Demand History'!V59,1),3)</f>
        <v>0</v>
      </c>
      <c r="N59" s="10">
        <f>ROUND(ABS('2. Demand History'!W59-IF($D59="Yes",'2. Demand History'!K59,AVERAGE('2. Demand History'!T59:V59)))/MAX('2. Demand History'!W59,1),3)</f>
        <v>0.33300000000000002</v>
      </c>
      <c r="O59" s="10">
        <f>ROUND(ABS('2. Demand History'!X59-IF($D59="Yes",'2. Demand History'!L59,AVERAGE('2. Demand History'!U59:W59)))/MAX('2. Demand History'!X59,1),3)</f>
        <v>0.182</v>
      </c>
      <c r="P59" s="10">
        <f>ROUND(ABS('2. Demand History'!Y59-IF($D59="Yes",'2. Demand History'!M59,AVERAGE('2. Demand History'!V59:X59)))/MAX('2. Demand History'!Y59,1),3)</f>
        <v>0</v>
      </c>
      <c r="Q59" s="10">
        <f>ROUND(ABS('2. Demand History'!Z59-IF($D59="Yes",'2. Demand History'!N59,AVERAGE('2. Demand History'!W59:Y59)))/MAX('2. Demand History'!Z59,1),3)</f>
        <v>8.3000000000000004E-2</v>
      </c>
    </row>
    <row r="60" spans="1:17" ht="15" customHeight="1" x14ac:dyDescent="0.2">
      <c r="A60" s="3" t="str">
        <f>'2. Demand History'!A60</f>
        <v>NT10056</v>
      </c>
      <c r="B60" s="1" t="str">
        <f>'2. Demand History'!B60</f>
        <v>ProBook 502 i5 14in</v>
      </c>
      <c r="C60" s="3" t="str">
        <f>'1. Master Data'!C60</f>
        <v>Laptops</v>
      </c>
      <c r="D60" s="3" t="s">
        <v>1111</v>
      </c>
      <c r="E60" s="3" t="str">
        <f t="shared" si="0"/>
        <v>Seasonal Naive</v>
      </c>
      <c r="F60" s="3">
        <f>ROUND(AVERAGE('2. Demand History'!O60:Z60),1)</f>
        <v>57.2</v>
      </c>
      <c r="G60" s="3">
        <f>ROUND(STDEV('2. Demand History'!O60:Z60),1)</f>
        <v>16.7</v>
      </c>
      <c r="H60" s="8">
        <f t="shared" si="1"/>
        <v>0.28999999999999998</v>
      </c>
      <c r="I60" s="8">
        <f>ROUND(SUM('2. Demand History'!O60:Z60)/MAX(SUM('2. Demand History'!C60:N60),1),2)</f>
        <v>1.02</v>
      </c>
      <c r="J60" s="5">
        <f>IF(D60="Yes",ROUND('2. Demand History'!O60*I60,0),ROUND(AVERAGE('2. Demand History'!X60:Z60),0))</f>
        <v>56</v>
      </c>
      <c r="K60" s="9">
        <f t="shared" si="2"/>
        <v>0.115</v>
      </c>
      <c r="L60" s="10">
        <f>ROUND(ABS('2. Demand History'!U60-IF($D60="Yes",'2. Demand History'!I60,AVERAGE('2. Demand History'!R60:T60)))/MAX('2. Demand History'!U60,1),3)</f>
        <v>0.04</v>
      </c>
      <c r="M60" s="10">
        <f>ROUND(ABS('2. Demand History'!V60-IF($D60="Yes",'2. Demand History'!J60,AVERAGE('2. Demand History'!S60:U60)))/MAX('2. Demand History'!V60,1),3)</f>
        <v>2.5000000000000001E-2</v>
      </c>
      <c r="N60" s="10">
        <f>ROUND(ABS('2. Demand History'!W60-IF($D60="Yes",'2. Demand History'!K60,AVERAGE('2. Demand History'!T60:V60)))/MAX('2. Demand History'!W60,1),3)</f>
        <v>0.109</v>
      </c>
      <c r="O60" s="10">
        <f>ROUND(ABS('2. Demand History'!X60-IF($D60="Yes",'2. Demand History'!L60,AVERAGE('2. Demand History'!U60:W60)))/MAX('2. Demand History'!X60,1),3)</f>
        <v>8.5000000000000006E-2</v>
      </c>
      <c r="P60" s="10">
        <f>ROUND(ABS('2. Demand History'!Y60-IF($D60="Yes",'2. Demand History'!M60,AVERAGE('2. Demand History'!V60:X60)))/MAX('2. Demand History'!Y60,1),3)</f>
        <v>0.22900000000000001</v>
      </c>
      <c r="Q60" s="10">
        <f>ROUND(ABS('2. Demand History'!Z60-IF($D60="Yes",'2. Demand History'!N60,AVERAGE('2. Demand History'!W60:Y60)))/MAX('2. Demand History'!Z60,1),3)</f>
        <v>0.20399999999999999</v>
      </c>
    </row>
    <row r="61" spans="1:17" ht="15" customHeight="1" x14ac:dyDescent="0.2">
      <c r="A61" s="3" t="str">
        <f>'2. Demand History'!A61</f>
        <v>NT10057</v>
      </c>
      <c r="B61" s="1" t="str">
        <f>'2. Demand History'!B61</f>
        <v>ProBook 187 i5 14in</v>
      </c>
      <c r="C61" s="3" t="str">
        <f>'1. Master Data'!C61</f>
        <v>Laptops</v>
      </c>
      <c r="D61" s="3" t="s">
        <v>1111</v>
      </c>
      <c r="E61" s="3" t="str">
        <f t="shared" si="0"/>
        <v>Seasonal Naive</v>
      </c>
      <c r="F61" s="3">
        <f>ROUND(AVERAGE('2. Demand History'!O61:Z61),1)</f>
        <v>22.8</v>
      </c>
      <c r="G61" s="3">
        <f>ROUND(STDEV('2. Demand History'!O61:Z61),1)</f>
        <v>21.2</v>
      </c>
      <c r="H61" s="8">
        <f t="shared" si="1"/>
        <v>0.93</v>
      </c>
      <c r="I61" s="8">
        <f>ROUND(SUM('2. Demand History'!O61:Z61)/MAX(SUM('2. Demand History'!C61:N61),1),2)</f>
        <v>0.98</v>
      </c>
      <c r="J61" s="5">
        <f>IF(D61="Yes",ROUND('2. Demand History'!O61*I61,0),ROUND(AVERAGE('2. Demand History'!X61:Z61),0))</f>
        <v>11</v>
      </c>
      <c r="K61" s="9">
        <f t="shared" si="2"/>
        <v>1.827</v>
      </c>
      <c r="L61" s="10">
        <f>ROUND(ABS('2. Demand History'!U61-IF($D61="Yes",'2. Demand History'!I61,AVERAGE('2. Demand History'!R61:T61)))/MAX('2. Demand History'!U61,1),3)</f>
        <v>0.111</v>
      </c>
      <c r="M61" s="10">
        <f>ROUND(ABS('2. Demand History'!V61-IF($D61="Yes",'2. Demand History'!J61,AVERAGE('2. Demand History'!S61:U61)))/MAX('2. Demand History'!V61,1),3)</f>
        <v>0.222</v>
      </c>
      <c r="N61" s="10">
        <f>ROUND(ABS('2. Demand History'!W61-IF($D61="Yes",'2. Demand History'!K61,AVERAGE('2. Demand History'!T61:V61)))/MAX('2. Demand History'!W61,1),3)</f>
        <v>1.552</v>
      </c>
      <c r="O61" s="10">
        <f>ROUND(ABS('2. Demand History'!X61-IF($D61="Yes",'2. Demand History'!L61,AVERAGE('2. Demand History'!U61:W61)))/MAX('2. Demand History'!X61,1),3)</f>
        <v>5.6669999999999998</v>
      </c>
      <c r="P61" s="10">
        <f>ROUND(ABS('2. Demand History'!Y61-IF($D61="Yes",'2. Demand History'!M61,AVERAGE('2. Demand History'!V61:X61)))/MAX('2. Demand History'!Y61,1),3)</f>
        <v>0.80800000000000005</v>
      </c>
      <c r="Q61" s="10">
        <f>ROUND(ABS('2. Demand History'!Z61-IF($D61="Yes",'2. Demand History'!N61,AVERAGE('2. Demand History'!W61:Y61)))/MAX('2. Demand History'!Z61,1),3)</f>
        <v>2.6</v>
      </c>
    </row>
    <row r="62" spans="1:17" ht="15" customHeight="1" x14ac:dyDescent="0.2">
      <c r="A62" s="3" t="str">
        <f>'2. Demand History'!A62</f>
        <v>NT10058</v>
      </c>
      <c r="B62" s="1" t="str">
        <f>'2. Demand History'!B62</f>
        <v>CreatorPro 778 i9 16in</v>
      </c>
      <c r="C62" s="3" t="str">
        <f>'1. Master Data'!C62</f>
        <v>Laptops</v>
      </c>
      <c r="D62" s="3" t="s">
        <v>1111</v>
      </c>
      <c r="E62" s="3" t="str">
        <f t="shared" si="0"/>
        <v>Seasonal Naive</v>
      </c>
      <c r="F62" s="3">
        <f>ROUND(AVERAGE('2. Demand History'!O62:Z62),1)</f>
        <v>30</v>
      </c>
      <c r="G62" s="3">
        <f>ROUND(STDEV('2. Demand History'!O62:Z62),1)</f>
        <v>10.6</v>
      </c>
      <c r="H62" s="8">
        <f t="shared" si="1"/>
        <v>0.35</v>
      </c>
      <c r="I62" s="8">
        <f>ROUND(SUM('2. Demand History'!O62:Z62)/MAX(SUM('2. Demand History'!C62:N62),1),2)</f>
        <v>1.04</v>
      </c>
      <c r="J62" s="5">
        <f>IF(D62="Yes",ROUND('2. Demand History'!O62*I62,0),ROUND(AVERAGE('2. Demand History'!X62:Z62),0))</f>
        <v>26</v>
      </c>
      <c r="K62" s="9">
        <f t="shared" si="2"/>
        <v>8.7999999999999995E-2</v>
      </c>
      <c r="L62" s="10">
        <f>ROUND(ABS('2. Demand History'!U62-IF($D62="Yes",'2. Demand History'!I62,AVERAGE('2. Demand History'!R62:T62)))/MAX('2. Demand History'!U62,1),3)</f>
        <v>0</v>
      </c>
      <c r="M62" s="10">
        <f>ROUND(ABS('2. Demand History'!V62-IF($D62="Yes",'2. Demand History'!J62,AVERAGE('2. Demand History'!S62:U62)))/MAX('2. Demand History'!V62,1),3)</f>
        <v>5.6000000000000001E-2</v>
      </c>
      <c r="N62" s="10">
        <f>ROUND(ABS('2. Demand History'!W62-IF($D62="Yes",'2. Demand History'!K62,AVERAGE('2. Demand History'!T62:V62)))/MAX('2. Demand History'!W62,1),3)</f>
        <v>3.7999999999999999E-2</v>
      </c>
      <c r="O62" s="10">
        <f>ROUND(ABS('2. Demand History'!X62-IF($D62="Yes",'2. Demand History'!L62,AVERAGE('2. Demand History'!U62:W62)))/MAX('2. Demand History'!X62,1),3)</f>
        <v>7.3999999999999996E-2</v>
      </c>
      <c r="P62" s="10">
        <f>ROUND(ABS('2. Demand History'!Y62-IF($D62="Yes",'2. Demand History'!M62,AVERAGE('2. Demand History'!V62:X62)))/MAX('2. Demand History'!Y62,1),3)</f>
        <v>0.25</v>
      </c>
      <c r="Q62" s="10">
        <f>ROUND(ABS('2. Demand History'!Z62-IF($D62="Yes",'2. Demand History'!N62,AVERAGE('2. Demand History'!W62:Y62)))/MAX('2. Demand History'!Z62,1),3)</f>
        <v>0.107</v>
      </c>
    </row>
    <row r="63" spans="1:17" ht="15" customHeight="1" x14ac:dyDescent="0.2">
      <c r="A63" s="3" t="str">
        <f>'2. Demand History'!A63</f>
        <v>NT10059</v>
      </c>
      <c r="B63" s="1" t="str">
        <f>'2. Demand History'!B63</f>
        <v>WorkMate 293 i3 14in</v>
      </c>
      <c r="C63" s="3" t="str">
        <f>'1. Master Data'!C63</f>
        <v>Laptops</v>
      </c>
      <c r="D63" s="3" t="s">
        <v>1111</v>
      </c>
      <c r="E63" s="3" t="str">
        <f t="shared" si="0"/>
        <v>Seasonal Naive</v>
      </c>
      <c r="F63" s="3">
        <f>ROUND(AVERAGE('2. Demand History'!O63:Z63),1)</f>
        <v>68.5</v>
      </c>
      <c r="G63" s="3">
        <f>ROUND(STDEV('2. Demand History'!O63:Z63),1)</f>
        <v>21.8</v>
      </c>
      <c r="H63" s="8">
        <f t="shared" si="1"/>
        <v>0.32</v>
      </c>
      <c r="I63" s="8">
        <f>ROUND(SUM('2. Demand History'!O63:Z63)/MAX(SUM('2. Demand History'!C63:N63),1),2)</f>
        <v>1.05</v>
      </c>
      <c r="J63" s="5">
        <f>IF(D63="Yes",ROUND('2. Demand History'!O63*I63,0),ROUND(AVERAGE('2. Demand History'!X63:Z63),0))</f>
        <v>58</v>
      </c>
      <c r="K63" s="9">
        <f t="shared" si="2"/>
        <v>0.121</v>
      </c>
      <c r="L63" s="10">
        <f>ROUND(ABS('2. Demand History'!U63-IF($D63="Yes",'2. Demand History'!I63,AVERAGE('2. Demand History'!R63:T63)))/MAX('2. Demand History'!U63,1),3)</f>
        <v>7.0999999999999994E-2</v>
      </c>
      <c r="M63" s="10">
        <f>ROUND(ABS('2. Demand History'!V63-IF($D63="Yes",'2. Demand History'!J63,AVERAGE('2. Demand History'!S63:U63)))/MAX('2. Demand History'!V63,1),3)</f>
        <v>9.5000000000000001E-2</v>
      </c>
      <c r="N63" s="10">
        <f>ROUND(ABS('2. Demand History'!W63-IF($D63="Yes",'2. Demand History'!K63,AVERAGE('2. Demand History'!T63:V63)))/MAX('2. Demand History'!W63,1),3)</f>
        <v>0</v>
      </c>
      <c r="O63" s="10">
        <f>ROUND(ABS('2. Demand History'!X63-IF($D63="Yes",'2. Demand History'!L63,AVERAGE('2. Demand History'!U63:W63)))/MAX('2. Demand History'!X63,1),3)</f>
        <v>0.106</v>
      </c>
      <c r="P63" s="10">
        <f>ROUND(ABS('2. Demand History'!Y63-IF($D63="Yes",'2. Demand History'!M63,AVERAGE('2. Demand History'!V63:X63)))/MAX('2. Demand History'!Y63,1),3)</f>
        <v>0.29399999999999998</v>
      </c>
      <c r="Q63" s="10">
        <f>ROUND(ABS('2. Demand History'!Z63-IF($D63="Yes",'2. Demand History'!N63,AVERAGE('2. Demand History'!W63:Y63)))/MAX('2. Demand History'!Z63,1),3)</f>
        <v>0.159</v>
      </c>
    </row>
    <row r="64" spans="1:17" ht="15" customHeight="1" x14ac:dyDescent="0.2">
      <c r="A64" s="3" t="str">
        <f>'2. Demand History'!A64</f>
        <v>NT10060</v>
      </c>
      <c r="B64" s="1" t="str">
        <f>'2. Demand History'!B64</f>
        <v>ProBook 839 i7 15in</v>
      </c>
      <c r="C64" s="3" t="str">
        <f>'1. Master Data'!C64</f>
        <v>Laptops</v>
      </c>
      <c r="D64" s="3" t="s">
        <v>1111</v>
      </c>
      <c r="E64" s="3" t="str">
        <f t="shared" si="0"/>
        <v>Seasonal Naive</v>
      </c>
      <c r="F64" s="3">
        <f>ROUND(AVERAGE('2. Demand History'!O64:Z64),1)</f>
        <v>43.8</v>
      </c>
      <c r="G64" s="3">
        <f>ROUND(STDEV('2. Demand History'!O64:Z64),1)</f>
        <v>45.4</v>
      </c>
      <c r="H64" s="8">
        <f t="shared" si="1"/>
        <v>1.04</v>
      </c>
      <c r="I64" s="8">
        <f>ROUND(SUM('2. Demand History'!O64:Z64)/MAX(SUM('2. Demand History'!C64:N64),1),2)</f>
        <v>0.88</v>
      </c>
      <c r="J64" s="5">
        <f>IF(D64="Yes",ROUND('2. Demand History'!O64*I64,0),ROUND(AVERAGE('2. Demand History'!X64:Z64),0))</f>
        <v>25</v>
      </c>
      <c r="K64" s="9">
        <f t="shared" si="2"/>
        <v>0.98099999999999998</v>
      </c>
      <c r="L64" s="10">
        <f>ROUND(ABS('2. Demand History'!U64-IF($D64="Yes",'2. Demand History'!I64,AVERAGE('2. Demand History'!R64:T64)))/MAX('2. Demand History'!U64,1),3)</f>
        <v>0.73899999999999999</v>
      </c>
      <c r="M64" s="10">
        <f>ROUND(ABS('2. Demand History'!V64-IF($D64="Yes",'2. Demand History'!J64,AVERAGE('2. Demand History'!S64:U64)))/MAX('2. Demand History'!V64,1),3)</f>
        <v>0.23100000000000001</v>
      </c>
      <c r="N64" s="10">
        <f>ROUND(ABS('2. Demand History'!W64-IF($D64="Yes",'2. Demand History'!K64,AVERAGE('2. Demand History'!T64:V64)))/MAX('2. Demand History'!W64,1),3)</f>
        <v>0.14299999999999999</v>
      </c>
      <c r="O64" s="10">
        <f>ROUND(ABS('2. Demand History'!X64-IF($D64="Yes",'2. Demand History'!L64,AVERAGE('2. Demand History'!U64:W64)))/MAX('2. Demand History'!X64,1),3)</f>
        <v>4.2140000000000004</v>
      </c>
      <c r="P64" s="10">
        <f>ROUND(ABS('2. Demand History'!Y64-IF($D64="Yes",'2. Demand History'!M64,AVERAGE('2. Demand History'!V64:X64)))/MAX('2. Demand History'!Y64,1),3)</f>
        <v>0.1</v>
      </c>
      <c r="Q64" s="10">
        <f>ROUND(ABS('2. Demand History'!Z64-IF($D64="Yes",'2. Demand History'!N64,AVERAGE('2. Demand History'!W64:Y64)))/MAX('2. Demand History'!Z64,1),3)</f>
        <v>0.45800000000000002</v>
      </c>
    </row>
    <row r="65" spans="1:17" ht="15" customHeight="1" x14ac:dyDescent="0.2">
      <c r="A65" s="3" t="str">
        <f>'2. Demand History'!A65</f>
        <v>NT10061</v>
      </c>
      <c r="B65" s="1" t="str">
        <f>'2. Demand History'!B65</f>
        <v>ProBook 962 i5 14in</v>
      </c>
      <c r="C65" s="3" t="str">
        <f>'1. Master Data'!C65</f>
        <v>Laptops</v>
      </c>
      <c r="D65" s="3" t="s">
        <v>1111</v>
      </c>
      <c r="E65" s="3" t="str">
        <f t="shared" si="0"/>
        <v>Seasonal Naive</v>
      </c>
      <c r="F65" s="3">
        <f>ROUND(AVERAGE('2. Demand History'!O65:Z65),1)</f>
        <v>30</v>
      </c>
      <c r="G65" s="3">
        <f>ROUND(STDEV('2. Demand History'!O65:Z65),1)</f>
        <v>11</v>
      </c>
      <c r="H65" s="8">
        <f t="shared" si="1"/>
        <v>0.37</v>
      </c>
      <c r="I65" s="8">
        <f>ROUND(SUM('2. Demand History'!O65:Z65)/MAX(SUM('2. Demand History'!C65:N65),1),2)</f>
        <v>1.08</v>
      </c>
      <c r="J65" s="5">
        <f>IF(D65="Yes",ROUND('2. Demand History'!O65*I65,0),ROUND(AVERAGE('2. Demand History'!X65:Z65),0))</f>
        <v>29</v>
      </c>
      <c r="K65" s="9">
        <f t="shared" si="2"/>
        <v>0.06</v>
      </c>
      <c r="L65" s="10">
        <f>ROUND(ABS('2. Demand History'!U65-IF($D65="Yes",'2. Demand History'!I65,AVERAGE('2. Demand History'!R65:T65)))/MAX('2. Demand History'!U65,1),3)</f>
        <v>0.23</v>
      </c>
      <c r="M65" s="10">
        <f>ROUND(ABS('2. Demand History'!V65-IF($D65="Yes",'2. Demand History'!J65,AVERAGE('2. Demand History'!S65:U65)))/MAX('2. Demand History'!V65,1),3)</f>
        <v>0</v>
      </c>
      <c r="N65" s="10">
        <f>ROUND(ABS('2. Demand History'!W65-IF($D65="Yes",'2. Demand History'!K65,AVERAGE('2. Demand History'!T65:V65)))/MAX('2. Demand History'!W65,1),3)</f>
        <v>9.5000000000000001E-2</v>
      </c>
      <c r="O65" s="10">
        <f>ROUND(ABS('2. Demand History'!X65-IF($D65="Yes",'2. Demand History'!L65,AVERAGE('2. Demand History'!U65:W65)))/MAX('2. Demand History'!X65,1),3)</f>
        <v>3.5999999999999997E-2</v>
      </c>
      <c r="P65" s="10">
        <f>ROUND(ABS('2. Demand History'!Y65-IF($D65="Yes",'2. Demand History'!M65,AVERAGE('2. Demand History'!V65:X65)))/MAX('2. Demand History'!Y65,1),3)</f>
        <v>0</v>
      </c>
      <c r="Q65" s="10">
        <f>ROUND(ABS('2. Demand History'!Z65-IF($D65="Yes",'2. Demand History'!N65,AVERAGE('2. Demand History'!W65:Y65)))/MAX('2. Demand History'!Z65,1),3)</f>
        <v>0</v>
      </c>
    </row>
    <row r="66" spans="1:17" ht="15" customHeight="1" x14ac:dyDescent="0.2">
      <c r="A66" s="3" t="str">
        <f>'2. Demand History'!A66</f>
        <v>NT10062</v>
      </c>
      <c r="B66" s="1" t="str">
        <f>'2. Demand History'!B66</f>
        <v>CreatorPro 354 i9 16in</v>
      </c>
      <c r="C66" s="3" t="str">
        <f>'1. Master Data'!C66</f>
        <v>Laptops</v>
      </c>
      <c r="D66" s="3" t="s">
        <v>1111</v>
      </c>
      <c r="E66" s="3" t="str">
        <f t="shared" si="0"/>
        <v>Seasonal Naive</v>
      </c>
      <c r="F66" s="3">
        <f>ROUND(AVERAGE('2. Demand History'!O66:Z66),1)</f>
        <v>18.600000000000001</v>
      </c>
      <c r="G66" s="3">
        <f>ROUND(STDEV('2. Demand History'!O66:Z66),1)</f>
        <v>5.6</v>
      </c>
      <c r="H66" s="8">
        <f t="shared" si="1"/>
        <v>0.3</v>
      </c>
      <c r="I66" s="8">
        <f>ROUND(SUM('2. Demand History'!O66:Z66)/MAX(SUM('2. Demand History'!C66:N66),1),2)</f>
        <v>1.06</v>
      </c>
      <c r="J66" s="5">
        <f>IF(D66="Yes",ROUND('2. Demand History'!O66*I66,0),ROUND(AVERAGE('2. Demand History'!X66:Z66),0))</f>
        <v>19</v>
      </c>
      <c r="K66" s="9">
        <f t="shared" si="2"/>
        <v>9.7000000000000003E-2</v>
      </c>
      <c r="L66" s="10">
        <f>ROUND(ABS('2. Demand History'!U66-IF($D66="Yes",'2. Demand History'!I66,AVERAGE('2. Demand History'!R66:T66)))/MAX('2. Demand History'!U66,1),3)</f>
        <v>0.11799999999999999</v>
      </c>
      <c r="M66" s="10">
        <f>ROUND(ABS('2. Demand History'!V66-IF($D66="Yes",'2. Demand History'!J66,AVERAGE('2. Demand History'!S66:U66)))/MAX('2. Demand History'!V66,1),3)</f>
        <v>0</v>
      </c>
      <c r="N66" s="10">
        <f>ROUND(ABS('2. Demand History'!W66-IF($D66="Yes",'2. Demand History'!K66,AVERAGE('2. Demand History'!T66:V66)))/MAX('2. Demand History'!W66,1),3)</f>
        <v>0.13300000000000001</v>
      </c>
      <c r="O66" s="10">
        <f>ROUND(ABS('2. Demand History'!X66-IF($D66="Yes",'2. Demand History'!L66,AVERAGE('2. Demand History'!U66:W66)))/MAX('2. Demand History'!X66,1),3)</f>
        <v>0.11799999999999999</v>
      </c>
      <c r="P66" s="10">
        <f>ROUND(ABS('2. Demand History'!Y66-IF($D66="Yes",'2. Demand History'!M66,AVERAGE('2. Demand History'!V66:X66)))/MAX('2. Demand History'!Y66,1),3)</f>
        <v>0.158</v>
      </c>
      <c r="Q66" s="10">
        <f>ROUND(ABS('2. Demand History'!Z66-IF($D66="Yes",'2. Demand History'!N66,AVERAGE('2. Demand History'!W66:Y66)))/MAX('2. Demand History'!Z66,1),3)</f>
        <v>5.2999999999999999E-2</v>
      </c>
    </row>
    <row r="67" spans="1:17" ht="15" customHeight="1" x14ac:dyDescent="0.2">
      <c r="A67" s="3" t="str">
        <f>'2. Demand History'!A67</f>
        <v>NT10063</v>
      </c>
      <c r="B67" s="1" t="str">
        <f>'2. Demand History'!B67</f>
        <v>UltraSlim 731 Ryzen 5</v>
      </c>
      <c r="C67" s="3" t="str">
        <f>'1. Master Data'!C67</f>
        <v>Laptops</v>
      </c>
      <c r="D67" s="3" t="s">
        <v>1111</v>
      </c>
      <c r="E67" s="3" t="str">
        <f t="shared" si="0"/>
        <v>Seasonal Naive</v>
      </c>
      <c r="F67" s="3">
        <f>ROUND(AVERAGE('2. Demand History'!O67:Z67),1)</f>
        <v>7.5</v>
      </c>
      <c r="G67" s="3">
        <f>ROUND(STDEV('2. Demand History'!O67:Z67),1)</f>
        <v>3.1</v>
      </c>
      <c r="H67" s="8">
        <f t="shared" si="1"/>
        <v>0.41</v>
      </c>
      <c r="I67" s="8">
        <f>ROUND(SUM('2. Demand History'!O67:Z67)/MAX(SUM('2. Demand History'!C67:N67),1),2)</f>
        <v>1.02</v>
      </c>
      <c r="J67" s="5">
        <f>IF(D67="Yes",ROUND('2. Demand History'!O67*I67,0),ROUND(AVERAGE('2. Demand History'!X67:Z67),0))</f>
        <v>7</v>
      </c>
      <c r="K67" s="9">
        <f t="shared" si="2"/>
        <v>0.221</v>
      </c>
      <c r="L67" s="10">
        <f>ROUND(ABS('2. Demand History'!U67-IF($D67="Yes",'2. Demand History'!I67,AVERAGE('2. Demand History'!R67:T67)))/MAX('2. Demand History'!U67,1),3)</f>
        <v>0.188</v>
      </c>
      <c r="M67" s="10">
        <f>ROUND(ABS('2. Demand History'!V67-IF($D67="Yes",'2. Demand History'!J67,AVERAGE('2. Demand History'!S67:U67)))/MAX('2. Demand History'!V67,1),3)</f>
        <v>0.2</v>
      </c>
      <c r="N67" s="10">
        <f>ROUND(ABS('2. Demand History'!W67-IF($D67="Yes",'2. Demand History'!K67,AVERAGE('2. Demand History'!T67:V67)))/MAX('2. Demand History'!W67,1),3)</f>
        <v>0.42899999999999999</v>
      </c>
      <c r="O67" s="10">
        <f>ROUND(ABS('2. Demand History'!X67-IF($D67="Yes",'2. Demand History'!L67,AVERAGE('2. Demand History'!U67:W67)))/MAX('2. Demand History'!X67,1),3)</f>
        <v>0.2</v>
      </c>
      <c r="P67" s="10">
        <f>ROUND(ABS('2. Demand History'!Y67-IF($D67="Yes",'2. Demand History'!M67,AVERAGE('2. Demand History'!V67:X67)))/MAX('2. Demand History'!Y67,1),3)</f>
        <v>0.16700000000000001</v>
      </c>
      <c r="Q67" s="10">
        <f>ROUND(ABS('2. Demand History'!Z67-IF($D67="Yes",'2. Demand History'!N67,AVERAGE('2. Demand History'!W67:Y67)))/MAX('2. Demand History'!Z67,1),3)</f>
        <v>0.14299999999999999</v>
      </c>
    </row>
    <row r="68" spans="1:17" ht="15" customHeight="1" x14ac:dyDescent="0.2">
      <c r="A68" s="3" t="str">
        <f>'2. Demand History'!A68</f>
        <v>NT10064</v>
      </c>
      <c r="B68" s="1" t="str">
        <f>'2. Demand History'!B68</f>
        <v>ProBook 948 i7 15in</v>
      </c>
      <c r="C68" s="3" t="str">
        <f>'1. Master Data'!C68</f>
        <v>Laptops</v>
      </c>
      <c r="D68" s="3" t="s">
        <v>1111</v>
      </c>
      <c r="E68" s="3" t="str">
        <f t="shared" si="0"/>
        <v>Seasonal Naive</v>
      </c>
      <c r="F68" s="3">
        <f>ROUND(AVERAGE('2. Demand History'!O68:Z68),1)</f>
        <v>65.7</v>
      </c>
      <c r="G68" s="3">
        <f>ROUND(STDEV('2. Demand History'!O68:Z68),1)</f>
        <v>20.399999999999999</v>
      </c>
      <c r="H68" s="8">
        <f t="shared" si="1"/>
        <v>0.31</v>
      </c>
      <c r="I68" s="8">
        <f>ROUND(SUM('2. Demand History'!O68:Z68)/MAX(SUM('2. Demand History'!C68:N68),1),2)</f>
        <v>1.05</v>
      </c>
      <c r="J68" s="5">
        <f>IF(D68="Yes",ROUND('2. Demand History'!O68*I68,0),ROUND(AVERAGE('2. Demand History'!X68:Z68),0))</f>
        <v>61</v>
      </c>
      <c r="K68" s="9">
        <f t="shared" si="2"/>
        <v>8.1000000000000003E-2</v>
      </c>
      <c r="L68" s="10">
        <f>ROUND(ABS('2. Demand History'!U68-IF($D68="Yes",'2. Demand History'!I68,AVERAGE('2. Demand History'!R68:T68)))/MAX('2. Demand History'!U68,1),3)</f>
        <v>9.2999999999999999E-2</v>
      </c>
      <c r="M68" s="10">
        <f>ROUND(ABS('2. Demand History'!V68-IF($D68="Yes",'2. Demand History'!J68,AVERAGE('2. Demand History'!S68:U68)))/MAX('2. Demand History'!V68,1),3)</f>
        <v>4.1000000000000002E-2</v>
      </c>
      <c r="N68" s="10">
        <f>ROUND(ABS('2. Demand History'!W68-IF($D68="Yes",'2. Demand History'!K68,AVERAGE('2. Demand History'!T68:V68)))/MAX('2. Demand History'!W68,1),3)</f>
        <v>6.4000000000000001E-2</v>
      </c>
      <c r="O68" s="10">
        <f>ROUND(ABS('2. Demand History'!X68-IF($D68="Yes",'2. Demand History'!L68,AVERAGE('2. Demand History'!U68:W68)))/MAX('2. Demand History'!X68,1),3)</f>
        <v>9.8000000000000004E-2</v>
      </c>
      <c r="P68" s="10">
        <f>ROUND(ABS('2. Demand History'!Y68-IF($D68="Yes",'2. Demand History'!M68,AVERAGE('2. Demand History'!V68:X68)))/MAX('2. Demand History'!Y68,1),3)</f>
        <v>6.5000000000000002E-2</v>
      </c>
      <c r="Q68" s="10">
        <f>ROUND(ABS('2. Demand History'!Z68-IF($D68="Yes",'2. Demand History'!N68,AVERAGE('2. Demand History'!W68:Y68)))/MAX('2. Demand History'!Z68,1),3)</f>
        <v>0.123</v>
      </c>
    </row>
    <row r="69" spans="1:17" ht="15" customHeight="1" x14ac:dyDescent="0.2">
      <c r="A69" s="3" t="str">
        <f>'2. Demand History'!A69</f>
        <v>NT10065</v>
      </c>
      <c r="B69" s="1" t="str">
        <f>'2. Demand History'!B69</f>
        <v>ProBook 927 i5 14in</v>
      </c>
      <c r="C69" s="3" t="str">
        <f>'1. Master Data'!C69</f>
        <v>Laptops</v>
      </c>
      <c r="D69" s="3" t="s">
        <v>1111</v>
      </c>
      <c r="E69" s="3" t="str">
        <f t="shared" ref="E69:E132" si="3">IF(D69="Yes","Seasonal Naive","Moving Avg 3")</f>
        <v>Seasonal Naive</v>
      </c>
      <c r="F69" s="3">
        <f>ROUND(AVERAGE('2. Demand History'!O69:Z69),1)</f>
        <v>27.5</v>
      </c>
      <c r="G69" s="3">
        <f>ROUND(STDEV('2. Demand History'!O69:Z69),1)</f>
        <v>8.8000000000000007</v>
      </c>
      <c r="H69" s="8">
        <f t="shared" ref="H69:H132" si="4">IF(F69=0,0,ROUND(G69/F69,2))</f>
        <v>0.32</v>
      </c>
      <c r="I69" s="8">
        <f>ROUND(SUM('2. Demand History'!O69:Z69)/MAX(SUM('2. Demand History'!C69:N69),1),2)</f>
        <v>1.05</v>
      </c>
      <c r="J69" s="5">
        <f>IF(D69="Yes",ROUND('2. Demand History'!O69*I69,0),ROUND(AVERAGE('2. Demand History'!X69:Z69),0))</f>
        <v>28</v>
      </c>
      <c r="K69" s="9">
        <f t="shared" ref="K69:K132" si="5">ROUND(AVERAGE(L69:Q69),3)</f>
        <v>0.16900000000000001</v>
      </c>
      <c r="L69" s="10">
        <f>ROUND(ABS('2. Demand History'!U69-IF($D69="Yes",'2. Demand History'!I69,AVERAGE('2. Demand History'!R69:T69)))/MAX('2. Demand History'!U69,1),3)</f>
        <v>0.14000000000000001</v>
      </c>
      <c r="M69" s="10">
        <f>ROUND(ABS('2. Demand History'!V69-IF($D69="Yes",'2. Demand History'!J69,AVERAGE('2. Demand History'!S69:U69)))/MAX('2. Demand History'!V69,1),3)</f>
        <v>0.111</v>
      </c>
      <c r="N69" s="10">
        <f>ROUND(ABS('2. Demand History'!W69-IF($D69="Yes",'2. Demand History'!K69,AVERAGE('2. Demand History'!T69:V69)))/MAX('2. Demand History'!W69,1),3)</f>
        <v>0.33300000000000002</v>
      </c>
      <c r="O69" s="10">
        <f>ROUND(ABS('2. Demand History'!X69-IF($D69="Yes",'2. Demand History'!L69,AVERAGE('2. Demand History'!U69:W69)))/MAX('2. Demand History'!X69,1),3)</f>
        <v>0.16</v>
      </c>
      <c r="P69" s="10">
        <f>ROUND(ABS('2. Demand History'!Y69-IF($D69="Yes",'2. Demand History'!M69,AVERAGE('2. Demand History'!V69:X69)))/MAX('2. Demand History'!Y69,1),3)</f>
        <v>4.4999999999999998E-2</v>
      </c>
      <c r="Q69" s="10">
        <f>ROUND(ABS('2. Demand History'!Z69-IF($D69="Yes",'2. Demand History'!N69,AVERAGE('2. Demand History'!W69:Y69)))/MAX('2. Demand History'!Z69,1),3)</f>
        <v>0.222</v>
      </c>
    </row>
    <row r="70" spans="1:17" ht="15" customHeight="1" x14ac:dyDescent="0.2">
      <c r="A70" s="3" t="str">
        <f>'2. Demand History'!A70</f>
        <v>NT10066</v>
      </c>
      <c r="B70" s="1" t="str">
        <f>'2. Demand History'!B70</f>
        <v>UltraSlim 542 Ryzen 5</v>
      </c>
      <c r="C70" s="3" t="str">
        <f>'1. Master Data'!C70</f>
        <v>Laptops</v>
      </c>
      <c r="D70" s="3" t="s">
        <v>1111</v>
      </c>
      <c r="E70" s="3" t="str">
        <f t="shared" si="3"/>
        <v>Seasonal Naive</v>
      </c>
      <c r="F70" s="3">
        <f>ROUND(AVERAGE('2. Demand History'!O70:Z70),1)</f>
        <v>94.5</v>
      </c>
      <c r="G70" s="3">
        <f>ROUND(STDEV('2. Demand History'!O70:Z70),1)</f>
        <v>28.4</v>
      </c>
      <c r="H70" s="8">
        <f t="shared" si="4"/>
        <v>0.3</v>
      </c>
      <c r="I70" s="8">
        <f>ROUND(SUM('2. Demand History'!O70:Z70)/MAX(SUM('2. Demand History'!C70:N70),1),2)</f>
        <v>1</v>
      </c>
      <c r="J70" s="5">
        <f>IF(D70="Yes",ROUND('2. Demand History'!O70*I70,0),ROUND(AVERAGE('2. Demand History'!X70:Z70),0))</f>
        <v>80</v>
      </c>
      <c r="K70" s="9">
        <f t="shared" si="5"/>
        <v>0.13400000000000001</v>
      </c>
      <c r="L70" s="10">
        <f>ROUND(ABS('2. Demand History'!U70-IF($D70="Yes",'2. Demand History'!I70,AVERAGE('2. Demand History'!R70:T70)))/MAX('2. Demand History'!U70,1),3)</f>
        <v>8.3000000000000004E-2</v>
      </c>
      <c r="M70" s="10">
        <f>ROUND(ABS('2. Demand History'!V70-IF($D70="Yes",'2. Demand History'!J70,AVERAGE('2. Demand History'!S70:U70)))/MAX('2. Demand History'!V70,1),3)</f>
        <v>0.14299999999999999</v>
      </c>
      <c r="N70" s="10">
        <f>ROUND(ABS('2. Demand History'!W70-IF($D70="Yes",'2. Demand History'!K70,AVERAGE('2. Demand History'!T70:V70)))/MAX('2. Demand History'!W70,1),3)</f>
        <v>4.9000000000000002E-2</v>
      </c>
      <c r="O70" s="10">
        <f>ROUND(ABS('2. Demand History'!X70-IF($D70="Yes",'2. Demand History'!L70,AVERAGE('2. Demand History'!U70:W70)))/MAX('2. Demand History'!X70,1),3)</f>
        <v>0.32800000000000001</v>
      </c>
      <c r="P70" s="10">
        <f>ROUND(ABS('2. Demand History'!Y70-IF($D70="Yes",'2. Demand History'!M70,AVERAGE('2. Demand History'!V70:X70)))/MAX('2. Demand History'!Y70,1),3)</f>
        <v>0.124</v>
      </c>
      <c r="Q70" s="10">
        <f>ROUND(ABS('2. Demand History'!Z70-IF($D70="Yes",'2. Demand History'!N70,AVERAGE('2. Demand History'!W70:Y70)))/MAX('2. Demand History'!Z70,1),3)</f>
        <v>7.5999999999999998E-2</v>
      </c>
    </row>
    <row r="71" spans="1:17" ht="15" customHeight="1" x14ac:dyDescent="0.2">
      <c r="A71" s="3" t="str">
        <f>'2. Demand History'!A71</f>
        <v>NT10067</v>
      </c>
      <c r="B71" s="1" t="str">
        <f>'2. Demand History'!B71</f>
        <v>UltraSlim 877 Ryzen 5</v>
      </c>
      <c r="C71" s="3" t="str">
        <f>'1. Master Data'!C71</f>
        <v>Laptops</v>
      </c>
      <c r="D71" s="3" t="s">
        <v>1111</v>
      </c>
      <c r="E71" s="3" t="str">
        <f t="shared" si="3"/>
        <v>Seasonal Naive</v>
      </c>
      <c r="F71" s="3">
        <f>ROUND(AVERAGE('2. Demand History'!O71:Z71),1)</f>
        <v>24.4</v>
      </c>
      <c r="G71" s="3">
        <f>ROUND(STDEV('2. Demand History'!O71:Z71),1)</f>
        <v>6.5</v>
      </c>
      <c r="H71" s="8">
        <f t="shared" si="4"/>
        <v>0.27</v>
      </c>
      <c r="I71" s="8">
        <f>ROUND(SUM('2. Demand History'!O71:Z71)/MAX(SUM('2. Demand History'!C71:N71),1),2)</f>
        <v>1.05</v>
      </c>
      <c r="J71" s="5">
        <f>IF(D71="Yes",ROUND('2. Demand History'!O71*I71,0),ROUND(AVERAGE('2. Demand History'!X71:Z71),0))</f>
        <v>26</v>
      </c>
      <c r="K71" s="9">
        <f t="shared" si="5"/>
        <v>8.2000000000000003E-2</v>
      </c>
      <c r="L71" s="10">
        <f>ROUND(ABS('2. Demand History'!U71-IF($D71="Yes",'2. Demand History'!I71,AVERAGE('2. Demand History'!R71:T71)))/MAX('2. Demand History'!U71,1),3)</f>
        <v>4.9000000000000002E-2</v>
      </c>
      <c r="M71" s="10">
        <f>ROUND(ABS('2. Demand History'!V71-IF($D71="Yes",'2. Demand History'!J71,AVERAGE('2. Demand History'!S71:U71)))/MAX('2. Demand History'!V71,1),3)</f>
        <v>5.8999999999999997E-2</v>
      </c>
      <c r="N71" s="10">
        <f>ROUND(ABS('2. Demand History'!W71-IF($D71="Yes",'2. Demand History'!K71,AVERAGE('2. Demand History'!T71:V71)))/MAX('2. Demand History'!W71,1),3)</f>
        <v>5.2999999999999999E-2</v>
      </c>
      <c r="O71" s="10">
        <f>ROUND(ABS('2. Demand History'!X71-IF($D71="Yes",'2. Demand History'!L71,AVERAGE('2. Demand History'!U71:W71)))/MAX('2. Demand History'!X71,1),3)</f>
        <v>0.13600000000000001</v>
      </c>
      <c r="P71" s="10">
        <f>ROUND(ABS('2. Demand History'!Y71-IF($D71="Yes",'2. Demand History'!M71,AVERAGE('2. Demand History'!V71:X71)))/MAX('2. Demand History'!Y71,1),3)</f>
        <v>8.6999999999999994E-2</v>
      </c>
      <c r="Q71" s="10">
        <f>ROUND(ABS('2. Demand History'!Z71-IF($D71="Yes",'2. Demand History'!N71,AVERAGE('2. Demand History'!W71:Y71)))/MAX('2. Demand History'!Z71,1),3)</f>
        <v>0.107</v>
      </c>
    </row>
    <row r="72" spans="1:17" ht="15" customHeight="1" x14ac:dyDescent="0.2">
      <c r="A72" s="3" t="str">
        <f>'2. Demand History'!A72</f>
        <v>NT10068</v>
      </c>
      <c r="B72" s="1" t="str">
        <f>'2. Demand History'!B72</f>
        <v>ProBook 541 i7 15in</v>
      </c>
      <c r="C72" s="3" t="str">
        <f>'1. Master Data'!C72</f>
        <v>Laptops</v>
      </c>
      <c r="D72" s="3" t="s">
        <v>1111</v>
      </c>
      <c r="E72" s="3" t="str">
        <f t="shared" si="3"/>
        <v>Seasonal Naive</v>
      </c>
      <c r="F72" s="3">
        <f>ROUND(AVERAGE('2. Demand History'!O72:Z72),1)</f>
        <v>10.8</v>
      </c>
      <c r="G72" s="3">
        <f>ROUND(STDEV('2. Demand History'!O72:Z72),1)</f>
        <v>3.5</v>
      </c>
      <c r="H72" s="8">
        <f t="shared" si="4"/>
        <v>0.32</v>
      </c>
      <c r="I72" s="8">
        <f>ROUND(SUM('2. Demand History'!O72:Z72)/MAX(SUM('2. Demand History'!C72:N72),1),2)</f>
        <v>1.02</v>
      </c>
      <c r="J72" s="5">
        <f>IF(D72="Yes",ROUND('2. Demand History'!O72*I72,0),ROUND(AVERAGE('2. Demand History'!X72:Z72),0))</f>
        <v>8</v>
      </c>
      <c r="K72" s="9">
        <f t="shared" si="5"/>
        <v>0.16700000000000001</v>
      </c>
      <c r="L72" s="10">
        <f>ROUND(ABS('2. Demand History'!U72-IF($D72="Yes",'2. Demand History'!I72,AVERAGE('2. Demand History'!R72:T72)))/MAX('2. Demand History'!U72,1),3)</f>
        <v>0.05</v>
      </c>
      <c r="M72" s="10">
        <f>ROUND(ABS('2. Demand History'!V72-IF($D72="Yes",'2. Demand History'!J72,AVERAGE('2. Demand History'!S72:U72)))/MAX('2. Demand History'!V72,1),3)</f>
        <v>0</v>
      </c>
      <c r="N72" s="10">
        <f>ROUND(ABS('2. Demand History'!W72-IF($D72="Yes",'2. Demand History'!K72,AVERAGE('2. Demand History'!T72:V72)))/MAX('2. Demand History'!W72,1),3)</f>
        <v>0.42899999999999999</v>
      </c>
      <c r="O72" s="10">
        <f>ROUND(ABS('2. Demand History'!X72-IF($D72="Yes",'2. Demand History'!L72,AVERAGE('2. Demand History'!U72:W72)))/MAX('2. Demand History'!X72,1),3)</f>
        <v>9.0999999999999998E-2</v>
      </c>
      <c r="P72" s="10">
        <f>ROUND(ABS('2. Demand History'!Y72-IF($D72="Yes",'2. Demand History'!M72,AVERAGE('2. Demand History'!V72:X72)))/MAX('2. Demand History'!Y72,1),3)</f>
        <v>0.182</v>
      </c>
      <c r="Q72" s="10">
        <f>ROUND(ABS('2. Demand History'!Z72-IF($D72="Yes",'2. Demand History'!N72,AVERAGE('2. Demand History'!W72:Y72)))/MAX('2. Demand History'!Z72,1),3)</f>
        <v>0.25</v>
      </c>
    </row>
    <row r="73" spans="1:17" ht="15" customHeight="1" x14ac:dyDescent="0.2">
      <c r="A73" s="3" t="str">
        <f>'2. Demand History'!A73</f>
        <v>NT10069</v>
      </c>
      <c r="B73" s="1" t="str">
        <f>'2. Demand History'!B73</f>
        <v>CreatorPro 741 i9 16in</v>
      </c>
      <c r="C73" s="3" t="str">
        <f>'1. Master Data'!C73</f>
        <v>Laptops</v>
      </c>
      <c r="D73" s="3" t="s">
        <v>1111</v>
      </c>
      <c r="E73" s="3" t="str">
        <f t="shared" si="3"/>
        <v>Seasonal Naive</v>
      </c>
      <c r="F73" s="3">
        <f>ROUND(AVERAGE('2. Demand History'!O73:Z73),1)</f>
        <v>70.5</v>
      </c>
      <c r="G73" s="3">
        <f>ROUND(STDEV('2. Demand History'!O73:Z73),1)</f>
        <v>19.100000000000001</v>
      </c>
      <c r="H73" s="8">
        <f t="shared" si="4"/>
        <v>0.27</v>
      </c>
      <c r="I73" s="8">
        <f>ROUND(SUM('2. Demand History'!O73:Z73)/MAX(SUM('2. Demand History'!C73:N73),1),2)</f>
        <v>1.06</v>
      </c>
      <c r="J73" s="5">
        <f>IF(D73="Yes",ROUND('2. Demand History'!O73*I73,0),ROUND(AVERAGE('2. Demand History'!X73:Z73),0))</f>
        <v>74</v>
      </c>
      <c r="K73" s="9">
        <f t="shared" si="5"/>
        <v>0.114</v>
      </c>
      <c r="L73" s="10">
        <f>ROUND(ABS('2. Demand History'!U73-IF($D73="Yes",'2. Demand History'!I73,AVERAGE('2. Demand History'!R73:T73)))/MAX('2. Demand History'!U73,1),3)</f>
        <v>6.2E-2</v>
      </c>
      <c r="M73" s="10">
        <f>ROUND(ABS('2. Demand History'!V73-IF($D73="Yes",'2. Demand History'!J73,AVERAGE('2. Demand History'!S73:U73)))/MAX('2. Demand History'!V73,1),3)</f>
        <v>0.17100000000000001</v>
      </c>
      <c r="N73" s="10">
        <f>ROUND(ABS('2. Demand History'!W73-IF($D73="Yes",'2. Demand History'!K73,AVERAGE('2. Demand History'!T73:V73)))/MAX('2. Demand History'!W73,1),3)</f>
        <v>6.3E-2</v>
      </c>
      <c r="O73" s="10">
        <f>ROUND(ABS('2. Demand History'!X73-IF($D73="Yes",'2. Demand History'!L73,AVERAGE('2. Demand History'!U73:W73)))/MAX('2. Demand History'!X73,1),3)</f>
        <v>0.21299999999999999</v>
      </c>
      <c r="P73" s="10">
        <f>ROUND(ABS('2. Demand History'!Y73-IF($D73="Yes",'2. Demand History'!M73,AVERAGE('2. Demand History'!V73:X73)))/MAX('2. Demand History'!Y73,1),3)</f>
        <v>9.5000000000000001E-2</v>
      </c>
      <c r="Q73" s="10">
        <f>ROUND(ABS('2. Demand History'!Z73-IF($D73="Yes",'2. Demand History'!N73,AVERAGE('2. Demand History'!W73:Y73)))/MAX('2. Demand History'!Z73,1),3)</f>
        <v>8.2000000000000003E-2</v>
      </c>
    </row>
    <row r="74" spans="1:17" ht="15" customHeight="1" x14ac:dyDescent="0.2">
      <c r="A74" s="3" t="str">
        <f>'2. Demand History'!A74</f>
        <v>NT10070</v>
      </c>
      <c r="B74" s="1" t="str">
        <f>'2. Demand History'!B74</f>
        <v>UltraSlim 400 Ryzen 5</v>
      </c>
      <c r="C74" s="3" t="str">
        <f>'1. Master Data'!C74</f>
        <v>Laptops</v>
      </c>
      <c r="D74" s="3" t="s">
        <v>1111</v>
      </c>
      <c r="E74" s="3" t="str">
        <f t="shared" si="3"/>
        <v>Seasonal Naive</v>
      </c>
      <c r="F74" s="3">
        <f>ROUND(AVERAGE('2. Demand History'!O74:Z74),1)</f>
        <v>35.5</v>
      </c>
      <c r="G74" s="3">
        <f>ROUND(STDEV('2. Demand History'!O74:Z74),1)</f>
        <v>9.6</v>
      </c>
      <c r="H74" s="8">
        <f t="shared" si="4"/>
        <v>0.27</v>
      </c>
      <c r="I74" s="8">
        <f>ROUND(SUM('2. Demand History'!O74:Z74)/MAX(SUM('2. Demand History'!C74:N74),1),2)</f>
        <v>1.06</v>
      </c>
      <c r="J74" s="5">
        <f>IF(D74="Yes",ROUND('2. Demand History'!O74*I74,0),ROUND(AVERAGE('2. Demand History'!X74:Z74),0))</f>
        <v>35</v>
      </c>
      <c r="K74" s="9">
        <f t="shared" si="5"/>
        <v>0.14599999999999999</v>
      </c>
      <c r="L74" s="10">
        <f>ROUND(ABS('2. Demand History'!U74-IF($D74="Yes",'2. Demand History'!I74,AVERAGE('2. Demand History'!R74:T74)))/MAX('2. Demand History'!U74,1),3)</f>
        <v>6.3E-2</v>
      </c>
      <c r="M74" s="10">
        <f>ROUND(ABS('2. Demand History'!V74-IF($D74="Yes",'2. Demand History'!J74,AVERAGE('2. Demand History'!S74:U74)))/MAX('2. Demand History'!V74,1),3)</f>
        <v>0.22600000000000001</v>
      </c>
      <c r="N74" s="10">
        <f>ROUND(ABS('2. Demand History'!W74-IF($D74="Yes",'2. Demand History'!K74,AVERAGE('2. Demand History'!T74:V74)))/MAX('2. Demand History'!W74,1),3)</f>
        <v>0.111</v>
      </c>
      <c r="O74" s="10">
        <f>ROUND(ABS('2. Demand History'!X74-IF($D74="Yes",'2. Demand History'!L74,AVERAGE('2. Demand History'!U74:W74)))/MAX('2. Demand History'!X74,1),3)</f>
        <v>0.20599999999999999</v>
      </c>
      <c r="P74" s="10">
        <f>ROUND(ABS('2. Demand History'!Y74-IF($D74="Yes",'2. Demand History'!M74,AVERAGE('2. Demand History'!V74:X74)))/MAX('2. Demand History'!Y74,1),3)</f>
        <v>0.13900000000000001</v>
      </c>
      <c r="Q74" s="10">
        <f>ROUND(ABS('2. Demand History'!Z74-IF($D74="Yes",'2. Demand History'!N74,AVERAGE('2. Demand History'!W74:Y74)))/MAX('2. Demand History'!Z74,1),3)</f>
        <v>0.129</v>
      </c>
    </row>
    <row r="75" spans="1:17" ht="15" customHeight="1" x14ac:dyDescent="0.2">
      <c r="A75" s="3" t="str">
        <f>'2. Demand History'!A75</f>
        <v>NT10071</v>
      </c>
      <c r="B75" s="1" t="str">
        <f>'2. Demand History'!B75</f>
        <v>WorkMate 444 i3 14in</v>
      </c>
      <c r="C75" s="3" t="str">
        <f>'1. Master Data'!C75</f>
        <v>Laptops</v>
      </c>
      <c r="D75" s="3" t="s">
        <v>1111</v>
      </c>
      <c r="E75" s="3" t="str">
        <f t="shared" si="3"/>
        <v>Seasonal Naive</v>
      </c>
      <c r="F75" s="3">
        <f>ROUND(AVERAGE('2. Demand History'!O75:Z75),1)</f>
        <v>36.5</v>
      </c>
      <c r="G75" s="3">
        <f>ROUND(STDEV('2. Demand History'!O75:Z75),1)</f>
        <v>13.5</v>
      </c>
      <c r="H75" s="8">
        <f t="shared" si="4"/>
        <v>0.37</v>
      </c>
      <c r="I75" s="8">
        <f>ROUND(SUM('2. Demand History'!O75:Z75)/MAX(SUM('2. Demand History'!C75:N75),1),2)</f>
        <v>1.1100000000000001</v>
      </c>
      <c r="J75" s="5">
        <f>IF(D75="Yes",ROUND('2. Demand History'!O75*I75,0),ROUND(AVERAGE('2. Demand History'!X75:Z75),0))</f>
        <v>34</v>
      </c>
      <c r="K75" s="9">
        <f t="shared" si="5"/>
        <v>0.125</v>
      </c>
      <c r="L75" s="10">
        <f>ROUND(ABS('2. Demand History'!U75-IF($D75="Yes",'2. Demand History'!I75,AVERAGE('2. Demand History'!R75:T75)))/MAX('2. Demand History'!U75,1),3)</f>
        <v>0.22700000000000001</v>
      </c>
      <c r="M75" s="10">
        <f>ROUND(ABS('2. Demand History'!V75-IF($D75="Yes",'2. Demand History'!J75,AVERAGE('2. Demand History'!S75:U75)))/MAX('2. Demand History'!V75,1),3)</f>
        <v>8.3000000000000004E-2</v>
      </c>
      <c r="N75" s="10">
        <f>ROUND(ABS('2. Demand History'!W75-IF($D75="Yes",'2. Demand History'!K75,AVERAGE('2. Demand History'!T75:V75)))/MAX('2. Demand History'!W75,1),3)</f>
        <v>3.3000000000000002E-2</v>
      </c>
      <c r="O75" s="10">
        <f>ROUND(ABS('2. Demand History'!X75-IF($D75="Yes",'2. Demand History'!L75,AVERAGE('2. Demand History'!U75:W75)))/MAX('2. Demand History'!X75,1),3)</f>
        <v>0.25800000000000001</v>
      </c>
      <c r="P75" s="10">
        <f>ROUND(ABS('2. Demand History'!Y75-IF($D75="Yes",'2. Demand History'!M75,AVERAGE('2. Demand History'!V75:X75)))/MAX('2. Demand History'!Y75,1),3)</f>
        <v>5.6000000000000001E-2</v>
      </c>
      <c r="Q75" s="10">
        <f>ROUND(ABS('2. Demand History'!Z75-IF($D75="Yes",'2. Demand History'!N75,AVERAGE('2. Demand History'!W75:Y75)))/MAX('2. Demand History'!Z75,1),3)</f>
        <v>9.4E-2</v>
      </c>
    </row>
    <row r="76" spans="1:17" ht="15" customHeight="1" x14ac:dyDescent="0.2">
      <c r="A76" s="3" t="str">
        <f>'2. Demand History'!A76</f>
        <v>NT10072</v>
      </c>
      <c r="B76" s="1" t="str">
        <f>'2. Demand History'!B76</f>
        <v>CreatorPro 629 i9 16in</v>
      </c>
      <c r="C76" s="3" t="str">
        <f>'1. Master Data'!C76</f>
        <v>Laptops</v>
      </c>
      <c r="D76" s="3" t="s">
        <v>1111</v>
      </c>
      <c r="E76" s="3" t="str">
        <f t="shared" si="3"/>
        <v>Seasonal Naive</v>
      </c>
      <c r="F76" s="3">
        <f>ROUND(AVERAGE('2. Demand History'!O76:Z76),1)</f>
        <v>257.39999999999998</v>
      </c>
      <c r="G76" s="3">
        <f>ROUND(STDEV('2. Demand History'!O76:Z76),1)</f>
        <v>79.8</v>
      </c>
      <c r="H76" s="8">
        <f t="shared" si="4"/>
        <v>0.31</v>
      </c>
      <c r="I76" s="8">
        <f>ROUND(SUM('2. Demand History'!O76:Z76)/MAX(SUM('2. Demand History'!C76:N76),1),2)</f>
        <v>1.01</v>
      </c>
      <c r="J76" s="5">
        <f>IF(D76="Yes",ROUND('2. Demand History'!O76*I76,0),ROUND(AVERAGE('2. Demand History'!X76:Z76),0))</f>
        <v>257</v>
      </c>
      <c r="K76" s="9">
        <f t="shared" si="5"/>
        <v>0.111</v>
      </c>
      <c r="L76" s="10">
        <f>ROUND(ABS('2. Demand History'!U76-IF($D76="Yes",'2. Demand History'!I76,AVERAGE('2. Demand History'!R76:T76)))/MAX('2. Demand History'!U76,1),3)</f>
        <v>0.13700000000000001</v>
      </c>
      <c r="M76" s="10">
        <f>ROUND(ABS('2. Demand History'!V76-IF($D76="Yes",'2. Demand History'!J76,AVERAGE('2. Demand History'!S76:U76)))/MAX('2. Demand History'!V76,1),3)</f>
        <v>0.151</v>
      </c>
      <c r="N76" s="10">
        <f>ROUND(ABS('2. Demand History'!W76-IF($D76="Yes",'2. Demand History'!K76,AVERAGE('2. Demand History'!T76:V76)))/MAX('2. Demand History'!W76,1),3)</f>
        <v>6.7000000000000004E-2</v>
      </c>
      <c r="O76" s="10">
        <f>ROUND(ABS('2. Demand History'!X76-IF($D76="Yes",'2. Demand History'!L76,AVERAGE('2. Demand History'!U76:W76)))/MAX('2. Demand History'!X76,1),3)</f>
        <v>6.0999999999999999E-2</v>
      </c>
      <c r="P76" s="10">
        <f>ROUND(ABS('2. Demand History'!Y76-IF($D76="Yes",'2. Demand History'!M76,AVERAGE('2. Demand History'!V76:X76)))/MAX('2. Demand History'!Y76,1),3)</f>
        <v>0.11600000000000001</v>
      </c>
      <c r="Q76" s="10">
        <f>ROUND(ABS('2. Demand History'!Z76-IF($D76="Yes",'2. Demand History'!N76,AVERAGE('2. Demand History'!W76:Y76)))/MAX('2. Demand History'!Z76,1),3)</f>
        <v>0.13200000000000001</v>
      </c>
    </row>
    <row r="77" spans="1:17" ht="15" customHeight="1" x14ac:dyDescent="0.2">
      <c r="A77" s="3" t="str">
        <f>'2. Demand History'!A77</f>
        <v>NT10073</v>
      </c>
      <c r="B77" s="1" t="str">
        <f>'2. Demand History'!B77</f>
        <v>ProBook 373 i5 14in</v>
      </c>
      <c r="C77" s="3" t="str">
        <f>'1. Master Data'!C77</f>
        <v>Laptops</v>
      </c>
      <c r="D77" s="3" t="s">
        <v>1111</v>
      </c>
      <c r="E77" s="3" t="str">
        <f t="shared" si="3"/>
        <v>Seasonal Naive</v>
      </c>
      <c r="F77" s="3">
        <f>ROUND(AVERAGE('2. Demand History'!O77:Z77),1)</f>
        <v>43.8</v>
      </c>
      <c r="G77" s="3">
        <f>ROUND(STDEV('2. Demand History'!O77:Z77),1)</f>
        <v>11.9</v>
      </c>
      <c r="H77" s="8">
        <f t="shared" si="4"/>
        <v>0.27</v>
      </c>
      <c r="I77" s="8">
        <f>ROUND(SUM('2. Demand History'!O77:Z77)/MAX(SUM('2. Demand History'!C77:N77),1),2)</f>
        <v>0.93</v>
      </c>
      <c r="J77" s="5">
        <f>IF(D77="Yes",ROUND('2. Demand History'!O77*I77,0),ROUND(AVERAGE('2. Demand History'!X77:Z77),0))</f>
        <v>36</v>
      </c>
      <c r="K77" s="9">
        <f t="shared" si="5"/>
        <v>0.11700000000000001</v>
      </c>
      <c r="L77" s="10">
        <f>ROUND(ABS('2. Demand History'!U77-IF($D77="Yes",'2. Demand History'!I77,AVERAGE('2. Demand History'!R77:T77)))/MAX('2. Demand History'!U77,1),3)</f>
        <v>0.17599999999999999</v>
      </c>
      <c r="M77" s="10">
        <f>ROUND(ABS('2. Demand History'!V77-IF($D77="Yes",'2. Demand History'!J77,AVERAGE('2. Demand History'!S77:U77)))/MAX('2. Demand History'!V77,1),3)</f>
        <v>0.14299999999999999</v>
      </c>
      <c r="N77" s="10">
        <f>ROUND(ABS('2. Demand History'!W77-IF($D77="Yes",'2. Demand History'!K77,AVERAGE('2. Demand History'!T77:V77)))/MAX('2. Demand History'!W77,1),3)</f>
        <v>5.8999999999999997E-2</v>
      </c>
      <c r="O77" s="10">
        <f>ROUND(ABS('2. Demand History'!X77-IF($D77="Yes",'2. Demand History'!L77,AVERAGE('2. Demand History'!U77:W77)))/MAX('2. Demand History'!X77,1),3)</f>
        <v>0.158</v>
      </c>
      <c r="P77" s="10">
        <f>ROUND(ABS('2. Demand History'!Y77-IF($D77="Yes",'2. Demand History'!M77,AVERAGE('2. Demand History'!V77:X77)))/MAX('2. Demand History'!Y77,1),3)</f>
        <v>6.8000000000000005E-2</v>
      </c>
      <c r="Q77" s="10">
        <f>ROUND(ABS('2. Demand History'!Z77-IF($D77="Yes",'2. Demand History'!N77,AVERAGE('2. Demand History'!W77:Y77)))/MAX('2. Demand History'!Z77,1),3)</f>
        <v>9.5000000000000001E-2</v>
      </c>
    </row>
    <row r="78" spans="1:17" ht="15" customHeight="1" x14ac:dyDescent="0.2">
      <c r="A78" s="3" t="str">
        <f>'2. Demand History'!A78</f>
        <v>NT10074</v>
      </c>
      <c r="B78" s="1" t="str">
        <f>'2. Demand History'!B78</f>
        <v>WorkMate 446 i3 14in</v>
      </c>
      <c r="C78" s="3" t="str">
        <f>'1. Master Data'!C78</f>
        <v>Laptops</v>
      </c>
      <c r="D78" s="3" t="s">
        <v>1111</v>
      </c>
      <c r="E78" s="3" t="str">
        <f t="shared" si="3"/>
        <v>Seasonal Naive</v>
      </c>
      <c r="F78" s="3">
        <f>ROUND(AVERAGE('2. Demand History'!O78:Z78),1)</f>
        <v>51.5</v>
      </c>
      <c r="G78" s="3">
        <f>ROUND(STDEV('2. Demand History'!O78:Z78),1)</f>
        <v>15</v>
      </c>
      <c r="H78" s="8">
        <f t="shared" si="4"/>
        <v>0.28999999999999998</v>
      </c>
      <c r="I78" s="8">
        <f>ROUND(SUM('2. Demand History'!O78:Z78)/MAX(SUM('2. Demand History'!C78:N78),1),2)</f>
        <v>1.1200000000000001</v>
      </c>
      <c r="J78" s="5">
        <f>IF(D78="Yes",ROUND('2. Demand History'!O78*I78,0),ROUND(AVERAGE('2. Demand History'!X78:Z78),0))</f>
        <v>46</v>
      </c>
      <c r="K78" s="9">
        <f t="shared" si="5"/>
        <v>9.6000000000000002E-2</v>
      </c>
      <c r="L78" s="10">
        <f>ROUND(ABS('2. Demand History'!U78-IF($D78="Yes",'2. Demand History'!I78,AVERAGE('2. Demand History'!R78:T78)))/MAX('2. Demand History'!U78,1),3)</f>
        <v>0.11799999999999999</v>
      </c>
      <c r="M78" s="10">
        <f>ROUND(ABS('2. Demand History'!V78-IF($D78="Yes",'2. Demand History'!J78,AVERAGE('2. Demand History'!S78:U78)))/MAX('2. Demand History'!V78,1),3)</f>
        <v>9.4E-2</v>
      </c>
      <c r="N78" s="10">
        <f>ROUND(ABS('2. Demand History'!W78-IF($D78="Yes",'2. Demand History'!K78,AVERAGE('2. Demand History'!T78:V78)))/MAX('2. Demand History'!W78,1),3)</f>
        <v>0.186</v>
      </c>
      <c r="O78" s="10">
        <f>ROUND(ABS('2. Demand History'!X78-IF($D78="Yes",'2. Demand History'!L78,AVERAGE('2. Demand History'!U78:W78)))/MAX('2. Demand History'!X78,1),3)</f>
        <v>0</v>
      </c>
      <c r="P78" s="10">
        <f>ROUND(ABS('2. Demand History'!Y78-IF($D78="Yes",'2. Demand History'!M78,AVERAGE('2. Demand History'!V78:X78)))/MAX('2. Demand History'!Y78,1),3)</f>
        <v>0.109</v>
      </c>
      <c r="Q78" s="10">
        <f>ROUND(ABS('2. Demand History'!Z78-IF($D78="Yes",'2. Demand History'!N78,AVERAGE('2. Demand History'!W78:Y78)))/MAX('2. Demand History'!Z78,1),3)</f>
        <v>7.0000000000000007E-2</v>
      </c>
    </row>
    <row r="79" spans="1:17" ht="15" customHeight="1" x14ac:dyDescent="0.2">
      <c r="A79" s="3" t="str">
        <f>'2. Demand History'!A79</f>
        <v>NT10075</v>
      </c>
      <c r="B79" s="1" t="str">
        <f>'2. Demand History'!B79</f>
        <v>UltraSlim 118 Ryzen 5</v>
      </c>
      <c r="C79" s="3" t="str">
        <f>'1. Master Data'!C79</f>
        <v>Laptops</v>
      </c>
      <c r="D79" s="3" t="s">
        <v>1111</v>
      </c>
      <c r="E79" s="3" t="str">
        <f t="shared" si="3"/>
        <v>Seasonal Naive</v>
      </c>
      <c r="F79" s="3">
        <f>ROUND(AVERAGE('2. Demand History'!O79:Z79),1)</f>
        <v>29.2</v>
      </c>
      <c r="G79" s="3">
        <f>ROUND(STDEV('2. Demand History'!O79:Z79),1)</f>
        <v>10.4</v>
      </c>
      <c r="H79" s="8">
        <f t="shared" si="4"/>
        <v>0.36</v>
      </c>
      <c r="I79" s="8">
        <f>ROUND(SUM('2. Demand History'!O79:Z79)/MAX(SUM('2. Demand History'!C79:N79),1),2)</f>
        <v>1.1100000000000001</v>
      </c>
      <c r="J79" s="5">
        <f>IF(D79="Yes",ROUND('2. Demand History'!O79*I79,0),ROUND(AVERAGE('2. Demand History'!X79:Z79),0))</f>
        <v>24</v>
      </c>
      <c r="K79" s="9">
        <f t="shared" si="5"/>
        <v>0.153</v>
      </c>
      <c r="L79" s="10">
        <f>ROUND(ABS('2. Demand History'!U79-IF($D79="Yes",'2. Demand History'!I79,AVERAGE('2. Demand History'!R79:T79)))/MAX('2. Demand History'!U79,1),3)</f>
        <v>0.161</v>
      </c>
      <c r="M79" s="10">
        <f>ROUND(ABS('2. Demand History'!V79-IF($D79="Yes",'2. Demand History'!J79,AVERAGE('2. Demand History'!S79:U79)))/MAX('2. Demand History'!V79,1),3)</f>
        <v>0.182</v>
      </c>
      <c r="N79" s="10">
        <f>ROUND(ABS('2. Demand History'!W79-IF($D79="Yes",'2. Demand History'!K79,AVERAGE('2. Demand History'!T79:V79)))/MAX('2. Demand History'!W79,1),3)</f>
        <v>0.17599999999999999</v>
      </c>
      <c r="O79" s="10">
        <f>ROUND(ABS('2. Demand History'!X79-IF($D79="Yes",'2. Demand History'!L79,AVERAGE('2. Demand History'!U79:W79)))/MAX('2. Demand History'!X79,1),3)</f>
        <v>0.2</v>
      </c>
      <c r="P79" s="10">
        <f>ROUND(ABS('2. Demand History'!Y79-IF($D79="Yes",'2. Demand History'!M79,AVERAGE('2. Demand History'!V79:X79)))/MAX('2. Demand History'!Y79,1),3)</f>
        <v>7.0999999999999994E-2</v>
      </c>
      <c r="Q79" s="10">
        <f>ROUND(ABS('2. Demand History'!Z79-IF($D79="Yes",'2. Demand History'!N79,AVERAGE('2. Demand History'!W79:Y79)))/MAX('2. Demand History'!Z79,1),3)</f>
        <v>0.125</v>
      </c>
    </row>
    <row r="80" spans="1:17" ht="15" customHeight="1" x14ac:dyDescent="0.2">
      <c r="A80" s="3" t="str">
        <f>'2. Demand History'!A80</f>
        <v>NT10076</v>
      </c>
      <c r="B80" s="1" t="str">
        <f>'2. Demand History'!B80</f>
        <v>CreatorPro 809 i9 16in</v>
      </c>
      <c r="C80" s="3" t="str">
        <f>'1. Master Data'!C80</f>
        <v>Laptops</v>
      </c>
      <c r="D80" s="3" t="s">
        <v>1111</v>
      </c>
      <c r="E80" s="3" t="str">
        <f t="shared" si="3"/>
        <v>Seasonal Naive</v>
      </c>
      <c r="F80" s="3">
        <f>ROUND(AVERAGE('2. Demand History'!O80:Z80),1)</f>
        <v>211.9</v>
      </c>
      <c r="G80" s="3">
        <f>ROUND(STDEV('2. Demand History'!O80:Z80),1)</f>
        <v>65.3</v>
      </c>
      <c r="H80" s="8">
        <f t="shared" si="4"/>
        <v>0.31</v>
      </c>
      <c r="I80" s="8">
        <f>ROUND(SUM('2. Demand History'!O80:Z80)/MAX(SUM('2. Demand History'!C80:N80),1),2)</f>
        <v>1.07</v>
      </c>
      <c r="J80" s="5">
        <f>IF(D80="Yes",ROUND('2. Demand History'!O80*I80,0),ROUND(AVERAGE('2. Demand History'!X80:Z80),0))</f>
        <v>193</v>
      </c>
      <c r="K80" s="9">
        <f t="shared" si="5"/>
        <v>9.0999999999999998E-2</v>
      </c>
      <c r="L80" s="10">
        <f>ROUND(ABS('2. Demand History'!U80-IF($D80="Yes",'2. Demand History'!I80,AVERAGE('2. Demand History'!R80:T80)))/MAX('2. Demand History'!U80,1),3)</f>
        <v>6.7000000000000004E-2</v>
      </c>
      <c r="M80" s="10">
        <f>ROUND(ABS('2. Demand History'!V80-IF($D80="Yes",'2. Demand History'!J80,AVERAGE('2. Demand History'!S80:U80)))/MAX('2. Demand History'!V80,1),3)</f>
        <v>0.23799999999999999</v>
      </c>
      <c r="N80" s="10">
        <f>ROUND(ABS('2. Demand History'!W80-IF($D80="Yes",'2. Demand History'!K80,AVERAGE('2. Demand History'!T80:V80)))/MAX('2. Demand History'!W80,1),3)</f>
        <v>0.152</v>
      </c>
      <c r="O80" s="10">
        <f>ROUND(ABS('2. Demand History'!X80-IF($D80="Yes",'2. Demand History'!L80,AVERAGE('2. Demand History'!U80:W80)))/MAX('2. Demand History'!X80,1),3)</f>
        <v>3.2000000000000001E-2</v>
      </c>
      <c r="P80" s="10">
        <f>ROUND(ABS('2. Demand History'!Y80-IF($D80="Yes",'2. Demand History'!M80,AVERAGE('2. Demand History'!V80:X80)))/MAX('2. Demand History'!Y80,1),3)</f>
        <v>4.2000000000000003E-2</v>
      </c>
      <c r="Q80" s="10">
        <f>ROUND(ABS('2. Demand History'!Z80-IF($D80="Yes",'2. Demand History'!N80,AVERAGE('2. Demand History'!W80:Y80)))/MAX('2. Demand History'!Z80,1),3)</f>
        <v>1.6E-2</v>
      </c>
    </row>
    <row r="81" spans="1:17" ht="15" customHeight="1" x14ac:dyDescent="0.2">
      <c r="A81" s="3" t="str">
        <f>'2. Demand History'!A81</f>
        <v>NT10077</v>
      </c>
      <c r="B81" s="1" t="str">
        <f>'2. Demand History'!B81</f>
        <v>ProBook 720 i7 15in</v>
      </c>
      <c r="C81" s="3" t="str">
        <f>'1. Master Data'!C81</f>
        <v>Laptops</v>
      </c>
      <c r="D81" s="3" t="s">
        <v>1111</v>
      </c>
      <c r="E81" s="3" t="str">
        <f t="shared" si="3"/>
        <v>Seasonal Naive</v>
      </c>
      <c r="F81" s="3">
        <f>ROUND(AVERAGE('2. Demand History'!O81:Z81),1)</f>
        <v>46.8</v>
      </c>
      <c r="G81" s="3">
        <f>ROUND(STDEV('2. Demand History'!O81:Z81),1)</f>
        <v>13.6</v>
      </c>
      <c r="H81" s="8">
        <f t="shared" si="4"/>
        <v>0.28999999999999998</v>
      </c>
      <c r="I81" s="8">
        <f>ROUND(SUM('2. Demand History'!O81:Z81)/MAX(SUM('2. Demand History'!C81:N81),1),2)</f>
        <v>1.1100000000000001</v>
      </c>
      <c r="J81" s="5">
        <f>IF(D81="Yes",ROUND('2. Demand History'!O81*I81,0),ROUND(AVERAGE('2. Demand History'!X81:Z81),0))</f>
        <v>48</v>
      </c>
      <c r="K81" s="9">
        <f t="shared" si="5"/>
        <v>0.10199999999999999</v>
      </c>
      <c r="L81" s="10">
        <f>ROUND(ABS('2. Demand History'!U81-IF($D81="Yes",'2. Demand History'!I81,AVERAGE('2. Demand History'!R81:T81)))/MAX('2. Demand History'!U81,1),3)</f>
        <v>0</v>
      </c>
      <c r="M81" s="10">
        <f>ROUND(ABS('2. Demand History'!V81-IF($D81="Yes",'2. Demand History'!J81,AVERAGE('2. Demand History'!S81:U81)))/MAX('2. Demand History'!V81,1),3)</f>
        <v>0.20599999999999999</v>
      </c>
      <c r="N81" s="10">
        <f>ROUND(ABS('2. Demand History'!W81-IF($D81="Yes",'2. Demand History'!K81,AVERAGE('2. Demand History'!T81:V81)))/MAX('2. Demand History'!W81,1),3)</f>
        <v>0.128</v>
      </c>
      <c r="O81" s="10">
        <f>ROUND(ABS('2. Demand History'!X81-IF($D81="Yes",'2. Demand History'!L81,AVERAGE('2. Demand History'!U81:W81)))/MAX('2. Demand History'!X81,1),3)</f>
        <v>0.154</v>
      </c>
      <c r="P81" s="10">
        <f>ROUND(ABS('2. Demand History'!Y81-IF($D81="Yes",'2. Demand History'!M81,AVERAGE('2. Demand History'!V81:X81)))/MAX('2. Demand History'!Y81,1),3)</f>
        <v>2.8000000000000001E-2</v>
      </c>
      <c r="Q81" s="10">
        <f>ROUND(ABS('2. Demand History'!Z81-IF($D81="Yes",'2. Demand History'!N81,AVERAGE('2. Demand History'!W81:Y81)))/MAX('2. Demand History'!Z81,1),3)</f>
        <v>9.2999999999999999E-2</v>
      </c>
    </row>
    <row r="82" spans="1:17" ht="15" customHeight="1" x14ac:dyDescent="0.2">
      <c r="A82" s="3" t="str">
        <f>'2. Demand History'!A82</f>
        <v>NT10078</v>
      </c>
      <c r="B82" s="1" t="str">
        <f>'2. Demand History'!B82</f>
        <v>CreatorPro 672 i9 16in</v>
      </c>
      <c r="C82" s="3" t="str">
        <f>'1. Master Data'!C82</f>
        <v>Laptops</v>
      </c>
      <c r="D82" s="3" t="s">
        <v>1111</v>
      </c>
      <c r="E82" s="3" t="str">
        <f t="shared" si="3"/>
        <v>Seasonal Naive</v>
      </c>
      <c r="F82" s="3">
        <f>ROUND(AVERAGE('2. Demand History'!O82:Z82),1)</f>
        <v>27.3</v>
      </c>
      <c r="G82" s="3">
        <f>ROUND(STDEV('2. Demand History'!O82:Z82),1)</f>
        <v>8.6999999999999993</v>
      </c>
      <c r="H82" s="8">
        <f t="shared" si="4"/>
        <v>0.32</v>
      </c>
      <c r="I82" s="8">
        <f>ROUND(SUM('2. Demand History'!O82:Z82)/MAX(SUM('2. Demand History'!C82:N82),1),2)</f>
        <v>1.03</v>
      </c>
      <c r="J82" s="5">
        <f>IF(D82="Yes",ROUND('2. Demand History'!O82*I82,0),ROUND(AVERAGE('2. Demand History'!X82:Z82),0))</f>
        <v>24</v>
      </c>
      <c r="K82" s="9">
        <f t="shared" si="5"/>
        <v>0.11700000000000001</v>
      </c>
      <c r="L82" s="10">
        <f>ROUND(ABS('2. Demand History'!U82-IF($D82="Yes",'2. Demand History'!I82,AVERAGE('2. Demand History'!R82:T82)))/MAX('2. Demand History'!U82,1),3)</f>
        <v>0.159</v>
      </c>
      <c r="M82" s="10">
        <f>ROUND(ABS('2. Demand History'!V82-IF($D82="Yes",'2. Demand History'!J82,AVERAGE('2. Demand History'!S82:U82)))/MAX('2. Demand History'!V82,1),3)</f>
        <v>0.15</v>
      </c>
      <c r="N82" s="10">
        <f>ROUND(ABS('2. Demand History'!W82-IF($D82="Yes",'2. Demand History'!K82,AVERAGE('2. Demand History'!T82:V82)))/MAX('2. Demand History'!W82,1),3)</f>
        <v>4.4999999999999998E-2</v>
      </c>
      <c r="O82" s="10">
        <f>ROUND(ABS('2. Demand History'!X82-IF($D82="Yes",'2. Demand History'!L82,AVERAGE('2. Demand History'!U82:W82)))/MAX('2. Demand History'!X82,1),3)</f>
        <v>4.2000000000000003E-2</v>
      </c>
      <c r="P82" s="10">
        <f>ROUND(ABS('2. Demand History'!Y82-IF($D82="Yes",'2. Demand History'!M82,AVERAGE('2. Demand History'!V82:X82)))/MAX('2. Demand History'!Y82,1),3)</f>
        <v>0.27300000000000002</v>
      </c>
      <c r="Q82" s="10">
        <f>ROUND(ABS('2. Demand History'!Z82-IF($D82="Yes",'2. Demand History'!N82,AVERAGE('2. Demand History'!W82:Y82)))/MAX('2. Demand History'!Z82,1),3)</f>
        <v>3.1E-2</v>
      </c>
    </row>
    <row r="83" spans="1:17" ht="15" customHeight="1" x14ac:dyDescent="0.2">
      <c r="A83" s="3" t="str">
        <f>'2. Demand History'!A83</f>
        <v>NT10079</v>
      </c>
      <c r="B83" s="1" t="str">
        <f>'2. Demand History'!B83</f>
        <v>CreatorPro 851 i9 16in</v>
      </c>
      <c r="C83" s="3" t="str">
        <f>'1. Master Data'!C83</f>
        <v>Laptops</v>
      </c>
      <c r="D83" s="3" t="s">
        <v>1111</v>
      </c>
      <c r="E83" s="3" t="str">
        <f t="shared" si="3"/>
        <v>Seasonal Naive</v>
      </c>
      <c r="F83" s="3">
        <f>ROUND(AVERAGE('2. Demand History'!O83:Z83),1)</f>
        <v>32.200000000000003</v>
      </c>
      <c r="G83" s="3">
        <f>ROUND(STDEV('2. Demand History'!O83:Z83),1)</f>
        <v>10.199999999999999</v>
      </c>
      <c r="H83" s="8">
        <f t="shared" si="4"/>
        <v>0.32</v>
      </c>
      <c r="I83" s="8">
        <f>ROUND(SUM('2. Demand History'!O83:Z83)/MAX(SUM('2. Demand History'!C83:N83),1),2)</f>
        <v>1.05</v>
      </c>
      <c r="J83" s="5">
        <f>IF(D83="Yes",ROUND('2. Demand History'!O83*I83,0),ROUND(AVERAGE('2. Demand History'!X83:Z83),0))</f>
        <v>26</v>
      </c>
      <c r="K83" s="9">
        <f t="shared" si="5"/>
        <v>0.114</v>
      </c>
      <c r="L83" s="10">
        <f>ROUND(ABS('2. Demand History'!U83-IF($D83="Yes",'2. Demand History'!I83,AVERAGE('2. Demand History'!R83:T83)))/MAX('2. Demand History'!U83,1),3)</f>
        <v>3.3000000000000002E-2</v>
      </c>
      <c r="M83" s="10">
        <f>ROUND(ABS('2. Demand History'!V83-IF($D83="Yes",'2. Demand History'!J83,AVERAGE('2. Demand History'!S83:U83)))/MAX('2. Demand History'!V83,1),3)</f>
        <v>0.05</v>
      </c>
      <c r="N83" s="10">
        <f>ROUND(ABS('2. Demand History'!W83-IF($D83="Yes",'2. Demand History'!K83,AVERAGE('2. Demand History'!T83:V83)))/MAX('2. Demand History'!W83,1),3)</f>
        <v>0.25</v>
      </c>
      <c r="O83" s="10">
        <f>ROUND(ABS('2. Demand History'!X83-IF($D83="Yes",'2. Demand History'!L83,AVERAGE('2. Demand History'!U83:W83)))/MAX('2. Demand History'!X83,1),3)</f>
        <v>0.161</v>
      </c>
      <c r="P83" s="10">
        <f>ROUND(ABS('2. Demand History'!Y83-IF($D83="Yes",'2. Demand History'!M83,AVERAGE('2. Demand History'!V83:X83)))/MAX('2. Demand History'!Y83,1),3)</f>
        <v>7.0999999999999994E-2</v>
      </c>
      <c r="Q83" s="10">
        <f>ROUND(ABS('2. Demand History'!Z83-IF($D83="Yes",'2. Demand History'!N83,AVERAGE('2. Demand History'!W83:Y83)))/MAX('2. Demand History'!Z83,1),3)</f>
        <v>0.121</v>
      </c>
    </row>
    <row r="84" spans="1:17" ht="15" customHeight="1" x14ac:dyDescent="0.2">
      <c r="A84" s="3" t="str">
        <f>'2. Demand History'!A84</f>
        <v>NT10080</v>
      </c>
      <c r="B84" s="1" t="str">
        <f>'2. Demand History'!B84</f>
        <v>UltraSlim 600 Ryzen 5</v>
      </c>
      <c r="C84" s="3" t="str">
        <f>'1. Master Data'!C84</f>
        <v>Laptops</v>
      </c>
      <c r="D84" s="3" t="s">
        <v>1111</v>
      </c>
      <c r="E84" s="3" t="str">
        <f t="shared" si="3"/>
        <v>Seasonal Naive</v>
      </c>
      <c r="F84" s="3">
        <f>ROUND(AVERAGE('2. Demand History'!O84:Z84),1)</f>
        <v>117.4</v>
      </c>
      <c r="G84" s="3">
        <f>ROUND(STDEV('2. Demand History'!O84:Z84),1)</f>
        <v>46.3</v>
      </c>
      <c r="H84" s="8">
        <f t="shared" si="4"/>
        <v>0.39</v>
      </c>
      <c r="I84" s="8">
        <f>ROUND(SUM('2. Demand History'!O84:Z84)/MAX(SUM('2. Demand History'!C84:N84),1),2)</f>
        <v>1.05</v>
      </c>
      <c r="J84" s="5">
        <f>IF(D84="Yes",ROUND('2. Demand History'!O84*I84,0),ROUND(AVERAGE('2. Demand History'!X84:Z84),0))</f>
        <v>104</v>
      </c>
      <c r="K84" s="9">
        <f t="shared" si="5"/>
        <v>0.17699999999999999</v>
      </c>
      <c r="L84" s="10">
        <f>ROUND(ABS('2. Demand History'!U84-IF($D84="Yes",'2. Demand History'!I84,AVERAGE('2. Demand History'!R84:T84)))/MAX('2. Demand History'!U84,1),3)</f>
        <v>0.22700000000000001</v>
      </c>
      <c r="M84" s="10">
        <f>ROUND(ABS('2. Demand History'!V84-IF($D84="Yes",'2. Demand History'!J84,AVERAGE('2. Demand History'!S84:U84)))/MAX('2. Demand History'!V84,1),3)</f>
        <v>0.12</v>
      </c>
      <c r="N84" s="10">
        <f>ROUND(ABS('2. Demand History'!W84-IF($D84="Yes",'2. Demand History'!K84,AVERAGE('2. Demand History'!T84:V84)))/MAX('2. Demand History'!W84,1),3)</f>
        <v>6.7000000000000004E-2</v>
      </c>
      <c r="O84" s="10">
        <f>ROUND(ABS('2. Demand History'!X84-IF($D84="Yes",'2. Demand History'!L84,AVERAGE('2. Demand History'!U84:W84)))/MAX('2. Demand History'!X84,1),3)</f>
        <v>2.3E-2</v>
      </c>
      <c r="P84" s="10">
        <f>ROUND(ABS('2. Demand History'!Y84-IF($D84="Yes",'2. Demand History'!M84,AVERAGE('2. Demand History'!V84:X84)))/MAX('2. Demand History'!Y84,1),3)</f>
        <v>0.125</v>
      </c>
      <c r="Q84" s="10">
        <f>ROUND(ABS('2. Demand History'!Z84-IF($D84="Yes",'2. Demand History'!N84,AVERAGE('2. Demand History'!W84:Y84)))/MAX('2. Demand History'!Z84,1),3)</f>
        <v>0.5</v>
      </c>
    </row>
    <row r="85" spans="1:17" ht="15" customHeight="1" x14ac:dyDescent="0.2">
      <c r="A85" s="3" t="str">
        <f>'2. Demand History'!A85</f>
        <v>NT10081</v>
      </c>
      <c r="B85" s="1" t="str">
        <f>'2. Demand History'!B85</f>
        <v>UltraSlim 956 Ryzen 5</v>
      </c>
      <c r="C85" s="3" t="str">
        <f>'1. Master Data'!C85</f>
        <v>Laptops</v>
      </c>
      <c r="D85" s="3" t="s">
        <v>1111</v>
      </c>
      <c r="E85" s="3" t="str">
        <f t="shared" si="3"/>
        <v>Seasonal Naive</v>
      </c>
      <c r="F85" s="3">
        <f>ROUND(AVERAGE('2. Demand History'!O85:Z85),1)</f>
        <v>9.5</v>
      </c>
      <c r="G85" s="3">
        <f>ROUND(STDEV('2. Demand History'!O85:Z85),1)</f>
        <v>2.5</v>
      </c>
      <c r="H85" s="8">
        <f t="shared" si="4"/>
        <v>0.26</v>
      </c>
      <c r="I85" s="8">
        <f>ROUND(SUM('2. Demand History'!O85:Z85)/MAX(SUM('2. Demand History'!C85:N85),1),2)</f>
        <v>1.07</v>
      </c>
      <c r="J85" s="5">
        <f>IF(D85="Yes",ROUND('2. Demand History'!O85*I85,0),ROUND(AVERAGE('2. Demand History'!X85:Z85),0))</f>
        <v>10</v>
      </c>
      <c r="K85" s="9">
        <f t="shared" si="5"/>
        <v>6.0999999999999999E-2</v>
      </c>
      <c r="L85" s="10">
        <f>ROUND(ABS('2. Demand History'!U85-IF($D85="Yes",'2. Demand History'!I85,AVERAGE('2. Demand History'!R85:T85)))/MAX('2. Demand History'!U85,1),3)</f>
        <v>0</v>
      </c>
      <c r="M85" s="10">
        <f>ROUND(ABS('2. Demand History'!V85-IF($D85="Yes",'2. Demand History'!J85,AVERAGE('2. Demand History'!S85:U85)))/MAX('2. Demand History'!V85,1),3)</f>
        <v>0.14299999999999999</v>
      </c>
      <c r="N85" s="10">
        <f>ROUND(ABS('2. Demand History'!W85-IF($D85="Yes",'2. Demand History'!K85,AVERAGE('2. Demand History'!T85:V85)))/MAX('2. Demand History'!W85,1),3)</f>
        <v>0.222</v>
      </c>
      <c r="O85" s="10">
        <f>ROUND(ABS('2. Demand History'!X85-IF($D85="Yes",'2. Demand History'!L85,AVERAGE('2. Demand History'!U85:W85)))/MAX('2. Demand History'!X85,1),3)</f>
        <v>0</v>
      </c>
      <c r="P85" s="10">
        <f>ROUND(ABS('2. Demand History'!Y85-IF($D85="Yes",'2. Demand History'!M85,AVERAGE('2. Demand History'!V85:X85)))/MAX('2. Demand History'!Y85,1),3)</f>
        <v>0</v>
      </c>
      <c r="Q85" s="10">
        <f>ROUND(ABS('2. Demand History'!Z85-IF($D85="Yes",'2. Demand History'!N85,AVERAGE('2. Demand History'!W85:Y85)))/MAX('2. Demand History'!Z85,1),3)</f>
        <v>0</v>
      </c>
    </row>
    <row r="86" spans="1:17" ht="15" customHeight="1" x14ac:dyDescent="0.2">
      <c r="A86" s="3" t="str">
        <f>'2. Demand History'!A86</f>
        <v>NT10082</v>
      </c>
      <c r="B86" s="1" t="str">
        <f>'2. Demand History'!B86</f>
        <v>CreatorPro 155 i9 16in</v>
      </c>
      <c r="C86" s="3" t="str">
        <f>'1. Master Data'!C86</f>
        <v>Laptops</v>
      </c>
      <c r="D86" s="3" t="s">
        <v>1111</v>
      </c>
      <c r="E86" s="3" t="str">
        <f t="shared" si="3"/>
        <v>Seasonal Naive</v>
      </c>
      <c r="F86" s="3">
        <f>ROUND(AVERAGE('2. Demand History'!O86:Z86),1)</f>
        <v>15.7</v>
      </c>
      <c r="G86" s="3">
        <f>ROUND(STDEV('2. Demand History'!O86:Z86),1)</f>
        <v>4.4000000000000004</v>
      </c>
      <c r="H86" s="8">
        <f t="shared" si="4"/>
        <v>0.28000000000000003</v>
      </c>
      <c r="I86" s="8">
        <f>ROUND(SUM('2. Demand History'!O86:Z86)/MAX(SUM('2. Demand History'!C86:N86),1),2)</f>
        <v>1.03</v>
      </c>
      <c r="J86" s="5">
        <f>IF(D86="Yes",ROUND('2. Demand History'!O86*I86,0),ROUND(AVERAGE('2. Demand History'!X86:Z86),0))</f>
        <v>13</v>
      </c>
      <c r="K86" s="9">
        <f t="shared" si="5"/>
        <v>4.9000000000000002E-2</v>
      </c>
      <c r="L86" s="10">
        <f>ROUND(ABS('2. Demand History'!U86-IF($D86="Yes",'2. Demand History'!I86,AVERAGE('2. Demand History'!R86:T86)))/MAX('2. Demand History'!U86,1),3)</f>
        <v>3.6999999999999998E-2</v>
      </c>
      <c r="M86" s="10">
        <f>ROUND(ABS('2. Demand History'!V86-IF($D86="Yes",'2. Demand History'!J86,AVERAGE('2. Demand History'!S86:U86)))/MAX('2. Demand History'!V86,1),3)</f>
        <v>0</v>
      </c>
      <c r="N86" s="10">
        <f>ROUND(ABS('2. Demand History'!W86-IF($D86="Yes",'2. Demand History'!K86,AVERAGE('2. Demand History'!T86:V86)))/MAX('2. Demand History'!W86,1),3)</f>
        <v>0</v>
      </c>
      <c r="O86" s="10">
        <f>ROUND(ABS('2. Demand History'!X86-IF($D86="Yes",'2. Demand History'!L86,AVERAGE('2. Demand History'!U86:W86)))/MAX('2. Demand History'!X86,1),3)</f>
        <v>0.13300000000000001</v>
      </c>
      <c r="P86" s="10">
        <f>ROUND(ABS('2. Demand History'!Y86-IF($D86="Yes",'2. Demand History'!M86,AVERAGE('2. Demand History'!V86:X86)))/MAX('2. Demand History'!Y86,1),3)</f>
        <v>0.125</v>
      </c>
      <c r="Q86" s="10">
        <f>ROUND(ABS('2. Demand History'!Z86-IF($D86="Yes",'2. Demand History'!N86,AVERAGE('2. Demand History'!W86:Y86)))/MAX('2. Demand History'!Z86,1),3)</f>
        <v>0</v>
      </c>
    </row>
    <row r="87" spans="1:17" ht="15" customHeight="1" x14ac:dyDescent="0.2">
      <c r="A87" s="3" t="str">
        <f>'2. Demand History'!A87</f>
        <v>NT10083</v>
      </c>
      <c r="B87" s="1" t="str">
        <f>'2. Demand History'!B87</f>
        <v>CreatorPro 192 i9 16in</v>
      </c>
      <c r="C87" s="3" t="str">
        <f>'1. Master Data'!C87</f>
        <v>Laptops</v>
      </c>
      <c r="D87" s="3" t="s">
        <v>1111</v>
      </c>
      <c r="E87" s="3" t="str">
        <f t="shared" si="3"/>
        <v>Seasonal Naive</v>
      </c>
      <c r="F87" s="3">
        <f>ROUND(AVERAGE('2. Demand History'!O87:Z87),1)</f>
        <v>48.4</v>
      </c>
      <c r="G87" s="3">
        <f>ROUND(STDEV('2. Demand History'!O87:Z87),1)</f>
        <v>13.6</v>
      </c>
      <c r="H87" s="8">
        <f t="shared" si="4"/>
        <v>0.28000000000000003</v>
      </c>
      <c r="I87" s="8">
        <f>ROUND(SUM('2. Demand History'!O87:Z87)/MAX(SUM('2. Demand History'!C87:N87),1),2)</f>
        <v>0.99</v>
      </c>
      <c r="J87" s="5">
        <f>IF(D87="Yes",ROUND('2. Demand History'!O87*I87,0),ROUND(AVERAGE('2. Demand History'!X87:Z87),0))</f>
        <v>44</v>
      </c>
      <c r="K87" s="9">
        <f t="shared" si="5"/>
        <v>6.4000000000000001E-2</v>
      </c>
      <c r="L87" s="10">
        <f>ROUND(ABS('2. Demand History'!U87-IF($D87="Yes",'2. Demand History'!I87,AVERAGE('2. Demand History'!R87:T87)))/MAX('2. Demand History'!U87,1),3)</f>
        <v>0.125</v>
      </c>
      <c r="M87" s="10">
        <f>ROUND(ABS('2. Demand History'!V87-IF($D87="Yes",'2. Demand History'!J87,AVERAGE('2. Demand History'!S87:U87)))/MAX('2. Demand History'!V87,1),3)</f>
        <v>8.5999999999999993E-2</v>
      </c>
      <c r="N87" s="10">
        <f>ROUND(ABS('2. Demand History'!W87-IF($D87="Yes",'2. Demand History'!K87,AVERAGE('2. Demand History'!T87:V87)))/MAX('2. Demand History'!W87,1),3)</f>
        <v>2.9000000000000001E-2</v>
      </c>
      <c r="O87" s="10">
        <f>ROUND(ABS('2. Demand History'!X87-IF($D87="Yes",'2. Demand History'!L87,AVERAGE('2. Demand History'!U87:W87)))/MAX('2. Demand History'!X87,1),3)</f>
        <v>2.4E-2</v>
      </c>
      <c r="P87" s="10">
        <f>ROUND(ABS('2. Demand History'!Y87-IF($D87="Yes",'2. Demand History'!M87,AVERAGE('2. Demand History'!V87:X87)))/MAX('2. Demand History'!Y87,1),3)</f>
        <v>0</v>
      </c>
      <c r="Q87" s="10">
        <f>ROUND(ABS('2. Demand History'!Z87-IF($D87="Yes",'2. Demand History'!N87,AVERAGE('2. Demand History'!W87:Y87)))/MAX('2. Demand History'!Z87,1),3)</f>
        <v>0.122</v>
      </c>
    </row>
    <row r="88" spans="1:17" ht="15" customHeight="1" x14ac:dyDescent="0.2">
      <c r="A88" s="3" t="str">
        <f>'2. Demand History'!A88</f>
        <v>NT10084</v>
      </c>
      <c r="B88" s="1" t="str">
        <f>'2. Demand History'!B88</f>
        <v>CreatorPro 984 i9 16in</v>
      </c>
      <c r="C88" s="3" t="str">
        <f>'1. Master Data'!C88</f>
        <v>Laptops</v>
      </c>
      <c r="D88" s="3" t="s">
        <v>1111</v>
      </c>
      <c r="E88" s="3" t="str">
        <f t="shared" si="3"/>
        <v>Seasonal Naive</v>
      </c>
      <c r="F88" s="3">
        <f>ROUND(AVERAGE('2. Demand History'!O88:Z88),1)</f>
        <v>45.6</v>
      </c>
      <c r="G88" s="3">
        <f>ROUND(STDEV('2. Demand History'!O88:Z88),1)</f>
        <v>14.4</v>
      </c>
      <c r="H88" s="8">
        <f t="shared" si="4"/>
        <v>0.32</v>
      </c>
      <c r="I88" s="8">
        <f>ROUND(SUM('2. Demand History'!O88:Z88)/MAX(SUM('2. Demand History'!C88:N88),1),2)</f>
        <v>1.0900000000000001</v>
      </c>
      <c r="J88" s="5">
        <f>IF(D88="Yes",ROUND('2. Demand History'!O88*I88,0),ROUND(AVERAGE('2. Demand History'!X88:Z88),0))</f>
        <v>34</v>
      </c>
      <c r="K88" s="9">
        <f t="shared" si="5"/>
        <v>9.5000000000000001E-2</v>
      </c>
      <c r="L88" s="10">
        <f>ROUND(ABS('2. Demand History'!U88-IF($D88="Yes",'2. Demand History'!I88,AVERAGE('2. Demand History'!R88:T88)))/MAX('2. Demand History'!U88,1),3)</f>
        <v>8.7999999999999995E-2</v>
      </c>
      <c r="M88" s="10">
        <f>ROUND(ABS('2. Demand History'!V88-IF($D88="Yes",'2. Demand History'!J88,AVERAGE('2. Demand History'!S88:U88)))/MAX('2. Demand History'!V88,1),3)</f>
        <v>3.6999999999999998E-2</v>
      </c>
      <c r="N88" s="10">
        <f>ROUND(ABS('2. Demand History'!W88-IF($D88="Yes",'2. Demand History'!K88,AVERAGE('2. Demand History'!T88:V88)))/MAX('2. Demand History'!W88,1),3)</f>
        <v>0.03</v>
      </c>
      <c r="O88" s="10">
        <f>ROUND(ABS('2. Demand History'!X88-IF($D88="Yes",'2. Demand History'!L88,AVERAGE('2. Demand History'!U88:W88)))/MAX('2. Demand History'!X88,1),3)</f>
        <v>5.0999999999999997E-2</v>
      </c>
      <c r="P88" s="10">
        <f>ROUND(ABS('2. Demand History'!Y88-IF($D88="Yes",'2. Demand History'!M88,AVERAGE('2. Demand History'!V88:X88)))/MAX('2. Demand History'!Y88,1),3)</f>
        <v>0.30399999999999999</v>
      </c>
      <c r="Q88" s="10">
        <f>ROUND(ABS('2. Demand History'!Z88-IF($D88="Yes",'2. Demand History'!N88,AVERAGE('2. Demand History'!W88:Y88)))/MAX('2. Demand History'!Z88,1),3)</f>
        <v>0.06</v>
      </c>
    </row>
    <row r="89" spans="1:17" ht="15" customHeight="1" x14ac:dyDescent="0.2">
      <c r="A89" s="3" t="str">
        <f>'2. Demand History'!A89</f>
        <v>NT10085</v>
      </c>
      <c r="B89" s="1" t="str">
        <f>'2. Demand History'!B89</f>
        <v>CreatorPro 319 i9 16in</v>
      </c>
      <c r="C89" s="3" t="str">
        <f>'1. Master Data'!C89</f>
        <v>Laptops</v>
      </c>
      <c r="D89" s="3" t="s">
        <v>1111</v>
      </c>
      <c r="E89" s="3" t="str">
        <f t="shared" si="3"/>
        <v>Seasonal Naive</v>
      </c>
      <c r="F89" s="3">
        <f>ROUND(AVERAGE('2. Demand History'!O89:Z89),1)</f>
        <v>23.3</v>
      </c>
      <c r="G89" s="3">
        <f>ROUND(STDEV('2. Demand History'!O89:Z89),1)</f>
        <v>7.8</v>
      </c>
      <c r="H89" s="8">
        <f t="shared" si="4"/>
        <v>0.33</v>
      </c>
      <c r="I89" s="8">
        <f>ROUND(SUM('2. Demand History'!O89:Z89)/MAX(SUM('2. Demand History'!C89:N89),1),2)</f>
        <v>1.01</v>
      </c>
      <c r="J89" s="5">
        <f>IF(D89="Yes",ROUND('2. Demand History'!O89*I89,0),ROUND(AVERAGE('2. Demand History'!X89:Z89),0))</f>
        <v>18</v>
      </c>
      <c r="K89" s="9">
        <f t="shared" si="5"/>
        <v>9.6000000000000002E-2</v>
      </c>
      <c r="L89" s="10">
        <f>ROUND(ABS('2. Demand History'!U89-IF($D89="Yes",'2. Demand History'!I89,AVERAGE('2. Demand History'!R89:T89)))/MAX('2. Demand History'!U89,1),3)</f>
        <v>4.9000000000000002E-2</v>
      </c>
      <c r="M89" s="10">
        <f>ROUND(ABS('2. Demand History'!V89-IF($D89="Yes",'2. Demand History'!J89,AVERAGE('2. Demand History'!S89:U89)))/MAX('2. Demand History'!V89,1),3)</f>
        <v>6.7000000000000004E-2</v>
      </c>
      <c r="N89" s="10">
        <f>ROUND(ABS('2. Demand History'!W89-IF($D89="Yes",'2. Demand History'!K89,AVERAGE('2. Demand History'!T89:V89)))/MAX('2. Demand History'!W89,1),3)</f>
        <v>0.105</v>
      </c>
      <c r="O89" s="10">
        <f>ROUND(ABS('2. Demand History'!X89-IF($D89="Yes",'2. Demand History'!L89,AVERAGE('2. Demand History'!U89:W89)))/MAX('2. Demand History'!X89,1),3)</f>
        <v>0.2</v>
      </c>
      <c r="P89" s="10">
        <f>ROUND(ABS('2. Demand History'!Y89-IF($D89="Yes",'2. Demand History'!M89,AVERAGE('2. Demand History'!V89:X89)))/MAX('2. Demand History'!Y89,1),3)</f>
        <v>0.154</v>
      </c>
      <c r="Q89" s="10">
        <f>ROUND(ABS('2. Demand History'!Z89-IF($D89="Yes",'2. Demand History'!N89,AVERAGE('2. Demand History'!W89:Y89)))/MAX('2. Demand History'!Z89,1),3)</f>
        <v>0</v>
      </c>
    </row>
    <row r="90" spans="1:17" ht="15" customHeight="1" x14ac:dyDescent="0.2">
      <c r="A90" s="3" t="str">
        <f>'2. Demand History'!A90</f>
        <v>NT10086</v>
      </c>
      <c r="B90" s="1" t="str">
        <f>'2. Demand History'!B90</f>
        <v>ProBook 626 i7 15in</v>
      </c>
      <c r="C90" s="3" t="str">
        <f>'1. Master Data'!C90</f>
        <v>Laptops</v>
      </c>
      <c r="D90" s="3" t="s">
        <v>1111</v>
      </c>
      <c r="E90" s="3" t="str">
        <f t="shared" si="3"/>
        <v>Seasonal Naive</v>
      </c>
      <c r="F90" s="3">
        <f>ROUND(AVERAGE('2. Demand History'!O90:Z90),1)</f>
        <v>20.2</v>
      </c>
      <c r="G90" s="3">
        <f>ROUND(STDEV('2. Demand History'!O90:Z90),1)</f>
        <v>6.7</v>
      </c>
      <c r="H90" s="8">
        <f t="shared" si="4"/>
        <v>0.33</v>
      </c>
      <c r="I90" s="8">
        <f>ROUND(SUM('2. Demand History'!O90:Z90)/MAX(SUM('2. Demand History'!C90:N90),1),2)</f>
        <v>1.05</v>
      </c>
      <c r="J90" s="5">
        <f>IF(D90="Yes",ROUND('2. Demand History'!O90*I90,0),ROUND(AVERAGE('2. Demand History'!X90:Z90),0))</f>
        <v>19</v>
      </c>
      <c r="K90" s="9">
        <f t="shared" si="5"/>
        <v>9.2999999999999999E-2</v>
      </c>
      <c r="L90" s="10">
        <f>ROUND(ABS('2. Demand History'!U90-IF($D90="Yes",'2. Demand History'!I90,AVERAGE('2. Demand History'!R90:T90)))/MAX('2. Demand History'!U90,1),3)</f>
        <v>0.13500000000000001</v>
      </c>
      <c r="M90" s="10">
        <f>ROUND(ABS('2. Demand History'!V90-IF($D90="Yes",'2. Demand History'!J90,AVERAGE('2. Demand History'!S90:U90)))/MAX('2. Demand History'!V90,1),3)</f>
        <v>7.6999999999999999E-2</v>
      </c>
      <c r="N90" s="10">
        <f>ROUND(ABS('2. Demand History'!W90-IF($D90="Yes",'2. Demand History'!K90,AVERAGE('2. Demand History'!T90:V90)))/MAX('2. Demand History'!W90,1),3)</f>
        <v>7.0999999999999994E-2</v>
      </c>
      <c r="O90" s="10">
        <f>ROUND(ABS('2. Demand History'!X90-IF($D90="Yes",'2. Demand History'!L90,AVERAGE('2. Demand History'!U90:W90)))/MAX('2. Demand History'!X90,1),3)</f>
        <v>0.111</v>
      </c>
      <c r="P90" s="10">
        <f>ROUND(ABS('2. Demand History'!Y90-IF($D90="Yes",'2. Demand History'!M90,AVERAGE('2. Demand History'!V90:X90)))/MAX('2. Demand History'!Y90,1),3)</f>
        <v>5.6000000000000001E-2</v>
      </c>
      <c r="Q90" s="10">
        <f>ROUND(ABS('2. Demand History'!Z90-IF($D90="Yes",'2. Demand History'!N90,AVERAGE('2. Demand History'!W90:Y90)))/MAX('2. Demand History'!Z90,1),3)</f>
        <v>0.105</v>
      </c>
    </row>
    <row r="91" spans="1:17" ht="15" customHeight="1" x14ac:dyDescent="0.2">
      <c r="A91" s="3" t="str">
        <f>'2. Demand History'!A91</f>
        <v>NT10087</v>
      </c>
      <c r="B91" s="1" t="str">
        <f>'2. Demand History'!B91</f>
        <v>UltraSlim 766 Ryzen 5</v>
      </c>
      <c r="C91" s="3" t="str">
        <f>'1. Master Data'!C91</f>
        <v>Laptops</v>
      </c>
      <c r="D91" s="3" t="s">
        <v>1111</v>
      </c>
      <c r="E91" s="3" t="str">
        <f t="shared" si="3"/>
        <v>Seasonal Naive</v>
      </c>
      <c r="F91" s="3">
        <f>ROUND(AVERAGE('2. Demand History'!O91:Z91),1)</f>
        <v>23.8</v>
      </c>
      <c r="G91" s="3">
        <f>ROUND(STDEV('2. Demand History'!O91:Z91),1)</f>
        <v>7.8</v>
      </c>
      <c r="H91" s="8">
        <f t="shared" si="4"/>
        <v>0.33</v>
      </c>
      <c r="I91" s="8">
        <f>ROUND(SUM('2. Demand History'!O91:Z91)/MAX(SUM('2. Demand History'!C91:N91),1),2)</f>
        <v>1.06</v>
      </c>
      <c r="J91" s="5">
        <f>IF(D91="Yes",ROUND('2. Demand History'!O91*I91,0),ROUND(AVERAGE('2. Demand History'!X91:Z91),0))</f>
        <v>19</v>
      </c>
      <c r="K91" s="9">
        <f t="shared" si="5"/>
        <v>0.10299999999999999</v>
      </c>
      <c r="L91" s="10">
        <f>ROUND(ABS('2. Demand History'!U91-IF($D91="Yes",'2. Demand History'!I91,AVERAGE('2. Demand History'!R91:T91)))/MAX('2. Demand History'!U91,1),3)</f>
        <v>0</v>
      </c>
      <c r="M91" s="10">
        <f>ROUND(ABS('2. Demand History'!V91-IF($D91="Yes",'2. Demand History'!J91,AVERAGE('2. Demand History'!S91:U91)))/MAX('2. Demand History'!V91,1),3)</f>
        <v>0.16700000000000001</v>
      </c>
      <c r="N91" s="10">
        <f>ROUND(ABS('2. Demand History'!W91-IF($D91="Yes",'2. Demand History'!K91,AVERAGE('2. Demand History'!T91:V91)))/MAX('2. Demand History'!W91,1),3)</f>
        <v>0.19</v>
      </c>
      <c r="O91" s="10">
        <f>ROUND(ABS('2. Demand History'!X91-IF($D91="Yes",'2. Demand History'!L91,AVERAGE('2. Demand History'!U91:W91)))/MAX('2. Demand History'!X91,1),3)</f>
        <v>0.17599999999999999</v>
      </c>
      <c r="P91" s="10">
        <f>ROUND(ABS('2. Demand History'!Y91-IF($D91="Yes",'2. Demand History'!M91,AVERAGE('2. Demand History'!V91:X91)))/MAX('2. Demand History'!Y91,1),3)</f>
        <v>4.4999999999999998E-2</v>
      </c>
      <c r="Q91" s="10">
        <f>ROUND(ABS('2. Demand History'!Z91-IF($D91="Yes",'2. Demand History'!N91,AVERAGE('2. Demand History'!W91:Y91)))/MAX('2. Demand History'!Z91,1),3)</f>
        <v>4.2000000000000003E-2</v>
      </c>
    </row>
    <row r="92" spans="1:17" ht="15" customHeight="1" x14ac:dyDescent="0.2">
      <c r="A92" s="3" t="str">
        <f>'2. Demand History'!A92</f>
        <v>NT10088</v>
      </c>
      <c r="B92" s="1" t="str">
        <f>'2. Demand History'!B92</f>
        <v>ProBook 846 i7 15in</v>
      </c>
      <c r="C92" s="3" t="str">
        <f>'1. Master Data'!C92</f>
        <v>Laptops</v>
      </c>
      <c r="D92" s="3" t="s">
        <v>1111</v>
      </c>
      <c r="E92" s="3" t="str">
        <f t="shared" si="3"/>
        <v>Seasonal Naive</v>
      </c>
      <c r="F92" s="3">
        <f>ROUND(AVERAGE('2. Demand History'!O92:Z92),1)</f>
        <v>5.5</v>
      </c>
      <c r="G92" s="3">
        <f>ROUND(STDEV('2. Demand History'!O92:Z92),1)</f>
        <v>5.0999999999999996</v>
      </c>
      <c r="H92" s="8">
        <f t="shared" si="4"/>
        <v>0.93</v>
      </c>
      <c r="I92" s="8">
        <f>ROUND(SUM('2. Demand History'!O92:Z92)/MAX(SUM('2. Demand History'!C92:N92),1),2)</f>
        <v>0.92</v>
      </c>
      <c r="J92" s="5">
        <f>IF(D92="Yes",ROUND('2. Demand History'!O92*I92,0),ROUND(AVERAGE('2. Demand History'!X92:Z92),0))</f>
        <v>3</v>
      </c>
      <c r="K92" s="9">
        <f t="shared" si="5"/>
        <v>0.22900000000000001</v>
      </c>
      <c r="L92" s="10">
        <f>ROUND(ABS('2. Demand History'!U92-IF($D92="Yes",'2. Demand History'!I92,AVERAGE('2. Demand History'!R92:T92)))/MAX('2. Demand History'!U92,1),3)</f>
        <v>0</v>
      </c>
      <c r="M92" s="10">
        <f>ROUND(ABS('2. Demand History'!V92-IF($D92="Yes",'2. Demand History'!J92,AVERAGE('2. Demand History'!S92:U92)))/MAX('2. Demand History'!V92,1),3)</f>
        <v>0.25</v>
      </c>
      <c r="N92" s="10">
        <f>ROUND(ABS('2. Demand History'!W92-IF($D92="Yes",'2. Demand History'!K92,AVERAGE('2. Demand History'!T92:V92)))/MAX('2. Demand History'!W92,1),3)</f>
        <v>0.33300000000000002</v>
      </c>
      <c r="O92" s="10">
        <f>ROUND(ABS('2. Demand History'!X92-IF($D92="Yes",'2. Demand History'!L92,AVERAGE('2. Demand History'!U92:W92)))/MAX('2. Demand History'!X92,1),3)</f>
        <v>0</v>
      </c>
      <c r="P92" s="10">
        <f>ROUND(ABS('2. Demand History'!Y92-IF($D92="Yes",'2. Demand History'!M92,AVERAGE('2. Demand History'!V92:X92)))/MAX('2. Demand History'!Y92,1),3)</f>
        <v>0.78900000000000003</v>
      </c>
      <c r="Q92" s="10">
        <f>ROUND(ABS('2. Demand History'!Z92-IF($D92="Yes",'2. Demand History'!N92,AVERAGE('2. Demand History'!W92:Y92)))/MAX('2. Demand History'!Z92,1),3)</f>
        <v>0</v>
      </c>
    </row>
    <row r="93" spans="1:17" ht="15" customHeight="1" x14ac:dyDescent="0.2">
      <c r="A93" s="3" t="str">
        <f>'2. Demand History'!A93</f>
        <v>NT10089</v>
      </c>
      <c r="B93" s="1" t="str">
        <f>'2. Demand History'!B93</f>
        <v>UltraSlim 908 Ryzen 5</v>
      </c>
      <c r="C93" s="3" t="str">
        <f>'1. Master Data'!C93</f>
        <v>Laptops</v>
      </c>
      <c r="D93" s="3" t="s">
        <v>1111</v>
      </c>
      <c r="E93" s="3" t="str">
        <f t="shared" si="3"/>
        <v>Seasonal Naive</v>
      </c>
      <c r="F93" s="3">
        <f>ROUND(AVERAGE('2. Demand History'!O93:Z93),1)</f>
        <v>27.6</v>
      </c>
      <c r="G93" s="3">
        <f>ROUND(STDEV('2. Demand History'!O93:Z93),1)</f>
        <v>8.6</v>
      </c>
      <c r="H93" s="8">
        <f t="shared" si="4"/>
        <v>0.31</v>
      </c>
      <c r="I93" s="8">
        <f>ROUND(SUM('2. Demand History'!O93:Z93)/MAX(SUM('2. Demand History'!C93:N93),1),2)</f>
        <v>1.06</v>
      </c>
      <c r="J93" s="5">
        <f>IF(D93="Yes",ROUND('2. Demand History'!O93*I93,0),ROUND(AVERAGE('2. Demand History'!X93:Z93),0))</f>
        <v>25</v>
      </c>
      <c r="K93" s="9">
        <f t="shared" si="5"/>
        <v>9.0999999999999998E-2</v>
      </c>
      <c r="L93" s="10">
        <f>ROUND(ABS('2. Demand History'!U93-IF($D93="Yes",'2. Demand History'!I93,AVERAGE('2. Demand History'!R93:T93)))/MAX('2. Demand History'!U93,1),3)</f>
        <v>7.8E-2</v>
      </c>
      <c r="M93" s="10">
        <f>ROUND(ABS('2. Demand History'!V93-IF($D93="Yes",'2. Demand History'!J93,AVERAGE('2. Demand History'!S93:U93)))/MAX('2. Demand History'!V93,1),3)</f>
        <v>0.05</v>
      </c>
      <c r="N93" s="10">
        <f>ROUND(ABS('2. Demand History'!W93-IF($D93="Yes",'2. Demand History'!K93,AVERAGE('2. Demand History'!T93:V93)))/MAX('2. Demand History'!W93,1),3)</f>
        <v>0.13600000000000001</v>
      </c>
      <c r="O93" s="10">
        <f>ROUND(ABS('2. Demand History'!X93-IF($D93="Yes",'2. Demand History'!L93,AVERAGE('2. Demand History'!U93:W93)))/MAX('2. Demand History'!X93,1),3)</f>
        <v>4.2999999999999997E-2</v>
      </c>
      <c r="P93" s="10">
        <f>ROUND(ABS('2. Demand History'!Y93-IF($D93="Yes",'2. Demand History'!M93,AVERAGE('2. Demand History'!V93:X93)))/MAX('2. Demand History'!Y93,1),3)</f>
        <v>0.2</v>
      </c>
      <c r="Q93" s="10">
        <f>ROUND(ABS('2. Demand History'!Z93-IF($D93="Yes",'2. Demand History'!N93,AVERAGE('2. Demand History'!W93:Y93)))/MAX('2. Demand History'!Z93,1),3)</f>
        <v>3.7999999999999999E-2</v>
      </c>
    </row>
    <row r="94" spans="1:17" ht="15" customHeight="1" x14ac:dyDescent="0.2">
      <c r="A94" s="3" t="str">
        <f>'2. Demand History'!A94</f>
        <v>NT10090</v>
      </c>
      <c r="B94" s="1" t="str">
        <f>'2. Demand History'!B94</f>
        <v>ProBook 568 i7 15in</v>
      </c>
      <c r="C94" s="3" t="str">
        <f>'1. Master Data'!C94</f>
        <v>Laptops</v>
      </c>
      <c r="D94" s="3" t="s">
        <v>1111</v>
      </c>
      <c r="E94" s="3" t="str">
        <f t="shared" si="3"/>
        <v>Seasonal Naive</v>
      </c>
      <c r="F94" s="3">
        <f>ROUND(AVERAGE('2. Demand History'!O94:Z94),1)</f>
        <v>56.3</v>
      </c>
      <c r="G94" s="3">
        <f>ROUND(STDEV('2. Demand History'!O94:Z94),1)</f>
        <v>11.3</v>
      </c>
      <c r="H94" s="8">
        <f t="shared" si="4"/>
        <v>0.2</v>
      </c>
      <c r="I94" s="8">
        <f>ROUND(SUM('2. Demand History'!O94:Z94)/MAX(SUM('2. Demand History'!C94:N94),1),2)</f>
        <v>1.1000000000000001</v>
      </c>
      <c r="J94" s="5">
        <f>IF(D94="Yes",ROUND('2. Demand History'!O94*I94,0),ROUND(AVERAGE('2. Demand History'!X94:Z94),0))</f>
        <v>56</v>
      </c>
      <c r="K94" s="9">
        <f t="shared" si="5"/>
        <v>0.13</v>
      </c>
      <c r="L94" s="10">
        <f>ROUND(ABS('2. Demand History'!U94-IF($D94="Yes",'2. Demand History'!I94,AVERAGE('2. Demand History'!R94:T94)))/MAX('2. Demand History'!U94,1),3)</f>
        <v>4.4999999999999998E-2</v>
      </c>
      <c r="M94" s="10">
        <f>ROUND(ABS('2. Demand History'!V94-IF($D94="Yes",'2. Demand History'!J94,AVERAGE('2. Demand History'!S94:U94)))/MAX('2. Demand History'!V94,1),3)</f>
        <v>0.186</v>
      </c>
      <c r="N94" s="10">
        <f>ROUND(ABS('2. Demand History'!W94-IF($D94="Yes",'2. Demand History'!K94,AVERAGE('2. Demand History'!T94:V94)))/MAX('2. Demand History'!W94,1),3)</f>
        <v>0.14799999999999999</v>
      </c>
      <c r="O94" s="10">
        <f>ROUND(ABS('2. Demand History'!X94-IF($D94="Yes",'2. Demand History'!L94,AVERAGE('2. Demand History'!U94:W94)))/MAX('2. Demand History'!X94,1),3)</f>
        <v>0.14499999999999999</v>
      </c>
      <c r="P94" s="10">
        <f>ROUND(ABS('2. Demand History'!Y94-IF($D94="Yes",'2. Demand History'!M94,AVERAGE('2. Demand History'!V94:X94)))/MAX('2. Demand History'!Y94,1),3)</f>
        <v>0.189</v>
      </c>
      <c r="Q94" s="10">
        <f>ROUND(ABS('2. Demand History'!Z94-IF($D94="Yes",'2. Demand History'!N94,AVERAGE('2. Demand History'!W94:Y94)))/MAX('2. Demand History'!Z94,1),3)</f>
        <v>6.9000000000000006E-2</v>
      </c>
    </row>
    <row r="95" spans="1:17" ht="15" customHeight="1" x14ac:dyDescent="0.2">
      <c r="A95" s="3" t="str">
        <f>'2. Demand History'!A95</f>
        <v>NT10091</v>
      </c>
      <c r="B95" s="1" t="str">
        <f>'2. Demand History'!B95</f>
        <v>CreatorPro 601 i9 16in</v>
      </c>
      <c r="C95" s="3" t="str">
        <f>'1. Master Data'!C95</f>
        <v>Laptops</v>
      </c>
      <c r="D95" s="3" t="s">
        <v>1111</v>
      </c>
      <c r="E95" s="3" t="str">
        <f t="shared" si="3"/>
        <v>Seasonal Naive</v>
      </c>
      <c r="F95" s="3">
        <f>ROUND(AVERAGE('2. Demand History'!O95:Z95),1)</f>
        <v>10</v>
      </c>
      <c r="G95" s="3">
        <f>ROUND(STDEV('2. Demand History'!O95:Z95),1)</f>
        <v>2.9</v>
      </c>
      <c r="H95" s="8">
        <f t="shared" si="4"/>
        <v>0.28999999999999998</v>
      </c>
      <c r="I95" s="8">
        <f>ROUND(SUM('2. Demand History'!O95:Z95)/MAX(SUM('2. Demand History'!C95:N95),1),2)</f>
        <v>1.06</v>
      </c>
      <c r="J95" s="5">
        <f>IF(D95="Yes",ROUND('2. Demand History'!O95*I95,0),ROUND(AVERAGE('2. Demand History'!X95:Z95),0))</f>
        <v>8</v>
      </c>
      <c r="K95" s="9">
        <f t="shared" si="5"/>
        <v>8.5999999999999993E-2</v>
      </c>
      <c r="L95" s="10">
        <f>ROUND(ABS('2. Demand History'!U95-IF($D95="Yes",'2. Demand History'!I95,AVERAGE('2. Demand History'!R95:T95)))/MAX('2. Demand History'!U95,1),3)</f>
        <v>0.11799999999999999</v>
      </c>
      <c r="M95" s="10">
        <f>ROUND(ABS('2. Demand History'!V95-IF($D95="Yes",'2. Demand History'!J95,AVERAGE('2. Demand History'!S95:U95)))/MAX('2. Demand History'!V95,1),3)</f>
        <v>0</v>
      </c>
      <c r="N95" s="10">
        <f>ROUND(ABS('2. Demand History'!W95-IF($D95="Yes",'2. Demand History'!K95,AVERAGE('2. Demand History'!T95:V95)))/MAX('2. Demand History'!W95,1),3)</f>
        <v>0.125</v>
      </c>
      <c r="O95" s="10">
        <f>ROUND(ABS('2. Demand History'!X95-IF($D95="Yes",'2. Demand History'!L95,AVERAGE('2. Demand History'!U95:W95)))/MAX('2. Demand History'!X95,1),3)</f>
        <v>0</v>
      </c>
      <c r="P95" s="10">
        <f>ROUND(ABS('2. Demand History'!Y95-IF($D95="Yes",'2. Demand History'!M95,AVERAGE('2. Demand History'!V95:X95)))/MAX('2. Demand History'!Y95,1),3)</f>
        <v>0</v>
      </c>
      <c r="Q95" s="10">
        <f>ROUND(ABS('2. Demand History'!Z95-IF($D95="Yes",'2. Demand History'!N95,AVERAGE('2. Demand History'!W95:Y95)))/MAX('2. Demand History'!Z95,1),3)</f>
        <v>0.27300000000000002</v>
      </c>
    </row>
    <row r="96" spans="1:17" ht="15" customHeight="1" x14ac:dyDescent="0.2">
      <c r="A96" s="3" t="str">
        <f>'2. Demand History'!A96</f>
        <v>NT10092</v>
      </c>
      <c r="B96" s="1" t="str">
        <f>'2. Demand History'!B96</f>
        <v>WorkMate 258 i3 14in</v>
      </c>
      <c r="C96" s="3" t="str">
        <f>'1. Master Data'!C96</f>
        <v>Laptops</v>
      </c>
      <c r="D96" s="3" t="s">
        <v>1111</v>
      </c>
      <c r="E96" s="3" t="str">
        <f t="shared" si="3"/>
        <v>Seasonal Naive</v>
      </c>
      <c r="F96" s="3">
        <f>ROUND(AVERAGE('2. Demand History'!O96:Z96),1)</f>
        <v>57.5</v>
      </c>
      <c r="G96" s="3">
        <f>ROUND(STDEV('2. Demand History'!O96:Z96),1)</f>
        <v>16.5</v>
      </c>
      <c r="H96" s="8">
        <f t="shared" si="4"/>
        <v>0.28999999999999998</v>
      </c>
      <c r="I96" s="8">
        <f>ROUND(SUM('2. Demand History'!O96:Z96)/MAX(SUM('2. Demand History'!C96:N96),1),2)</f>
        <v>1.1299999999999999</v>
      </c>
      <c r="J96" s="5">
        <f>IF(D96="Yes",ROUND('2. Demand History'!O96*I96,0),ROUND(AVERAGE('2. Demand History'!X96:Z96),0))</f>
        <v>69</v>
      </c>
      <c r="K96" s="9">
        <f t="shared" si="5"/>
        <v>0.13100000000000001</v>
      </c>
      <c r="L96" s="10">
        <f>ROUND(ABS('2. Demand History'!U96-IF($D96="Yes",'2. Demand History'!I96,AVERAGE('2. Demand History'!R96:T96)))/MAX('2. Demand History'!U96,1),3)</f>
        <v>0.19800000000000001</v>
      </c>
      <c r="M96" s="10">
        <f>ROUND(ABS('2. Demand History'!V96-IF($D96="Yes",'2. Demand History'!J96,AVERAGE('2. Demand History'!S96:U96)))/MAX('2. Demand History'!V96,1),3)</f>
        <v>2.8000000000000001E-2</v>
      </c>
      <c r="N96" s="10">
        <f>ROUND(ABS('2. Demand History'!W96-IF($D96="Yes",'2. Demand History'!K96,AVERAGE('2. Demand History'!T96:V96)))/MAX('2. Demand History'!W96,1),3)</f>
        <v>2.4E-2</v>
      </c>
      <c r="O96" s="10">
        <f>ROUND(ABS('2. Demand History'!X96-IF($D96="Yes",'2. Demand History'!L96,AVERAGE('2. Demand History'!U96:W96)))/MAX('2. Demand History'!X96,1),3)</f>
        <v>0.218</v>
      </c>
      <c r="P96" s="10">
        <f>ROUND(ABS('2. Demand History'!Y96-IF($D96="Yes",'2. Demand History'!M96,AVERAGE('2. Demand History'!V96:X96)))/MAX('2. Demand History'!Y96,1),3)</f>
        <v>0.25</v>
      </c>
      <c r="Q96" s="10">
        <f>ROUND(ABS('2. Demand History'!Z96-IF($D96="Yes",'2. Demand History'!N96,AVERAGE('2. Demand History'!W96:Y96)))/MAX('2. Demand History'!Z96,1),3)</f>
        <v>6.9000000000000006E-2</v>
      </c>
    </row>
    <row r="97" spans="1:17" ht="15" customHeight="1" x14ac:dyDescent="0.2">
      <c r="A97" s="3" t="str">
        <f>'2. Demand History'!A97</f>
        <v>NT10093</v>
      </c>
      <c r="B97" s="1" t="str">
        <f>'2. Demand History'!B97</f>
        <v>UltraSlim 436 Ryzen 5</v>
      </c>
      <c r="C97" s="3" t="str">
        <f>'1. Master Data'!C97</f>
        <v>Laptops</v>
      </c>
      <c r="D97" s="3" t="s">
        <v>1111</v>
      </c>
      <c r="E97" s="3" t="str">
        <f t="shared" si="3"/>
        <v>Seasonal Naive</v>
      </c>
      <c r="F97" s="3">
        <f>ROUND(AVERAGE('2. Demand History'!O97:Z97),1)</f>
        <v>7.8</v>
      </c>
      <c r="G97" s="3">
        <f>ROUND(STDEV('2. Demand History'!O97:Z97),1)</f>
        <v>2.1</v>
      </c>
      <c r="H97" s="8">
        <f t="shared" si="4"/>
        <v>0.27</v>
      </c>
      <c r="I97" s="8">
        <f>ROUND(SUM('2. Demand History'!O97:Z97)/MAX(SUM('2. Demand History'!C97:N97),1),2)</f>
        <v>1.08</v>
      </c>
      <c r="J97" s="5">
        <f>IF(D97="Yes",ROUND('2. Demand History'!O97*I97,0),ROUND(AVERAGE('2. Demand History'!X97:Z97),0))</f>
        <v>6</v>
      </c>
      <c r="K97" s="9">
        <f t="shared" si="5"/>
        <v>0.11700000000000001</v>
      </c>
      <c r="L97" s="10">
        <f>ROUND(ABS('2. Demand History'!U97-IF($D97="Yes",'2. Demand History'!I97,AVERAGE('2. Demand History'!R97:T97)))/MAX('2. Demand History'!U97,1),3)</f>
        <v>0</v>
      </c>
      <c r="M97" s="10">
        <f>ROUND(ABS('2. Demand History'!V97-IF($D97="Yes",'2. Demand History'!J97,AVERAGE('2. Demand History'!S97:U97)))/MAX('2. Demand History'!V97,1),3)</f>
        <v>0.2</v>
      </c>
      <c r="N97" s="10">
        <f>ROUND(ABS('2. Demand History'!W97-IF($D97="Yes",'2. Demand History'!K97,AVERAGE('2. Demand History'!T97:V97)))/MAX('2. Demand History'!W97,1),3)</f>
        <v>0.14299999999999999</v>
      </c>
      <c r="O97" s="10">
        <f>ROUND(ABS('2. Demand History'!X97-IF($D97="Yes",'2. Demand History'!L97,AVERAGE('2. Demand History'!U97:W97)))/MAX('2. Demand History'!X97,1),3)</f>
        <v>0.25</v>
      </c>
      <c r="P97" s="10">
        <f>ROUND(ABS('2. Demand History'!Y97-IF($D97="Yes",'2. Demand History'!M97,AVERAGE('2. Demand History'!V97:X97)))/MAX('2. Demand History'!Y97,1),3)</f>
        <v>0</v>
      </c>
      <c r="Q97" s="10">
        <f>ROUND(ABS('2. Demand History'!Z97-IF($D97="Yes",'2. Demand History'!N97,AVERAGE('2. Demand History'!W97:Y97)))/MAX('2. Demand History'!Z97,1),3)</f>
        <v>0.111</v>
      </c>
    </row>
    <row r="98" spans="1:17" ht="15" customHeight="1" x14ac:dyDescent="0.2">
      <c r="A98" s="3" t="str">
        <f>'2. Demand History'!A98</f>
        <v>NT10094</v>
      </c>
      <c r="B98" s="1" t="str">
        <f>'2. Demand History'!B98</f>
        <v>ProBook 953 i7 15in</v>
      </c>
      <c r="C98" s="3" t="str">
        <f>'1. Master Data'!C98</f>
        <v>Laptops</v>
      </c>
      <c r="D98" s="3" t="s">
        <v>1111</v>
      </c>
      <c r="E98" s="3" t="str">
        <f t="shared" si="3"/>
        <v>Seasonal Naive</v>
      </c>
      <c r="F98" s="3">
        <f>ROUND(AVERAGE('2. Demand History'!O98:Z98),1)</f>
        <v>50.8</v>
      </c>
      <c r="G98" s="3">
        <f>ROUND(STDEV('2. Demand History'!O98:Z98),1)</f>
        <v>14.1</v>
      </c>
      <c r="H98" s="8">
        <f t="shared" si="4"/>
        <v>0.28000000000000003</v>
      </c>
      <c r="I98" s="8">
        <f>ROUND(SUM('2. Demand History'!O98:Z98)/MAX(SUM('2. Demand History'!C98:N98),1),2)</f>
        <v>1.06</v>
      </c>
      <c r="J98" s="5">
        <f>IF(D98="Yes",ROUND('2. Demand History'!O98*I98,0),ROUND(AVERAGE('2. Demand History'!X98:Z98),0))</f>
        <v>55</v>
      </c>
      <c r="K98" s="9">
        <f t="shared" si="5"/>
        <v>0.109</v>
      </c>
      <c r="L98" s="10">
        <f>ROUND(ABS('2. Demand History'!U98-IF($D98="Yes",'2. Demand History'!I98,AVERAGE('2. Demand History'!R98:T98)))/MAX('2. Demand History'!U98,1),3)</f>
        <v>0.19</v>
      </c>
      <c r="M98" s="10">
        <f>ROUND(ABS('2. Demand History'!V98-IF($D98="Yes",'2. Demand History'!J98,AVERAGE('2. Demand History'!S98:U98)))/MAX('2. Demand History'!V98,1),3)</f>
        <v>0</v>
      </c>
      <c r="N98" s="10">
        <f>ROUND(ABS('2. Demand History'!W98-IF($D98="Yes",'2. Demand History'!K98,AVERAGE('2. Demand History'!T98:V98)))/MAX('2. Demand History'!W98,1),3)</f>
        <v>2.5999999999999999E-2</v>
      </c>
      <c r="O98" s="10">
        <f>ROUND(ABS('2. Demand History'!X98-IF($D98="Yes",'2. Demand History'!L98,AVERAGE('2. Demand History'!U98:W98)))/MAX('2. Demand History'!X98,1),3)</f>
        <v>0.29299999999999998</v>
      </c>
      <c r="P98" s="10">
        <f>ROUND(ABS('2. Demand History'!Y98-IF($D98="Yes",'2. Demand History'!M98,AVERAGE('2. Demand History'!V98:X98)))/MAX('2. Demand History'!Y98,1),3)</f>
        <v>6.8000000000000005E-2</v>
      </c>
      <c r="Q98" s="10">
        <f>ROUND(ABS('2. Demand History'!Z98-IF($D98="Yes",'2. Demand History'!N98,AVERAGE('2. Demand History'!W98:Y98)))/MAX('2. Demand History'!Z98,1),3)</f>
        <v>7.4999999999999997E-2</v>
      </c>
    </row>
    <row r="99" spans="1:17" ht="15" customHeight="1" x14ac:dyDescent="0.2">
      <c r="A99" s="3" t="str">
        <f>'2. Demand History'!A99</f>
        <v>NT10095</v>
      </c>
      <c r="B99" s="1" t="str">
        <f>'2. Demand History'!B99</f>
        <v>ProBook 648 i7 15in</v>
      </c>
      <c r="C99" s="3" t="str">
        <f>'1. Master Data'!C99</f>
        <v>Laptops</v>
      </c>
      <c r="D99" s="3" t="s">
        <v>1111</v>
      </c>
      <c r="E99" s="3" t="str">
        <f t="shared" si="3"/>
        <v>Seasonal Naive</v>
      </c>
      <c r="F99" s="3">
        <f>ROUND(AVERAGE('2. Demand History'!O99:Z99),1)</f>
        <v>38.9</v>
      </c>
      <c r="G99" s="3">
        <f>ROUND(STDEV('2. Demand History'!O99:Z99),1)</f>
        <v>14.2</v>
      </c>
      <c r="H99" s="8">
        <f t="shared" si="4"/>
        <v>0.37</v>
      </c>
      <c r="I99" s="8">
        <f>ROUND(SUM('2. Demand History'!O99:Z99)/MAX(SUM('2. Demand History'!C99:N99),1),2)</f>
        <v>1.07</v>
      </c>
      <c r="J99" s="5">
        <f>IF(D99="Yes",ROUND('2. Demand History'!O99*I99,0),ROUND(AVERAGE('2. Demand History'!X99:Z99),0))</f>
        <v>35</v>
      </c>
      <c r="K99" s="9">
        <f t="shared" si="5"/>
        <v>0.108</v>
      </c>
      <c r="L99" s="10">
        <f>ROUND(ABS('2. Demand History'!U99-IF($D99="Yes",'2. Demand History'!I99,AVERAGE('2. Demand History'!R99:T99)))/MAX('2. Demand History'!U99,1),3)</f>
        <v>0.10100000000000001</v>
      </c>
      <c r="M99" s="10">
        <f>ROUND(ABS('2. Demand History'!V99-IF($D99="Yes",'2. Demand History'!J99,AVERAGE('2. Demand History'!S99:U99)))/MAX('2. Demand History'!V99,1),3)</f>
        <v>6.7000000000000004E-2</v>
      </c>
      <c r="N99" s="10">
        <f>ROUND(ABS('2. Demand History'!W99-IF($D99="Yes",'2. Demand History'!K99,AVERAGE('2. Demand History'!T99:V99)))/MAX('2. Demand History'!W99,1),3)</f>
        <v>0.1</v>
      </c>
      <c r="O99" s="10">
        <f>ROUND(ABS('2. Demand History'!X99-IF($D99="Yes",'2. Demand History'!L99,AVERAGE('2. Demand History'!U99:W99)))/MAX('2. Demand History'!X99,1),3)</f>
        <v>0.24299999999999999</v>
      </c>
      <c r="P99" s="10">
        <f>ROUND(ABS('2. Demand History'!Y99-IF($D99="Yes",'2. Demand History'!M99,AVERAGE('2. Demand History'!V99:X99)))/MAX('2. Demand History'!Y99,1),3)</f>
        <v>3.2000000000000001E-2</v>
      </c>
      <c r="Q99" s="10">
        <f>ROUND(ABS('2. Demand History'!Z99-IF($D99="Yes",'2. Demand History'!N99,AVERAGE('2. Demand History'!W99:Y99)))/MAX('2. Demand History'!Z99,1),3)</f>
        <v>0.10299999999999999</v>
      </c>
    </row>
    <row r="100" spans="1:17" ht="15" customHeight="1" x14ac:dyDescent="0.2">
      <c r="A100" s="3" t="str">
        <f>'2. Demand History'!A100</f>
        <v>NT10096</v>
      </c>
      <c r="B100" s="1" t="str">
        <f>'2. Demand History'!B100</f>
        <v>UltraSlim 744 Ryzen 5</v>
      </c>
      <c r="C100" s="3" t="str">
        <f>'1. Master Data'!C100</f>
        <v>Laptops</v>
      </c>
      <c r="D100" s="3" t="s">
        <v>1111</v>
      </c>
      <c r="E100" s="3" t="str">
        <f t="shared" si="3"/>
        <v>Seasonal Naive</v>
      </c>
      <c r="F100" s="3">
        <f>ROUND(AVERAGE('2. Demand History'!O100:Z100),1)</f>
        <v>7.8</v>
      </c>
      <c r="G100" s="3">
        <f>ROUND(STDEV('2. Demand History'!O100:Z100),1)</f>
        <v>2.1</v>
      </c>
      <c r="H100" s="8">
        <f t="shared" si="4"/>
        <v>0.27</v>
      </c>
      <c r="I100" s="8">
        <f>ROUND(SUM('2. Demand History'!O100:Z100)/MAX(SUM('2. Demand History'!C100:N100),1),2)</f>
        <v>1.06</v>
      </c>
      <c r="J100" s="5">
        <f>IF(D100="Yes",ROUND('2. Demand History'!O100*I100,0),ROUND(AVERAGE('2. Demand History'!X100:Z100),0))</f>
        <v>7</v>
      </c>
      <c r="K100" s="9">
        <f t="shared" si="5"/>
        <v>0.121</v>
      </c>
      <c r="L100" s="10">
        <f>ROUND(ABS('2. Demand History'!U100-IF($D100="Yes",'2. Demand History'!I100,AVERAGE('2. Demand History'!R100:T100)))/MAX('2. Demand History'!U100,1),3)</f>
        <v>0</v>
      </c>
      <c r="M100" s="10">
        <f>ROUND(ABS('2. Demand History'!V100-IF($D100="Yes",'2. Demand History'!J100,AVERAGE('2. Demand History'!S100:U100)))/MAX('2. Demand History'!V100,1),3)</f>
        <v>0.16700000000000001</v>
      </c>
      <c r="N100" s="10">
        <f>ROUND(ABS('2. Demand History'!W100-IF($D100="Yes",'2. Demand History'!K100,AVERAGE('2. Demand History'!T100:V100)))/MAX('2. Demand History'!W100,1),3)</f>
        <v>0.16700000000000001</v>
      </c>
      <c r="O100" s="10">
        <f>ROUND(ABS('2. Demand History'!X100-IF($D100="Yes",'2. Demand History'!L100,AVERAGE('2. Demand History'!U100:W100)))/MAX('2. Demand History'!X100,1),3)</f>
        <v>0.14299999999999999</v>
      </c>
      <c r="P100" s="10">
        <f>ROUND(ABS('2. Demand History'!Y100-IF($D100="Yes",'2. Demand History'!M100,AVERAGE('2. Demand History'!V100:X100)))/MAX('2. Demand History'!Y100,1),3)</f>
        <v>0.125</v>
      </c>
      <c r="Q100" s="10">
        <f>ROUND(ABS('2. Demand History'!Z100-IF($D100="Yes",'2. Demand History'!N100,AVERAGE('2. Demand History'!W100:Y100)))/MAX('2. Demand History'!Z100,1),3)</f>
        <v>0.125</v>
      </c>
    </row>
    <row r="101" spans="1:17" ht="15" customHeight="1" x14ac:dyDescent="0.2">
      <c r="A101" s="3" t="str">
        <f>'2. Demand History'!A101</f>
        <v>NT10097</v>
      </c>
      <c r="B101" s="1" t="str">
        <f>'2. Demand History'!B101</f>
        <v>ProBook 462 i5 14in</v>
      </c>
      <c r="C101" s="3" t="str">
        <f>'1. Master Data'!C101</f>
        <v>Laptops</v>
      </c>
      <c r="D101" s="3" t="s">
        <v>1111</v>
      </c>
      <c r="E101" s="3" t="str">
        <f t="shared" si="3"/>
        <v>Seasonal Naive</v>
      </c>
      <c r="F101" s="3">
        <f>ROUND(AVERAGE('2. Demand History'!O101:Z101),1)</f>
        <v>23.9</v>
      </c>
      <c r="G101" s="3">
        <f>ROUND(STDEV('2. Demand History'!O101:Z101),1)</f>
        <v>8.9</v>
      </c>
      <c r="H101" s="8">
        <f t="shared" si="4"/>
        <v>0.37</v>
      </c>
      <c r="I101" s="8">
        <f>ROUND(SUM('2. Demand History'!O101:Z101)/MAX(SUM('2. Demand History'!C101:N101),1),2)</f>
        <v>1.06</v>
      </c>
      <c r="J101" s="5">
        <f>IF(D101="Yes",ROUND('2. Demand History'!O101*I101,0),ROUND(AVERAGE('2. Demand History'!X101:Z101),0))</f>
        <v>22</v>
      </c>
      <c r="K101" s="9">
        <f t="shared" si="5"/>
        <v>0.109</v>
      </c>
      <c r="L101" s="10">
        <f>ROUND(ABS('2. Demand History'!U101-IF($D101="Yes",'2. Demand History'!I101,AVERAGE('2. Demand History'!R101:T101)))/MAX('2. Demand History'!U101,1),3)</f>
        <v>2.1999999999999999E-2</v>
      </c>
      <c r="M101" s="10">
        <f>ROUND(ABS('2. Demand History'!V101-IF($D101="Yes",'2. Demand History'!J101,AVERAGE('2. Demand History'!S101:U101)))/MAX('2. Demand History'!V101,1),3)</f>
        <v>0.16700000000000001</v>
      </c>
      <c r="N101" s="10">
        <f>ROUND(ABS('2. Demand History'!W101-IF($D101="Yes",'2. Demand History'!K101,AVERAGE('2. Demand History'!T101:V101)))/MAX('2. Demand History'!W101,1),3)</f>
        <v>0.21099999999999999</v>
      </c>
      <c r="O101" s="10">
        <f>ROUND(ABS('2. Demand History'!X101-IF($D101="Yes",'2. Demand History'!L101,AVERAGE('2. Demand History'!U101:W101)))/MAX('2. Demand History'!X101,1),3)</f>
        <v>9.5000000000000001E-2</v>
      </c>
      <c r="P101" s="10">
        <f>ROUND(ABS('2. Demand History'!Y101-IF($D101="Yes",'2. Demand History'!M101,AVERAGE('2. Demand History'!V101:X101)))/MAX('2. Demand History'!Y101,1),3)</f>
        <v>0.111</v>
      </c>
      <c r="Q101" s="10">
        <f>ROUND(ABS('2. Demand History'!Z101-IF($D101="Yes",'2. Demand History'!N101,AVERAGE('2. Demand History'!W101:Y101)))/MAX('2. Demand History'!Z101,1),3)</f>
        <v>4.8000000000000001E-2</v>
      </c>
    </row>
    <row r="102" spans="1:17" ht="15" customHeight="1" x14ac:dyDescent="0.2">
      <c r="A102" s="3" t="str">
        <f>'2. Demand History'!A102</f>
        <v>NT10098</v>
      </c>
      <c r="B102" s="1" t="str">
        <f>'2. Demand History'!B102</f>
        <v>ProBook 660 i5 14in</v>
      </c>
      <c r="C102" s="3" t="str">
        <f>'1. Master Data'!C102</f>
        <v>Laptops</v>
      </c>
      <c r="D102" s="3" t="s">
        <v>1111</v>
      </c>
      <c r="E102" s="3" t="str">
        <f t="shared" si="3"/>
        <v>Seasonal Naive</v>
      </c>
      <c r="F102" s="3">
        <f>ROUND(AVERAGE('2. Demand History'!O102:Z102),1)</f>
        <v>28.9</v>
      </c>
      <c r="G102" s="3">
        <f>ROUND(STDEV('2. Demand History'!O102:Z102),1)</f>
        <v>9.9</v>
      </c>
      <c r="H102" s="8">
        <f t="shared" si="4"/>
        <v>0.34</v>
      </c>
      <c r="I102" s="8">
        <f>ROUND(SUM('2. Demand History'!O102:Z102)/MAX(SUM('2. Demand History'!C102:N102),1),2)</f>
        <v>1.06</v>
      </c>
      <c r="J102" s="5">
        <f>IF(D102="Yes",ROUND('2. Demand History'!O102*I102,0),ROUND(AVERAGE('2. Demand History'!X102:Z102),0))</f>
        <v>28</v>
      </c>
      <c r="K102" s="9">
        <f t="shared" si="5"/>
        <v>5.8000000000000003E-2</v>
      </c>
      <c r="L102" s="10">
        <f>ROUND(ABS('2. Demand History'!U102-IF($D102="Yes",'2. Demand History'!I102,AVERAGE('2. Demand History'!R102:T102)))/MAX('2. Demand History'!U102,1),3)</f>
        <v>0.13500000000000001</v>
      </c>
      <c r="M102" s="10">
        <f>ROUND(ABS('2. Demand History'!V102-IF($D102="Yes",'2. Demand History'!J102,AVERAGE('2. Demand History'!S102:U102)))/MAX('2. Demand History'!V102,1),3)</f>
        <v>0</v>
      </c>
      <c r="N102" s="10">
        <f>ROUND(ABS('2. Demand History'!W102-IF($D102="Yes",'2. Demand History'!K102,AVERAGE('2. Demand History'!T102:V102)))/MAX('2. Demand History'!W102,1),3)</f>
        <v>4.4999999999999998E-2</v>
      </c>
      <c r="O102" s="10">
        <f>ROUND(ABS('2. Demand History'!X102-IF($D102="Yes",'2. Demand History'!L102,AVERAGE('2. Demand History'!U102:W102)))/MAX('2. Demand History'!X102,1),3)</f>
        <v>0</v>
      </c>
      <c r="P102" s="10">
        <f>ROUND(ABS('2. Demand History'!Y102-IF($D102="Yes",'2. Demand History'!M102,AVERAGE('2. Demand History'!V102:X102)))/MAX('2. Demand History'!Y102,1),3)</f>
        <v>0.04</v>
      </c>
      <c r="Q102" s="10">
        <f>ROUND(ABS('2. Demand History'!Z102-IF($D102="Yes",'2. Demand History'!N102,AVERAGE('2. Demand History'!W102:Y102)))/MAX('2. Demand History'!Z102,1),3)</f>
        <v>0.125</v>
      </c>
    </row>
    <row r="103" spans="1:17" ht="15" customHeight="1" x14ac:dyDescent="0.2">
      <c r="A103" s="3" t="str">
        <f>'2. Demand History'!A103</f>
        <v>NT10099</v>
      </c>
      <c r="B103" s="1" t="str">
        <f>'2. Demand History'!B103</f>
        <v>WorkMate 633 i3 14in</v>
      </c>
      <c r="C103" s="3" t="str">
        <f>'1. Master Data'!C103</f>
        <v>Laptops</v>
      </c>
      <c r="D103" s="3" t="s">
        <v>1111</v>
      </c>
      <c r="E103" s="3" t="str">
        <f t="shared" si="3"/>
        <v>Seasonal Naive</v>
      </c>
      <c r="F103" s="3">
        <f>ROUND(AVERAGE('2. Demand History'!O103:Z103),1)</f>
        <v>111.6</v>
      </c>
      <c r="G103" s="3">
        <f>ROUND(STDEV('2. Demand History'!O103:Z103),1)</f>
        <v>37.200000000000003</v>
      </c>
      <c r="H103" s="8">
        <f t="shared" si="4"/>
        <v>0.33</v>
      </c>
      <c r="I103" s="8">
        <f>ROUND(SUM('2. Demand History'!O103:Z103)/MAX(SUM('2. Demand History'!C103:N103),1),2)</f>
        <v>1.0900000000000001</v>
      </c>
      <c r="J103" s="5">
        <f>IF(D103="Yes",ROUND('2. Demand History'!O103*I103,0),ROUND(AVERAGE('2. Demand History'!X103:Z103),0))</f>
        <v>109</v>
      </c>
      <c r="K103" s="9">
        <f t="shared" si="5"/>
        <v>0.14599999999999999</v>
      </c>
      <c r="L103" s="10">
        <f>ROUND(ABS('2. Demand History'!U103-IF($D103="Yes",'2. Demand History'!I103,AVERAGE('2. Demand History'!R103:T103)))/MAX('2. Demand History'!U103,1),3)</f>
        <v>0.124</v>
      </c>
      <c r="M103" s="10">
        <f>ROUND(ABS('2. Demand History'!V103-IF($D103="Yes",'2. Demand History'!J103,AVERAGE('2. Demand History'!S103:U103)))/MAX('2. Demand History'!V103,1),3)</f>
        <v>9.0999999999999998E-2</v>
      </c>
      <c r="N103" s="10">
        <f>ROUND(ABS('2. Demand History'!W103-IF($D103="Yes",'2. Demand History'!K103,AVERAGE('2. Demand History'!T103:V103)))/MAX('2. Demand History'!W103,1),3)</f>
        <v>0.17199999999999999</v>
      </c>
      <c r="O103" s="10">
        <f>ROUND(ABS('2. Demand History'!X103-IF($D103="Yes",'2. Demand History'!L103,AVERAGE('2. Demand History'!U103:W103)))/MAX('2. Demand History'!X103,1),3)</f>
        <v>0.14499999999999999</v>
      </c>
      <c r="P103" s="10">
        <f>ROUND(ABS('2. Demand History'!Y103-IF($D103="Yes",'2. Demand History'!M103,AVERAGE('2. Demand History'!V103:X103)))/MAX('2. Demand History'!Y103,1),3)</f>
        <v>0.25</v>
      </c>
      <c r="Q103" s="10">
        <f>ROUND(ABS('2. Demand History'!Z103-IF($D103="Yes",'2. Demand History'!N103,AVERAGE('2. Demand History'!W103:Y103)))/MAX('2. Demand History'!Z103,1),3)</f>
        <v>9.6000000000000002E-2</v>
      </c>
    </row>
    <row r="104" spans="1:17" ht="15" customHeight="1" x14ac:dyDescent="0.2">
      <c r="A104" s="3" t="str">
        <f>'2. Demand History'!A104</f>
        <v>NT10100</v>
      </c>
      <c r="B104" s="1" t="str">
        <f>'2. Demand History'!B104</f>
        <v>ProBook 467 i7 15in</v>
      </c>
      <c r="C104" s="3" t="str">
        <f>'1. Master Data'!C104</f>
        <v>Laptops</v>
      </c>
      <c r="D104" s="3" t="s">
        <v>1111</v>
      </c>
      <c r="E104" s="3" t="str">
        <f t="shared" si="3"/>
        <v>Seasonal Naive</v>
      </c>
      <c r="F104" s="3">
        <f>ROUND(AVERAGE('2. Demand History'!O104:Z104),1)</f>
        <v>32.799999999999997</v>
      </c>
      <c r="G104" s="3">
        <f>ROUND(STDEV('2. Demand History'!O104:Z104),1)</f>
        <v>31.8</v>
      </c>
      <c r="H104" s="8">
        <f t="shared" si="4"/>
        <v>0.97</v>
      </c>
      <c r="I104" s="8">
        <f>ROUND(SUM('2. Demand History'!O104:Z104)/MAX(SUM('2. Demand History'!C104:N104),1),2)</f>
        <v>1.03</v>
      </c>
      <c r="J104" s="5">
        <f>IF(D104="Yes",ROUND('2. Demand History'!O104*I104,0),ROUND(AVERAGE('2. Demand History'!X104:Z104),0))</f>
        <v>12</v>
      </c>
      <c r="K104" s="9">
        <f t="shared" si="5"/>
        <v>0.32700000000000001</v>
      </c>
      <c r="L104" s="10">
        <f>ROUND(ABS('2. Demand History'!U104-IF($D104="Yes",'2. Demand History'!I104,AVERAGE('2. Demand History'!R104:T104)))/MAX('2. Demand History'!U104,1),3)</f>
        <v>0.27300000000000002</v>
      </c>
      <c r="M104" s="10">
        <f>ROUND(ABS('2. Demand History'!V104-IF($D104="Yes",'2. Demand History'!J104,AVERAGE('2. Demand History'!S104:U104)))/MAX('2. Demand History'!V104,1),3)</f>
        <v>0.11799999999999999</v>
      </c>
      <c r="N104" s="10">
        <f>ROUND(ABS('2. Demand History'!W104-IF($D104="Yes",'2. Demand History'!K104,AVERAGE('2. Demand History'!T104:V104)))/MAX('2. Demand History'!W104,1),3)</f>
        <v>0.77200000000000002</v>
      </c>
      <c r="O104" s="10">
        <f>ROUND(ABS('2. Demand History'!X104-IF($D104="Yes",'2. Demand History'!L104,AVERAGE('2. Demand History'!U104:W104)))/MAX('2. Demand History'!X104,1),3)</f>
        <v>3.9E-2</v>
      </c>
      <c r="P104" s="10">
        <f>ROUND(ABS('2. Demand History'!Y104-IF($D104="Yes",'2. Demand History'!M104,AVERAGE('2. Demand History'!V104:X104)))/MAX('2. Demand History'!Y104,1),3)</f>
        <v>0.25900000000000001</v>
      </c>
      <c r="Q104" s="10">
        <f>ROUND(ABS('2. Demand History'!Z104-IF($D104="Yes",'2. Demand History'!N104,AVERAGE('2. Demand History'!W104:Y104)))/MAX('2. Demand History'!Z104,1),3)</f>
        <v>0.5</v>
      </c>
    </row>
    <row r="105" spans="1:17" ht="15" customHeight="1" x14ac:dyDescent="0.2">
      <c r="A105" s="3" t="str">
        <f>'2. Demand History'!A105</f>
        <v>NT10101</v>
      </c>
      <c r="B105" s="1" t="str">
        <f>'2. Demand History'!B105</f>
        <v>VisionQ 798in QLED</v>
      </c>
      <c r="C105" s="3" t="str">
        <f>'1. Master Data'!C105</f>
        <v>TVs</v>
      </c>
      <c r="D105" s="3" t="s">
        <v>1111</v>
      </c>
      <c r="E105" s="3" t="str">
        <f t="shared" si="3"/>
        <v>Seasonal Naive</v>
      </c>
      <c r="F105" s="3">
        <f>ROUND(AVERAGE('2. Demand History'!O105:Z105),1)</f>
        <v>10.199999999999999</v>
      </c>
      <c r="G105" s="3">
        <f>ROUND(STDEV('2. Demand History'!O105:Z105),1)</f>
        <v>3.7</v>
      </c>
      <c r="H105" s="8">
        <f t="shared" si="4"/>
        <v>0.36</v>
      </c>
      <c r="I105" s="8">
        <f>ROUND(SUM('2. Demand History'!O105:Z105)/MAX(SUM('2. Demand History'!C105:N105),1),2)</f>
        <v>1.06</v>
      </c>
      <c r="J105" s="5">
        <f>IF(D105="Yes",ROUND('2. Demand History'!O105*I105,0),ROUND(AVERAGE('2. Demand History'!X105:Z105),0))</f>
        <v>7</v>
      </c>
      <c r="K105" s="9">
        <f t="shared" si="5"/>
        <v>9.1999999999999998E-2</v>
      </c>
      <c r="L105" s="10">
        <f>ROUND(ABS('2. Demand History'!U105-IF($D105="Yes",'2. Demand History'!I105,AVERAGE('2. Demand History'!R105:T105)))/MAX('2. Demand History'!U105,1),3)</f>
        <v>0.3</v>
      </c>
      <c r="M105" s="10">
        <f>ROUND(ABS('2. Demand History'!V105-IF($D105="Yes",'2. Demand History'!J105,AVERAGE('2. Demand History'!S105:U105)))/MAX('2. Demand History'!V105,1),3)</f>
        <v>0.14299999999999999</v>
      </c>
      <c r="N105" s="10">
        <f>ROUND(ABS('2. Demand History'!W105-IF($D105="Yes",'2. Demand History'!K105,AVERAGE('2. Demand History'!T105:V105)))/MAX('2. Demand History'!W105,1),3)</f>
        <v>0</v>
      </c>
      <c r="O105" s="10">
        <f>ROUND(ABS('2. Demand History'!X105-IF($D105="Yes",'2. Demand History'!L105,AVERAGE('2. Demand History'!U105:W105)))/MAX('2. Demand History'!X105,1),3)</f>
        <v>0.111</v>
      </c>
      <c r="P105" s="10">
        <f>ROUND(ABS('2. Demand History'!Y105-IF($D105="Yes",'2. Demand History'!M105,AVERAGE('2. Demand History'!V105:X105)))/MAX('2. Demand History'!Y105,1),3)</f>
        <v>0</v>
      </c>
      <c r="Q105" s="10">
        <f>ROUND(ABS('2. Demand History'!Z105-IF($D105="Yes",'2. Demand History'!N105,AVERAGE('2. Demand History'!W105:Y105)))/MAX('2. Demand History'!Z105,1),3)</f>
        <v>0</v>
      </c>
    </row>
    <row r="106" spans="1:17" ht="15" customHeight="1" x14ac:dyDescent="0.2">
      <c r="A106" s="3" t="str">
        <f>'2. Demand History'!A106</f>
        <v>NT10102</v>
      </c>
      <c r="B106" s="1" t="str">
        <f>'2. Demand History'!B106</f>
        <v>VisionLED 933in 4K</v>
      </c>
      <c r="C106" s="3" t="str">
        <f>'1. Master Data'!C106</f>
        <v>TVs</v>
      </c>
      <c r="D106" s="3" t="s">
        <v>1111</v>
      </c>
      <c r="E106" s="3" t="str">
        <f t="shared" si="3"/>
        <v>Seasonal Naive</v>
      </c>
      <c r="F106" s="3">
        <f>ROUND(AVERAGE('2. Demand History'!O106:Z106),1)</f>
        <v>32.6</v>
      </c>
      <c r="G106" s="3">
        <f>ROUND(STDEV('2. Demand History'!O106:Z106),1)</f>
        <v>26.1</v>
      </c>
      <c r="H106" s="8">
        <f t="shared" si="4"/>
        <v>0.8</v>
      </c>
      <c r="I106" s="8">
        <f>ROUND(SUM('2. Demand History'!O106:Z106)/MAX(SUM('2. Demand History'!C106:N106),1),2)</f>
        <v>0.56000000000000005</v>
      </c>
      <c r="J106" s="5">
        <f>IF(D106="Yes",ROUND('2. Demand History'!O106*I106,0),ROUND(AVERAGE('2. Demand History'!X106:Z106),0))</f>
        <v>10</v>
      </c>
      <c r="K106" s="9">
        <f t="shared" si="5"/>
        <v>1.347</v>
      </c>
      <c r="L106" s="10">
        <f>ROUND(ABS('2. Demand History'!U106-IF($D106="Yes",'2. Demand History'!I106,AVERAGE('2. Demand History'!R106:T106)))/MAX('2. Demand History'!U106,1),3)</f>
        <v>0.35399999999999998</v>
      </c>
      <c r="M106" s="10">
        <f>ROUND(ABS('2. Demand History'!V106-IF($D106="Yes",'2. Demand History'!J106,AVERAGE('2. Demand History'!S106:U106)))/MAX('2. Demand History'!V106,1),3)</f>
        <v>0.35699999999999998</v>
      </c>
      <c r="N106" s="10">
        <f>ROUND(ABS('2. Demand History'!W106-IF($D106="Yes",'2. Demand History'!K106,AVERAGE('2. Demand History'!T106:V106)))/MAX('2. Demand History'!W106,1),3)</f>
        <v>0</v>
      </c>
      <c r="O106" s="10">
        <f>ROUND(ABS('2. Demand History'!X106-IF($D106="Yes",'2. Demand History'!L106,AVERAGE('2. Demand History'!U106:W106)))/MAX('2. Demand History'!X106,1),3)</f>
        <v>4.2859999999999996</v>
      </c>
      <c r="P106" s="10">
        <f>ROUND(ABS('2. Demand History'!Y106-IF($D106="Yes",'2. Demand History'!M106,AVERAGE('2. Demand History'!V106:X106)))/MAX('2. Demand History'!Y106,1),3)</f>
        <v>2.35</v>
      </c>
      <c r="Q106" s="10">
        <f>ROUND(ABS('2. Demand History'!Z106-IF($D106="Yes",'2. Demand History'!N106,AVERAGE('2. Demand History'!W106:Y106)))/MAX('2. Demand History'!Z106,1),3)</f>
        <v>0.73199999999999998</v>
      </c>
    </row>
    <row r="107" spans="1:17" ht="15" customHeight="1" x14ac:dyDescent="0.2">
      <c r="A107" s="3" t="str">
        <f>'2. Demand History'!A107</f>
        <v>NT10103</v>
      </c>
      <c r="B107" s="1" t="str">
        <f>'2. Demand History'!B107</f>
        <v>VisionLED 495in 4K</v>
      </c>
      <c r="C107" s="3" t="str">
        <f>'1. Master Data'!C107</f>
        <v>TVs</v>
      </c>
      <c r="D107" s="3" t="s">
        <v>1111</v>
      </c>
      <c r="E107" s="3" t="str">
        <f t="shared" si="3"/>
        <v>Seasonal Naive</v>
      </c>
      <c r="F107" s="3">
        <f>ROUND(AVERAGE('2. Demand History'!O107:Z107),1)</f>
        <v>71.3</v>
      </c>
      <c r="G107" s="3">
        <f>ROUND(STDEV('2. Demand History'!O107:Z107),1)</f>
        <v>24</v>
      </c>
      <c r="H107" s="8">
        <f t="shared" si="4"/>
        <v>0.34</v>
      </c>
      <c r="I107" s="8">
        <f>ROUND(SUM('2. Demand History'!O107:Z107)/MAX(SUM('2. Demand History'!C107:N107),1),2)</f>
        <v>1.04</v>
      </c>
      <c r="J107" s="5">
        <f>IF(D107="Yes",ROUND('2. Demand History'!O107*I107,0),ROUND(AVERAGE('2. Demand History'!X107:Z107),0))</f>
        <v>70</v>
      </c>
      <c r="K107" s="9">
        <f t="shared" si="5"/>
        <v>0.11899999999999999</v>
      </c>
      <c r="L107" s="10">
        <f>ROUND(ABS('2. Demand History'!U107-IF($D107="Yes",'2. Demand History'!I107,AVERAGE('2. Demand History'!R107:T107)))/MAX('2. Demand History'!U107,1),3)</f>
        <v>0.16800000000000001</v>
      </c>
      <c r="M107" s="10">
        <f>ROUND(ABS('2. Demand History'!V107-IF($D107="Yes",'2. Demand History'!J107,AVERAGE('2. Demand History'!S107:U107)))/MAX('2. Demand History'!V107,1),3)</f>
        <v>0.02</v>
      </c>
      <c r="N107" s="10">
        <f>ROUND(ABS('2. Demand History'!W107-IF($D107="Yes",'2. Demand History'!K107,AVERAGE('2. Demand History'!T107:V107)))/MAX('2. Demand History'!W107,1),3)</f>
        <v>0.23699999999999999</v>
      </c>
      <c r="O107" s="10">
        <f>ROUND(ABS('2. Demand History'!X107-IF($D107="Yes",'2. Demand History'!L107,AVERAGE('2. Demand History'!U107:W107)))/MAX('2. Demand History'!X107,1),3)</f>
        <v>4.8000000000000001E-2</v>
      </c>
      <c r="P107" s="10">
        <f>ROUND(ABS('2. Demand History'!Y107-IF($D107="Yes",'2. Demand History'!M107,AVERAGE('2. Demand History'!V107:X107)))/MAX('2. Demand History'!Y107,1),3)</f>
        <v>0.161</v>
      </c>
      <c r="Q107" s="10">
        <f>ROUND(ABS('2. Demand History'!Z107-IF($D107="Yes",'2. Demand History'!N107,AVERAGE('2. Demand History'!W107:Y107)))/MAX('2. Demand History'!Z107,1),3)</f>
        <v>8.2000000000000003E-2</v>
      </c>
    </row>
    <row r="108" spans="1:17" ht="15" customHeight="1" x14ac:dyDescent="0.2">
      <c r="A108" s="3" t="str">
        <f>'2. Demand History'!A108</f>
        <v>NT10104</v>
      </c>
      <c r="B108" s="1" t="str">
        <f>'2. Demand History'!B108</f>
        <v>VisionLED 501in 4K</v>
      </c>
      <c r="C108" s="3" t="str">
        <f>'1. Master Data'!C108</f>
        <v>TVs</v>
      </c>
      <c r="D108" s="3" t="s">
        <v>1111</v>
      </c>
      <c r="E108" s="3" t="str">
        <f t="shared" si="3"/>
        <v>Seasonal Naive</v>
      </c>
      <c r="F108" s="3">
        <f>ROUND(AVERAGE('2. Demand History'!O108:Z108),1)</f>
        <v>188.3</v>
      </c>
      <c r="G108" s="3">
        <f>ROUND(STDEV('2. Demand History'!O108:Z108),1)</f>
        <v>58.9</v>
      </c>
      <c r="H108" s="8">
        <f t="shared" si="4"/>
        <v>0.31</v>
      </c>
      <c r="I108" s="8">
        <f>ROUND(SUM('2. Demand History'!O108:Z108)/MAX(SUM('2. Demand History'!C108:N108),1),2)</f>
        <v>1.04</v>
      </c>
      <c r="J108" s="5">
        <f>IF(D108="Yes",ROUND('2. Demand History'!O108*I108,0),ROUND(AVERAGE('2. Demand History'!X108:Z108),0))</f>
        <v>178</v>
      </c>
      <c r="K108" s="9">
        <f t="shared" si="5"/>
        <v>5.7000000000000002E-2</v>
      </c>
      <c r="L108" s="10">
        <f>ROUND(ABS('2. Demand History'!U108-IF($D108="Yes",'2. Demand History'!I108,AVERAGE('2. Demand History'!R108:T108)))/MAX('2. Demand History'!U108,1),3)</f>
        <v>5.2999999999999999E-2</v>
      </c>
      <c r="M108" s="10">
        <f>ROUND(ABS('2. Demand History'!V108-IF($D108="Yes",'2. Demand History'!J108,AVERAGE('2. Demand History'!S108:U108)))/MAX('2. Demand History'!V108,1),3)</f>
        <v>8.9999999999999993E-3</v>
      </c>
      <c r="N108" s="10">
        <f>ROUND(ABS('2. Demand History'!W108-IF($D108="Yes",'2. Demand History'!K108,AVERAGE('2. Demand History'!T108:V108)))/MAX('2. Demand History'!W108,1),3)</f>
        <v>4.7E-2</v>
      </c>
      <c r="O108" s="10">
        <f>ROUND(ABS('2. Demand History'!X108-IF($D108="Yes",'2. Demand History'!L108,AVERAGE('2. Demand History'!U108:W108)))/MAX('2. Demand History'!X108,1),3)</f>
        <v>2.5999999999999999E-2</v>
      </c>
      <c r="P108" s="10">
        <f>ROUND(ABS('2. Demand History'!Y108-IF($D108="Yes",'2. Demand History'!M108,AVERAGE('2. Demand History'!V108:X108)))/MAX('2. Demand History'!Y108,1),3)</f>
        <v>8.5999999999999993E-2</v>
      </c>
      <c r="Q108" s="10">
        <f>ROUND(ABS('2. Demand History'!Z108-IF($D108="Yes",'2. Demand History'!N108,AVERAGE('2. Demand History'!W108:Y108)))/MAX('2. Demand History'!Z108,1),3)</f>
        <v>0.12</v>
      </c>
    </row>
    <row r="109" spans="1:17" ht="15" customHeight="1" x14ac:dyDescent="0.2">
      <c r="A109" s="3" t="str">
        <f>'2. Demand History'!A109</f>
        <v>NT10105</v>
      </c>
      <c r="B109" s="1" t="str">
        <f>'2. Demand History'!B109</f>
        <v>VisionLED 850in 4K</v>
      </c>
      <c r="C109" s="3" t="str">
        <f>'1. Master Data'!C109</f>
        <v>TVs</v>
      </c>
      <c r="D109" s="3" t="s">
        <v>1111</v>
      </c>
      <c r="E109" s="3" t="str">
        <f t="shared" si="3"/>
        <v>Seasonal Naive</v>
      </c>
      <c r="F109" s="3">
        <f>ROUND(AVERAGE('2. Demand History'!O109:Z109),1)</f>
        <v>25.8</v>
      </c>
      <c r="G109" s="3">
        <f>ROUND(STDEV('2. Demand History'!O109:Z109),1)</f>
        <v>7.3</v>
      </c>
      <c r="H109" s="8">
        <f t="shared" si="4"/>
        <v>0.28000000000000003</v>
      </c>
      <c r="I109" s="8">
        <f>ROUND(SUM('2. Demand History'!O109:Z109)/MAX(SUM('2. Demand History'!C109:N109),1),2)</f>
        <v>1.1100000000000001</v>
      </c>
      <c r="J109" s="5">
        <f>IF(D109="Yes",ROUND('2. Demand History'!O109*I109,0),ROUND(AVERAGE('2. Demand History'!X109:Z109),0))</f>
        <v>21</v>
      </c>
      <c r="K109" s="9">
        <f t="shared" si="5"/>
        <v>0.11</v>
      </c>
      <c r="L109" s="10">
        <f>ROUND(ABS('2. Demand History'!U109-IF($D109="Yes",'2. Demand History'!I109,AVERAGE('2. Demand History'!R109:T109)))/MAX('2. Demand History'!U109,1),3)</f>
        <v>4.8000000000000001E-2</v>
      </c>
      <c r="M109" s="10">
        <f>ROUND(ABS('2. Demand History'!V109-IF($D109="Yes",'2. Demand History'!J109,AVERAGE('2. Demand History'!S109:U109)))/MAX('2. Demand History'!V109,1),3)</f>
        <v>0.21099999999999999</v>
      </c>
      <c r="N109" s="10">
        <f>ROUND(ABS('2. Demand History'!W109-IF($D109="Yes",'2. Demand History'!K109,AVERAGE('2. Demand History'!T109:V109)))/MAX('2. Demand History'!W109,1),3)</f>
        <v>0</v>
      </c>
      <c r="O109" s="10">
        <f>ROUND(ABS('2. Demand History'!X109-IF($D109="Yes",'2. Demand History'!L109,AVERAGE('2. Demand History'!U109:W109)))/MAX('2. Demand History'!X109,1),3)</f>
        <v>0.125</v>
      </c>
      <c r="P109" s="10">
        <f>ROUND(ABS('2. Demand History'!Y109-IF($D109="Yes",'2. Demand History'!M109,AVERAGE('2. Demand History'!V109:X109)))/MAX('2. Demand History'!Y109,1),3)</f>
        <v>0.27600000000000002</v>
      </c>
      <c r="Q109" s="10">
        <f>ROUND(ABS('2. Demand History'!Z109-IF($D109="Yes",'2. Demand History'!N109,AVERAGE('2. Demand History'!W109:Y109)))/MAX('2. Demand History'!Z109,1),3)</f>
        <v>0</v>
      </c>
    </row>
    <row r="110" spans="1:17" ht="15" customHeight="1" x14ac:dyDescent="0.2">
      <c r="A110" s="3" t="str">
        <f>'2. Demand History'!A110</f>
        <v>NT10106</v>
      </c>
      <c r="B110" s="1" t="str">
        <f>'2. Demand History'!B110</f>
        <v>CinemaMax 807in 8K</v>
      </c>
      <c r="C110" s="3" t="str">
        <f>'1. Master Data'!C110</f>
        <v>TVs</v>
      </c>
      <c r="D110" s="3" t="s">
        <v>1111</v>
      </c>
      <c r="E110" s="3" t="str">
        <f t="shared" si="3"/>
        <v>Seasonal Naive</v>
      </c>
      <c r="F110" s="3">
        <f>ROUND(AVERAGE('2. Demand History'!O110:Z110),1)</f>
        <v>13</v>
      </c>
      <c r="G110" s="3">
        <f>ROUND(STDEV('2. Demand History'!O110:Z110),1)</f>
        <v>4.4000000000000004</v>
      </c>
      <c r="H110" s="8">
        <f t="shared" si="4"/>
        <v>0.34</v>
      </c>
      <c r="I110" s="8">
        <f>ROUND(SUM('2. Demand History'!O110:Z110)/MAX(SUM('2. Demand History'!C110:N110),1),2)</f>
        <v>1.21</v>
      </c>
      <c r="J110" s="5">
        <f>IF(D110="Yes",ROUND('2. Demand History'!O110*I110,0),ROUND(AVERAGE('2. Demand History'!X110:Z110),0))</f>
        <v>16</v>
      </c>
      <c r="K110" s="9">
        <f t="shared" si="5"/>
        <v>0.13200000000000001</v>
      </c>
      <c r="L110" s="10">
        <f>ROUND(ABS('2. Demand History'!U110-IF($D110="Yes",'2. Demand History'!I110,AVERAGE('2. Demand History'!R110:T110)))/MAX('2. Demand History'!U110,1),3)</f>
        <v>0.33300000000000002</v>
      </c>
      <c r="M110" s="10">
        <f>ROUND(ABS('2. Demand History'!V110-IF($D110="Yes",'2. Demand History'!J110,AVERAGE('2. Demand History'!S110:U110)))/MAX('2. Demand History'!V110,1),3)</f>
        <v>0.111</v>
      </c>
      <c r="N110" s="10">
        <f>ROUND(ABS('2. Demand History'!W110-IF($D110="Yes",'2. Demand History'!K110,AVERAGE('2. Demand History'!T110:V110)))/MAX('2. Demand History'!W110,1),3)</f>
        <v>0</v>
      </c>
      <c r="O110" s="10">
        <f>ROUND(ABS('2. Demand History'!X110-IF($D110="Yes",'2. Demand History'!L110,AVERAGE('2. Demand History'!U110:W110)))/MAX('2. Demand History'!X110,1),3)</f>
        <v>0</v>
      </c>
      <c r="P110" s="10">
        <f>ROUND(ABS('2. Demand History'!Y110-IF($D110="Yes",'2. Demand History'!M110,AVERAGE('2. Demand History'!V110:X110)))/MAX('2. Demand History'!Y110,1),3)</f>
        <v>0.16700000000000001</v>
      </c>
      <c r="Q110" s="10">
        <f>ROUND(ABS('2. Demand History'!Z110-IF($D110="Yes",'2. Demand History'!N110,AVERAGE('2. Demand History'!W110:Y110)))/MAX('2. Demand History'!Z110,1),3)</f>
        <v>0.182</v>
      </c>
    </row>
    <row r="111" spans="1:17" ht="15" customHeight="1" x14ac:dyDescent="0.2">
      <c r="A111" s="3" t="str">
        <f>'2. Demand History'!A111</f>
        <v>NT10107</v>
      </c>
      <c r="B111" s="1" t="str">
        <f>'2. Demand History'!B111</f>
        <v>VisionOLED 709in 4K</v>
      </c>
      <c r="C111" s="3" t="str">
        <f>'1. Master Data'!C111</f>
        <v>TVs</v>
      </c>
      <c r="D111" s="3" t="s">
        <v>1111</v>
      </c>
      <c r="E111" s="3" t="str">
        <f t="shared" si="3"/>
        <v>Seasonal Naive</v>
      </c>
      <c r="F111" s="3">
        <f>ROUND(AVERAGE('2. Demand History'!O111:Z111),1)</f>
        <v>47.6</v>
      </c>
      <c r="G111" s="3">
        <f>ROUND(STDEV('2. Demand History'!O111:Z111),1)</f>
        <v>14</v>
      </c>
      <c r="H111" s="8">
        <f t="shared" si="4"/>
        <v>0.28999999999999998</v>
      </c>
      <c r="I111" s="8">
        <f>ROUND(SUM('2. Demand History'!O111:Z111)/MAX(SUM('2. Demand History'!C111:N111),1),2)</f>
        <v>1.04</v>
      </c>
      <c r="J111" s="5">
        <f>IF(D111="Yes",ROUND('2. Demand History'!O111*I111,0),ROUND(AVERAGE('2. Demand History'!X111:Z111),0))</f>
        <v>42</v>
      </c>
      <c r="K111" s="9">
        <f t="shared" si="5"/>
        <v>8.5000000000000006E-2</v>
      </c>
      <c r="L111" s="10">
        <f>ROUND(ABS('2. Demand History'!U111-IF($D111="Yes",'2. Demand History'!I111,AVERAGE('2. Demand History'!R111:T111)))/MAX('2. Demand History'!U111,1),3)</f>
        <v>7.0999999999999994E-2</v>
      </c>
      <c r="M111" s="10">
        <f>ROUND(ABS('2. Demand History'!V111-IF($D111="Yes",'2. Demand History'!J111,AVERAGE('2. Demand History'!S111:U111)))/MAX('2. Demand History'!V111,1),3)</f>
        <v>0.13800000000000001</v>
      </c>
      <c r="N111" s="10">
        <f>ROUND(ABS('2. Demand History'!W111-IF($D111="Yes",'2. Demand History'!K111,AVERAGE('2. Demand History'!T111:V111)))/MAX('2. Demand History'!W111,1),3)</f>
        <v>8.3000000000000004E-2</v>
      </c>
      <c r="O111" s="10">
        <f>ROUND(ABS('2. Demand History'!X111-IF($D111="Yes",'2. Demand History'!L111,AVERAGE('2. Demand History'!U111:W111)))/MAX('2. Demand History'!X111,1),3)</f>
        <v>0.109</v>
      </c>
      <c r="P111" s="10">
        <f>ROUND(ABS('2. Demand History'!Y111-IF($D111="Yes",'2. Demand History'!M111,AVERAGE('2. Demand History'!V111:X111)))/MAX('2. Demand History'!Y111,1),3)</f>
        <v>4.4999999999999998E-2</v>
      </c>
      <c r="Q111" s="10">
        <f>ROUND(ABS('2. Demand History'!Z111-IF($D111="Yes",'2. Demand History'!N111,AVERAGE('2. Demand History'!W111:Y111)))/MAX('2. Demand History'!Z111,1),3)</f>
        <v>6.3E-2</v>
      </c>
    </row>
    <row r="112" spans="1:17" ht="15" customHeight="1" x14ac:dyDescent="0.2">
      <c r="A112" s="3" t="str">
        <f>'2. Demand History'!A112</f>
        <v>NT10108</v>
      </c>
      <c r="B112" s="1" t="str">
        <f>'2. Demand History'!B112</f>
        <v>CinemaMax 594in 8K</v>
      </c>
      <c r="C112" s="3" t="str">
        <f>'1. Master Data'!C112</f>
        <v>TVs</v>
      </c>
      <c r="D112" s="3" t="s">
        <v>1111</v>
      </c>
      <c r="E112" s="3" t="str">
        <f t="shared" si="3"/>
        <v>Seasonal Naive</v>
      </c>
      <c r="F112" s="3">
        <f>ROUND(AVERAGE('2. Demand History'!O112:Z112),1)</f>
        <v>48.8</v>
      </c>
      <c r="G112" s="3">
        <f>ROUND(STDEV('2. Demand History'!O112:Z112),1)</f>
        <v>41.3</v>
      </c>
      <c r="H112" s="8">
        <f t="shared" si="4"/>
        <v>0.85</v>
      </c>
      <c r="I112" s="8">
        <f>ROUND(SUM('2. Demand History'!O112:Z112)/MAX(SUM('2. Demand History'!C112:N112),1),2)</f>
        <v>0.47</v>
      </c>
      <c r="J112" s="5">
        <f>IF(D112="Yes",ROUND('2. Demand History'!O112*I112,0),ROUND(AVERAGE('2. Demand History'!X112:Z112),0))</f>
        <v>14</v>
      </c>
      <c r="K112" s="9">
        <f t="shared" si="5"/>
        <v>1.1599999999999999</v>
      </c>
      <c r="L112" s="10">
        <f>ROUND(ABS('2. Demand History'!U112-IF($D112="Yes",'2. Demand History'!I112,AVERAGE('2. Demand History'!R112:T112)))/MAX('2. Demand History'!U112,1),3)</f>
        <v>0.25800000000000001</v>
      </c>
      <c r="M112" s="10">
        <f>ROUND(ABS('2. Demand History'!V112-IF($D112="Yes",'2. Demand History'!J112,AVERAGE('2. Demand History'!S112:U112)))/MAX('2. Demand History'!V112,1),3)</f>
        <v>3</v>
      </c>
      <c r="N112" s="10">
        <f>ROUND(ABS('2. Demand History'!W112-IF($D112="Yes",'2. Demand History'!K112,AVERAGE('2. Demand History'!T112:V112)))/MAX('2. Demand History'!W112,1),3)</f>
        <v>2.8000000000000001E-2</v>
      </c>
      <c r="O112" s="10">
        <f>ROUND(ABS('2. Demand History'!X112-IF($D112="Yes",'2. Demand History'!L112,AVERAGE('2. Demand History'!U112:W112)))/MAX('2. Demand History'!X112,1),3)</f>
        <v>2.161</v>
      </c>
      <c r="P112" s="10">
        <f>ROUND(ABS('2. Demand History'!Y112-IF($D112="Yes",'2. Demand History'!M112,AVERAGE('2. Demand History'!V112:X112)))/MAX('2. Demand History'!Y112,1),3)</f>
        <v>2.8000000000000001E-2</v>
      </c>
      <c r="Q112" s="10">
        <f>ROUND(ABS('2. Demand History'!Z112-IF($D112="Yes",'2. Demand History'!N112,AVERAGE('2. Demand History'!W112:Y112)))/MAX('2. Demand History'!Z112,1),3)</f>
        <v>1.4870000000000001</v>
      </c>
    </row>
    <row r="113" spans="1:17" ht="15" customHeight="1" x14ac:dyDescent="0.2">
      <c r="A113" s="3" t="str">
        <f>'2. Demand History'!A113</f>
        <v>NT10109</v>
      </c>
      <c r="B113" s="1" t="str">
        <f>'2. Demand History'!B113</f>
        <v>VisionQ 346in QLED</v>
      </c>
      <c r="C113" s="3" t="str">
        <f>'1. Master Data'!C113</f>
        <v>TVs</v>
      </c>
      <c r="D113" s="3" t="s">
        <v>1111</v>
      </c>
      <c r="E113" s="3" t="str">
        <f t="shared" si="3"/>
        <v>Seasonal Naive</v>
      </c>
      <c r="F113" s="3">
        <f>ROUND(AVERAGE('2. Demand History'!O113:Z113),1)</f>
        <v>53.6</v>
      </c>
      <c r="G113" s="3">
        <f>ROUND(STDEV('2. Demand History'!O113:Z113),1)</f>
        <v>14.7</v>
      </c>
      <c r="H113" s="8">
        <f t="shared" si="4"/>
        <v>0.27</v>
      </c>
      <c r="I113" s="8">
        <f>ROUND(SUM('2. Demand History'!O113:Z113)/MAX(SUM('2. Demand History'!C113:N113),1),2)</f>
        <v>1.06</v>
      </c>
      <c r="J113" s="5">
        <f>IF(D113="Yes",ROUND('2. Demand History'!O113*I113,0),ROUND(AVERAGE('2. Demand History'!X113:Z113),0))</f>
        <v>48</v>
      </c>
      <c r="K113" s="9">
        <f t="shared" si="5"/>
        <v>0.124</v>
      </c>
      <c r="L113" s="10">
        <f>ROUND(ABS('2. Demand History'!U113-IF($D113="Yes",'2. Demand History'!I113,AVERAGE('2. Demand History'!R113:T113)))/MAX('2. Demand History'!U113,1),3)</f>
        <v>5.8999999999999997E-2</v>
      </c>
      <c r="M113" s="10">
        <f>ROUND(ABS('2. Demand History'!V113-IF($D113="Yes",'2. Demand History'!J113,AVERAGE('2. Demand History'!S113:U113)))/MAX('2. Demand History'!V113,1),3)</f>
        <v>7.9000000000000001E-2</v>
      </c>
      <c r="N113" s="10">
        <f>ROUND(ABS('2. Demand History'!W113-IF($D113="Yes",'2. Demand History'!K113,AVERAGE('2. Demand History'!T113:V113)))/MAX('2. Demand History'!W113,1),3)</f>
        <v>0</v>
      </c>
      <c r="O113" s="10">
        <f>ROUND(ABS('2. Demand History'!X113-IF($D113="Yes",'2. Demand History'!L113,AVERAGE('2. Demand History'!U113:W113)))/MAX('2. Demand History'!X113,1),3)</f>
        <v>0.222</v>
      </c>
      <c r="P113" s="10">
        <f>ROUND(ABS('2. Demand History'!Y113-IF($D113="Yes",'2. Demand History'!M113,AVERAGE('2. Demand History'!V113:X113)))/MAX('2. Demand History'!Y113,1),3)</f>
        <v>0.27900000000000003</v>
      </c>
      <c r="Q113" s="10">
        <f>ROUND(ABS('2. Demand History'!Z113-IF($D113="Yes",'2. Demand History'!N113,AVERAGE('2. Demand History'!W113:Y113)))/MAX('2. Demand History'!Z113,1),3)</f>
        <v>0.106</v>
      </c>
    </row>
    <row r="114" spans="1:17" ht="15" customHeight="1" x14ac:dyDescent="0.2">
      <c r="A114" s="3" t="str">
        <f>'2. Demand History'!A114</f>
        <v>NT10110</v>
      </c>
      <c r="B114" s="1" t="str">
        <f>'2. Demand History'!B114</f>
        <v>VisionOLED 643in 4K</v>
      </c>
      <c r="C114" s="3" t="str">
        <f>'1. Master Data'!C114</f>
        <v>TVs</v>
      </c>
      <c r="D114" s="3" t="s">
        <v>1111</v>
      </c>
      <c r="E114" s="3" t="str">
        <f t="shared" si="3"/>
        <v>Seasonal Naive</v>
      </c>
      <c r="F114" s="3">
        <f>ROUND(AVERAGE('2. Demand History'!O114:Z114),1)</f>
        <v>30.7</v>
      </c>
      <c r="G114" s="3">
        <f>ROUND(STDEV('2. Demand History'!O114:Z114),1)</f>
        <v>23.4</v>
      </c>
      <c r="H114" s="8">
        <f t="shared" si="4"/>
        <v>0.76</v>
      </c>
      <c r="I114" s="8">
        <f>ROUND(SUM('2. Demand History'!O114:Z114)/MAX(SUM('2. Demand History'!C114:N114),1),2)</f>
        <v>2.4900000000000002</v>
      </c>
      <c r="J114" s="5">
        <f>IF(D114="Yes",ROUND('2. Demand History'!O114*I114,0),ROUND(AVERAGE('2. Demand History'!X114:Z114),0))</f>
        <v>115</v>
      </c>
      <c r="K114" s="9">
        <f t="shared" si="5"/>
        <v>0.45800000000000002</v>
      </c>
      <c r="L114" s="10">
        <f>ROUND(ABS('2. Demand History'!U114-IF($D114="Yes",'2. Demand History'!I114,AVERAGE('2. Demand History'!R114:T114)))/MAX('2. Demand History'!U114,1),3)</f>
        <v>0.41699999999999998</v>
      </c>
      <c r="M114" s="10">
        <f>ROUND(ABS('2. Demand History'!V114-IF($D114="Yes",'2. Demand History'!J114,AVERAGE('2. Demand History'!S114:U114)))/MAX('2. Demand History'!V114,1),3)</f>
        <v>0.85699999999999998</v>
      </c>
      <c r="N114" s="10">
        <f>ROUND(ABS('2. Demand History'!W114-IF($D114="Yes",'2. Demand History'!K114,AVERAGE('2. Demand History'!T114:V114)))/MAX('2. Demand History'!W114,1),3)</f>
        <v>1</v>
      </c>
      <c r="O114" s="10">
        <f>ROUND(ABS('2. Demand History'!X114-IF($D114="Yes",'2. Demand History'!L114,AVERAGE('2. Demand History'!U114:W114)))/MAX('2. Demand History'!X114,1),3)</f>
        <v>0</v>
      </c>
      <c r="P114" s="10">
        <f>ROUND(ABS('2. Demand History'!Y114-IF($D114="Yes",'2. Demand History'!M114,AVERAGE('2. Demand History'!V114:X114)))/MAX('2. Demand History'!Y114,1),3)</f>
        <v>0.25</v>
      </c>
      <c r="Q114" s="10">
        <f>ROUND(ABS('2. Demand History'!Z114-IF($D114="Yes",'2. Demand History'!N114,AVERAGE('2. Demand History'!W114:Y114)))/MAX('2. Demand History'!Z114,1),3)</f>
        <v>0.222</v>
      </c>
    </row>
    <row r="115" spans="1:17" ht="15" customHeight="1" x14ac:dyDescent="0.2">
      <c r="A115" s="3" t="str">
        <f>'2. Demand History'!A115</f>
        <v>NT10111</v>
      </c>
      <c r="B115" s="1" t="str">
        <f>'2. Demand History'!B115</f>
        <v>VisionOLED 568in 4K</v>
      </c>
      <c r="C115" s="3" t="str">
        <f>'1. Master Data'!C115</f>
        <v>TVs</v>
      </c>
      <c r="D115" s="3" t="s">
        <v>1111</v>
      </c>
      <c r="E115" s="3" t="str">
        <f t="shared" si="3"/>
        <v>Seasonal Naive</v>
      </c>
      <c r="F115" s="3">
        <f>ROUND(AVERAGE('2. Demand History'!O115:Z115),1)</f>
        <v>17.100000000000001</v>
      </c>
      <c r="G115" s="3">
        <f>ROUND(STDEV('2. Demand History'!O115:Z115),1)</f>
        <v>4.4000000000000004</v>
      </c>
      <c r="H115" s="8">
        <f t="shared" si="4"/>
        <v>0.26</v>
      </c>
      <c r="I115" s="8">
        <f>ROUND(SUM('2. Demand History'!O115:Z115)/MAX(SUM('2. Demand History'!C115:N115),1),2)</f>
        <v>0.99</v>
      </c>
      <c r="J115" s="5">
        <f>IF(D115="Yes",ROUND('2. Demand History'!O115*I115,0),ROUND(AVERAGE('2. Demand History'!X115:Z115),0))</f>
        <v>14</v>
      </c>
      <c r="K115" s="9">
        <f t="shared" si="5"/>
        <v>0.11</v>
      </c>
      <c r="L115" s="10">
        <f>ROUND(ABS('2. Demand History'!U115-IF($D115="Yes",'2. Demand History'!I115,AVERAGE('2. Demand History'!R115:T115)))/MAX('2. Demand History'!U115,1),3)</f>
        <v>0.14299999999999999</v>
      </c>
      <c r="M115" s="10">
        <f>ROUND(ABS('2. Demand History'!V115-IF($D115="Yes",'2. Demand History'!J115,AVERAGE('2. Demand History'!S115:U115)))/MAX('2. Demand History'!V115,1),3)</f>
        <v>0.13300000000000001</v>
      </c>
      <c r="N115" s="10">
        <f>ROUND(ABS('2. Demand History'!W115-IF($D115="Yes",'2. Demand History'!K115,AVERAGE('2. Demand History'!T115:V115)))/MAX('2. Demand History'!W115,1),3)</f>
        <v>7.0999999999999994E-2</v>
      </c>
      <c r="O115" s="10">
        <f>ROUND(ABS('2. Demand History'!X115-IF($D115="Yes",'2. Demand History'!L115,AVERAGE('2. Demand History'!U115:W115)))/MAX('2. Demand History'!X115,1),3)</f>
        <v>0</v>
      </c>
      <c r="P115" s="10">
        <f>ROUND(ABS('2. Demand History'!Y115-IF($D115="Yes",'2. Demand History'!M115,AVERAGE('2. Demand History'!V115:X115)))/MAX('2. Demand History'!Y115,1),3)</f>
        <v>0.188</v>
      </c>
      <c r="Q115" s="10">
        <f>ROUND(ABS('2. Demand History'!Z115-IF($D115="Yes",'2. Demand History'!N115,AVERAGE('2. Demand History'!W115:Y115)))/MAX('2. Demand History'!Z115,1),3)</f>
        <v>0.125</v>
      </c>
    </row>
    <row r="116" spans="1:17" ht="15" customHeight="1" x14ac:dyDescent="0.2">
      <c r="A116" s="3" t="str">
        <f>'2. Demand History'!A116</f>
        <v>NT10112</v>
      </c>
      <c r="B116" s="1" t="str">
        <f>'2. Demand History'!B116</f>
        <v>VisionOLED 301in 4K</v>
      </c>
      <c r="C116" s="3" t="str">
        <f>'1. Master Data'!C116</f>
        <v>TVs</v>
      </c>
      <c r="D116" s="3" t="s">
        <v>1111</v>
      </c>
      <c r="E116" s="3" t="str">
        <f t="shared" si="3"/>
        <v>Seasonal Naive</v>
      </c>
      <c r="F116" s="3">
        <f>ROUND(AVERAGE('2. Demand History'!O116:Z116),1)</f>
        <v>8.1999999999999993</v>
      </c>
      <c r="G116" s="3">
        <f>ROUND(STDEV('2. Demand History'!O116:Z116),1)</f>
        <v>2.5</v>
      </c>
      <c r="H116" s="8">
        <f t="shared" si="4"/>
        <v>0.3</v>
      </c>
      <c r="I116" s="8">
        <f>ROUND(SUM('2. Demand History'!O116:Z116)/MAX(SUM('2. Demand History'!C116:N116),1),2)</f>
        <v>1.05</v>
      </c>
      <c r="J116" s="5">
        <f>IF(D116="Yes",ROUND('2. Demand History'!O116*I116,0),ROUND(AVERAGE('2. Demand History'!X116:Z116),0))</f>
        <v>7</v>
      </c>
      <c r="K116" s="9">
        <f t="shared" si="5"/>
        <v>0.105</v>
      </c>
      <c r="L116" s="10">
        <f>ROUND(ABS('2. Demand History'!U116-IF($D116="Yes",'2. Demand History'!I116,AVERAGE('2. Demand History'!R116:T116)))/MAX('2. Demand History'!U116,1),3)</f>
        <v>6.7000000000000004E-2</v>
      </c>
      <c r="M116" s="10">
        <f>ROUND(ABS('2. Demand History'!V116-IF($D116="Yes",'2. Demand History'!J116,AVERAGE('2. Demand History'!S116:U116)))/MAX('2. Demand History'!V116,1),3)</f>
        <v>0.16700000000000001</v>
      </c>
      <c r="N116" s="10">
        <f>ROUND(ABS('2. Demand History'!W116-IF($D116="Yes",'2. Demand History'!K116,AVERAGE('2. Demand History'!T116:V116)))/MAX('2. Demand History'!W116,1),3)</f>
        <v>0</v>
      </c>
      <c r="O116" s="10">
        <f>ROUND(ABS('2. Demand History'!X116-IF($D116="Yes",'2. Demand History'!L116,AVERAGE('2. Demand History'!U116:W116)))/MAX('2. Demand History'!X116,1),3)</f>
        <v>0.125</v>
      </c>
      <c r="P116" s="10">
        <f>ROUND(ABS('2. Demand History'!Y116-IF($D116="Yes",'2. Demand History'!M116,AVERAGE('2. Demand History'!V116:X116)))/MAX('2. Demand History'!Y116,1),3)</f>
        <v>0.14299999999999999</v>
      </c>
      <c r="Q116" s="10">
        <f>ROUND(ABS('2. Demand History'!Z116-IF($D116="Yes",'2. Demand History'!N116,AVERAGE('2. Demand History'!W116:Y116)))/MAX('2. Demand History'!Z116,1),3)</f>
        <v>0.125</v>
      </c>
    </row>
    <row r="117" spans="1:17" ht="15" customHeight="1" x14ac:dyDescent="0.2">
      <c r="A117" s="3" t="str">
        <f>'2. Demand History'!A117</f>
        <v>NT10113</v>
      </c>
      <c r="B117" s="1" t="str">
        <f>'2. Demand History'!B117</f>
        <v>VisionLED 323in 4K</v>
      </c>
      <c r="C117" s="3" t="str">
        <f>'1. Master Data'!C117</f>
        <v>TVs</v>
      </c>
      <c r="D117" s="3" t="s">
        <v>1111</v>
      </c>
      <c r="E117" s="3" t="str">
        <f t="shared" si="3"/>
        <v>Seasonal Naive</v>
      </c>
      <c r="F117" s="3">
        <f>ROUND(AVERAGE('2. Demand History'!O117:Z117),1)</f>
        <v>42.1</v>
      </c>
      <c r="G117" s="3">
        <f>ROUND(STDEV('2. Demand History'!O117:Z117),1)</f>
        <v>12.5</v>
      </c>
      <c r="H117" s="8">
        <f t="shared" si="4"/>
        <v>0.3</v>
      </c>
      <c r="I117" s="8">
        <f>ROUND(SUM('2. Demand History'!O117:Z117)/MAX(SUM('2. Demand History'!C117:N117),1),2)</f>
        <v>1.03</v>
      </c>
      <c r="J117" s="5">
        <f>IF(D117="Yes",ROUND('2. Demand History'!O117*I117,0),ROUND(AVERAGE('2. Demand History'!X117:Z117),0))</f>
        <v>35</v>
      </c>
      <c r="K117" s="9">
        <f t="shared" si="5"/>
        <v>0.155</v>
      </c>
      <c r="L117" s="10">
        <f>ROUND(ABS('2. Demand History'!U117-IF($D117="Yes",'2. Demand History'!I117,AVERAGE('2. Demand History'!R117:T117)))/MAX('2. Demand History'!U117,1),3)</f>
        <v>7.6999999999999999E-2</v>
      </c>
      <c r="M117" s="10">
        <f>ROUND(ABS('2. Demand History'!V117-IF($D117="Yes",'2. Demand History'!J117,AVERAGE('2. Demand History'!S117:U117)))/MAX('2. Demand History'!V117,1),3)</f>
        <v>0.36099999999999999</v>
      </c>
      <c r="N117" s="10">
        <f>ROUND(ABS('2. Demand History'!W117-IF($D117="Yes",'2. Demand History'!K117,AVERAGE('2. Demand History'!T117:V117)))/MAX('2. Demand History'!W117,1),3)</f>
        <v>0.222</v>
      </c>
      <c r="O117" s="10">
        <f>ROUND(ABS('2. Demand History'!X117-IF($D117="Yes",'2. Demand History'!L117,AVERAGE('2. Demand History'!U117:W117)))/MAX('2. Demand History'!X117,1),3)</f>
        <v>0.17799999999999999</v>
      </c>
      <c r="P117" s="10">
        <f>ROUND(ABS('2. Demand History'!Y117-IF($D117="Yes",'2. Demand History'!M117,AVERAGE('2. Demand History'!V117:X117)))/MAX('2. Demand History'!Y117,1),3)</f>
        <v>0</v>
      </c>
      <c r="Q117" s="10">
        <f>ROUND(ABS('2. Demand History'!Z117-IF($D117="Yes",'2. Demand History'!N117,AVERAGE('2. Demand History'!W117:Y117)))/MAX('2. Demand History'!Z117,1),3)</f>
        <v>9.0999999999999998E-2</v>
      </c>
    </row>
    <row r="118" spans="1:17" ht="15" customHeight="1" x14ac:dyDescent="0.2">
      <c r="A118" s="3" t="str">
        <f>'2. Demand History'!A118</f>
        <v>NT10114</v>
      </c>
      <c r="B118" s="1" t="str">
        <f>'2. Demand History'!B118</f>
        <v>CinemaMax 961in 8K</v>
      </c>
      <c r="C118" s="3" t="str">
        <f>'1. Master Data'!C118</f>
        <v>TVs</v>
      </c>
      <c r="D118" s="3" t="s">
        <v>1111</v>
      </c>
      <c r="E118" s="3" t="str">
        <f t="shared" si="3"/>
        <v>Seasonal Naive</v>
      </c>
      <c r="F118" s="3">
        <f>ROUND(AVERAGE('2. Demand History'!O118:Z118),1)</f>
        <v>41.3</v>
      </c>
      <c r="G118" s="3">
        <f>ROUND(STDEV('2. Demand History'!O118:Z118),1)</f>
        <v>11.4</v>
      </c>
      <c r="H118" s="8">
        <f t="shared" si="4"/>
        <v>0.28000000000000003</v>
      </c>
      <c r="I118" s="8">
        <f>ROUND(SUM('2. Demand History'!O118:Z118)/MAX(SUM('2. Demand History'!C118:N118),1),2)</f>
        <v>1.05</v>
      </c>
      <c r="J118" s="5">
        <f>IF(D118="Yes",ROUND('2. Demand History'!O118*I118,0),ROUND(AVERAGE('2. Demand History'!X118:Z118),0))</f>
        <v>37</v>
      </c>
      <c r="K118" s="9">
        <f t="shared" si="5"/>
        <v>0.11899999999999999</v>
      </c>
      <c r="L118" s="10">
        <f>ROUND(ABS('2. Demand History'!U118-IF($D118="Yes",'2. Demand History'!I118,AVERAGE('2. Demand History'!R118:T118)))/MAX('2. Demand History'!U118,1),3)</f>
        <v>1.4E-2</v>
      </c>
      <c r="M118" s="10">
        <f>ROUND(ABS('2. Demand History'!V118-IF($D118="Yes",'2. Demand History'!J118,AVERAGE('2. Demand History'!S118:U118)))/MAX('2. Demand History'!V118,1),3)</f>
        <v>0.27300000000000002</v>
      </c>
      <c r="N118" s="10">
        <f>ROUND(ABS('2. Demand History'!W118-IF($D118="Yes",'2. Demand History'!K118,AVERAGE('2. Demand History'!T118:V118)))/MAX('2. Demand History'!W118,1),3)</f>
        <v>0</v>
      </c>
      <c r="O118" s="10">
        <f>ROUND(ABS('2. Demand History'!X118-IF($D118="Yes",'2. Demand History'!L118,AVERAGE('2. Demand History'!U118:W118)))/MAX('2. Demand History'!X118,1),3)</f>
        <v>2.9000000000000001E-2</v>
      </c>
      <c r="P118" s="10">
        <f>ROUND(ABS('2. Demand History'!Y118-IF($D118="Yes",'2. Demand History'!M118,AVERAGE('2. Demand History'!V118:X118)))/MAX('2. Demand History'!Y118,1),3)</f>
        <v>0.19</v>
      </c>
      <c r="Q118" s="10">
        <f>ROUND(ABS('2. Demand History'!Z118-IF($D118="Yes",'2. Demand History'!N118,AVERAGE('2. Demand History'!W118:Y118)))/MAX('2. Demand History'!Z118,1),3)</f>
        <v>0.20899999999999999</v>
      </c>
    </row>
    <row r="119" spans="1:17" ht="15" customHeight="1" x14ac:dyDescent="0.2">
      <c r="A119" s="3" t="str">
        <f>'2. Demand History'!A119</f>
        <v>NT10115</v>
      </c>
      <c r="B119" s="1" t="str">
        <f>'2. Demand History'!B119</f>
        <v>VisionLED 272in 4K</v>
      </c>
      <c r="C119" s="3" t="str">
        <f>'1. Master Data'!C119</f>
        <v>TVs</v>
      </c>
      <c r="D119" s="3" t="s">
        <v>1111</v>
      </c>
      <c r="E119" s="3" t="str">
        <f t="shared" si="3"/>
        <v>Seasonal Naive</v>
      </c>
      <c r="F119" s="3">
        <f>ROUND(AVERAGE('2. Demand History'!O119:Z119),1)</f>
        <v>9.4</v>
      </c>
      <c r="G119" s="3">
        <f>ROUND(STDEV('2. Demand History'!O119:Z119),1)</f>
        <v>2.9</v>
      </c>
      <c r="H119" s="8">
        <f t="shared" si="4"/>
        <v>0.31</v>
      </c>
      <c r="I119" s="8">
        <f>ROUND(SUM('2. Demand History'!O119:Z119)/MAX(SUM('2. Demand History'!C119:N119),1),2)</f>
        <v>1.05</v>
      </c>
      <c r="J119" s="5">
        <f>IF(D119="Yes",ROUND('2. Demand History'!O119*I119,0),ROUND(AVERAGE('2. Demand History'!X119:Z119),0))</f>
        <v>9</v>
      </c>
      <c r="K119" s="9">
        <f t="shared" si="5"/>
        <v>0.10100000000000001</v>
      </c>
      <c r="L119" s="10">
        <f>ROUND(ABS('2. Demand History'!U119-IF($D119="Yes",'2. Demand History'!I119,AVERAGE('2. Demand History'!R119:T119)))/MAX('2. Demand History'!U119,1),3)</f>
        <v>6.3E-2</v>
      </c>
      <c r="M119" s="10">
        <f>ROUND(ABS('2. Demand History'!V119-IF($D119="Yes",'2. Demand History'!J119,AVERAGE('2. Demand History'!S119:U119)))/MAX('2. Demand History'!V119,1),3)</f>
        <v>0.28599999999999998</v>
      </c>
      <c r="N119" s="10">
        <f>ROUND(ABS('2. Demand History'!W119-IF($D119="Yes",'2. Demand History'!K119,AVERAGE('2. Demand History'!T119:V119)))/MAX('2. Demand History'!W119,1),3)</f>
        <v>0.14299999999999999</v>
      </c>
      <c r="O119" s="10">
        <f>ROUND(ABS('2. Demand History'!X119-IF($D119="Yes",'2. Demand History'!L119,AVERAGE('2. Demand History'!U119:W119)))/MAX('2. Demand History'!X119,1),3)</f>
        <v>0</v>
      </c>
      <c r="P119" s="10">
        <f>ROUND(ABS('2. Demand History'!Y119-IF($D119="Yes",'2. Demand History'!M119,AVERAGE('2. Demand History'!V119:X119)))/MAX('2. Demand History'!Y119,1),3)</f>
        <v>0</v>
      </c>
      <c r="Q119" s="10">
        <f>ROUND(ABS('2. Demand History'!Z119-IF($D119="Yes",'2. Demand History'!N119,AVERAGE('2. Demand History'!W119:Y119)))/MAX('2. Demand History'!Z119,1),3)</f>
        <v>0.111</v>
      </c>
    </row>
    <row r="120" spans="1:17" ht="15" customHeight="1" x14ac:dyDescent="0.2">
      <c r="A120" s="3" t="str">
        <f>'2. Demand History'!A120</f>
        <v>NT10116</v>
      </c>
      <c r="B120" s="1" t="str">
        <f>'2. Demand History'!B120</f>
        <v>CinemaMax 365in 8K</v>
      </c>
      <c r="C120" s="3" t="str">
        <f>'1. Master Data'!C120</f>
        <v>TVs</v>
      </c>
      <c r="D120" s="3" t="s">
        <v>1111</v>
      </c>
      <c r="E120" s="3" t="str">
        <f t="shared" si="3"/>
        <v>Seasonal Naive</v>
      </c>
      <c r="F120" s="3">
        <f>ROUND(AVERAGE('2. Demand History'!O120:Z120),1)</f>
        <v>37.799999999999997</v>
      </c>
      <c r="G120" s="3">
        <f>ROUND(STDEV('2. Demand History'!O120:Z120),1)</f>
        <v>11</v>
      </c>
      <c r="H120" s="8">
        <f t="shared" si="4"/>
        <v>0.28999999999999998</v>
      </c>
      <c r="I120" s="8">
        <f>ROUND(SUM('2. Demand History'!O120:Z120)/MAX(SUM('2. Demand History'!C120:N120),1),2)</f>
        <v>1.1000000000000001</v>
      </c>
      <c r="J120" s="5">
        <f>IF(D120="Yes",ROUND('2. Demand History'!O120*I120,0),ROUND(AVERAGE('2. Demand History'!X120:Z120),0))</f>
        <v>37</v>
      </c>
      <c r="K120" s="9">
        <f t="shared" si="5"/>
        <v>4.8000000000000001E-2</v>
      </c>
      <c r="L120" s="10">
        <f>ROUND(ABS('2. Demand History'!U120-IF($D120="Yes",'2. Demand History'!I120,AVERAGE('2. Demand History'!R120:T120)))/MAX('2. Demand History'!U120,1),3)</f>
        <v>6.5000000000000002E-2</v>
      </c>
      <c r="M120" s="10">
        <f>ROUND(ABS('2. Demand History'!V120-IF($D120="Yes",'2. Demand History'!J120,AVERAGE('2. Demand History'!S120:U120)))/MAX('2. Demand History'!V120,1),3)</f>
        <v>0</v>
      </c>
      <c r="N120" s="10">
        <f>ROUND(ABS('2. Demand History'!W120-IF($D120="Yes",'2. Demand History'!K120,AVERAGE('2. Demand History'!T120:V120)))/MAX('2. Demand History'!W120,1),3)</f>
        <v>3.6999999999999998E-2</v>
      </c>
      <c r="O120" s="10">
        <f>ROUND(ABS('2. Demand History'!X120-IF($D120="Yes",'2. Demand History'!L120,AVERAGE('2. Demand History'!U120:W120)))/MAX('2. Demand History'!X120,1),3)</f>
        <v>0</v>
      </c>
      <c r="P120" s="10">
        <f>ROUND(ABS('2. Demand History'!Y120-IF($D120="Yes",'2. Demand History'!M120,AVERAGE('2. Demand History'!V120:X120)))/MAX('2. Demand History'!Y120,1),3)</f>
        <v>0.16200000000000001</v>
      </c>
      <c r="Q120" s="10">
        <f>ROUND(ABS('2. Demand History'!Z120-IF($D120="Yes",'2. Demand History'!N120,AVERAGE('2. Demand History'!W120:Y120)))/MAX('2. Demand History'!Z120,1),3)</f>
        <v>2.5999999999999999E-2</v>
      </c>
    </row>
    <row r="121" spans="1:17" ht="15" customHeight="1" x14ac:dyDescent="0.2">
      <c r="A121" s="3" t="str">
        <f>'2. Demand History'!A121</f>
        <v>NT10117</v>
      </c>
      <c r="B121" s="1" t="str">
        <f>'2. Demand History'!B121</f>
        <v>VisionOLED 607in 4K</v>
      </c>
      <c r="C121" s="3" t="str">
        <f>'1. Master Data'!C121</f>
        <v>TVs</v>
      </c>
      <c r="D121" s="3" t="s">
        <v>1111</v>
      </c>
      <c r="E121" s="3" t="str">
        <f t="shared" si="3"/>
        <v>Seasonal Naive</v>
      </c>
      <c r="F121" s="3">
        <f>ROUND(AVERAGE('2. Demand History'!O121:Z121),1)</f>
        <v>11</v>
      </c>
      <c r="G121" s="3">
        <f>ROUND(STDEV('2. Demand History'!O121:Z121),1)</f>
        <v>12.2</v>
      </c>
      <c r="H121" s="8">
        <f t="shared" si="4"/>
        <v>1.1100000000000001</v>
      </c>
      <c r="I121" s="8">
        <f>ROUND(SUM('2. Demand History'!O121:Z121)/MAX(SUM('2. Demand History'!C121:N121),1),2)</f>
        <v>1.53</v>
      </c>
      <c r="J121" s="5">
        <f>IF(D121="Yes",ROUND('2. Demand History'!O121*I121,0),ROUND(AVERAGE('2. Demand History'!X121:Z121),0))</f>
        <v>6</v>
      </c>
      <c r="K121" s="9">
        <f t="shared" si="5"/>
        <v>0.55000000000000004</v>
      </c>
      <c r="L121" s="10">
        <f>ROUND(ABS('2. Demand History'!U121-IF($D121="Yes",'2. Demand History'!I121,AVERAGE('2. Demand History'!R121:T121)))/MAX('2. Demand History'!U121,1),3)</f>
        <v>0.2</v>
      </c>
      <c r="M121" s="10">
        <f>ROUND(ABS('2. Demand History'!V121-IF($D121="Yes",'2. Demand History'!J121,AVERAGE('2. Demand History'!S121:U121)))/MAX('2. Demand History'!V121,1),3)</f>
        <v>0.2</v>
      </c>
      <c r="N121" s="10">
        <f>ROUND(ABS('2. Demand History'!W121-IF($D121="Yes",'2. Demand History'!K121,AVERAGE('2. Demand History'!T121:V121)))/MAX('2. Demand History'!W121,1),3)</f>
        <v>0.25</v>
      </c>
      <c r="O121" s="10">
        <f>ROUND(ABS('2. Demand History'!X121-IF($D121="Yes",'2. Demand History'!L121,AVERAGE('2. Demand History'!U121:W121)))/MAX('2. Demand History'!X121,1),3)</f>
        <v>0.85699999999999998</v>
      </c>
      <c r="P121" s="10">
        <f>ROUND(ABS('2. Demand History'!Y121-IF($D121="Yes",'2. Demand History'!M121,AVERAGE('2. Demand History'!V121:X121)))/MAX('2. Demand History'!Y121,1),3)</f>
        <v>1</v>
      </c>
      <c r="Q121" s="10">
        <f>ROUND(ABS('2. Demand History'!Z121-IF($D121="Yes",'2. Demand History'!N121,AVERAGE('2. Demand History'!W121:Y121)))/MAX('2. Demand History'!Z121,1),3)</f>
        <v>0.79200000000000004</v>
      </c>
    </row>
    <row r="122" spans="1:17" ht="15" customHeight="1" x14ac:dyDescent="0.2">
      <c r="A122" s="3" t="str">
        <f>'2. Demand History'!A122</f>
        <v>NT10118</v>
      </c>
      <c r="B122" s="1" t="str">
        <f>'2. Demand History'!B122</f>
        <v>VisionOLED 132in 4K</v>
      </c>
      <c r="C122" s="3" t="str">
        <f>'1. Master Data'!C122</f>
        <v>TVs</v>
      </c>
      <c r="D122" s="3" t="s">
        <v>1111</v>
      </c>
      <c r="E122" s="3" t="str">
        <f t="shared" si="3"/>
        <v>Seasonal Naive</v>
      </c>
      <c r="F122" s="3">
        <f>ROUND(AVERAGE('2. Demand History'!O122:Z122),1)</f>
        <v>35.6</v>
      </c>
      <c r="G122" s="3">
        <f>ROUND(STDEV('2. Demand History'!O122:Z122),1)</f>
        <v>10.8</v>
      </c>
      <c r="H122" s="8">
        <f t="shared" si="4"/>
        <v>0.3</v>
      </c>
      <c r="I122" s="8">
        <f>ROUND(SUM('2. Demand History'!O122:Z122)/MAX(SUM('2. Demand History'!C122:N122),1),2)</f>
        <v>1.03</v>
      </c>
      <c r="J122" s="5">
        <f>IF(D122="Yes",ROUND('2. Demand History'!O122*I122,0),ROUND(AVERAGE('2. Demand History'!X122:Z122),0))</f>
        <v>33</v>
      </c>
      <c r="K122" s="9">
        <f t="shared" si="5"/>
        <v>0.105</v>
      </c>
      <c r="L122" s="10">
        <f>ROUND(ABS('2. Demand History'!U122-IF($D122="Yes",'2. Demand History'!I122,AVERAGE('2. Demand History'!R122:T122)))/MAX('2. Demand History'!U122,1),3)</f>
        <v>0.14499999999999999</v>
      </c>
      <c r="M122" s="10">
        <f>ROUND(ABS('2. Demand History'!V122-IF($D122="Yes",'2. Demand History'!J122,AVERAGE('2. Demand History'!S122:U122)))/MAX('2. Demand History'!V122,1),3)</f>
        <v>0.13</v>
      </c>
      <c r="N122" s="10">
        <f>ROUND(ABS('2. Demand History'!W122-IF($D122="Yes",'2. Demand History'!K122,AVERAGE('2. Demand History'!T122:V122)))/MAX('2. Demand History'!W122,1),3)</f>
        <v>3.5999999999999997E-2</v>
      </c>
      <c r="O122" s="10">
        <f>ROUND(ABS('2. Demand History'!X122-IF($D122="Yes",'2. Demand History'!L122,AVERAGE('2. Demand History'!U122:W122)))/MAX('2. Demand History'!X122,1),3)</f>
        <v>0.23300000000000001</v>
      </c>
      <c r="P122" s="10">
        <f>ROUND(ABS('2. Demand History'!Y122-IF($D122="Yes",'2. Demand History'!M122,AVERAGE('2. Demand History'!V122:X122)))/MAX('2. Demand History'!Y122,1),3)</f>
        <v>8.3000000000000004E-2</v>
      </c>
      <c r="Q122" s="10">
        <f>ROUND(ABS('2. Demand History'!Z122-IF($D122="Yes",'2. Demand History'!N122,AVERAGE('2. Demand History'!W122:Y122)))/MAX('2. Demand History'!Z122,1),3)</f>
        <v>0</v>
      </c>
    </row>
    <row r="123" spans="1:17" ht="15" customHeight="1" x14ac:dyDescent="0.2">
      <c r="A123" s="3" t="str">
        <f>'2. Demand History'!A123</f>
        <v>NT10119</v>
      </c>
      <c r="B123" s="1" t="str">
        <f>'2. Demand History'!B123</f>
        <v>VisionOLED 275in 4K</v>
      </c>
      <c r="C123" s="3" t="str">
        <f>'1. Master Data'!C123</f>
        <v>TVs</v>
      </c>
      <c r="D123" s="3" t="s">
        <v>1111</v>
      </c>
      <c r="E123" s="3" t="str">
        <f t="shared" si="3"/>
        <v>Seasonal Naive</v>
      </c>
      <c r="F123" s="3">
        <f>ROUND(AVERAGE('2. Demand History'!O123:Z123),1)</f>
        <v>2.2999999999999998</v>
      </c>
      <c r="G123" s="3">
        <f>ROUND(STDEV('2. Demand History'!O123:Z123),1)</f>
        <v>2.2999999999999998</v>
      </c>
      <c r="H123" s="8">
        <f t="shared" si="4"/>
        <v>1</v>
      </c>
      <c r="I123" s="8">
        <f>ROUND(SUM('2. Demand History'!O123:Z123)/MAX(SUM('2. Demand History'!C123:N123),1),2)</f>
        <v>0.73</v>
      </c>
      <c r="J123" s="5">
        <f>IF(D123="Yes",ROUND('2. Demand History'!O123*I123,0),ROUND(AVERAGE('2. Demand History'!X123:Z123),0))</f>
        <v>1</v>
      </c>
      <c r="K123" s="9">
        <f t="shared" si="5"/>
        <v>1.958</v>
      </c>
      <c r="L123" s="10">
        <f>ROUND(ABS('2. Demand History'!U123-IF($D123="Yes",'2. Demand History'!I123,AVERAGE('2. Demand History'!R123:T123)))/MAX('2. Demand History'!U123,1),3)</f>
        <v>0.5</v>
      </c>
      <c r="M123" s="10">
        <f>ROUND(ABS('2. Demand History'!V123-IF($D123="Yes",'2. Demand History'!J123,AVERAGE('2. Demand History'!S123:U123)))/MAX('2. Demand History'!V123,1),3)</f>
        <v>0</v>
      </c>
      <c r="N123" s="10">
        <f>ROUND(ABS('2. Demand History'!W123-IF($D123="Yes",'2. Demand History'!K123,AVERAGE('2. Demand History'!T123:V123)))/MAX('2. Demand History'!W123,1),3)</f>
        <v>7</v>
      </c>
      <c r="O123" s="10">
        <f>ROUND(ABS('2. Demand History'!X123-IF($D123="Yes",'2. Demand History'!L123,AVERAGE('2. Demand History'!U123:W123)))/MAX('2. Demand History'!X123,1),3)</f>
        <v>0.25</v>
      </c>
      <c r="P123" s="10">
        <f>ROUND(ABS('2. Demand History'!Y123-IF($D123="Yes",'2. Demand History'!M123,AVERAGE('2. Demand History'!V123:X123)))/MAX('2. Demand History'!Y123,1),3)</f>
        <v>4</v>
      </c>
      <c r="Q123" s="10">
        <f>ROUND(ABS('2. Demand History'!Z123-IF($D123="Yes",'2. Demand History'!N123,AVERAGE('2. Demand History'!W123:Y123)))/MAX('2. Demand History'!Z123,1),3)</f>
        <v>0</v>
      </c>
    </row>
    <row r="124" spans="1:17" ht="15" customHeight="1" x14ac:dyDescent="0.2">
      <c r="A124" s="3" t="str">
        <f>'2. Demand History'!A124</f>
        <v>NT10120</v>
      </c>
      <c r="B124" s="1" t="str">
        <f>'2. Demand History'!B124</f>
        <v>VisionOLED 579in 4K</v>
      </c>
      <c r="C124" s="3" t="str">
        <f>'1. Master Data'!C124</f>
        <v>TVs</v>
      </c>
      <c r="D124" s="3" t="s">
        <v>1111</v>
      </c>
      <c r="E124" s="3" t="str">
        <f t="shared" si="3"/>
        <v>Seasonal Naive</v>
      </c>
      <c r="F124" s="3">
        <f>ROUND(AVERAGE('2. Demand History'!O124:Z124),1)</f>
        <v>7.3</v>
      </c>
      <c r="G124" s="3">
        <f>ROUND(STDEV('2. Demand History'!O124:Z124),1)</f>
        <v>2.5</v>
      </c>
      <c r="H124" s="8">
        <f t="shared" si="4"/>
        <v>0.34</v>
      </c>
      <c r="I124" s="8">
        <f>ROUND(SUM('2. Demand History'!O124:Z124)/MAX(SUM('2. Demand History'!C124:N124),1),2)</f>
        <v>1.1000000000000001</v>
      </c>
      <c r="J124" s="5">
        <f>IF(D124="Yes",ROUND('2. Demand History'!O124*I124,0),ROUND(AVERAGE('2. Demand History'!X124:Z124),0))</f>
        <v>7</v>
      </c>
      <c r="K124" s="9">
        <f t="shared" si="5"/>
        <v>0.109</v>
      </c>
      <c r="L124" s="10">
        <f>ROUND(ABS('2. Demand History'!U124-IF($D124="Yes",'2. Demand History'!I124,AVERAGE('2. Demand History'!R124:T124)))/MAX('2. Demand History'!U124,1),3)</f>
        <v>0.14299999999999999</v>
      </c>
      <c r="M124" s="10">
        <f>ROUND(ABS('2. Demand History'!V124-IF($D124="Yes",'2. Demand History'!J124,AVERAGE('2. Demand History'!S124:U124)))/MAX('2. Demand History'!V124,1),3)</f>
        <v>0.2</v>
      </c>
      <c r="N124" s="10">
        <f>ROUND(ABS('2. Demand History'!W124-IF($D124="Yes",'2. Demand History'!K124,AVERAGE('2. Demand History'!T124:V124)))/MAX('2. Demand History'!W124,1),3)</f>
        <v>0.16700000000000001</v>
      </c>
      <c r="O124" s="10">
        <f>ROUND(ABS('2. Demand History'!X124-IF($D124="Yes",'2. Demand History'!L124,AVERAGE('2. Demand History'!U124:W124)))/MAX('2. Demand History'!X124,1),3)</f>
        <v>0</v>
      </c>
      <c r="P124" s="10">
        <f>ROUND(ABS('2. Demand History'!Y124-IF($D124="Yes",'2. Demand History'!M124,AVERAGE('2. Demand History'!V124:X124)))/MAX('2. Demand History'!Y124,1),3)</f>
        <v>0.14299999999999999</v>
      </c>
      <c r="Q124" s="10">
        <f>ROUND(ABS('2. Demand History'!Z124-IF($D124="Yes",'2. Demand History'!N124,AVERAGE('2. Demand History'!W124:Y124)))/MAX('2. Demand History'!Z124,1),3)</f>
        <v>0</v>
      </c>
    </row>
    <row r="125" spans="1:17" ht="15" customHeight="1" x14ac:dyDescent="0.2">
      <c r="A125" s="3" t="str">
        <f>'2. Demand History'!A125</f>
        <v>NT10121</v>
      </c>
      <c r="B125" s="1" t="str">
        <f>'2. Demand History'!B125</f>
        <v>VisionOLED 942in 4K</v>
      </c>
      <c r="C125" s="3" t="str">
        <f>'1. Master Data'!C125</f>
        <v>TVs</v>
      </c>
      <c r="D125" s="3" t="s">
        <v>1111</v>
      </c>
      <c r="E125" s="3" t="str">
        <f t="shared" si="3"/>
        <v>Seasonal Naive</v>
      </c>
      <c r="F125" s="3">
        <f>ROUND(AVERAGE('2. Demand History'!O125:Z125),1)</f>
        <v>44.6</v>
      </c>
      <c r="G125" s="3">
        <f>ROUND(STDEV('2. Demand History'!O125:Z125),1)</f>
        <v>13.6</v>
      </c>
      <c r="H125" s="8">
        <f t="shared" si="4"/>
        <v>0.3</v>
      </c>
      <c r="I125" s="8">
        <f>ROUND(SUM('2. Demand History'!O125:Z125)/MAX(SUM('2. Demand History'!C125:N125),1),2)</f>
        <v>1.1000000000000001</v>
      </c>
      <c r="J125" s="5">
        <f>IF(D125="Yes",ROUND('2. Demand History'!O125*I125,0),ROUND(AVERAGE('2. Demand History'!X125:Z125),0))</f>
        <v>42</v>
      </c>
      <c r="K125" s="9">
        <f t="shared" si="5"/>
        <v>0.16300000000000001</v>
      </c>
      <c r="L125" s="10">
        <f>ROUND(ABS('2. Demand History'!U125-IF($D125="Yes",'2. Demand History'!I125,AVERAGE('2. Demand History'!R125:T125)))/MAX('2. Demand History'!U125,1),3)</f>
        <v>0.17299999999999999</v>
      </c>
      <c r="M125" s="10">
        <f>ROUND(ABS('2. Demand History'!V125-IF($D125="Yes",'2. Demand History'!J125,AVERAGE('2. Demand History'!S125:U125)))/MAX('2. Demand History'!V125,1),3)</f>
        <v>9.0999999999999998E-2</v>
      </c>
      <c r="N125" s="10">
        <f>ROUND(ABS('2. Demand History'!W125-IF($D125="Yes",'2. Demand History'!K125,AVERAGE('2. Demand History'!T125:V125)))/MAX('2. Demand History'!W125,1),3)</f>
        <v>0.128</v>
      </c>
      <c r="O125" s="10">
        <f>ROUND(ABS('2. Demand History'!X125-IF($D125="Yes",'2. Demand History'!L125,AVERAGE('2. Demand History'!U125:W125)))/MAX('2. Demand History'!X125,1),3)</f>
        <v>0.19500000000000001</v>
      </c>
      <c r="P125" s="10">
        <f>ROUND(ABS('2. Demand History'!Y125-IF($D125="Yes",'2. Demand History'!M125,AVERAGE('2. Demand History'!V125:X125)))/MAX('2. Demand History'!Y125,1),3)</f>
        <v>0.25</v>
      </c>
      <c r="Q125" s="10">
        <f>ROUND(ABS('2. Demand History'!Z125-IF($D125="Yes",'2. Demand History'!N125,AVERAGE('2. Demand History'!W125:Y125)))/MAX('2. Demand History'!Z125,1),3)</f>
        <v>0.14000000000000001</v>
      </c>
    </row>
    <row r="126" spans="1:17" ht="15" customHeight="1" x14ac:dyDescent="0.2">
      <c r="A126" s="3" t="str">
        <f>'2. Demand History'!A126</f>
        <v>NT10122</v>
      </c>
      <c r="B126" s="1" t="str">
        <f>'2. Demand History'!B126</f>
        <v>VisionLED 242in 4K</v>
      </c>
      <c r="C126" s="3" t="str">
        <f>'1. Master Data'!C126</f>
        <v>TVs</v>
      </c>
      <c r="D126" s="3" t="s">
        <v>1111</v>
      </c>
      <c r="E126" s="3" t="str">
        <f t="shared" si="3"/>
        <v>Seasonal Naive</v>
      </c>
      <c r="F126" s="3">
        <f>ROUND(AVERAGE('2. Demand History'!O126:Z126),1)</f>
        <v>59.5</v>
      </c>
      <c r="G126" s="3">
        <f>ROUND(STDEV('2. Demand History'!O126:Z126),1)</f>
        <v>17.7</v>
      </c>
      <c r="H126" s="8">
        <f t="shared" si="4"/>
        <v>0.3</v>
      </c>
      <c r="I126" s="8">
        <f>ROUND(SUM('2. Demand History'!O126:Z126)/MAX(SUM('2. Demand History'!C126:N126),1),2)</f>
        <v>1.07</v>
      </c>
      <c r="J126" s="5">
        <f>IF(D126="Yes",ROUND('2. Demand History'!O126*I126,0),ROUND(AVERAGE('2. Demand History'!X126:Z126),0))</f>
        <v>59</v>
      </c>
      <c r="K126" s="9">
        <f t="shared" si="5"/>
        <v>0.14399999999999999</v>
      </c>
      <c r="L126" s="10">
        <f>ROUND(ABS('2. Demand History'!U126-IF($D126="Yes",'2. Demand History'!I126,AVERAGE('2. Demand History'!R126:T126)))/MAX('2. Demand History'!U126,1),3)</f>
        <v>6.3E-2</v>
      </c>
      <c r="M126" s="10">
        <f>ROUND(ABS('2. Demand History'!V126-IF($D126="Yes",'2. Demand History'!J126,AVERAGE('2. Demand History'!S126:U126)))/MAX('2. Demand History'!V126,1),3)</f>
        <v>0.311</v>
      </c>
      <c r="N126" s="10">
        <f>ROUND(ABS('2. Demand History'!W126-IF($D126="Yes",'2. Demand History'!K126,AVERAGE('2. Demand History'!T126:V126)))/MAX('2. Demand History'!W126,1),3)</f>
        <v>0.17100000000000001</v>
      </c>
      <c r="O126" s="10">
        <f>ROUND(ABS('2. Demand History'!X126-IF($D126="Yes",'2. Demand History'!L126,AVERAGE('2. Demand History'!U126:W126)))/MAX('2. Demand History'!X126,1),3)</f>
        <v>8.2000000000000003E-2</v>
      </c>
      <c r="P126" s="10">
        <f>ROUND(ABS('2. Demand History'!Y126-IF($D126="Yes",'2. Demand History'!M126,AVERAGE('2. Demand History'!V126:X126)))/MAX('2. Demand History'!Y126,1),3)</f>
        <v>8.7999999999999995E-2</v>
      </c>
      <c r="Q126" s="10">
        <f>ROUND(ABS('2. Demand History'!Z126-IF($D126="Yes",'2. Demand History'!N126,AVERAGE('2. Demand History'!W126:Y126)))/MAX('2. Demand History'!Z126,1),3)</f>
        <v>0.14899999999999999</v>
      </c>
    </row>
    <row r="127" spans="1:17" ht="15" customHeight="1" x14ac:dyDescent="0.2">
      <c r="A127" s="3" t="str">
        <f>'2. Demand History'!A127</f>
        <v>NT10123</v>
      </c>
      <c r="B127" s="1" t="str">
        <f>'2. Demand History'!B127</f>
        <v>VisionQ 624in QLED</v>
      </c>
      <c r="C127" s="3" t="str">
        <f>'1. Master Data'!C127</f>
        <v>TVs</v>
      </c>
      <c r="D127" s="3" t="s">
        <v>1111</v>
      </c>
      <c r="E127" s="3" t="str">
        <f t="shared" si="3"/>
        <v>Seasonal Naive</v>
      </c>
      <c r="F127" s="3">
        <f>ROUND(AVERAGE('2. Demand History'!O127:Z127),1)</f>
        <v>37.799999999999997</v>
      </c>
      <c r="G127" s="3">
        <f>ROUND(STDEV('2. Demand History'!O127:Z127),1)</f>
        <v>13.1</v>
      </c>
      <c r="H127" s="8">
        <f t="shared" si="4"/>
        <v>0.35</v>
      </c>
      <c r="I127" s="8">
        <f>ROUND(SUM('2. Demand History'!O127:Z127)/MAX(SUM('2. Demand History'!C127:N127),1),2)</f>
        <v>1.03</v>
      </c>
      <c r="J127" s="5">
        <f>IF(D127="Yes",ROUND('2. Demand History'!O127*I127,0),ROUND(AVERAGE('2. Demand History'!X127:Z127),0))</f>
        <v>34</v>
      </c>
      <c r="K127" s="9">
        <f t="shared" si="5"/>
        <v>9.8000000000000004E-2</v>
      </c>
      <c r="L127" s="10">
        <f>ROUND(ABS('2. Demand History'!U127-IF($D127="Yes",'2. Demand History'!I127,AVERAGE('2. Demand History'!R127:T127)))/MAX('2. Demand History'!U127,1),3)</f>
        <v>0.111</v>
      </c>
      <c r="M127" s="10">
        <f>ROUND(ABS('2. Demand History'!V127-IF($D127="Yes",'2. Demand History'!J127,AVERAGE('2. Demand History'!S127:U127)))/MAX('2. Demand History'!V127,1),3)</f>
        <v>0.16</v>
      </c>
      <c r="N127" s="10">
        <f>ROUND(ABS('2. Demand History'!W127-IF($D127="Yes",'2. Demand History'!K127,AVERAGE('2. Demand History'!T127:V127)))/MAX('2. Demand History'!W127,1),3)</f>
        <v>0</v>
      </c>
      <c r="O127" s="10">
        <f>ROUND(ABS('2. Demand History'!X127-IF($D127="Yes",'2. Demand History'!L127,AVERAGE('2. Demand History'!U127:W127)))/MAX('2. Demand History'!X127,1),3)</f>
        <v>0.23100000000000001</v>
      </c>
      <c r="P127" s="10">
        <f>ROUND(ABS('2. Demand History'!Y127-IF($D127="Yes",'2. Demand History'!M127,AVERAGE('2. Demand History'!V127:X127)))/MAX('2. Demand History'!Y127,1),3)</f>
        <v>2.9000000000000001E-2</v>
      </c>
      <c r="Q127" s="10">
        <f>ROUND(ABS('2. Demand History'!Z127-IF($D127="Yes",'2. Demand History'!N127,AVERAGE('2. Demand History'!W127:Y127)))/MAX('2. Demand History'!Z127,1),3)</f>
        <v>5.7000000000000002E-2</v>
      </c>
    </row>
    <row r="128" spans="1:17" ht="15" customHeight="1" x14ac:dyDescent="0.2">
      <c r="A128" s="3" t="str">
        <f>'2. Demand History'!A128</f>
        <v>NT10124</v>
      </c>
      <c r="B128" s="1" t="str">
        <f>'2. Demand History'!B128</f>
        <v>VisionLED 486in 4K</v>
      </c>
      <c r="C128" s="3" t="str">
        <f>'1. Master Data'!C128</f>
        <v>TVs</v>
      </c>
      <c r="D128" s="3" t="s">
        <v>1111</v>
      </c>
      <c r="E128" s="3" t="str">
        <f t="shared" si="3"/>
        <v>Seasonal Naive</v>
      </c>
      <c r="F128" s="3">
        <f>ROUND(AVERAGE('2. Demand History'!O128:Z128),1)</f>
        <v>44.4</v>
      </c>
      <c r="G128" s="3">
        <f>ROUND(STDEV('2. Demand History'!O128:Z128),1)</f>
        <v>13.9</v>
      </c>
      <c r="H128" s="8">
        <f t="shared" si="4"/>
        <v>0.31</v>
      </c>
      <c r="I128" s="8">
        <f>ROUND(SUM('2. Demand History'!O128:Z128)/MAX(SUM('2. Demand History'!C128:N128),1),2)</f>
        <v>1.1000000000000001</v>
      </c>
      <c r="J128" s="5">
        <f>IF(D128="Yes",ROUND('2. Demand History'!O128*I128,0),ROUND(AVERAGE('2. Demand History'!X128:Z128),0))</f>
        <v>42</v>
      </c>
      <c r="K128" s="9">
        <f t="shared" si="5"/>
        <v>9.8000000000000004E-2</v>
      </c>
      <c r="L128" s="10">
        <f>ROUND(ABS('2. Demand History'!U128-IF($D128="Yes",'2. Demand History'!I128,AVERAGE('2. Demand History'!R128:T128)))/MAX('2. Demand History'!U128,1),3)</f>
        <v>0.127</v>
      </c>
      <c r="M128" s="10">
        <f>ROUND(ABS('2. Demand History'!V128-IF($D128="Yes",'2. Demand History'!J128,AVERAGE('2. Demand History'!S128:U128)))/MAX('2. Demand History'!V128,1),3)</f>
        <v>0.13300000000000001</v>
      </c>
      <c r="N128" s="10">
        <f>ROUND(ABS('2. Demand History'!W128-IF($D128="Yes",'2. Demand History'!K128,AVERAGE('2. Demand History'!T128:V128)))/MAX('2. Demand History'!W128,1),3)</f>
        <v>5.8999999999999997E-2</v>
      </c>
      <c r="O128" s="10">
        <f>ROUND(ABS('2. Demand History'!X128-IF($D128="Yes",'2. Demand History'!L128,AVERAGE('2. Demand History'!U128:W128)))/MAX('2. Demand History'!X128,1),3)</f>
        <v>9.8000000000000004E-2</v>
      </c>
      <c r="P128" s="10">
        <f>ROUND(ABS('2. Demand History'!Y128-IF($D128="Yes",'2. Demand History'!M128,AVERAGE('2. Demand History'!V128:X128)))/MAX('2. Demand History'!Y128,1),3)</f>
        <v>7.9000000000000001E-2</v>
      </c>
      <c r="Q128" s="10">
        <f>ROUND(ABS('2. Demand History'!Z128-IF($D128="Yes",'2. Demand History'!N128,AVERAGE('2. Demand History'!W128:Y128)))/MAX('2. Demand History'!Z128,1),3)</f>
        <v>9.0999999999999998E-2</v>
      </c>
    </row>
    <row r="129" spans="1:17" ht="15" customHeight="1" x14ac:dyDescent="0.2">
      <c r="A129" s="3" t="str">
        <f>'2. Demand History'!A129</f>
        <v>NT10125</v>
      </c>
      <c r="B129" s="1" t="str">
        <f>'2. Demand History'!B129</f>
        <v>VisionOLED 414in 4K</v>
      </c>
      <c r="C129" s="3" t="str">
        <f>'1. Master Data'!C129</f>
        <v>TVs</v>
      </c>
      <c r="D129" s="3" t="s">
        <v>1111</v>
      </c>
      <c r="E129" s="3" t="str">
        <f t="shared" si="3"/>
        <v>Seasonal Naive</v>
      </c>
      <c r="F129" s="3">
        <f>ROUND(AVERAGE('2. Demand History'!O129:Z129),1)</f>
        <v>121.1</v>
      </c>
      <c r="G129" s="3">
        <f>ROUND(STDEV('2. Demand History'!O129:Z129),1)</f>
        <v>34.9</v>
      </c>
      <c r="H129" s="8">
        <f t="shared" si="4"/>
        <v>0.28999999999999998</v>
      </c>
      <c r="I129" s="8">
        <f>ROUND(SUM('2. Demand History'!O129:Z129)/MAX(SUM('2. Demand History'!C129:N129),1),2)</f>
        <v>1.05</v>
      </c>
      <c r="J129" s="5">
        <f>IF(D129="Yes",ROUND('2. Demand History'!O129*I129,0),ROUND(AVERAGE('2. Demand History'!X129:Z129),0))</f>
        <v>118</v>
      </c>
      <c r="K129" s="9">
        <f t="shared" si="5"/>
        <v>0.14899999999999999</v>
      </c>
      <c r="L129" s="10">
        <f>ROUND(ABS('2. Demand History'!U129-IF($D129="Yes",'2. Demand History'!I129,AVERAGE('2. Demand History'!R129:T129)))/MAX('2. Demand History'!U129,1),3)</f>
        <v>0.109</v>
      </c>
      <c r="M129" s="10">
        <f>ROUND(ABS('2. Demand History'!V129-IF($D129="Yes",'2. Demand History'!J129,AVERAGE('2. Demand History'!S129:U129)))/MAX('2. Demand History'!V129,1),3)</f>
        <v>0.255</v>
      </c>
      <c r="N129" s="10">
        <f>ROUND(ABS('2. Demand History'!W129-IF($D129="Yes",'2. Demand History'!K129,AVERAGE('2. Demand History'!T129:V129)))/MAX('2. Demand History'!W129,1),3)</f>
        <v>6.5000000000000002E-2</v>
      </c>
      <c r="O129" s="10">
        <f>ROUND(ABS('2. Demand History'!X129-IF($D129="Yes",'2. Demand History'!L129,AVERAGE('2. Demand History'!U129:W129)))/MAX('2. Demand History'!X129,1),3)</f>
        <v>0.155</v>
      </c>
      <c r="P129" s="10">
        <f>ROUND(ABS('2. Demand History'!Y129-IF($D129="Yes",'2. Demand History'!M129,AVERAGE('2. Demand History'!V129:X129)))/MAX('2. Demand History'!Y129,1),3)</f>
        <v>0.25800000000000001</v>
      </c>
      <c r="Q129" s="10">
        <f>ROUND(ABS('2. Demand History'!Z129-IF($D129="Yes",'2. Demand History'!N129,AVERAGE('2. Demand History'!W129:Y129)))/MAX('2. Demand History'!Z129,1),3)</f>
        <v>5.1999999999999998E-2</v>
      </c>
    </row>
    <row r="130" spans="1:17" ht="15" customHeight="1" x14ac:dyDescent="0.2">
      <c r="A130" s="3" t="str">
        <f>'2. Demand History'!A130</f>
        <v>NT10126</v>
      </c>
      <c r="B130" s="1" t="str">
        <f>'2. Demand History'!B130</f>
        <v>VisionOLED 780in 4K</v>
      </c>
      <c r="C130" s="3" t="str">
        <f>'1. Master Data'!C130</f>
        <v>TVs</v>
      </c>
      <c r="D130" s="3" t="s">
        <v>1111</v>
      </c>
      <c r="E130" s="3" t="str">
        <f t="shared" si="3"/>
        <v>Seasonal Naive</v>
      </c>
      <c r="F130" s="3">
        <f>ROUND(AVERAGE('2. Demand History'!O130:Z130),1)</f>
        <v>38.9</v>
      </c>
      <c r="G130" s="3">
        <f>ROUND(STDEV('2. Demand History'!O130:Z130),1)</f>
        <v>12.2</v>
      </c>
      <c r="H130" s="8">
        <f t="shared" si="4"/>
        <v>0.31</v>
      </c>
      <c r="I130" s="8">
        <f>ROUND(SUM('2. Demand History'!O130:Z130)/MAX(SUM('2. Demand History'!C130:N130),1),2)</f>
        <v>1.04</v>
      </c>
      <c r="J130" s="5">
        <f>IF(D130="Yes",ROUND('2. Demand History'!O130*I130,0),ROUND(AVERAGE('2. Demand History'!X130:Z130),0))</f>
        <v>35</v>
      </c>
      <c r="K130" s="9">
        <f t="shared" si="5"/>
        <v>0.08</v>
      </c>
      <c r="L130" s="10">
        <f>ROUND(ABS('2. Demand History'!U130-IF($D130="Yes",'2. Demand History'!I130,AVERAGE('2. Demand History'!R130:T130)))/MAX('2. Demand History'!U130,1),3)</f>
        <v>0.127</v>
      </c>
      <c r="M130" s="10">
        <f>ROUND(ABS('2. Demand History'!V130-IF($D130="Yes",'2. Demand History'!J130,AVERAGE('2. Demand History'!S130:U130)))/MAX('2. Demand History'!V130,1),3)</f>
        <v>4.2999999999999997E-2</v>
      </c>
      <c r="N130" s="10">
        <f>ROUND(ABS('2. Demand History'!W130-IF($D130="Yes",'2. Demand History'!K130,AVERAGE('2. Demand History'!T130:V130)))/MAX('2. Demand History'!W130,1),3)</f>
        <v>0.14299999999999999</v>
      </c>
      <c r="O130" s="10">
        <f>ROUND(ABS('2. Demand History'!X130-IF($D130="Yes",'2. Demand History'!L130,AVERAGE('2. Demand History'!U130:W130)))/MAX('2. Demand History'!X130,1),3)</f>
        <v>0</v>
      </c>
      <c r="P130" s="10">
        <f>ROUND(ABS('2. Demand History'!Y130-IF($D130="Yes",'2. Demand History'!M130,AVERAGE('2. Demand History'!V130:X130)))/MAX('2. Demand History'!Y130,1),3)</f>
        <v>0.14000000000000001</v>
      </c>
      <c r="Q130" s="10">
        <f>ROUND(ABS('2. Demand History'!Z130-IF($D130="Yes",'2. Demand History'!N130,AVERAGE('2. Demand History'!W130:Y130)))/MAX('2. Demand History'!Z130,1),3)</f>
        <v>2.5999999999999999E-2</v>
      </c>
    </row>
    <row r="131" spans="1:17" ht="15" customHeight="1" x14ac:dyDescent="0.2">
      <c r="A131" s="3" t="str">
        <f>'2. Demand History'!A131</f>
        <v>NT10127</v>
      </c>
      <c r="B131" s="1" t="str">
        <f>'2. Demand History'!B131</f>
        <v>CinemaMax 215in 8K</v>
      </c>
      <c r="C131" s="3" t="str">
        <f>'1. Master Data'!C131</f>
        <v>TVs</v>
      </c>
      <c r="D131" s="3" t="s">
        <v>1111</v>
      </c>
      <c r="E131" s="3" t="str">
        <f t="shared" si="3"/>
        <v>Seasonal Naive</v>
      </c>
      <c r="F131" s="3">
        <f>ROUND(AVERAGE('2. Demand History'!O131:Z131),1)</f>
        <v>41.1</v>
      </c>
      <c r="G131" s="3">
        <f>ROUND(STDEV('2. Demand History'!O131:Z131),1)</f>
        <v>11.5</v>
      </c>
      <c r="H131" s="8">
        <f t="shared" si="4"/>
        <v>0.28000000000000003</v>
      </c>
      <c r="I131" s="8">
        <f>ROUND(SUM('2. Demand History'!O131:Z131)/MAX(SUM('2. Demand History'!C131:N131),1),2)</f>
        <v>1.0900000000000001</v>
      </c>
      <c r="J131" s="5">
        <f>IF(D131="Yes",ROUND('2. Demand History'!O131*I131,0),ROUND(AVERAGE('2. Demand History'!X131:Z131),0))</f>
        <v>45</v>
      </c>
      <c r="K131" s="9">
        <f t="shared" si="5"/>
        <v>0.10100000000000001</v>
      </c>
      <c r="L131" s="10">
        <f>ROUND(ABS('2. Demand History'!U131-IF($D131="Yes",'2. Demand History'!I131,AVERAGE('2. Demand History'!R131:T131)))/MAX('2. Demand History'!U131,1),3)</f>
        <v>1.4999999999999999E-2</v>
      </c>
      <c r="M131" s="10">
        <f>ROUND(ABS('2. Demand History'!V131-IF($D131="Yes",'2. Demand History'!J131,AVERAGE('2. Demand History'!S131:U131)))/MAX('2. Demand History'!V131,1),3)</f>
        <v>3.6999999999999998E-2</v>
      </c>
      <c r="N131" s="10">
        <f>ROUND(ABS('2. Demand History'!W131-IF($D131="Yes",'2. Demand History'!K131,AVERAGE('2. Demand History'!T131:V131)))/MAX('2. Demand History'!W131,1),3)</f>
        <v>6.7000000000000004E-2</v>
      </c>
      <c r="O131" s="10">
        <f>ROUND(ABS('2. Demand History'!X131-IF($D131="Yes",'2. Demand History'!L131,AVERAGE('2. Demand History'!U131:W131)))/MAX('2. Demand History'!X131,1),3)</f>
        <v>0.16700000000000001</v>
      </c>
      <c r="P131" s="10">
        <f>ROUND(ABS('2. Demand History'!Y131-IF($D131="Yes",'2. Demand History'!M131,AVERAGE('2. Demand History'!V131:X131)))/MAX('2. Demand History'!Y131,1),3)</f>
        <v>0.214</v>
      </c>
      <c r="Q131" s="10">
        <f>ROUND(ABS('2. Demand History'!Z131-IF($D131="Yes",'2. Demand History'!N131,AVERAGE('2. Demand History'!W131:Y131)))/MAX('2. Demand History'!Z131,1),3)</f>
        <v>0.108</v>
      </c>
    </row>
    <row r="132" spans="1:17" ht="15" customHeight="1" x14ac:dyDescent="0.2">
      <c r="A132" s="3" t="str">
        <f>'2. Demand History'!A132</f>
        <v>NT10128</v>
      </c>
      <c r="B132" s="1" t="str">
        <f>'2. Demand History'!B132</f>
        <v>VisionQ 120in QLED</v>
      </c>
      <c r="C132" s="3" t="str">
        <f>'1. Master Data'!C132</f>
        <v>TVs</v>
      </c>
      <c r="D132" s="3" t="s">
        <v>1111</v>
      </c>
      <c r="E132" s="3" t="str">
        <f t="shared" si="3"/>
        <v>Seasonal Naive</v>
      </c>
      <c r="F132" s="3">
        <f>ROUND(AVERAGE('2. Demand History'!O132:Z132),1)</f>
        <v>58.3</v>
      </c>
      <c r="G132" s="3">
        <f>ROUND(STDEV('2. Demand History'!O132:Z132),1)</f>
        <v>17.899999999999999</v>
      </c>
      <c r="H132" s="8">
        <f t="shared" si="4"/>
        <v>0.31</v>
      </c>
      <c r="I132" s="8">
        <f>ROUND(SUM('2. Demand History'!O132:Z132)/MAX(SUM('2. Demand History'!C132:N132),1),2)</f>
        <v>1.1299999999999999</v>
      </c>
      <c r="J132" s="5">
        <f>IF(D132="Yes",ROUND('2. Demand History'!O132*I132,0),ROUND(AVERAGE('2. Demand History'!X132:Z132),0))</f>
        <v>49</v>
      </c>
      <c r="K132" s="9">
        <f t="shared" si="5"/>
        <v>9.0999999999999998E-2</v>
      </c>
      <c r="L132" s="10">
        <f>ROUND(ABS('2. Demand History'!U132-IF($D132="Yes",'2. Demand History'!I132,AVERAGE('2. Demand History'!R132:T132)))/MAX('2. Demand History'!U132,1),3)</f>
        <v>0.11</v>
      </c>
      <c r="M132" s="10">
        <f>ROUND(ABS('2. Demand History'!V132-IF($D132="Yes",'2. Demand History'!J132,AVERAGE('2. Demand History'!S132:U132)))/MAX('2. Demand History'!V132,1),3)</f>
        <v>0.111</v>
      </c>
      <c r="N132" s="10">
        <f>ROUND(ABS('2. Demand History'!W132-IF($D132="Yes",'2. Demand History'!K132,AVERAGE('2. Demand History'!T132:V132)))/MAX('2. Demand History'!W132,1),3)</f>
        <v>0.189</v>
      </c>
      <c r="O132" s="10">
        <f>ROUND(ABS('2. Demand History'!X132-IF($D132="Yes",'2. Demand History'!L132,AVERAGE('2. Demand History'!U132:W132)))/MAX('2. Demand History'!X132,1),3)</f>
        <v>7.2999999999999995E-2</v>
      </c>
      <c r="P132" s="10">
        <f>ROUND(ABS('2. Demand History'!Y132-IF($D132="Yes",'2. Demand History'!M132,AVERAGE('2. Demand History'!V132:X132)))/MAX('2. Demand History'!Y132,1),3)</f>
        <v>4.2999999999999997E-2</v>
      </c>
      <c r="Q132" s="10">
        <f>ROUND(ABS('2. Demand History'!Z132-IF($D132="Yes",'2. Demand History'!N132,AVERAGE('2. Demand History'!W132:Y132)))/MAX('2. Demand History'!Z132,1),3)</f>
        <v>1.9E-2</v>
      </c>
    </row>
    <row r="133" spans="1:17" ht="15" customHeight="1" x14ac:dyDescent="0.2">
      <c r="A133" s="3" t="str">
        <f>'2. Demand History'!A133</f>
        <v>NT10129</v>
      </c>
      <c r="B133" s="1" t="str">
        <f>'2. Demand History'!B133</f>
        <v>VisionLED 554in 4K</v>
      </c>
      <c r="C133" s="3" t="str">
        <f>'1. Master Data'!C133</f>
        <v>TVs</v>
      </c>
      <c r="D133" s="3" t="s">
        <v>1111</v>
      </c>
      <c r="E133" s="3" t="str">
        <f t="shared" ref="E133:E196" si="6">IF(D133="Yes","Seasonal Naive","Moving Avg 3")</f>
        <v>Seasonal Naive</v>
      </c>
      <c r="F133" s="3">
        <f>ROUND(AVERAGE('2. Demand History'!O133:Z133),1)</f>
        <v>49.8</v>
      </c>
      <c r="G133" s="3">
        <f>ROUND(STDEV('2. Demand History'!O133:Z133),1)</f>
        <v>13.7</v>
      </c>
      <c r="H133" s="8">
        <f t="shared" ref="H133:H196" si="7">IF(F133=0,0,ROUND(G133/F133,2))</f>
        <v>0.28000000000000003</v>
      </c>
      <c r="I133" s="8">
        <f>ROUND(SUM('2. Demand History'!O133:Z133)/MAX(SUM('2. Demand History'!C133:N133),1),2)</f>
        <v>1.04</v>
      </c>
      <c r="J133" s="5">
        <f>IF(D133="Yes",ROUND('2. Demand History'!O133*I133,0),ROUND(AVERAGE('2. Demand History'!X133:Z133),0))</f>
        <v>44</v>
      </c>
      <c r="K133" s="9">
        <f t="shared" ref="K133:K196" si="8">ROUND(AVERAGE(L133:Q133),3)</f>
        <v>9.8000000000000004E-2</v>
      </c>
      <c r="L133" s="10">
        <f>ROUND(ABS('2. Demand History'!U133-IF($D133="Yes",'2. Demand History'!I133,AVERAGE('2. Demand History'!R133:T133)))/MAX('2. Demand History'!U133,1),3)</f>
        <v>0.11</v>
      </c>
      <c r="M133" s="10">
        <f>ROUND(ABS('2. Demand History'!V133-IF($D133="Yes",'2. Demand History'!J133,AVERAGE('2. Demand History'!S133:U133)))/MAX('2. Demand History'!V133,1),3)</f>
        <v>7.6999999999999999E-2</v>
      </c>
      <c r="N133" s="10">
        <f>ROUND(ABS('2. Demand History'!W133-IF($D133="Yes",'2. Demand History'!K133,AVERAGE('2. Demand History'!T133:V133)))/MAX('2. Demand History'!W133,1),3)</f>
        <v>0.114</v>
      </c>
      <c r="O133" s="10">
        <f>ROUND(ABS('2. Demand History'!X133-IF($D133="Yes",'2. Demand History'!L133,AVERAGE('2. Demand History'!U133:W133)))/MAX('2. Demand History'!X133,1),3)</f>
        <v>5.8999999999999997E-2</v>
      </c>
      <c r="P133" s="10">
        <f>ROUND(ABS('2. Demand History'!Y133-IF($D133="Yes",'2. Demand History'!M133,AVERAGE('2. Demand History'!V133:X133)))/MAX('2. Demand History'!Y133,1),3)</f>
        <v>7.4999999999999997E-2</v>
      </c>
      <c r="Q133" s="10">
        <f>ROUND(ABS('2. Demand History'!Z133-IF($D133="Yes",'2. Demand History'!N133,AVERAGE('2. Demand History'!W133:Y133)))/MAX('2. Demand History'!Z133,1),3)</f>
        <v>0.15</v>
      </c>
    </row>
    <row r="134" spans="1:17" ht="15" customHeight="1" x14ac:dyDescent="0.2">
      <c r="A134" s="3" t="str">
        <f>'2. Demand History'!A134</f>
        <v>NT10130</v>
      </c>
      <c r="B134" s="1" t="str">
        <f>'2. Demand History'!B134</f>
        <v>CinemaMax 380in 8K</v>
      </c>
      <c r="C134" s="3" t="str">
        <f>'1. Master Data'!C134</f>
        <v>TVs</v>
      </c>
      <c r="D134" s="3" t="s">
        <v>1111</v>
      </c>
      <c r="E134" s="3" t="str">
        <f t="shared" si="6"/>
        <v>Seasonal Naive</v>
      </c>
      <c r="F134" s="3">
        <f>ROUND(AVERAGE('2. Demand History'!O134:Z134),1)</f>
        <v>12.7</v>
      </c>
      <c r="G134" s="3">
        <f>ROUND(STDEV('2. Demand History'!O134:Z134),1)</f>
        <v>3.2</v>
      </c>
      <c r="H134" s="8">
        <f t="shared" si="7"/>
        <v>0.25</v>
      </c>
      <c r="I134" s="8">
        <f>ROUND(SUM('2. Demand History'!O134:Z134)/MAX(SUM('2. Demand History'!C134:N134),1),2)</f>
        <v>1.02</v>
      </c>
      <c r="J134" s="5">
        <f>IF(D134="Yes",ROUND('2. Demand History'!O134*I134,0),ROUND(AVERAGE('2. Demand History'!X134:Z134),0))</f>
        <v>13</v>
      </c>
      <c r="K134" s="9">
        <f t="shared" si="8"/>
        <v>9.4E-2</v>
      </c>
      <c r="L134" s="10">
        <f>ROUND(ABS('2. Demand History'!U134-IF($D134="Yes",'2. Demand History'!I134,AVERAGE('2. Demand History'!R134:T134)))/MAX('2. Demand History'!U134,1),3)</f>
        <v>0.2</v>
      </c>
      <c r="M134" s="10">
        <f>ROUND(ABS('2. Demand History'!V134-IF($D134="Yes",'2. Demand History'!J134,AVERAGE('2. Demand History'!S134:U134)))/MAX('2. Demand History'!V134,1),3)</f>
        <v>0</v>
      </c>
      <c r="N134" s="10">
        <f>ROUND(ABS('2. Demand History'!W134-IF($D134="Yes",'2. Demand History'!K134,AVERAGE('2. Demand History'!T134:V134)))/MAX('2. Demand History'!W134,1),3)</f>
        <v>0.111</v>
      </c>
      <c r="O134" s="10">
        <f>ROUND(ABS('2. Demand History'!X134-IF($D134="Yes",'2. Demand History'!L134,AVERAGE('2. Demand History'!U134:W134)))/MAX('2. Demand History'!X134,1),3)</f>
        <v>0.1</v>
      </c>
      <c r="P134" s="10">
        <f>ROUND(ABS('2. Demand History'!Y134-IF($D134="Yes",'2. Demand History'!M134,AVERAGE('2. Demand History'!V134:X134)))/MAX('2. Demand History'!Y134,1),3)</f>
        <v>0</v>
      </c>
      <c r="Q134" s="10">
        <f>ROUND(ABS('2. Demand History'!Z134-IF($D134="Yes",'2. Demand History'!N134,AVERAGE('2. Demand History'!W134:Y134)))/MAX('2. Demand History'!Z134,1),3)</f>
        <v>0.154</v>
      </c>
    </row>
    <row r="135" spans="1:17" ht="15" customHeight="1" x14ac:dyDescent="0.2">
      <c r="A135" s="3" t="str">
        <f>'2. Demand History'!A135</f>
        <v>NT10131</v>
      </c>
      <c r="B135" s="1" t="str">
        <f>'2. Demand History'!B135</f>
        <v>CinemaMax 580in 8K</v>
      </c>
      <c r="C135" s="3" t="str">
        <f>'1. Master Data'!C135</f>
        <v>TVs</v>
      </c>
      <c r="D135" s="3" t="s">
        <v>1111</v>
      </c>
      <c r="E135" s="3" t="str">
        <f t="shared" si="6"/>
        <v>Seasonal Naive</v>
      </c>
      <c r="F135" s="3">
        <f>ROUND(AVERAGE('2. Demand History'!O135:Z135),1)</f>
        <v>14.3</v>
      </c>
      <c r="G135" s="3">
        <f>ROUND(STDEV('2. Demand History'!O135:Z135),1)</f>
        <v>4.4000000000000004</v>
      </c>
      <c r="H135" s="8">
        <f t="shared" si="7"/>
        <v>0.31</v>
      </c>
      <c r="I135" s="8">
        <f>ROUND(SUM('2. Demand History'!O135:Z135)/MAX(SUM('2. Demand History'!C135:N135),1),2)</f>
        <v>1.02</v>
      </c>
      <c r="J135" s="5">
        <f>IF(D135="Yes",ROUND('2. Demand History'!O135*I135,0),ROUND(AVERAGE('2. Demand History'!X135:Z135),0))</f>
        <v>12</v>
      </c>
      <c r="K135" s="9">
        <f t="shared" si="8"/>
        <v>0.124</v>
      </c>
      <c r="L135" s="10">
        <f>ROUND(ABS('2. Demand History'!U135-IF($D135="Yes",'2. Demand History'!I135,AVERAGE('2. Demand History'!R135:T135)))/MAX('2. Demand History'!U135,1),3)</f>
        <v>7.6999999999999999E-2</v>
      </c>
      <c r="M135" s="10">
        <f>ROUND(ABS('2. Demand History'!V135-IF($D135="Yes",'2. Demand History'!J135,AVERAGE('2. Demand History'!S135:U135)))/MAX('2. Demand History'!V135,1),3)</f>
        <v>0.2</v>
      </c>
      <c r="N135" s="10">
        <f>ROUND(ABS('2. Demand History'!W135-IF($D135="Yes",'2. Demand History'!K135,AVERAGE('2. Demand History'!T135:V135)))/MAX('2. Demand History'!W135,1),3)</f>
        <v>0.25</v>
      </c>
      <c r="O135" s="10">
        <f>ROUND(ABS('2. Demand History'!X135-IF($D135="Yes",'2. Demand History'!L135,AVERAGE('2. Demand History'!U135:W135)))/MAX('2. Demand History'!X135,1),3)</f>
        <v>7.0999999999999994E-2</v>
      </c>
      <c r="P135" s="10">
        <f>ROUND(ABS('2. Demand History'!Y135-IF($D135="Yes",'2. Demand History'!M135,AVERAGE('2. Demand History'!V135:X135)))/MAX('2. Demand History'!Y135,1),3)</f>
        <v>0</v>
      </c>
      <c r="Q135" s="10">
        <f>ROUND(ABS('2. Demand History'!Z135-IF($D135="Yes",'2. Demand History'!N135,AVERAGE('2. Demand History'!W135:Y135)))/MAX('2. Demand History'!Z135,1),3)</f>
        <v>0.14299999999999999</v>
      </c>
    </row>
    <row r="136" spans="1:17" ht="15" customHeight="1" x14ac:dyDescent="0.2">
      <c r="A136" s="3" t="str">
        <f>'2. Demand History'!A136</f>
        <v>NT10132</v>
      </c>
      <c r="B136" s="1" t="str">
        <f>'2. Demand History'!B136</f>
        <v>VisionOLED 815in 4K</v>
      </c>
      <c r="C136" s="3" t="str">
        <f>'1. Master Data'!C136</f>
        <v>TVs</v>
      </c>
      <c r="D136" s="3" t="s">
        <v>1111</v>
      </c>
      <c r="E136" s="3" t="str">
        <f t="shared" si="6"/>
        <v>Seasonal Naive</v>
      </c>
      <c r="F136" s="3">
        <f>ROUND(AVERAGE('2. Demand History'!O136:Z136),1)</f>
        <v>20.7</v>
      </c>
      <c r="G136" s="3">
        <f>ROUND(STDEV('2. Demand History'!O136:Z136),1)</f>
        <v>7.1</v>
      </c>
      <c r="H136" s="8">
        <f t="shared" si="7"/>
        <v>0.34</v>
      </c>
      <c r="I136" s="8">
        <f>ROUND(SUM('2. Demand History'!O136:Z136)/MAX(SUM('2. Demand History'!C136:N136),1),2)</f>
        <v>1.07</v>
      </c>
      <c r="J136" s="5">
        <f>IF(D136="Yes",ROUND('2. Demand History'!O136*I136,0),ROUND(AVERAGE('2. Demand History'!X136:Z136),0))</f>
        <v>18</v>
      </c>
      <c r="K136" s="9">
        <f t="shared" si="8"/>
        <v>9.8000000000000004E-2</v>
      </c>
      <c r="L136" s="10">
        <f>ROUND(ABS('2. Demand History'!U136-IF($D136="Yes",'2. Demand History'!I136,AVERAGE('2. Demand History'!R136:T136)))/MAX('2. Demand History'!U136,1),3)</f>
        <v>0.122</v>
      </c>
      <c r="M136" s="10">
        <f>ROUND(ABS('2. Demand History'!V136-IF($D136="Yes",'2. Demand History'!J136,AVERAGE('2. Demand History'!S136:U136)))/MAX('2. Demand History'!V136,1),3)</f>
        <v>7.6999999999999999E-2</v>
      </c>
      <c r="N136" s="10">
        <f>ROUND(ABS('2. Demand History'!W136-IF($D136="Yes",'2. Demand History'!K136,AVERAGE('2. Demand History'!T136:V136)))/MAX('2. Demand History'!W136,1),3)</f>
        <v>0.222</v>
      </c>
      <c r="O136" s="10">
        <f>ROUND(ABS('2. Demand History'!X136-IF($D136="Yes",'2. Demand History'!L136,AVERAGE('2. Demand History'!U136:W136)))/MAX('2. Demand History'!X136,1),3)</f>
        <v>5.2999999999999999E-2</v>
      </c>
      <c r="P136" s="10">
        <f>ROUND(ABS('2. Demand History'!Y136-IF($D136="Yes",'2. Demand History'!M136,AVERAGE('2. Demand History'!V136:X136)))/MAX('2. Demand History'!Y136,1),3)</f>
        <v>0</v>
      </c>
      <c r="Q136" s="10">
        <f>ROUND(ABS('2. Demand History'!Z136-IF($D136="Yes",'2. Demand History'!N136,AVERAGE('2. Demand History'!W136:Y136)))/MAX('2. Demand History'!Z136,1),3)</f>
        <v>0.111</v>
      </c>
    </row>
    <row r="137" spans="1:17" ht="15" customHeight="1" x14ac:dyDescent="0.2">
      <c r="A137" s="3" t="str">
        <f>'2. Demand History'!A137</f>
        <v>NT10133</v>
      </c>
      <c r="B137" s="1" t="str">
        <f>'2. Demand History'!B137</f>
        <v>VisionOLED 919in 4K</v>
      </c>
      <c r="C137" s="3" t="str">
        <f>'1. Master Data'!C137</f>
        <v>TVs</v>
      </c>
      <c r="D137" s="3" t="s">
        <v>1111</v>
      </c>
      <c r="E137" s="3" t="str">
        <f t="shared" si="6"/>
        <v>Seasonal Naive</v>
      </c>
      <c r="F137" s="3">
        <f>ROUND(AVERAGE('2. Demand History'!O137:Z137),1)</f>
        <v>15.8</v>
      </c>
      <c r="G137" s="3">
        <f>ROUND(STDEV('2. Demand History'!O137:Z137),1)</f>
        <v>4.7</v>
      </c>
      <c r="H137" s="8">
        <f t="shared" si="7"/>
        <v>0.3</v>
      </c>
      <c r="I137" s="8">
        <f>ROUND(SUM('2. Demand History'!O137:Z137)/MAX(SUM('2. Demand History'!C137:N137),1),2)</f>
        <v>1.04</v>
      </c>
      <c r="J137" s="5">
        <f>IF(D137="Yes",ROUND('2. Demand History'!O137*I137,0),ROUND(AVERAGE('2. Demand History'!X137:Z137),0))</f>
        <v>17</v>
      </c>
      <c r="K137" s="9">
        <f t="shared" si="8"/>
        <v>0.10299999999999999</v>
      </c>
      <c r="L137" s="10">
        <f>ROUND(ABS('2. Demand History'!U137-IF($D137="Yes",'2. Demand History'!I137,AVERAGE('2. Demand History'!R137:T137)))/MAX('2. Demand History'!U137,1),3)</f>
        <v>7.0999999999999994E-2</v>
      </c>
      <c r="M137" s="10">
        <f>ROUND(ABS('2. Demand History'!V137-IF($D137="Yes",'2. Demand History'!J137,AVERAGE('2. Demand History'!S137:U137)))/MAX('2. Demand History'!V137,1),3)</f>
        <v>0.1</v>
      </c>
      <c r="N137" s="10">
        <f>ROUND(ABS('2. Demand History'!W137-IF($D137="Yes",'2. Demand History'!K137,AVERAGE('2. Demand History'!T137:V137)))/MAX('2. Demand History'!W137,1),3)</f>
        <v>0</v>
      </c>
      <c r="O137" s="10">
        <f>ROUND(ABS('2. Demand History'!X137-IF($D137="Yes",'2. Demand History'!L137,AVERAGE('2. Demand History'!U137:W137)))/MAX('2. Demand History'!X137,1),3)</f>
        <v>0.25</v>
      </c>
      <c r="P137" s="10">
        <f>ROUND(ABS('2. Demand History'!Y137-IF($D137="Yes",'2. Demand History'!M137,AVERAGE('2. Demand History'!V137:X137)))/MAX('2. Demand History'!Y137,1),3)</f>
        <v>0.13300000000000001</v>
      </c>
      <c r="Q137" s="10">
        <f>ROUND(ABS('2. Demand History'!Z137-IF($D137="Yes",'2. Demand History'!N137,AVERAGE('2. Demand History'!W137:Y137)))/MAX('2. Demand History'!Z137,1),3)</f>
        <v>6.3E-2</v>
      </c>
    </row>
    <row r="138" spans="1:17" ht="15" customHeight="1" x14ac:dyDescent="0.2">
      <c r="A138" s="3" t="str">
        <f>'2. Demand History'!A138</f>
        <v>NT10134</v>
      </c>
      <c r="B138" s="1" t="str">
        <f>'2. Demand History'!B138</f>
        <v>CinemaMax 312in 8K</v>
      </c>
      <c r="C138" s="3" t="str">
        <f>'1. Master Data'!C138</f>
        <v>TVs</v>
      </c>
      <c r="D138" s="3" t="s">
        <v>1111</v>
      </c>
      <c r="E138" s="3" t="str">
        <f t="shared" si="6"/>
        <v>Seasonal Naive</v>
      </c>
      <c r="F138" s="3">
        <f>ROUND(AVERAGE('2. Demand History'!O138:Z138),1)</f>
        <v>59.6</v>
      </c>
      <c r="G138" s="3">
        <f>ROUND(STDEV('2. Demand History'!O138:Z138),1)</f>
        <v>18.399999999999999</v>
      </c>
      <c r="H138" s="8">
        <f t="shared" si="7"/>
        <v>0.31</v>
      </c>
      <c r="I138" s="8">
        <f>ROUND(SUM('2. Demand History'!O138:Z138)/MAX(SUM('2. Demand History'!C138:N138),1),2)</f>
        <v>1.0900000000000001</v>
      </c>
      <c r="J138" s="5">
        <f>IF(D138="Yes",ROUND('2. Demand History'!O138*I138,0),ROUND(AVERAGE('2. Demand History'!X138:Z138),0))</f>
        <v>60</v>
      </c>
      <c r="K138" s="9">
        <f t="shared" si="8"/>
        <v>0.1</v>
      </c>
      <c r="L138" s="10">
        <f>ROUND(ABS('2. Demand History'!U138-IF($D138="Yes",'2. Demand History'!I138,AVERAGE('2. Demand History'!R138:T138)))/MAX('2. Demand History'!U138,1),3)</f>
        <v>0.13100000000000001</v>
      </c>
      <c r="M138" s="10">
        <f>ROUND(ABS('2. Demand History'!V138-IF($D138="Yes",'2. Demand History'!J138,AVERAGE('2. Demand History'!S138:U138)))/MAX('2. Demand History'!V138,1),3)</f>
        <v>0.184</v>
      </c>
      <c r="N138" s="10">
        <f>ROUND(ABS('2. Demand History'!W138-IF($D138="Yes",'2. Demand History'!K138,AVERAGE('2. Demand History'!T138:V138)))/MAX('2. Demand History'!W138,1),3)</f>
        <v>6.7000000000000004E-2</v>
      </c>
      <c r="O138" s="10">
        <f>ROUND(ABS('2. Demand History'!X138-IF($D138="Yes",'2. Demand History'!L138,AVERAGE('2. Demand History'!U138:W138)))/MAX('2. Demand History'!X138,1),3)</f>
        <v>4.1000000000000002E-2</v>
      </c>
      <c r="P138" s="10">
        <f>ROUND(ABS('2. Demand History'!Y138-IF($D138="Yes",'2. Demand History'!M138,AVERAGE('2. Demand History'!V138:X138)))/MAX('2. Demand History'!Y138,1),3)</f>
        <v>3.5999999999999997E-2</v>
      </c>
      <c r="Q138" s="10">
        <f>ROUND(ABS('2. Demand History'!Z138-IF($D138="Yes",'2. Demand History'!N138,AVERAGE('2. Demand History'!W138:Y138)))/MAX('2. Demand History'!Z138,1),3)</f>
        <v>0.14299999999999999</v>
      </c>
    </row>
    <row r="139" spans="1:17" ht="15" customHeight="1" x14ac:dyDescent="0.2">
      <c r="A139" s="3" t="str">
        <f>'2. Demand History'!A139</f>
        <v>NT10135</v>
      </c>
      <c r="B139" s="1" t="str">
        <f>'2. Demand History'!B139</f>
        <v>CinemaMax 348in 8K</v>
      </c>
      <c r="C139" s="3" t="str">
        <f>'1. Master Data'!C139</f>
        <v>TVs</v>
      </c>
      <c r="D139" s="3" t="s">
        <v>1111</v>
      </c>
      <c r="E139" s="3" t="str">
        <f t="shared" si="6"/>
        <v>Seasonal Naive</v>
      </c>
      <c r="F139" s="3">
        <f>ROUND(AVERAGE('2. Demand History'!O139:Z139),1)</f>
        <v>11.4</v>
      </c>
      <c r="G139" s="3">
        <f>ROUND(STDEV('2. Demand History'!O139:Z139),1)</f>
        <v>2.7</v>
      </c>
      <c r="H139" s="8">
        <f t="shared" si="7"/>
        <v>0.24</v>
      </c>
      <c r="I139" s="8">
        <f>ROUND(SUM('2. Demand History'!O139:Z139)/MAX(SUM('2. Demand History'!C139:N139),1),2)</f>
        <v>1.0900000000000001</v>
      </c>
      <c r="J139" s="5">
        <f>IF(D139="Yes",ROUND('2. Demand History'!O139*I139,0),ROUND(AVERAGE('2. Demand History'!X139:Z139),0))</f>
        <v>11</v>
      </c>
      <c r="K139" s="9">
        <f t="shared" si="8"/>
        <v>0.10100000000000001</v>
      </c>
      <c r="L139" s="10">
        <f>ROUND(ABS('2. Demand History'!U139-IF($D139="Yes",'2. Demand History'!I139,AVERAGE('2. Demand History'!R139:T139)))/MAX('2. Demand History'!U139,1),3)</f>
        <v>0</v>
      </c>
      <c r="M139" s="10">
        <f>ROUND(ABS('2. Demand History'!V139-IF($D139="Yes",'2. Demand History'!J139,AVERAGE('2. Demand History'!S139:U139)))/MAX('2. Demand History'!V139,1),3)</f>
        <v>0.222</v>
      </c>
      <c r="N139" s="10">
        <f>ROUND(ABS('2. Demand History'!W139-IF($D139="Yes",'2. Demand History'!K139,AVERAGE('2. Demand History'!T139:V139)))/MAX('2. Demand History'!W139,1),3)</f>
        <v>0.111</v>
      </c>
      <c r="O139" s="10">
        <f>ROUND(ABS('2. Demand History'!X139-IF($D139="Yes",'2. Demand History'!L139,AVERAGE('2. Demand History'!U139:W139)))/MAX('2. Demand History'!X139,1),3)</f>
        <v>0</v>
      </c>
      <c r="P139" s="10">
        <f>ROUND(ABS('2. Demand History'!Y139-IF($D139="Yes",'2. Demand History'!M139,AVERAGE('2. Demand History'!V139:X139)))/MAX('2. Demand History'!Y139,1),3)</f>
        <v>0</v>
      </c>
      <c r="Q139" s="10">
        <f>ROUND(ABS('2. Demand History'!Z139-IF($D139="Yes",'2. Demand History'!N139,AVERAGE('2. Demand History'!W139:Y139)))/MAX('2. Demand History'!Z139,1),3)</f>
        <v>0.27300000000000002</v>
      </c>
    </row>
    <row r="140" spans="1:17" ht="15" customHeight="1" x14ac:dyDescent="0.2">
      <c r="A140" s="3" t="str">
        <f>'2. Demand History'!A140</f>
        <v>NT10136</v>
      </c>
      <c r="B140" s="1" t="str">
        <f>'2. Demand History'!B140</f>
        <v>VisionQ 273in QLED</v>
      </c>
      <c r="C140" s="3" t="str">
        <f>'1. Master Data'!C140</f>
        <v>TVs</v>
      </c>
      <c r="D140" s="3" t="s">
        <v>1111</v>
      </c>
      <c r="E140" s="3" t="str">
        <f t="shared" si="6"/>
        <v>Seasonal Naive</v>
      </c>
      <c r="F140" s="3">
        <f>ROUND(AVERAGE('2. Demand History'!O140:Z140),1)</f>
        <v>6.8</v>
      </c>
      <c r="G140" s="3">
        <f>ROUND(STDEV('2. Demand History'!O140:Z140),1)</f>
        <v>2.2999999999999998</v>
      </c>
      <c r="H140" s="8">
        <f t="shared" si="7"/>
        <v>0.34</v>
      </c>
      <c r="I140" s="8">
        <f>ROUND(SUM('2. Demand History'!O140:Z140)/MAX(SUM('2. Demand History'!C140:N140),1),2)</f>
        <v>1.0900000000000001</v>
      </c>
      <c r="J140" s="5">
        <f>IF(D140="Yes",ROUND('2. Demand History'!O140*I140,0),ROUND(AVERAGE('2. Demand History'!X140:Z140),0))</f>
        <v>5</v>
      </c>
      <c r="K140" s="9">
        <f t="shared" si="8"/>
        <v>0.14199999999999999</v>
      </c>
      <c r="L140" s="10">
        <f>ROUND(ABS('2. Demand History'!U140-IF($D140="Yes",'2. Demand History'!I140,AVERAGE('2. Demand History'!R140:T140)))/MAX('2. Demand History'!U140,1),3)</f>
        <v>0.23100000000000001</v>
      </c>
      <c r="M140" s="10">
        <f>ROUND(ABS('2. Demand History'!V140-IF($D140="Yes",'2. Demand History'!J140,AVERAGE('2. Demand History'!S140:U140)))/MAX('2. Demand History'!V140,1),3)</f>
        <v>0</v>
      </c>
      <c r="N140" s="10">
        <f>ROUND(ABS('2. Demand History'!W140-IF($D140="Yes",'2. Demand History'!K140,AVERAGE('2. Demand History'!T140:V140)))/MAX('2. Demand History'!W140,1),3)</f>
        <v>0.28599999999999998</v>
      </c>
      <c r="O140" s="10">
        <f>ROUND(ABS('2. Demand History'!X140-IF($D140="Yes",'2. Demand History'!L140,AVERAGE('2. Demand History'!U140:W140)))/MAX('2. Demand History'!X140,1),3)</f>
        <v>0.16700000000000001</v>
      </c>
      <c r="P140" s="10">
        <f>ROUND(ABS('2. Demand History'!Y140-IF($D140="Yes",'2. Demand History'!M140,AVERAGE('2. Demand History'!V140:X140)))/MAX('2. Demand History'!Y140,1),3)</f>
        <v>0</v>
      </c>
      <c r="Q140" s="10">
        <f>ROUND(ABS('2. Demand History'!Z140-IF($D140="Yes",'2. Demand History'!N140,AVERAGE('2. Demand History'!W140:Y140)))/MAX('2. Demand History'!Z140,1),3)</f>
        <v>0.16700000000000001</v>
      </c>
    </row>
    <row r="141" spans="1:17" ht="15" customHeight="1" x14ac:dyDescent="0.2">
      <c r="A141" s="3" t="str">
        <f>'2. Demand History'!A141</f>
        <v>NT10137</v>
      </c>
      <c r="B141" s="1" t="str">
        <f>'2. Demand History'!B141</f>
        <v>VisionLED 726in 4K</v>
      </c>
      <c r="C141" s="3" t="str">
        <f>'1. Master Data'!C141</f>
        <v>TVs</v>
      </c>
      <c r="D141" s="3" t="s">
        <v>1111</v>
      </c>
      <c r="E141" s="3" t="str">
        <f t="shared" si="6"/>
        <v>Seasonal Naive</v>
      </c>
      <c r="F141" s="3">
        <f>ROUND(AVERAGE('2. Demand History'!O141:Z141),1)</f>
        <v>49.8</v>
      </c>
      <c r="G141" s="3">
        <f>ROUND(STDEV('2. Demand History'!O141:Z141),1)</f>
        <v>15.5</v>
      </c>
      <c r="H141" s="8">
        <f t="shared" si="7"/>
        <v>0.31</v>
      </c>
      <c r="I141" s="8">
        <f>ROUND(SUM('2. Demand History'!O141:Z141)/MAX(SUM('2. Demand History'!C141:N141),1),2)</f>
        <v>1.02</v>
      </c>
      <c r="J141" s="5">
        <f>IF(D141="Yes",ROUND('2. Demand History'!O141*I141,0),ROUND(AVERAGE('2. Demand History'!X141:Z141),0))</f>
        <v>39</v>
      </c>
      <c r="K141" s="9">
        <f t="shared" si="8"/>
        <v>0.14799999999999999</v>
      </c>
      <c r="L141" s="10">
        <f>ROUND(ABS('2. Demand History'!U141-IF($D141="Yes",'2. Demand History'!I141,AVERAGE('2. Demand History'!R141:T141)))/MAX('2. Demand History'!U141,1),3)</f>
        <v>0.115</v>
      </c>
      <c r="M141" s="10">
        <f>ROUND(ABS('2. Demand History'!V141-IF($D141="Yes",'2. Demand History'!J141,AVERAGE('2. Demand History'!S141:U141)))/MAX('2. Demand History'!V141,1),3)</f>
        <v>0.105</v>
      </c>
      <c r="N141" s="10">
        <f>ROUND(ABS('2. Demand History'!W141-IF($D141="Yes",'2. Demand History'!K141,AVERAGE('2. Demand History'!T141:V141)))/MAX('2. Demand History'!W141,1),3)</f>
        <v>0.2</v>
      </c>
      <c r="O141" s="10">
        <f>ROUND(ABS('2. Demand History'!X141-IF($D141="Yes",'2. Demand History'!L141,AVERAGE('2. Demand History'!U141:W141)))/MAX('2. Demand History'!X141,1),3)</f>
        <v>6.3E-2</v>
      </c>
      <c r="P141" s="10">
        <f>ROUND(ABS('2. Demand History'!Y141-IF($D141="Yes",'2. Demand History'!M141,AVERAGE('2. Demand History'!V141:X141)))/MAX('2. Demand History'!Y141,1),3)</f>
        <v>0.16300000000000001</v>
      </c>
      <c r="Q141" s="10">
        <f>ROUND(ABS('2. Demand History'!Z141-IF($D141="Yes",'2. Demand History'!N141,AVERAGE('2. Demand History'!W141:Y141)))/MAX('2. Demand History'!Z141,1),3)</f>
        <v>0.24299999999999999</v>
      </c>
    </row>
    <row r="142" spans="1:17" ht="15" customHeight="1" x14ac:dyDescent="0.2">
      <c r="A142" s="3" t="str">
        <f>'2. Demand History'!A142</f>
        <v>NT10138</v>
      </c>
      <c r="B142" s="1" t="str">
        <f>'2. Demand History'!B142</f>
        <v>VisionQ 956in QLED</v>
      </c>
      <c r="C142" s="3" t="str">
        <f>'1. Master Data'!C142</f>
        <v>TVs</v>
      </c>
      <c r="D142" s="3" t="s">
        <v>1111</v>
      </c>
      <c r="E142" s="3" t="str">
        <f t="shared" si="6"/>
        <v>Seasonal Naive</v>
      </c>
      <c r="F142" s="3">
        <f>ROUND(AVERAGE('2. Demand History'!O142:Z142),1)</f>
        <v>39.1</v>
      </c>
      <c r="G142" s="3">
        <f>ROUND(STDEV('2. Demand History'!O142:Z142),1)</f>
        <v>12.8</v>
      </c>
      <c r="H142" s="8">
        <f t="shared" si="7"/>
        <v>0.33</v>
      </c>
      <c r="I142" s="8">
        <f>ROUND(SUM('2. Demand History'!O142:Z142)/MAX(SUM('2. Demand History'!C142:N142),1),2)</f>
        <v>0.98</v>
      </c>
      <c r="J142" s="5">
        <f>IF(D142="Yes",ROUND('2. Demand History'!O142*I142,0),ROUND(AVERAGE('2. Demand History'!X142:Z142),0))</f>
        <v>31</v>
      </c>
      <c r="K142" s="9">
        <f t="shared" si="8"/>
        <v>8.7999999999999995E-2</v>
      </c>
      <c r="L142" s="10">
        <f>ROUND(ABS('2. Demand History'!U142-IF($D142="Yes",'2. Demand History'!I142,AVERAGE('2. Demand History'!R142:T142)))/MAX('2. Demand History'!U142,1),3)</f>
        <v>6.8000000000000005E-2</v>
      </c>
      <c r="M142" s="10">
        <f>ROUND(ABS('2. Demand History'!V142-IF($D142="Yes",'2. Demand History'!J142,AVERAGE('2. Demand History'!S142:U142)))/MAX('2. Demand History'!V142,1),3)</f>
        <v>7.6999999999999999E-2</v>
      </c>
      <c r="N142" s="10">
        <f>ROUND(ABS('2. Demand History'!W142-IF($D142="Yes",'2. Demand History'!K142,AVERAGE('2. Demand History'!T142:V142)))/MAX('2. Demand History'!W142,1),3)</f>
        <v>0.10299999999999999</v>
      </c>
      <c r="O142" s="10">
        <f>ROUND(ABS('2. Demand History'!X142-IF($D142="Yes",'2. Demand History'!L142,AVERAGE('2. Demand History'!U142:W142)))/MAX('2. Demand History'!X142,1),3)</f>
        <v>0.14699999999999999</v>
      </c>
      <c r="P142" s="10">
        <f>ROUND(ABS('2. Demand History'!Y142-IF($D142="Yes",'2. Demand History'!M142,AVERAGE('2. Demand History'!V142:X142)))/MAX('2. Demand History'!Y142,1),3)</f>
        <v>0.13500000000000001</v>
      </c>
      <c r="Q142" s="10">
        <f>ROUND(ABS('2. Demand History'!Z142-IF($D142="Yes",'2. Demand History'!N142,AVERAGE('2. Demand History'!W142:Y142)))/MAX('2. Demand History'!Z142,1),3)</f>
        <v>0</v>
      </c>
    </row>
    <row r="143" spans="1:17" ht="15" customHeight="1" x14ac:dyDescent="0.2">
      <c r="A143" s="3" t="str">
        <f>'2. Demand History'!A143</f>
        <v>NT10139</v>
      </c>
      <c r="B143" s="1" t="str">
        <f>'2. Demand History'!B143</f>
        <v>VisionQ 920in QLED</v>
      </c>
      <c r="C143" s="3" t="str">
        <f>'1. Master Data'!C143</f>
        <v>TVs</v>
      </c>
      <c r="D143" s="3" t="s">
        <v>1111</v>
      </c>
      <c r="E143" s="3" t="str">
        <f t="shared" si="6"/>
        <v>Seasonal Naive</v>
      </c>
      <c r="F143" s="3">
        <f>ROUND(AVERAGE('2. Demand History'!O143:Z143),1)</f>
        <v>218.9</v>
      </c>
      <c r="G143" s="3">
        <f>ROUND(STDEV('2. Demand History'!O143:Z143),1)</f>
        <v>58.3</v>
      </c>
      <c r="H143" s="8">
        <f t="shared" si="7"/>
        <v>0.27</v>
      </c>
      <c r="I143" s="8">
        <f>ROUND(SUM('2. Demand History'!O143:Z143)/MAX(SUM('2. Demand History'!C143:N143),1),2)</f>
        <v>1.03</v>
      </c>
      <c r="J143" s="5">
        <f>IF(D143="Yes",ROUND('2. Demand History'!O143*I143,0),ROUND(AVERAGE('2. Demand History'!X143:Z143),0))</f>
        <v>232</v>
      </c>
      <c r="K143" s="9">
        <f t="shared" si="8"/>
        <v>0.10100000000000001</v>
      </c>
      <c r="L143" s="10">
        <f>ROUND(ABS('2. Demand History'!U143-IF($D143="Yes",'2. Demand History'!I143,AVERAGE('2. Demand History'!R143:T143)))/MAX('2. Demand History'!U143,1),3)</f>
        <v>0.14899999999999999</v>
      </c>
      <c r="M143" s="10">
        <f>ROUND(ABS('2. Demand History'!V143-IF($D143="Yes",'2. Demand History'!J143,AVERAGE('2. Demand History'!S143:U143)))/MAX('2. Demand History'!V143,1),3)</f>
        <v>0.11600000000000001</v>
      </c>
      <c r="N143" s="10">
        <f>ROUND(ABS('2. Demand History'!W143-IF($D143="Yes",'2. Demand History'!K143,AVERAGE('2. Demand History'!T143:V143)))/MAX('2. Demand History'!W143,1),3)</f>
        <v>3.5999999999999997E-2</v>
      </c>
      <c r="O143" s="10">
        <f>ROUND(ABS('2. Demand History'!X143-IF($D143="Yes",'2. Demand History'!L143,AVERAGE('2. Demand History'!U143:W143)))/MAX('2. Demand History'!X143,1),3)</f>
        <v>0.17499999999999999</v>
      </c>
      <c r="P143" s="10">
        <f>ROUND(ABS('2. Demand History'!Y143-IF($D143="Yes",'2. Demand History'!M143,AVERAGE('2. Demand History'!V143:X143)))/MAX('2. Demand History'!Y143,1),3)</f>
        <v>1.4999999999999999E-2</v>
      </c>
      <c r="Q143" s="10">
        <f>ROUND(ABS('2. Demand History'!Z143-IF($D143="Yes",'2. Demand History'!N143,AVERAGE('2. Demand History'!W143:Y143)))/MAX('2. Demand History'!Z143,1),3)</f>
        <v>0.112</v>
      </c>
    </row>
    <row r="144" spans="1:17" ht="15" customHeight="1" x14ac:dyDescent="0.2">
      <c r="A144" s="3" t="str">
        <f>'2. Demand History'!A144</f>
        <v>NT10140</v>
      </c>
      <c r="B144" s="1" t="str">
        <f>'2. Demand History'!B144</f>
        <v>VisionQ 974in QLED</v>
      </c>
      <c r="C144" s="3" t="str">
        <f>'1. Master Data'!C144</f>
        <v>TVs</v>
      </c>
      <c r="D144" s="3" t="s">
        <v>1111</v>
      </c>
      <c r="E144" s="3" t="str">
        <f t="shared" si="6"/>
        <v>Seasonal Naive</v>
      </c>
      <c r="F144" s="3">
        <f>ROUND(AVERAGE('2. Demand History'!O144:Z144),1)</f>
        <v>14.5</v>
      </c>
      <c r="G144" s="3">
        <f>ROUND(STDEV('2. Demand History'!O144:Z144),1)</f>
        <v>4.0999999999999996</v>
      </c>
      <c r="H144" s="8">
        <f t="shared" si="7"/>
        <v>0.28000000000000003</v>
      </c>
      <c r="I144" s="8">
        <f>ROUND(SUM('2. Demand History'!O144:Z144)/MAX(SUM('2. Demand History'!C144:N144),1),2)</f>
        <v>1.04</v>
      </c>
      <c r="J144" s="5">
        <f>IF(D144="Yes",ROUND('2. Demand History'!O144*I144,0),ROUND(AVERAGE('2. Demand History'!X144:Z144),0))</f>
        <v>14</v>
      </c>
      <c r="K144" s="9">
        <f t="shared" si="8"/>
        <v>0.115</v>
      </c>
      <c r="L144" s="10">
        <f>ROUND(ABS('2. Demand History'!U144-IF($D144="Yes",'2. Demand History'!I144,AVERAGE('2. Demand History'!R144:T144)))/MAX('2. Demand History'!U144,1),3)</f>
        <v>0.04</v>
      </c>
      <c r="M144" s="10">
        <f>ROUND(ABS('2. Demand History'!V144-IF($D144="Yes",'2. Demand History'!J144,AVERAGE('2. Demand History'!S144:U144)))/MAX('2. Demand History'!V144,1),3)</f>
        <v>9.0999999999999998E-2</v>
      </c>
      <c r="N144" s="10">
        <f>ROUND(ABS('2. Demand History'!W144-IF($D144="Yes",'2. Demand History'!K144,AVERAGE('2. Demand History'!T144:V144)))/MAX('2. Demand History'!W144,1),3)</f>
        <v>0</v>
      </c>
      <c r="O144" s="10">
        <f>ROUND(ABS('2. Demand History'!X144-IF($D144="Yes",'2. Demand History'!L144,AVERAGE('2. Demand History'!U144:W144)))/MAX('2. Demand History'!X144,1),3)</f>
        <v>0</v>
      </c>
      <c r="P144" s="10">
        <f>ROUND(ABS('2. Demand History'!Y144-IF($D144="Yes",'2. Demand History'!M144,AVERAGE('2. Demand History'!V144:X144)))/MAX('2. Demand History'!Y144,1),3)</f>
        <v>0.308</v>
      </c>
      <c r="Q144" s="10">
        <f>ROUND(ABS('2. Demand History'!Z144-IF($D144="Yes",'2. Demand History'!N144,AVERAGE('2. Demand History'!W144:Y144)))/MAX('2. Demand History'!Z144,1),3)</f>
        <v>0.25</v>
      </c>
    </row>
    <row r="145" spans="1:17" ht="15" customHeight="1" x14ac:dyDescent="0.2">
      <c r="A145" s="3" t="str">
        <f>'2. Demand History'!A145</f>
        <v>NT10141</v>
      </c>
      <c r="B145" s="1" t="str">
        <f>'2. Demand History'!B145</f>
        <v>VisionLED 341in 4K</v>
      </c>
      <c r="C145" s="3" t="str">
        <f>'1. Master Data'!C145</f>
        <v>TVs</v>
      </c>
      <c r="D145" s="3" t="s">
        <v>1111</v>
      </c>
      <c r="E145" s="3" t="str">
        <f t="shared" si="6"/>
        <v>Seasonal Naive</v>
      </c>
      <c r="F145" s="3">
        <f>ROUND(AVERAGE('2. Demand History'!O145:Z145),1)</f>
        <v>40.4</v>
      </c>
      <c r="G145" s="3">
        <f>ROUND(STDEV('2. Demand History'!O145:Z145),1)</f>
        <v>15.6</v>
      </c>
      <c r="H145" s="8">
        <f t="shared" si="7"/>
        <v>0.39</v>
      </c>
      <c r="I145" s="8">
        <f>ROUND(SUM('2. Demand History'!O145:Z145)/MAX(SUM('2. Demand History'!C145:N145),1),2)</f>
        <v>1.06</v>
      </c>
      <c r="J145" s="5">
        <f>IF(D145="Yes",ROUND('2. Demand History'!O145*I145,0),ROUND(AVERAGE('2. Demand History'!X145:Z145),0))</f>
        <v>41</v>
      </c>
      <c r="K145" s="9">
        <f t="shared" si="8"/>
        <v>0.14899999999999999</v>
      </c>
      <c r="L145" s="10">
        <f>ROUND(ABS('2. Demand History'!U145-IF($D145="Yes",'2. Demand History'!I145,AVERAGE('2. Demand History'!R145:T145)))/MAX('2. Demand History'!U145,1),3)</f>
        <v>0.107</v>
      </c>
      <c r="M145" s="10">
        <f>ROUND(ABS('2. Demand History'!V145-IF($D145="Yes",'2. Demand History'!J145,AVERAGE('2. Demand History'!S145:U145)))/MAX('2. Demand History'!V145,1),3)</f>
        <v>0.161</v>
      </c>
      <c r="N145" s="10">
        <f>ROUND(ABS('2. Demand History'!W145-IF($D145="Yes",'2. Demand History'!K145,AVERAGE('2. Demand History'!T145:V145)))/MAX('2. Demand History'!W145,1),3)</f>
        <v>3.5999999999999997E-2</v>
      </c>
      <c r="O145" s="10">
        <f>ROUND(ABS('2. Demand History'!X145-IF($D145="Yes",'2. Demand History'!L145,AVERAGE('2. Demand History'!U145:W145)))/MAX('2. Demand History'!X145,1),3)</f>
        <v>0.16700000000000001</v>
      </c>
      <c r="P145" s="10">
        <f>ROUND(ABS('2. Demand History'!Y145-IF($D145="Yes",'2. Demand History'!M145,AVERAGE('2. Demand History'!V145:X145)))/MAX('2. Demand History'!Y145,1),3)</f>
        <v>0.189</v>
      </c>
      <c r="Q145" s="10">
        <f>ROUND(ABS('2. Demand History'!Z145-IF($D145="Yes",'2. Demand History'!N145,AVERAGE('2. Demand History'!W145:Y145)))/MAX('2. Demand History'!Z145,1),3)</f>
        <v>0.23499999999999999</v>
      </c>
    </row>
    <row r="146" spans="1:17" ht="15" customHeight="1" x14ac:dyDescent="0.2">
      <c r="A146" s="3" t="str">
        <f>'2. Demand History'!A146</f>
        <v>NT10142</v>
      </c>
      <c r="B146" s="1" t="str">
        <f>'2. Demand History'!B146</f>
        <v>CinemaMax 625in 8K</v>
      </c>
      <c r="C146" s="3" t="str">
        <f>'1. Master Data'!C146</f>
        <v>TVs</v>
      </c>
      <c r="D146" s="3" t="s">
        <v>1111</v>
      </c>
      <c r="E146" s="3" t="str">
        <f t="shared" si="6"/>
        <v>Seasonal Naive</v>
      </c>
      <c r="F146" s="3">
        <f>ROUND(AVERAGE('2. Demand History'!O146:Z146),1)</f>
        <v>9.3000000000000007</v>
      </c>
      <c r="G146" s="3">
        <f>ROUND(STDEV('2. Demand History'!O146:Z146),1)</f>
        <v>2.7</v>
      </c>
      <c r="H146" s="8">
        <f t="shared" si="7"/>
        <v>0.28999999999999998</v>
      </c>
      <c r="I146" s="8">
        <f>ROUND(SUM('2. Demand History'!O146:Z146)/MAX(SUM('2. Demand History'!C146:N146),1),2)</f>
        <v>1.1299999999999999</v>
      </c>
      <c r="J146" s="5">
        <f>IF(D146="Yes",ROUND('2. Demand History'!O146*I146,0),ROUND(AVERAGE('2. Demand History'!X146:Z146),0))</f>
        <v>10</v>
      </c>
      <c r="K146" s="9">
        <f t="shared" si="8"/>
        <v>0.124</v>
      </c>
      <c r="L146" s="10">
        <f>ROUND(ABS('2. Demand History'!U146-IF($D146="Yes",'2. Demand History'!I146,AVERAGE('2. Demand History'!R146:T146)))/MAX('2. Demand History'!U146,1),3)</f>
        <v>6.3E-2</v>
      </c>
      <c r="M146" s="10">
        <f>ROUND(ABS('2. Demand History'!V146-IF($D146="Yes",'2. Demand History'!J146,AVERAGE('2. Demand History'!S146:U146)))/MAX('2. Demand History'!V146,1),3)</f>
        <v>0</v>
      </c>
      <c r="N146" s="10">
        <f>ROUND(ABS('2. Demand History'!W146-IF($D146="Yes",'2. Demand History'!K146,AVERAGE('2. Demand History'!T146:V146)))/MAX('2. Demand History'!W146,1),3)</f>
        <v>0.14299999999999999</v>
      </c>
      <c r="O146" s="10">
        <f>ROUND(ABS('2. Demand History'!X146-IF($D146="Yes",'2. Demand History'!L146,AVERAGE('2. Demand History'!U146:W146)))/MAX('2. Demand History'!X146,1),3)</f>
        <v>0.125</v>
      </c>
      <c r="P146" s="10">
        <f>ROUND(ABS('2. Demand History'!Y146-IF($D146="Yes",'2. Demand History'!M146,AVERAGE('2. Demand History'!V146:X146)))/MAX('2. Demand History'!Y146,1),3)</f>
        <v>0.111</v>
      </c>
      <c r="Q146" s="10">
        <f>ROUND(ABS('2. Demand History'!Z146-IF($D146="Yes",'2. Demand History'!N146,AVERAGE('2. Demand History'!W146:Y146)))/MAX('2. Demand History'!Z146,1),3)</f>
        <v>0.3</v>
      </c>
    </row>
    <row r="147" spans="1:17" ht="15" customHeight="1" x14ac:dyDescent="0.2">
      <c r="A147" s="3" t="str">
        <f>'2. Demand History'!A147</f>
        <v>NT10143</v>
      </c>
      <c r="B147" s="1" t="str">
        <f>'2. Demand History'!B147</f>
        <v>VisionLED 568in 4K</v>
      </c>
      <c r="C147" s="3" t="str">
        <f>'1. Master Data'!C147</f>
        <v>TVs</v>
      </c>
      <c r="D147" s="3" t="s">
        <v>1111</v>
      </c>
      <c r="E147" s="3" t="str">
        <f t="shared" si="6"/>
        <v>Seasonal Naive</v>
      </c>
      <c r="F147" s="3">
        <f>ROUND(AVERAGE('2. Demand History'!O147:Z147),1)</f>
        <v>58.8</v>
      </c>
      <c r="G147" s="3">
        <f>ROUND(STDEV('2. Demand History'!O147:Z147),1)</f>
        <v>18.5</v>
      </c>
      <c r="H147" s="8">
        <f t="shared" si="7"/>
        <v>0.31</v>
      </c>
      <c r="I147" s="8">
        <f>ROUND(SUM('2. Demand History'!O147:Z147)/MAX(SUM('2. Demand History'!C147:N147),1),2)</f>
        <v>1.07</v>
      </c>
      <c r="J147" s="5">
        <f>IF(D147="Yes",ROUND('2. Demand History'!O147*I147,0),ROUND(AVERAGE('2. Demand History'!X147:Z147),0))</f>
        <v>56</v>
      </c>
      <c r="K147" s="9">
        <f t="shared" si="8"/>
        <v>0.10199999999999999</v>
      </c>
      <c r="L147" s="10">
        <f>ROUND(ABS('2. Demand History'!U147-IF($D147="Yes",'2. Demand History'!I147,AVERAGE('2. Demand History'!R147:T147)))/MAX('2. Demand History'!U147,1),3)</f>
        <v>8.2000000000000003E-2</v>
      </c>
      <c r="M147" s="10">
        <f>ROUND(ABS('2. Demand History'!V147-IF($D147="Yes",'2. Demand History'!J147,AVERAGE('2. Demand History'!S147:U147)))/MAX('2. Demand History'!V147,1),3)</f>
        <v>0.11600000000000001</v>
      </c>
      <c r="N147" s="10">
        <f>ROUND(ABS('2. Demand History'!W147-IF($D147="Yes",'2. Demand History'!K147,AVERAGE('2. Demand History'!T147:V147)))/MAX('2. Demand History'!W147,1),3)</f>
        <v>0.184</v>
      </c>
      <c r="O147" s="10">
        <f>ROUND(ABS('2. Demand History'!X147-IF($D147="Yes",'2. Demand History'!L147,AVERAGE('2. Demand History'!U147:W147)))/MAX('2. Demand History'!X147,1),3)</f>
        <v>0.107</v>
      </c>
      <c r="P147" s="10">
        <f>ROUND(ABS('2. Demand History'!Y147-IF($D147="Yes",'2. Demand History'!M147,AVERAGE('2. Demand History'!V147:X147)))/MAX('2. Demand History'!Y147,1),3)</f>
        <v>0</v>
      </c>
      <c r="Q147" s="10">
        <f>ROUND(ABS('2. Demand History'!Z147-IF($D147="Yes",'2. Demand History'!N147,AVERAGE('2. Demand History'!W147:Y147)))/MAX('2. Demand History'!Z147,1),3)</f>
        <v>0.123</v>
      </c>
    </row>
    <row r="148" spans="1:17" ht="15" customHeight="1" x14ac:dyDescent="0.2">
      <c r="A148" s="3" t="str">
        <f>'2. Demand History'!A148</f>
        <v>NT10144</v>
      </c>
      <c r="B148" s="1" t="str">
        <f>'2. Demand History'!B148</f>
        <v>VisionOLED 428in 4K</v>
      </c>
      <c r="C148" s="3" t="str">
        <f>'1. Master Data'!C148</f>
        <v>TVs</v>
      </c>
      <c r="D148" s="3" t="s">
        <v>1111</v>
      </c>
      <c r="E148" s="3" t="str">
        <f t="shared" si="6"/>
        <v>Seasonal Naive</v>
      </c>
      <c r="F148" s="3">
        <f>ROUND(AVERAGE('2. Demand History'!O148:Z148),1)</f>
        <v>22.2</v>
      </c>
      <c r="G148" s="3">
        <f>ROUND(STDEV('2. Demand History'!O148:Z148),1)</f>
        <v>7</v>
      </c>
      <c r="H148" s="8">
        <f t="shared" si="7"/>
        <v>0.32</v>
      </c>
      <c r="I148" s="8">
        <f>ROUND(SUM('2. Demand History'!O148:Z148)/MAX(SUM('2. Demand History'!C148:N148),1),2)</f>
        <v>1.07</v>
      </c>
      <c r="J148" s="5">
        <f>IF(D148="Yes",ROUND('2. Demand History'!O148*I148,0),ROUND(AVERAGE('2. Demand History'!X148:Z148),0))</f>
        <v>20</v>
      </c>
      <c r="K148" s="9">
        <f t="shared" si="8"/>
        <v>0.11700000000000001</v>
      </c>
      <c r="L148" s="10">
        <f>ROUND(ABS('2. Demand History'!U148-IF($D148="Yes",'2. Demand History'!I148,AVERAGE('2. Demand History'!R148:T148)))/MAX('2. Demand History'!U148,1),3)</f>
        <v>0.128</v>
      </c>
      <c r="M148" s="10">
        <f>ROUND(ABS('2. Demand History'!V148-IF($D148="Yes",'2. Demand History'!J148,AVERAGE('2. Demand History'!S148:U148)))/MAX('2. Demand History'!V148,1),3)</f>
        <v>0</v>
      </c>
      <c r="N148" s="10">
        <f>ROUND(ABS('2. Demand History'!W148-IF($D148="Yes",'2. Demand History'!K148,AVERAGE('2. Demand History'!T148:V148)))/MAX('2. Demand History'!W148,1),3)</f>
        <v>0.105</v>
      </c>
      <c r="O148" s="10">
        <f>ROUND(ABS('2. Demand History'!X148-IF($D148="Yes",'2. Demand History'!L148,AVERAGE('2. Demand History'!U148:W148)))/MAX('2. Demand History'!X148,1),3)</f>
        <v>0.11799999999999999</v>
      </c>
      <c r="P148" s="10">
        <f>ROUND(ABS('2. Demand History'!Y148-IF($D148="Yes",'2. Demand History'!M148,AVERAGE('2. Demand History'!V148:X148)))/MAX('2. Demand History'!Y148,1),3)</f>
        <v>0.26300000000000001</v>
      </c>
      <c r="Q148" s="10">
        <f>ROUND(ABS('2. Demand History'!Z148-IF($D148="Yes",'2. Demand History'!N148,AVERAGE('2. Demand History'!W148:Y148)))/MAX('2. Demand History'!Z148,1),3)</f>
        <v>8.6999999999999994E-2</v>
      </c>
    </row>
    <row r="149" spans="1:17" ht="15" customHeight="1" x14ac:dyDescent="0.2">
      <c r="A149" s="3" t="str">
        <f>'2. Demand History'!A149</f>
        <v>NT10145</v>
      </c>
      <c r="B149" s="1" t="str">
        <f>'2. Demand History'!B149</f>
        <v>CinemaMax 201in 8K</v>
      </c>
      <c r="C149" s="3" t="str">
        <f>'1. Master Data'!C149</f>
        <v>TVs</v>
      </c>
      <c r="D149" s="3" t="s">
        <v>1111</v>
      </c>
      <c r="E149" s="3" t="str">
        <f t="shared" si="6"/>
        <v>Seasonal Naive</v>
      </c>
      <c r="F149" s="3">
        <f>ROUND(AVERAGE('2. Demand History'!O149:Z149),1)</f>
        <v>55.3</v>
      </c>
      <c r="G149" s="3">
        <f>ROUND(STDEV('2. Demand History'!O149:Z149),1)</f>
        <v>16.3</v>
      </c>
      <c r="H149" s="8">
        <f t="shared" si="7"/>
        <v>0.28999999999999998</v>
      </c>
      <c r="I149" s="8">
        <f>ROUND(SUM('2. Demand History'!O149:Z149)/MAX(SUM('2. Demand History'!C149:N149),1),2)</f>
        <v>1.08</v>
      </c>
      <c r="J149" s="5">
        <f>IF(D149="Yes",ROUND('2. Demand History'!O149*I149,0),ROUND(AVERAGE('2. Demand History'!X149:Z149),0))</f>
        <v>53</v>
      </c>
      <c r="K149" s="9">
        <f t="shared" si="8"/>
        <v>0.13</v>
      </c>
      <c r="L149" s="10">
        <f>ROUND(ABS('2. Demand History'!U149-IF($D149="Yes",'2. Demand History'!I149,AVERAGE('2. Demand History'!R149:T149)))/MAX('2. Demand History'!U149,1),3)</f>
        <v>0.01</v>
      </c>
      <c r="M149" s="10">
        <f>ROUND(ABS('2. Demand History'!V149-IF($D149="Yes",'2. Demand History'!J149,AVERAGE('2. Demand History'!S149:U149)))/MAX('2. Demand History'!V149,1),3)</f>
        <v>0.105</v>
      </c>
      <c r="N149" s="10">
        <f>ROUND(ABS('2. Demand History'!W149-IF($D149="Yes",'2. Demand History'!K149,AVERAGE('2. Demand History'!T149:V149)))/MAX('2. Demand History'!W149,1),3)</f>
        <v>0.17799999999999999</v>
      </c>
      <c r="O149" s="10">
        <f>ROUND(ABS('2. Demand History'!X149-IF($D149="Yes",'2. Demand History'!L149,AVERAGE('2. Demand History'!U149:W149)))/MAX('2. Demand History'!X149,1),3)</f>
        <v>0.14299999999999999</v>
      </c>
      <c r="P149" s="10">
        <f>ROUND(ABS('2. Demand History'!Y149-IF($D149="Yes",'2. Demand History'!M149,AVERAGE('2. Demand History'!V149:X149)))/MAX('2. Demand History'!Y149,1),3)</f>
        <v>0.26800000000000002</v>
      </c>
      <c r="Q149" s="10">
        <f>ROUND(ABS('2. Demand History'!Z149-IF($D149="Yes",'2. Demand History'!N149,AVERAGE('2. Demand History'!W149:Y149)))/MAX('2. Demand History'!Z149,1),3)</f>
        <v>7.3999999999999996E-2</v>
      </c>
    </row>
    <row r="150" spans="1:17" ht="15" customHeight="1" x14ac:dyDescent="0.2">
      <c r="A150" s="3" t="str">
        <f>'2. Demand History'!A150</f>
        <v>NT10146</v>
      </c>
      <c r="B150" s="1" t="str">
        <f>'2. Demand History'!B150</f>
        <v>VisionLED 188in 4K</v>
      </c>
      <c r="C150" s="3" t="str">
        <f>'1. Master Data'!C150</f>
        <v>TVs</v>
      </c>
      <c r="D150" s="3" t="s">
        <v>1111</v>
      </c>
      <c r="E150" s="3" t="str">
        <f t="shared" si="6"/>
        <v>Seasonal Naive</v>
      </c>
      <c r="F150" s="3">
        <f>ROUND(AVERAGE('2. Demand History'!O150:Z150),1)</f>
        <v>16.600000000000001</v>
      </c>
      <c r="G150" s="3">
        <f>ROUND(STDEV('2. Demand History'!O150:Z150),1)</f>
        <v>4.9000000000000004</v>
      </c>
      <c r="H150" s="8">
        <f t="shared" si="7"/>
        <v>0.3</v>
      </c>
      <c r="I150" s="8">
        <f>ROUND(SUM('2. Demand History'!O150:Z150)/MAX(SUM('2. Demand History'!C150:N150),1),2)</f>
        <v>1.05</v>
      </c>
      <c r="J150" s="5">
        <f>IF(D150="Yes",ROUND('2. Demand History'!O150*I150,0),ROUND(AVERAGE('2. Demand History'!X150:Z150),0))</f>
        <v>16</v>
      </c>
      <c r="K150" s="9">
        <f t="shared" si="8"/>
        <v>0.09</v>
      </c>
      <c r="L150" s="10">
        <f>ROUND(ABS('2. Demand History'!U150-IF($D150="Yes",'2. Demand History'!I150,AVERAGE('2. Demand History'!R150:T150)))/MAX('2. Demand History'!U150,1),3)</f>
        <v>0.161</v>
      </c>
      <c r="M150" s="10">
        <f>ROUND(ABS('2. Demand History'!V150-IF($D150="Yes",'2. Demand History'!J150,AVERAGE('2. Demand History'!S150:U150)))/MAX('2. Demand History'!V150,1),3)</f>
        <v>9.0999999999999998E-2</v>
      </c>
      <c r="N150" s="10">
        <f>ROUND(ABS('2. Demand History'!W150-IF($D150="Yes",'2. Demand History'!K150,AVERAGE('2. Demand History'!T150:V150)))/MAX('2. Demand History'!W150,1),3)</f>
        <v>0</v>
      </c>
      <c r="O150" s="10">
        <f>ROUND(ABS('2. Demand History'!X150-IF($D150="Yes",'2. Demand History'!L150,AVERAGE('2. Demand History'!U150:W150)))/MAX('2. Demand History'!X150,1),3)</f>
        <v>0</v>
      </c>
      <c r="P150" s="10">
        <f>ROUND(ABS('2. Demand History'!Y150-IF($D150="Yes",'2. Demand History'!M150,AVERAGE('2. Demand History'!V150:X150)))/MAX('2. Demand History'!Y150,1),3)</f>
        <v>0.28599999999999998</v>
      </c>
      <c r="Q150" s="10">
        <f>ROUND(ABS('2. Demand History'!Z150-IF($D150="Yes",'2. Demand History'!N150,AVERAGE('2. Demand History'!W150:Y150)))/MAX('2. Demand History'!Z150,1),3)</f>
        <v>0</v>
      </c>
    </row>
    <row r="151" spans="1:17" ht="15" customHeight="1" x14ac:dyDescent="0.2">
      <c r="A151" s="3" t="str">
        <f>'2. Demand History'!A151</f>
        <v>NT10147</v>
      </c>
      <c r="B151" s="1" t="str">
        <f>'2. Demand History'!B151</f>
        <v>CinemaMax 871in 8K</v>
      </c>
      <c r="C151" s="3" t="str">
        <f>'1. Master Data'!C151</f>
        <v>TVs</v>
      </c>
      <c r="D151" s="3" t="s">
        <v>1111</v>
      </c>
      <c r="E151" s="3" t="str">
        <f t="shared" si="6"/>
        <v>Seasonal Naive</v>
      </c>
      <c r="F151" s="3">
        <f>ROUND(AVERAGE('2. Demand History'!O151:Z151),1)</f>
        <v>24.9</v>
      </c>
      <c r="G151" s="3">
        <f>ROUND(STDEV('2. Demand History'!O151:Z151),1)</f>
        <v>26.4</v>
      </c>
      <c r="H151" s="8">
        <f t="shared" si="7"/>
        <v>1.06</v>
      </c>
      <c r="I151" s="8">
        <f>ROUND(SUM('2. Demand History'!O151:Z151)/MAX(SUM('2. Demand History'!C151:N151),1),2)</f>
        <v>1.41</v>
      </c>
      <c r="J151" s="5">
        <f>IF(D151="Yes",ROUND('2. Demand History'!O151*I151,0),ROUND(AVERAGE('2. Demand History'!X151:Z151),0))</f>
        <v>17</v>
      </c>
      <c r="K151" s="9">
        <f t="shared" si="8"/>
        <v>1.3340000000000001</v>
      </c>
      <c r="L151" s="10">
        <f>ROUND(ABS('2. Demand History'!U151-IF($D151="Yes",'2. Demand History'!I151,AVERAGE('2. Demand History'!R151:T151)))/MAX('2. Demand History'!U151,1),3)</f>
        <v>0.42899999999999999</v>
      </c>
      <c r="M151" s="10">
        <f>ROUND(ABS('2. Demand History'!V151-IF($D151="Yes",'2. Demand History'!J151,AVERAGE('2. Demand History'!S151:U151)))/MAX('2. Demand History'!V151,1),3)</f>
        <v>9.0999999999999998E-2</v>
      </c>
      <c r="N151" s="10">
        <f>ROUND(ABS('2. Demand History'!W151-IF($D151="Yes",'2. Demand History'!K151,AVERAGE('2. Demand History'!T151:V151)))/MAX('2. Demand History'!W151,1),3)</f>
        <v>5.556</v>
      </c>
      <c r="O151" s="10">
        <f>ROUND(ABS('2. Demand History'!X151-IF($D151="Yes",'2. Demand History'!L151,AVERAGE('2. Demand History'!U151:W151)))/MAX('2. Demand History'!X151,1),3)</f>
        <v>0.88200000000000001</v>
      </c>
      <c r="P151" s="10">
        <f>ROUND(ABS('2. Demand History'!Y151-IF($D151="Yes",'2. Demand History'!M151,AVERAGE('2. Demand History'!V151:X151)))/MAX('2. Demand History'!Y151,1),3)</f>
        <v>0.86199999999999999</v>
      </c>
      <c r="Q151" s="10">
        <f>ROUND(ABS('2. Demand History'!Z151-IF($D151="Yes",'2. Demand History'!N151,AVERAGE('2. Demand History'!W151:Y151)))/MAX('2. Demand History'!Z151,1),3)</f>
        <v>0.182</v>
      </c>
    </row>
    <row r="152" spans="1:17" ht="15" customHeight="1" x14ac:dyDescent="0.2">
      <c r="A152" s="3" t="str">
        <f>'2. Demand History'!A152</f>
        <v>NT10148</v>
      </c>
      <c r="B152" s="1" t="str">
        <f>'2. Demand History'!B152</f>
        <v>CinemaMax 609in 8K</v>
      </c>
      <c r="C152" s="3" t="str">
        <f>'1. Master Data'!C152</f>
        <v>TVs</v>
      </c>
      <c r="D152" s="3" t="s">
        <v>1111</v>
      </c>
      <c r="E152" s="3" t="str">
        <f t="shared" si="6"/>
        <v>Seasonal Naive</v>
      </c>
      <c r="F152" s="3">
        <f>ROUND(AVERAGE('2. Demand History'!O152:Z152),1)</f>
        <v>40.700000000000003</v>
      </c>
      <c r="G152" s="3">
        <f>ROUND(STDEV('2. Demand History'!O152:Z152),1)</f>
        <v>9.1999999999999993</v>
      </c>
      <c r="H152" s="8">
        <f t="shared" si="7"/>
        <v>0.23</v>
      </c>
      <c r="I152" s="8">
        <f>ROUND(SUM('2. Demand History'!O152:Z152)/MAX(SUM('2. Demand History'!C152:N152),1),2)</f>
        <v>0.93</v>
      </c>
      <c r="J152" s="5">
        <f>IF(D152="Yes",ROUND('2. Demand History'!O152*I152,0),ROUND(AVERAGE('2. Demand History'!X152:Z152),0))</f>
        <v>35</v>
      </c>
      <c r="K152" s="9">
        <f t="shared" si="8"/>
        <v>0.13600000000000001</v>
      </c>
      <c r="L152" s="10">
        <f>ROUND(ABS('2. Demand History'!U152-IF($D152="Yes",'2. Demand History'!I152,AVERAGE('2. Demand History'!R152:T152)))/MAX('2. Demand History'!U152,1),3)</f>
        <v>5.8999999999999997E-2</v>
      </c>
      <c r="M152" s="10">
        <f>ROUND(ABS('2. Demand History'!V152-IF($D152="Yes",'2. Demand History'!J152,AVERAGE('2. Demand History'!S152:U152)))/MAX('2. Demand History'!V152,1),3)</f>
        <v>0.21099999999999999</v>
      </c>
      <c r="N152" s="10">
        <f>ROUND(ABS('2. Demand History'!W152-IF($D152="Yes",'2. Demand History'!K152,AVERAGE('2. Demand History'!T152:V152)))/MAX('2. Demand History'!W152,1),3)</f>
        <v>8.7999999999999995E-2</v>
      </c>
      <c r="O152" s="10">
        <f>ROUND(ABS('2. Demand History'!X152-IF($D152="Yes",'2. Demand History'!L152,AVERAGE('2. Demand History'!U152:W152)))/MAX('2. Demand History'!X152,1),3)</f>
        <v>0.33300000000000002</v>
      </c>
      <c r="P152" s="10">
        <f>ROUND(ABS('2. Demand History'!Y152-IF($D152="Yes",'2. Demand History'!M152,AVERAGE('2. Demand History'!V152:X152)))/MAX('2. Demand History'!Y152,1),3)</f>
        <v>0</v>
      </c>
      <c r="Q152" s="10">
        <f>ROUND(ABS('2. Demand History'!Z152-IF($D152="Yes",'2. Demand History'!N152,AVERAGE('2. Demand History'!W152:Y152)))/MAX('2. Demand History'!Z152,1),3)</f>
        <v>0.125</v>
      </c>
    </row>
    <row r="153" spans="1:17" ht="15" customHeight="1" x14ac:dyDescent="0.2">
      <c r="A153" s="3" t="str">
        <f>'2. Demand History'!A153</f>
        <v>NT10149</v>
      </c>
      <c r="B153" s="1" t="str">
        <f>'2. Demand History'!B153</f>
        <v>CinemaMax 755in 8K</v>
      </c>
      <c r="C153" s="3" t="str">
        <f>'1. Master Data'!C153</f>
        <v>TVs</v>
      </c>
      <c r="D153" s="3" t="s">
        <v>1111</v>
      </c>
      <c r="E153" s="3" t="str">
        <f t="shared" si="6"/>
        <v>Seasonal Naive</v>
      </c>
      <c r="F153" s="3">
        <f>ROUND(AVERAGE('2. Demand History'!O153:Z153),1)</f>
        <v>63.6</v>
      </c>
      <c r="G153" s="3">
        <f>ROUND(STDEV('2. Demand History'!O153:Z153),1)</f>
        <v>17.3</v>
      </c>
      <c r="H153" s="8">
        <f t="shared" si="7"/>
        <v>0.27</v>
      </c>
      <c r="I153" s="8">
        <f>ROUND(SUM('2. Demand History'!O153:Z153)/MAX(SUM('2. Demand History'!C153:N153),1),2)</f>
        <v>1.05</v>
      </c>
      <c r="J153" s="5">
        <f>IF(D153="Yes",ROUND('2. Demand History'!O153*I153,0),ROUND(AVERAGE('2. Demand History'!X153:Z153),0))</f>
        <v>64</v>
      </c>
      <c r="K153" s="9">
        <f t="shared" si="8"/>
        <v>8.8999999999999996E-2</v>
      </c>
      <c r="L153" s="10">
        <f>ROUND(ABS('2. Demand History'!U153-IF($D153="Yes",'2. Demand History'!I153,AVERAGE('2. Demand History'!R153:T153)))/MAX('2. Demand History'!U153,1),3)</f>
        <v>0.159</v>
      </c>
      <c r="M153" s="10">
        <f>ROUND(ABS('2. Demand History'!V153-IF($D153="Yes",'2. Demand History'!J153,AVERAGE('2. Demand History'!S153:U153)))/MAX('2. Demand History'!V153,1),3)</f>
        <v>0.16700000000000001</v>
      </c>
      <c r="N153" s="10">
        <f>ROUND(ABS('2. Demand History'!W153-IF($D153="Yes",'2. Demand History'!K153,AVERAGE('2. Demand History'!T153:V153)))/MAX('2. Demand History'!W153,1),3)</f>
        <v>2.1000000000000001E-2</v>
      </c>
      <c r="O153" s="10">
        <f>ROUND(ABS('2. Demand History'!X153-IF($D153="Yes",'2. Demand History'!L153,AVERAGE('2. Demand History'!U153:W153)))/MAX('2. Demand History'!X153,1),3)</f>
        <v>0</v>
      </c>
      <c r="P153" s="10">
        <f>ROUND(ABS('2. Demand History'!Y153-IF($D153="Yes",'2. Demand History'!M153,AVERAGE('2. Demand History'!V153:X153)))/MAX('2. Demand History'!Y153,1),3)</f>
        <v>6.8000000000000005E-2</v>
      </c>
      <c r="Q153" s="10">
        <f>ROUND(ABS('2. Demand History'!Z153-IF($D153="Yes",'2. Demand History'!N153,AVERAGE('2. Demand History'!W153:Y153)))/MAX('2. Demand History'!Z153,1),3)</f>
        <v>0.11700000000000001</v>
      </c>
    </row>
    <row r="154" spans="1:17" ht="15" customHeight="1" x14ac:dyDescent="0.2">
      <c r="A154" s="3" t="str">
        <f>'2. Demand History'!A154</f>
        <v>NT10150</v>
      </c>
      <c r="B154" s="1" t="str">
        <f>'2. Demand History'!B154</f>
        <v>VisionLED 977in 4K</v>
      </c>
      <c r="C154" s="3" t="str">
        <f>'1. Master Data'!C154</f>
        <v>TVs</v>
      </c>
      <c r="D154" s="3" t="s">
        <v>1111</v>
      </c>
      <c r="E154" s="3" t="str">
        <f t="shared" si="6"/>
        <v>Seasonal Naive</v>
      </c>
      <c r="F154" s="3">
        <f>ROUND(AVERAGE('2. Demand History'!O154:Z154),1)</f>
        <v>47.7</v>
      </c>
      <c r="G154" s="3">
        <f>ROUND(STDEV('2. Demand History'!O154:Z154),1)</f>
        <v>13.8</v>
      </c>
      <c r="H154" s="8">
        <f t="shared" si="7"/>
        <v>0.28999999999999998</v>
      </c>
      <c r="I154" s="8">
        <f>ROUND(SUM('2. Demand History'!O154:Z154)/MAX(SUM('2. Demand History'!C154:N154),1),2)</f>
        <v>1.03</v>
      </c>
      <c r="J154" s="5">
        <f>IF(D154="Yes",ROUND('2. Demand History'!O154*I154,0),ROUND(AVERAGE('2. Demand History'!X154:Z154),0))</f>
        <v>49</v>
      </c>
      <c r="K154" s="9">
        <f t="shared" si="8"/>
        <v>0.16</v>
      </c>
      <c r="L154" s="10">
        <f>ROUND(ABS('2. Demand History'!U154-IF($D154="Yes",'2. Demand History'!I154,AVERAGE('2. Demand History'!R154:T154)))/MAX('2. Demand History'!U154,1),3)</f>
        <v>0.27400000000000002</v>
      </c>
      <c r="M154" s="10">
        <f>ROUND(ABS('2. Demand History'!V154-IF($D154="Yes",'2. Demand History'!J154,AVERAGE('2. Demand History'!S154:U154)))/MAX('2. Demand History'!V154,1),3)</f>
        <v>3.3000000000000002E-2</v>
      </c>
      <c r="N154" s="10">
        <f>ROUND(ABS('2. Demand History'!W154-IF($D154="Yes",'2. Demand History'!K154,AVERAGE('2. Demand History'!T154:V154)))/MAX('2. Demand History'!W154,1),3)</f>
        <v>7.2999999999999995E-2</v>
      </c>
      <c r="O154" s="10">
        <f>ROUND(ABS('2. Demand History'!X154-IF($D154="Yes",'2. Demand History'!L154,AVERAGE('2. Demand History'!U154:W154)))/MAX('2. Demand History'!X154,1),3)</f>
        <v>4.7E-2</v>
      </c>
      <c r="P154" s="10">
        <f>ROUND(ABS('2. Demand History'!Y154-IF($D154="Yes",'2. Demand History'!M154,AVERAGE('2. Demand History'!V154:X154)))/MAX('2. Demand History'!Y154,1),3)</f>
        <v>0.29299999999999998</v>
      </c>
      <c r="Q154" s="10">
        <f>ROUND(ABS('2. Demand History'!Z154-IF($D154="Yes",'2. Demand History'!N154,AVERAGE('2. Demand History'!W154:Y154)))/MAX('2. Demand History'!Z154,1),3)</f>
        <v>0.23799999999999999</v>
      </c>
    </row>
    <row r="155" spans="1:17" ht="15" customHeight="1" x14ac:dyDescent="0.2">
      <c r="A155" s="3" t="str">
        <f>'2. Demand History'!A155</f>
        <v>NT10151</v>
      </c>
      <c r="B155" s="1" t="str">
        <f>'2. Demand History'!B155</f>
        <v>SoundCore Buds 811</v>
      </c>
      <c r="C155" s="3" t="str">
        <f>'1. Master Data'!C155</f>
        <v>Audio</v>
      </c>
      <c r="D155" s="3" t="s">
        <v>1111</v>
      </c>
      <c r="E155" s="3" t="str">
        <f t="shared" si="6"/>
        <v>Seasonal Naive</v>
      </c>
      <c r="F155" s="3">
        <f>ROUND(AVERAGE('2. Demand History'!O155:Z155),1)</f>
        <v>1.4</v>
      </c>
      <c r="G155" s="3">
        <f>ROUND(STDEV('2. Demand History'!O155:Z155),1)</f>
        <v>0.5</v>
      </c>
      <c r="H155" s="8">
        <f t="shared" si="7"/>
        <v>0.36</v>
      </c>
      <c r="I155" s="8">
        <f>ROUND(SUM('2. Demand History'!O155:Z155)/MAX(SUM('2. Demand History'!C155:N155),1),2)</f>
        <v>0.36</v>
      </c>
      <c r="J155" s="5">
        <f>IF(D155="Yes",ROUND('2. Demand History'!O155*I155,0),ROUND(AVERAGE('2. Demand History'!X155:Z155),0))</f>
        <v>1</v>
      </c>
      <c r="K155" s="9">
        <f t="shared" si="8"/>
        <v>2.1669999999999998</v>
      </c>
      <c r="L155" s="10">
        <f>ROUND(ABS('2. Demand History'!U155-IF($D155="Yes",'2. Demand History'!I155,AVERAGE('2. Demand History'!R155:T155)))/MAX('2. Demand History'!U155,1),3)</f>
        <v>2</v>
      </c>
      <c r="M155" s="10">
        <f>ROUND(ABS('2. Demand History'!V155-IF($D155="Yes",'2. Demand History'!J155,AVERAGE('2. Demand History'!S155:U155)))/MAX('2. Demand History'!V155,1),3)</f>
        <v>2</v>
      </c>
      <c r="N155" s="10">
        <f>ROUND(ABS('2. Demand History'!W155-IF($D155="Yes",'2. Demand History'!K155,AVERAGE('2. Demand History'!T155:V155)))/MAX('2. Demand History'!W155,1),3)</f>
        <v>2</v>
      </c>
      <c r="O155" s="10">
        <f>ROUND(ABS('2. Demand History'!X155-IF($D155="Yes",'2. Demand History'!L155,AVERAGE('2. Demand History'!U155:W155)))/MAX('2. Demand History'!X155,1),3)</f>
        <v>3</v>
      </c>
      <c r="P155" s="10">
        <f>ROUND(ABS('2. Demand History'!Y155-IF($D155="Yes",'2. Demand History'!M155,AVERAGE('2. Demand History'!V155:X155)))/MAX('2. Demand History'!Y155,1),3)</f>
        <v>2</v>
      </c>
      <c r="Q155" s="10">
        <f>ROUND(ABS('2. Demand History'!Z155-IF($D155="Yes",'2. Demand History'!N155,AVERAGE('2. Demand History'!W155:Y155)))/MAX('2. Demand History'!Z155,1),3)</f>
        <v>2</v>
      </c>
    </row>
    <row r="156" spans="1:17" ht="15" customHeight="1" x14ac:dyDescent="0.2">
      <c r="A156" s="3" t="str">
        <f>'2. Demand History'!A156</f>
        <v>NT10152</v>
      </c>
      <c r="B156" s="1" t="str">
        <f>'2. Demand History'!B156</f>
        <v>StudioPods 426 ANC</v>
      </c>
      <c r="C156" s="3" t="str">
        <f>'1. Master Data'!C156</f>
        <v>Audio</v>
      </c>
      <c r="D156" s="3" t="s">
        <v>1111</v>
      </c>
      <c r="E156" s="3" t="str">
        <f t="shared" si="6"/>
        <v>Seasonal Naive</v>
      </c>
      <c r="F156" s="3">
        <f>ROUND(AVERAGE('2. Demand History'!O156:Z156),1)</f>
        <v>509.7</v>
      </c>
      <c r="G156" s="3">
        <f>ROUND(STDEV('2. Demand History'!O156:Z156),1)</f>
        <v>137.80000000000001</v>
      </c>
      <c r="H156" s="8">
        <f t="shared" si="7"/>
        <v>0.27</v>
      </c>
      <c r="I156" s="8">
        <f>ROUND(SUM('2. Demand History'!O156:Z156)/MAX(SUM('2. Demand History'!C156:N156),1),2)</f>
        <v>1.04</v>
      </c>
      <c r="J156" s="5">
        <f>IF(D156="Yes",ROUND('2. Demand History'!O156*I156,0),ROUND(AVERAGE('2. Demand History'!X156:Z156),0))</f>
        <v>487</v>
      </c>
      <c r="K156" s="9">
        <f t="shared" si="8"/>
        <v>0.153</v>
      </c>
      <c r="L156" s="10">
        <f>ROUND(ABS('2. Demand History'!U156-IF($D156="Yes",'2. Demand History'!I156,AVERAGE('2. Demand History'!R156:T156)))/MAX('2. Demand History'!U156,1),3)</f>
        <v>0.20899999999999999</v>
      </c>
      <c r="M156" s="10">
        <f>ROUND(ABS('2. Demand History'!V156-IF($D156="Yes",'2. Demand History'!J156,AVERAGE('2. Demand History'!S156:U156)))/MAX('2. Demand History'!V156,1),3)</f>
        <v>3.7999999999999999E-2</v>
      </c>
      <c r="N156" s="10">
        <f>ROUND(ABS('2. Demand History'!W156-IF($D156="Yes",'2. Demand History'!K156,AVERAGE('2. Demand History'!T156:V156)))/MAX('2. Demand History'!W156,1),3)</f>
        <v>0.13200000000000001</v>
      </c>
      <c r="O156" s="10">
        <f>ROUND(ABS('2. Demand History'!X156-IF($D156="Yes",'2. Demand History'!L156,AVERAGE('2. Demand History'!U156:W156)))/MAX('2. Demand History'!X156,1),3)</f>
        <v>0.13800000000000001</v>
      </c>
      <c r="P156" s="10">
        <f>ROUND(ABS('2. Demand History'!Y156-IF($D156="Yes",'2. Demand History'!M156,AVERAGE('2. Demand History'!V156:X156)))/MAX('2. Demand History'!Y156,1),3)</f>
        <v>0.245</v>
      </c>
      <c r="Q156" s="10">
        <f>ROUND(ABS('2. Demand History'!Z156-IF($D156="Yes",'2. Demand History'!N156,AVERAGE('2. Demand History'!W156:Y156)))/MAX('2. Demand History'!Z156,1),3)</f>
        <v>0.153</v>
      </c>
    </row>
    <row r="157" spans="1:17" ht="15" customHeight="1" x14ac:dyDescent="0.2">
      <c r="A157" s="3" t="str">
        <f>'2. Demand History'!A157</f>
        <v>NT10153</v>
      </c>
      <c r="B157" s="1" t="str">
        <f>'2. Demand History'!B157</f>
        <v>BassMax Speaker 640</v>
      </c>
      <c r="C157" s="3" t="str">
        <f>'1. Master Data'!C157</f>
        <v>Audio</v>
      </c>
      <c r="D157" s="3" t="s">
        <v>1111</v>
      </c>
      <c r="E157" s="3" t="str">
        <f t="shared" si="6"/>
        <v>Seasonal Naive</v>
      </c>
      <c r="F157" s="3">
        <f>ROUND(AVERAGE('2. Demand History'!O157:Z157),1)</f>
        <v>197</v>
      </c>
      <c r="G157" s="3">
        <f>ROUND(STDEV('2. Demand History'!O157:Z157),1)</f>
        <v>68.5</v>
      </c>
      <c r="H157" s="8">
        <f t="shared" si="7"/>
        <v>0.35</v>
      </c>
      <c r="I157" s="8">
        <f>ROUND(SUM('2. Demand History'!O157:Z157)/MAX(SUM('2. Demand History'!C157:N157),1),2)</f>
        <v>1.1200000000000001</v>
      </c>
      <c r="J157" s="5">
        <f>IF(D157="Yes",ROUND('2. Demand History'!O157*I157,0),ROUND(AVERAGE('2. Demand History'!X157:Z157),0))</f>
        <v>193</v>
      </c>
      <c r="K157" s="9">
        <f t="shared" si="8"/>
        <v>0.10299999999999999</v>
      </c>
      <c r="L157" s="10">
        <f>ROUND(ABS('2. Demand History'!U157-IF($D157="Yes",'2. Demand History'!I157,AVERAGE('2. Demand History'!R157:T157)))/MAX('2. Demand History'!U157,1),3)</f>
        <v>0</v>
      </c>
      <c r="M157" s="10">
        <f>ROUND(ABS('2. Demand History'!V157-IF($D157="Yes",'2. Demand History'!J157,AVERAGE('2. Demand History'!S157:U157)))/MAX('2. Demand History'!V157,1),3)</f>
        <v>6.4000000000000001E-2</v>
      </c>
      <c r="N157" s="10">
        <f>ROUND(ABS('2. Demand History'!W157-IF($D157="Yes",'2. Demand History'!K157,AVERAGE('2. Demand History'!T157:V157)))/MAX('2. Demand History'!W157,1),3)</f>
        <v>4.3999999999999997E-2</v>
      </c>
      <c r="O157" s="10">
        <f>ROUND(ABS('2. Demand History'!X157-IF($D157="Yes",'2. Demand History'!L157,AVERAGE('2. Demand History'!U157:W157)))/MAX('2. Demand History'!X157,1),3)</f>
        <v>0.34200000000000003</v>
      </c>
      <c r="P157" s="10">
        <f>ROUND(ABS('2. Demand History'!Y157-IF($D157="Yes",'2. Demand History'!M157,AVERAGE('2. Demand History'!V157:X157)))/MAX('2. Demand History'!Y157,1),3)</f>
        <v>7.2999999999999995E-2</v>
      </c>
      <c r="Q157" s="10">
        <f>ROUND(ABS('2. Demand History'!Z157-IF($D157="Yes",'2. Demand History'!N157,AVERAGE('2. Demand History'!W157:Y157)))/MAX('2. Demand History'!Z157,1),3)</f>
        <v>9.1999999999999998E-2</v>
      </c>
    </row>
    <row r="158" spans="1:17" ht="15" customHeight="1" x14ac:dyDescent="0.2">
      <c r="A158" s="3" t="str">
        <f>'2. Demand History'!A158</f>
        <v>NT10154</v>
      </c>
      <c r="B158" s="1" t="str">
        <f>'2. Demand History'!B158</f>
        <v>StudioPods 523 ANC</v>
      </c>
      <c r="C158" s="3" t="str">
        <f>'1. Master Data'!C158</f>
        <v>Audio</v>
      </c>
      <c r="D158" s="3" t="s">
        <v>1111</v>
      </c>
      <c r="E158" s="3" t="str">
        <f t="shared" si="6"/>
        <v>Seasonal Naive</v>
      </c>
      <c r="F158" s="3">
        <f>ROUND(AVERAGE('2. Demand History'!O158:Z158),1)</f>
        <v>106.2</v>
      </c>
      <c r="G158" s="3">
        <f>ROUND(STDEV('2. Demand History'!O158:Z158),1)</f>
        <v>36</v>
      </c>
      <c r="H158" s="8">
        <f t="shared" si="7"/>
        <v>0.34</v>
      </c>
      <c r="I158" s="8">
        <f>ROUND(SUM('2. Demand History'!O158:Z158)/MAX(SUM('2. Demand History'!C158:N158),1),2)</f>
        <v>1.08</v>
      </c>
      <c r="J158" s="5">
        <f>IF(D158="Yes",ROUND('2. Demand History'!O158*I158,0),ROUND(AVERAGE('2. Demand History'!X158:Z158),0))</f>
        <v>85</v>
      </c>
      <c r="K158" s="9">
        <f t="shared" si="8"/>
        <v>0.104</v>
      </c>
      <c r="L158" s="10">
        <f>ROUND(ABS('2. Demand History'!U158-IF($D158="Yes",'2. Demand History'!I158,AVERAGE('2. Demand History'!R158:T158)))/MAX('2. Demand History'!U158,1),3)</f>
        <v>0.13700000000000001</v>
      </c>
      <c r="M158" s="10">
        <f>ROUND(ABS('2. Demand History'!V158-IF($D158="Yes",'2. Demand History'!J158,AVERAGE('2. Demand History'!S158:U158)))/MAX('2. Demand History'!V158,1),3)</f>
        <v>4.9000000000000002E-2</v>
      </c>
      <c r="N158" s="10">
        <f>ROUND(ABS('2. Demand History'!W158-IF($D158="Yes",'2. Demand History'!K158,AVERAGE('2. Demand History'!T158:V158)))/MAX('2. Demand History'!W158,1),3)</f>
        <v>0.16</v>
      </c>
      <c r="O158" s="10">
        <f>ROUND(ABS('2. Demand History'!X158-IF($D158="Yes",'2. Demand History'!L158,AVERAGE('2. Demand History'!U158:W158)))/MAX('2. Demand History'!X158,1),3)</f>
        <v>0.11</v>
      </c>
      <c r="P158" s="10">
        <f>ROUND(ABS('2. Demand History'!Y158-IF($D158="Yes",'2. Demand History'!M158,AVERAGE('2. Demand History'!V158:X158)))/MAX('2. Demand History'!Y158,1),3)</f>
        <v>0.11600000000000001</v>
      </c>
      <c r="Q158" s="10">
        <f>ROUND(ABS('2. Demand History'!Z158-IF($D158="Yes",'2. Demand History'!N158,AVERAGE('2. Demand History'!W158:Y158)))/MAX('2. Demand History'!Z158,1),3)</f>
        <v>0.05</v>
      </c>
    </row>
    <row r="159" spans="1:17" ht="15" customHeight="1" x14ac:dyDescent="0.2">
      <c r="A159" s="3" t="str">
        <f>'2. Demand History'!A159</f>
        <v>NT10155</v>
      </c>
      <c r="B159" s="1" t="str">
        <f>'2. Demand History'!B159</f>
        <v>ClipMic 416 Wireless</v>
      </c>
      <c r="C159" s="3" t="str">
        <f>'1. Master Data'!C159</f>
        <v>Audio</v>
      </c>
      <c r="D159" s="3" t="s">
        <v>1111</v>
      </c>
      <c r="E159" s="3" t="str">
        <f t="shared" si="6"/>
        <v>Seasonal Naive</v>
      </c>
      <c r="F159" s="3">
        <f>ROUND(AVERAGE('2. Demand History'!O159:Z159),1)</f>
        <v>790.9</v>
      </c>
      <c r="G159" s="3">
        <f>ROUND(STDEV('2. Demand History'!O159:Z159),1)</f>
        <v>239</v>
      </c>
      <c r="H159" s="8">
        <f t="shared" si="7"/>
        <v>0.3</v>
      </c>
      <c r="I159" s="8">
        <f>ROUND(SUM('2. Demand History'!O159:Z159)/MAX(SUM('2. Demand History'!C159:N159),1),2)</f>
        <v>1.07</v>
      </c>
      <c r="J159" s="5">
        <f>IF(D159="Yes",ROUND('2. Demand History'!O159*I159,0),ROUND(AVERAGE('2. Demand History'!X159:Z159),0))</f>
        <v>825</v>
      </c>
      <c r="K159" s="9">
        <f t="shared" si="8"/>
        <v>0.09</v>
      </c>
      <c r="L159" s="10">
        <f>ROUND(ABS('2. Demand History'!U159-IF($D159="Yes",'2. Demand History'!I159,AVERAGE('2. Demand History'!R159:T159)))/MAX('2. Demand History'!U159,1),3)</f>
        <v>0.1</v>
      </c>
      <c r="M159" s="10">
        <f>ROUND(ABS('2. Demand History'!V159-IF($D159="Yes",'2. Demand History'!J159,AVERAGE('2. Demand History'!S159:U159)))/MAX('2. Demand History'!V159,1),3)</f>
        <v>3.5999999999999997E-2</v>
      </c>
      <c r="N159" s="10">
        <f>ROUND(ABS('2. Demand History'!W159-IF($D159="Yes",'2. Demand History'!K159,AVERAGE('2. Demand History'!T159:V159)))/MAX('2. Demand History'!W159,1),3)</f>
        <v>3.5000000000000003E-2</v>
      </c>
      <c r="O159" s="10">
        <f>ROUND(ABS('2. Demand History'!X159-IF($D159="Yes",'2. Demand History'!L159,AVERAGE('2. Demand History'!U159:W159)))/MAX('2. Demand History'!X159,1),3)</f>
        <v>0.11700000000000001</v>
      </c>
      <c r="P159" s="10">
        <f>ROUND(ABS('2. Demand History'!Y159-IF($D159="Yes",'2. Demand History'!M159,AVERAGE('2. Demand History'!V159:X159)))/MAX('2. Demand History'!Y159,1),3)</f>
        <v>5.6000000000000001E-2</v>
      </c>
      <c r="Q159" s="10">
        <f>ROUND(ABS('2. Demand History'!Z159-IF($D159="Yes",'2. Demand History'!N159,AVERAGE('2. Demand History'!W159:Y159)))/MAX('2. Demand History'!Z159,1),3)</f>
        <v>0.19600000000000001</v>
      </c>
    </row>
    <row r="160" spans="1:17" ht="15" customHeight="1" x14ac:dyDescent="0.2">
      <c r="A160" s="3" t="str">
        <f>'2. Demand History'!A160</f>
        <v>NT10156</v>
      </c>
      <c r="B160" s="1" t="str">
        <f>'2. Demand History'!B160</f>
        <v>ClipMic 445 Wireless</v>
      </c>
      <c r="C160" s="3" t="str">
        <f>'1. Master Data'!C160</f>
        <v>Audio</v>
      </c>
      <c r="D160" s="3" t="s">
        <v>1111</v>
      </c>
      <c r="E160" s="3" t="str">
        <f t="shared" si="6"/>
        <v>Seasonal Naive</v>
      </c>
      <c r="F160" s="3">
        <f>ROUND(AVERAGE('2. Demand History'!O160:Z160),1)</f>
        <v>601.29999999999995</v>
      </c>
      <c r="G160" s="3">
        <f>ROUND(STDEV('2. Demand History'!O160:Z160),1)</f>
        <v>160.30000000000001</v>
      </c>
      <c r="H160" s="8">
        <f t="shared" si="7"/>
        <v>0.27</v>
      </c>
      <c r="I160" s="8">
        <f>ROUND(SUM('2. Demand History'!O160:Z160)/MAX(SUM('2. Demand History'!C160:N160),1),2)</f>
        <v>1.02</v>
      </c>
      <c r="J160" s="5">
        <f>IF(D160="Yes",ROUND('2. Demand History'!O160*I160,0),ROUND(AVERAGE('2. Demand History'!X160:Z160),0))</f>
        <v>622</v>
      </c>
      <c r="K160" s="9">
        <f t="shared" si="8"/>
        <v>0.106</v>
      </c>
      <c r="L160" s="10">
        <f>ROUND(ABS('2. Demand History'!U160-IF($D160="Yes",'2. Demand History'!I160,AVERAGE('2. Demand History'!R160:T160)))/MAX('2. Demand History'!U160,1),3)</f>
        <v>0.02</v>
      </c>
      <c r="M160" s="10">
        <f>ROUND(ABS('2. Demand History'!V160-IF($D160="Yes",'2. Demand History'!J160,AVERAGE('2. Demand History'!S160:U160)))/MAX('2. Demand History'!V160,1),3)</f>
        <v>0.14000000000000001</v>
      </c>
      <c r="N160" s="10">
        <f>ROUND(ABS('2. Demand History'!W160-IF($D160="Yes",'2. Demand History'!K160,AVERAGE('2. Demand History'!T160:V160)))/MAX('2. Demand History'!W160,1),3)</f>
        <v>2.1000000000000001E-2</v>
      </c>
      <c r="O160" s="10">
        <f>ROUND(ABS('2. Demand History'!X160-IF($D160="Yes",'2. Demand History'!L160,AVERAGE('2. Demand History'!U160:W160)))/MAX('2. Demand History'!X160,1),3)</f>
        <v>0.34300000000000003</v>
      </c>
      <c r="P160" s="10">
        <f>ROUND(ABS('2. Demand History'!Y160-IF($D160="Yes",'2. Demand History'!M160,AVERAGE('2. Demand History'!V160:X160)))/MAX('2. Demand History'!Y160,1),3)</f>
        <v>8.5000000000000006E-2</v>
      </c>
      <c r="Q160" s="10">
        <f>ROUND(ABS('2. Demand History'!Z160-IF($D160="Yes",'2. Demand History'!N160,AVERAGE('2. Demand History'!W160:Y160)))/MAX('2. Demand History'!Z160,1),3)</f>
        <v>2.5000000000000001E-2</v>
      </c>
    </row>
    <row r="161" spans="1:17" ht="15" customHeight="1" x14ac:dyDescent="0.2">
      <c r="A161" s="3" t="str">
        <f>'2. Demand History'!A161</f>
        <v>NT10157</v>
      </c>
      <c r="B161" s="1" t="str">
        <f>'2. Demand History'!B161</f>
        <v>WaveBar 726 Soundbar</v>
      </c>
      <c r="C161" s="3" t="str">
        <f>'1. Master Data'!C161</f>
        <v>Audio</v>
      </c>
      <c r="D161" s="3" t="s">
        <v>1111</v>
      </c>
      <c r="E161" s="3" t="str">
        <f t="shared" si="6"/>
        <v>Seasonal Naive</v>
      </c>
      <c r="F161" s="3">
        <f>ROUND(AVERAGE('2. Demand History'!O161:Z161),1)</f>
        <v>115.3</v>
      </c>
      <c r="G161" s="3">
        <f>ROUND(STDEV('2. Demand History'!O161:Z161),1)</f>
        <v>39.299999999999997</v>
      </c>
      <c r="H161" s="8">
        <f t="shared" si="7"/>
        <v>0.34</v>
      </c>
      <c r="I161" s="8">
        <f>ROUND(SUM('2. Demand History'!O161:Z161)/MAX(SUM('2. Demand History'!C161:N161),1),2)</f>
        <v>1.0900000000000001</v>
      </c>
      <c r="J161" s="5">
        <f>IF(D161="Yes",ROUND('2. Demand History'!O161*I161,0),ROUND(AVERAGE('2. Demand History'!X161:Z161),0))</f>
        <v>102</v>
      </c>
      <c r="K161" s="9">
        <f t="shared" si="8"/>
        <v>0.10199999999999999</v>
      </c>
      <c r="L161" s="10">
        <f>ROUND(ABS('2. Demand History'!U161-IF($D161="Yes",'2. Demand History'!I161,AVERAGE('2. Demand History'!R161:T161)))/MAX('2. Demand History'!U161,1),3)</f>
        <v>0.10299999999999999</v>
      </c>
      <c r="M161" s="10">
        <f>ROUND(ABS('2. Demand History'!V161-IF($D161="Yes",'2. Demand History'!J161,AVERAGE('2. Demand History'!S161:U161)))/MAX('2. Demand History'!V161,1),3)</f>
        <v>0.15</v>
      </c>
      <c r="N161" s="10">
        <f>ROUND(ABS('2. Demand History'!W161-IF($D161="Yes",'2. Demand History'!K161,AVERAGE('2. Demand History'!T161:V161)))/MAX('2. Demand History'!W161,1),3)</f>
        <v>3.3000000000000002E-2</v>
      </c>
      <c r="O161" s="10">
        <f>ROUND(ABS('2. Demand History'!X161-IF($D161="Yes",'2. Demand History'!L161,AVERAGE('2. Demand History'!U161:W161)))/MAX('2. Demand History'!X161,1),3)</f>
        <v>0.05</v>
      </c>
      <c r="P161" s="10">
        <f>ROUND(ABS('2. Demand History'!Y161-IF($D161="Yes",'2. Demand History'!M161,AVERAGE('2. Demand History'!V161:X161)))/MAX('2. Demand History'!Y161,1),3)</f>
        <v>0.01</v>
      </c>
      <c r="Q161" s="10">
        <f>ROUND(ABS('2. Demand History'!Z161-IF($D161="Yes",'2. Demand History'!N161,AVERAGE('2. Demand History'!W161:Y161)))/MAX('2. Demand History'!Z161,1),3)</f>
        <v>0.26400000000000001</v>
      </c>
    </row>
    <row r="162" spans="1:17" ht="15" customHeight="1" x14ac:dyDescent="0.2">
      <c r="A162" s="3" t="str">
        <f>'2. Demand History'!A162</f>
        <v>NT10158</v>
      </c>
      <c r="B162" s="1" t="str">
        <f>'2. Demand History'!B162</f>
        <v>WaveBar 698 Soundbar</v>
      </c>
      <c r="C162" s="3" t="str">
        <f>'1. Master Data'!C162</f>
        <v>Audio</v>
      </c>
      <c r="D162" s="3" t="s">
        <v>1111</v>
      </c>
      <c r="E162" s="3" t="str">
        <f t="shared" si="6"/>
        <v>Seasonal Naive</v>
      </c>
      <c r="F162" s="3">
        <f>ROUND(AVERAGE('2. Demand History'!O162:Z162),1)</f>
        <v>47.5</v>
      </c>
      <c r="G162" s="3">
        <f>ROUND(STDEV('2. Demand History'!O162:Z162),1)</f>
        <v>18.2</v>
      </c>
      <c r="H162" s="8">
        <f t="shared" si="7"/>
        <v>0.38</v>
      </c>
      <c r="I162" s="8">
        <f>ROUND(SUM('2. Demand History'!O162:Z162)/MAX(SUM('2. Demand History'!C162:N162),1),2)</f>
        <v>1.1100000000000001</v>
      </c>
      <c r="J162" s="5">
        <f>IF(D162="Yes",ROUND('2. Demand History'!O162*I162,0),ROUND(AVERAGE('2. Demand History'!X162:Z162),0))</f>
        <v>47</v>
      </c>
      <c r="K162" s="9">
        <f t="shared" si="8"/>
        <v>0.13400000000000001</v>
      </c>
      <c r="L162" s="10">
        <f>ROUND(ABS('2. Demand History'!U162-IF($D162="Yes",'2. Demand History'!I162,AVERAGE('2. Demand History'!R162:T162)))/MAX('2. Demand History'!U162,1),3)</f>
        <v>0.20799999999999999</v>
      </c>
      <c r="M162" s="10">
        <f>ROUND(ABS('2. Demand History'!V162-IF($D162="Yes",'2. Demand History'!J162,AVERAGE('2. Demand History'!S162:U162)))/MAX('2. Demand History'!V162,1),3)</f>
        <v>0</v>
      </c>
      <c r="N162" s="10">
        <f>ROUND(ABS('2. Demand History'!W162-IF($D162="Yes",'2. Demand History'!K162,AVERAGE('2. Demand History'!T162:V162)))/MAX('2. Demand History'!W162,1),3)</f>
        <v>0.17199999999999999</v>
      </c>
      <c r="O162" s="10">
        <f>ROUND(ABS('2. Demand History'!X162-IF($D162="Yes",'2. Demand History'!L162,AVERAGE('2. Demand History'!U162:W162)))/MAX('2. Demand History'!X162,1),3)</f>
        <v>0.10299999999999999</v>
      </c>
      <c r="P162" s="10">
        <f>ROUND(ABS('2. Demand History'!Y162-IF($D162="Yes",'2. Demand History'!M162,AVERAGE('2. Demand History'!V162:X162)))/MAX('2. Demand History'!Y162,1),3)</f>
        <v>0.191</v>
      </c>
      <c r="Q162" s="10">
        <f>ROUND(ABS('2. Demand History'!Z162-IF($D162="Yes",'2. Demand History'!N162,AVERAGE('2. Demand History'!W162:Y162)))/MAX('2. Demand History'!Z162,1),3)</f>
        <v>0.13</v>
      </c>
    </row>
    <row r="163" spans="1:17" ht="15" customHeight="1" x14ac:dyDescent="0.2">
      <c r="A163" s="3" t="str">
        <f>'2. Demand History'!A163</f>
        <v>NT10159</v>
      </c>
      <c r="B163" s="1" t="str">
        <f>'2. Demand History'!B163</f>
        <v>StudioPods 901 ANC</v>
      </c>
      <c r="C163" s="3" t="str">
        <f>'1. Master Data'!C163</f>
        <v>Audio</v>
      </c>
      <c r="D163" s="3" t="s">
        <v>1111</v>
      </c>
      <c r="E163" s="3" t="str">
        <f t="shared" si="6"/>
        <v>Seasonal Naive</v>
      </c>
      <c r="F163" s="3">
        <f>ROUND(AVERAGE('2. Demand History'!O163:Z163),1)</f>
        <v>562.5</v>
      </c>
      <c r="G163" s="3">
        <f>ROUND(STDEV('2. Demand History'!O163:Z163),1)</f>
        <v>176.5</v>
      </c>
      <c r="H163" s="8">
        <f t="shared" si="7"/>
        <v>0.31</v>
      </c>
      <c r="I163" s="8">
        <f>ROUND(SUM('2. Demand History'!O163:Z163)/MAX(SUM('2. Demand History'!C163:N163),1),2)</f>
        <v>0.99</v>
      </c>
      <c r="J163" s="5">
        <f>IF(D163="Yes",ROUND('2. Demand History'!O163*I163,0),ROUND(AVERAGE('2. Demand History'!X163:Z163),0))</f>
        <v>440</v>
      </c>
      <c r="K163" s="9">
        <f t="shared" si="8"/>
        <v>8.4000000000000005E-2</v>
      </c>
      <c r="L163" s="10">
        <f>ROUND(ABS('2. Demand History'!U163-IF($D163="Yes",'2. Demand History'!I163,AVERAGE('2. Demand History'!R163:T163)))/MAX('2. Demand History'!U163,1),3)</f>
        <v>0.14799999999999999</v>
      </c>
      <c r="M163" s="10">
        <f>ROUND(ABS('2. Demand History'!V163-IF($D163="Yes",'2. Demand History'!J163,AVERAGE('2. Demand History'!S163:U163)))/MAX('2. Demand History'!V163,1),3)</f>
        <v>1.6E-2</v>
      </c>
      <c r="N163" s="10">
        <f>ROUND(ABS('2. Demand History'!W163-IF($D163="Yes",'2. Demand History'!K163,AVERAGE('2. Demand History'!T163:V163)))/MAX('2. Demand History'!W163,1),3)</f>
        <v>6.0000000000000001E-3</v>
      </c>
      <c r="O163" s="10">
        <f>ROUND(ABS('2. Demand History'!X163-IF($D163="Yes",'2. Demand History'!L163,AVERAGE('2. Demand History'!U163:W163)))/MAX('2. Demand History'!X163,1),3)</f>
        <v>0.153</v>
      </c>
      <c r="P163" s="10">
        <f>ROUND(ABS('2. Demand History'!Y163-IF($D163="Yes",'2. Demand History'!M163,AVERAGE('2. Demand History'!V163:X163)))/MAX('2. Demand History'!Y163,1),3)</f>
        <v>4.1000000000000002E-2</v>
      </c>
      <c r="Q163" s="10">
        <f>ROUND(ABS('2. Demand History'!Z163-IF($D163="Yes",'2. Demand History'!N163,AVERAGE('2. Demand History'!W163:Y163)))/MAX('2. Demand History'!Z163,1),3)</f>
        <v>0.13900000000000001</v>
      </c>
    </row>
    <row r="164" spans="1:17" ht="15" customHeight="1" x14ac:dyDescent="0.2">
      <c r="A164" s="3" t="str">
        <f>'2. Demand History'!A164</f>
        <v>NT10160</v>
      </c>
      <c r="B164" s="1" t="str">
        <f>'2. Demand History'!B164</f>
        <v>StudioPods 653 ANC</v>
      </c>
      <c r="C164" s="3" t="str">
        <f>'1. Master Data'!C164</f>
        <v>Audio</v>
      </c>
      <c r="D164" s="3" t="s">
        <v>1111</v>
      </c>
      <c r="E164" s="3" t="str">
        <f t="shared" si="6"/>
        <v>Seasonal Naive</v>
      </c>
      <c r="F164" s="3">
        <f>ROUND(AVERAGE('2. Demand History'!O164:Z164),1)</f>
        <v>137.6</v>
      </c>
      <c r="G164" s="3">
        <f>ROUND(STDEV('2. Demand History'!O164:Z164),1)</f>
        <v>40.700000000000003</v>
      </c>
      <c r="H164" s="8">
        <f t="shared" si="7"/>
        <v>0.3</v>
      </c>
      <c r="I164" s="8">
        <f>ROUND(SUM('2. Demand History'!O164:Z164)/MAX(SUM('2. Demand History'!C164:N164),1),2)</f>
        <v>1.1200000000000001</v>
      </c>
      <c r="J164" s="5">
        <f>IF(D164="Yes",ROUND('2. Demand History'!O164*I164,0),ROUND(AVERAGE('2. Demand History'!X164:Z164),0))</f>
        <v>147</v>
      </c>
      <c r="K164" s="9">
        <f t="shared" si="8"/>
        <v>9.2999999999999999E-2</v>
      </c>
      <c r="L164" s="10">
        <f>ROUND(ABS('2. Demand History'!U164-IF($D164="Yes",'2. Demand History'!I164,AVERAGE('2. Demand History'!R164:T164)))/MAX('2. Demand History'!U164,1),3)</f>
        <v>8.7999999999999995E-2</v>
      </c>
      <c r="M164" s="10">
        <f>ROUND(ABS('2. Demand History'!V164-IF($D164="Yes",'2. Demand History'!J164,AVERAGE('2. Demand History'!S164:U164)))/MAX('2. Demand History'!V164,1),3)</f>
        <v>8.5000000000000006E-2</v>
      </c>
      <c r="N164" s="10">
        <f>ROUND(ABS('2. Demand History'!W164-IF($D164="Yes",'2. Demand History'!K164,AVERAGE('2. Demand History'!T164:V164)))/MAX('2. Demand History'!W164,1),3)</f>
        <v>0</v>
      </c>
      <c r="O164" s="10">
        <f>ROUND(ABS('2. Demand History'!X164-IF($D164="Yes",'2. Demand History'!L164,AVERAGE('2. Demand History'!U164:W164)))/MAX('2. Demand History'!X164,1),3)</f>
        <v>0.126</v>
      </c>
      <c r="P164" s="10">
        <f>ROUND(ABS('2. Demand History'!Y164-IF($D164="Yes",'2. Demand History'!M164,AVERAGE('2. Demand History'!V164:X164)))/MAX('2. Demand History'!Y164,1),3)</f>
        <v>7.8E-2</v>
      </c>
      <c r="Q164" s="10">
        <f>ROUND(ABS('2. Demand History'!Z164-IF($D164="Yes",'2. Demand History'!N164,AVERAGE('2. Demand History'!W164:Y164)))/MAX('2. Demand History'!Z164,1),3)</f>
        <v>0.182</v>
      </c>
    </row>
    <row r="165" spans="1:17" ht="15" customHeight="1" x14ac:dyDescent="0.2">
      <c r="A165" s="3" t="str">
        <f>'2. Demand History'!A165</f>
        <v>NT10161</v>
      </c>
      <c r="B165" s="1" t="str">
        <f>'2. Demand History'!B165</f>
        <v>StudioPods 102 ANC</v>
      </c>
      <c r="C165" s="3" t="str">
        <f>'1. Master Data'!C165</f>
        <v>Audio</v>
      </c>
      <c r="D165" s="3" t="s">
        <v>1111</v>
      </c>
      <c r="E165" s="3" t="str">
        <f t="shared" si="6"/>
        <v>Seasonal Naive</v>
      </c>
      <c r="F165" s="3">
        <f>ROUND(AVERAGE('2. Demand History'!O165:Z165),1)</f>
        <v>190.7</v>
      </c>
      <c r="G165" s="3">
        <f>ROUND(STDEV('2. Demand History'!O165:Z165),1)</f>
        <v>54.9</v>
      </c>
      <c r="H165" s="8">
        <f t="shared" si="7"/>
        <v>0.28999999999999998</v>
      </c>
      <c r="I165" s="8">
        <f>ROUND(SUM('2. Demand History'!O165:Z165)/MAX(SUM('2. Demand History'!C165:N165),1),2)</f>
        <v>1.0900000000000001</v>
      </c>
      <c r="J165" s="5">
        <f>IF(D165="Yes",ROUND('2. Demand History'!O165*I165,0),ROUND(AVERAGE('2. Demand History'!X165:Z165),0))</f>
        <v>184</v>
      </c>
      <c r="K165" s="9">
        <f t="shared" si="8"/>
        <v>8.8999999999999996E-2</v>
      </c>
      <c r="L165" s="10">
        <f>ROUND(ABS('2. Demand History'!U165-IF($D165="Yes",'2. Demand History'!I165,AVERAGE('2. Demand History'!R165:T165)))/MAX('2. Demand History'!U165,1),3)</f>
        <v>0.152</v>
      </c>
      <c r="M165" s="10">
        <f>ROUND(ABS('2. Demand History'!V165-IF($D165="Yes",'2. Demand History'!J165,AVERAGE('2. Demand History'!S165:U165)))/MAX('2. Demand History'!V165,1),3)</f>
        <v>8.0000000000000002E-3</v>
      </c>
      <c r="N165" s="10">
        <f>ROUND(ABS('2. Demand History'!W165-IF($D165="Yes",'2. Demand History'!K165,AVERAGE('2. Demand History'!T165:V165)))/MAX('2. Demand History'!W165,1),3)</f>
        <v>5.2999999999999999E-2</v>
      </c>
      <c r="O165" s="10">
        <f>ROUND(ABS('2. Demand History'!X165-IF($D165="Yes",'2. Demand History'!L165,AVERAGE('2. Demand History'!U165:W165)))/MAX('2. Demand History'!X165,1),3)</f>
        <v>0.107</v>
      </c>
      <c r="P165" s="10">
        <f>ROUND(ABS('2. Demand History'!Y165-IF($D165="Yes",'2. Demand History'!M165,AVERAGE('2. Demand History'!V165:X165)))/MAX('2. Demand History'!Y165,1),3)</f>
        <v>0.161</v>
      </c>
      <c r="Q165" s="10">
        <f>ROUND(ABS('2. Demand History'!Z165-IF($D165="Yes",'2. Demand History'!N165,AVERAGE('2. Demand History'!W165:Y165)))/MAX('2. Demand History'!Z165,1),3)</f>
        <v>5.2999999999999999E-2</v>
      </c>
    </row>
    <row r="166" spans="1:17" ht="15" customHeight="1" x14ac:dyDescent="0.2">
      <c r="A166" s="3" t="str">
        <f>'2. Demand History'!A166</f>
        <v>NT10162</v>
      </c>
      <c r="B166" s="1" t="str">
        <f>'2. Demand History'!B166</f>
        <v>ClipMic 567 Wireless</v>
      </c>
      <c r="C166" s="3" t="str">
        <f>'1. Master Data'!C166</f>
        <v>Audio</v>
      </c>
      <c r="D166" s="3" t="s">
        <v>1111</v>
      </c>
      <c r="E166" s="3" t="str">
        <f t="shared" si="6"/>
        <v>Seasonal Naive</v>
      </c>
      <c r="F166" s="3">
        <f>ROUND(AVERAGE('2. Demand History'!O166:Z166),1)</f>
        <v>192.9</v>
      </c>
      <c r="G166" s="3">
        <f>ROUND(STDEV('2. Demand History'!O166:Z166),1)</f>
        <v>58</v>
      </c>
      <c r="H166" s="8">
        <f t="shared" si="7"/>
        <v>0.3</v>
      </c>
      <c r="I166" s="8">
        <f>ROUND(SUM('2. Demand History'!O166:Z166)/MAX(SUM('2. Demand History'!C166:N166),1),2)</f>
        <v>1.0900000000000001</v>
      </c>
      <c r="J166" s="5">
        <f>IF(D166="Yes",ROUND('2. Demand History'!O166*I166,0),ROUND(AVERAGE('2. Demand History'!X166:Z166),0))</f>
        <v>166</v>
      </c>
      <c r="K166" s="9">
        <f t="shared" si="8"/>
        <v>9.6000000000000002E-2</v>
      </c>
      <c r="L166" s="10">
        <f>ROUND(ABS('2. Demand History'!U166-IF($D166="Yes",'2. Demand History'!I166,AVERAGE('2. Demand History'!R166:T166)))/MAX('2. Demand History'!U166,1),3)</f>
        <v>3.0000000000000001E-3</v>
      </c>
      <c r="M166" s="10">
        <f>ROUND(ABS('2. Demand History'!V166-IF($D166="Yes",'2. Demand History'!J166,AVERAGE('2. Demand History'!S166:U166)))/MAX('2. Demand History'!V166,1),3)</f>
        <v>8.7999999999999995E-2</v>
      </c>
      <c r="N166" s="10">
        <f>ROUND(ABS('2. Demand History'!W166-IF($D166="Yes",'2. Demand History'!K166,AVERAGE('2. Demand History'!T166:V166)))/MAX('2. Demand History'!W166,1),3)</f>
        <v>4.2999999999999997E-2</v>
      </c>
      <c r="O166" s="10">
        <f>ROUND(ABS('2. Demand History'!X166-IF($D166="Yes",'2. Demand History'!L166,AVERAGE('2. Demand History'!U166:W166)))/MAX('2. Demand History'!X166,1),3)</f>
        <v>0.218</v>
      </c>
      <c r="P166" s="10">
        <f>ROUND(ABS('2. Demand History'!Y166-IF($D166="Yes",'2. Demand History'!M166,AVERAGE('2. Demand History'!V166:X166)))/MAX('2. Demand History'!Y166,1),3)</f>
        <v>6.0000000000000001E-3</v>
      </c>
      <c r="Q166" s="10">
        <f>ROUND(ABS('2. Demand History'!Z166-IF($D166="Yes",'2. Demand History'!N166,AVERAGE('2. Demand History'!W166:Y166)))/MAX('2. Demand History'!Z166,1),3)</f>
        <v>0.215</v>
      </c>
    </row>
    <row r="167" spans="1:17" ht="15" customHeight="1" x14ac:dyDescent="0.2">
      <c r="A167" s="3" t="str">
        <f>'2. Demand History'!A167</f>
        <v>NT10163</v>
      </c>
      <c r="B167" s="1" t="str">
        <f>'2. Demand History'!B167</f>
        <v>StudioPods 229 ANC</v>
      </c>
      <c r="C167" s="3" t="str">
        <f>'1. Master Data'!C167</f>
        <v>Audio</v>
      </c>
      <c r="D167" s="3" t="s">
        <v>1111</v>
      </c>
      <c r="E167" s="3" t="str">
        <f t="shared" si="6"/>
        <v>Seasonal Naive</v>
      </c>
      <c r="F167" s="3">
        <f>ROUND(AVERAGE('2. Demand History'!O167:Z167),1)</f>
        <v>41.8</v>
      </c>
      <c r="G167" s="3">
        <f>ROUND(STDEV('2. Demand History'!O167:Z167),1)</f>
        <v>13.4</v>
      </c>
      <c r="H167" s="8">
        <f t="shared" si="7"/>
        <v>0.32</v>
      </c>
      <c r="I167" s="8">
        <f>ROUND(SUM('2. Demand History'!O167:Z167)/MAX(SUM('2. Demand History'!C167:N167),1),2)</f>
        <v>1.1100000000000001</v>
      </c>
      <c r="J167" s="5">
        <f>IF(D167="Yes",ROUND('2. Demand History'!O167*I167,0),ROUND(AVERAGE('2. Demand History'!X167:Z167),0))</f>
        <v>42</v>
      </c>
      <c r="K167" s="9">
        <f t="shared" si="8"/>
        <v>0.124</v>
      </c>
      <c r="L167" s="10">
        <f>ROUND(ABS('2. Demand History'!U167-IF($D167="Yes",'2. Demand History'!I167,AVERAGE('2. Demand History'!R167:T167)))/MAX('2. Demand History'!U167,1),3)</f>
        <v>0.14099999999999999</v>
      </c>
      <c r="M167" s="10">
        <f>ROUND(ABS('2. Demand History'!V167-IF($D167="Yes",'2. Demand History'!J167,AVERAGE('2. Demand History'!S167:U167)))/MAX('2. Demand History'!V167,1),3)</f>
        <v>3.6999999999999998E-2</v>
      </c>
      <c r="N167" s="10">
        <f>ROUND(ABS('2. Demand History'!W167-IF($D167="Yes",'2. Demand History'!K167,AVERAGE('2. Demand History'!T167:V167)))/MAX('2. Demand History'!W167,1),3)</f>
        <v>0.17100000000000001</v>
      </c>
      <c r="O167" s="10">
        <f>ROUND(ABS('2. Demand History'!X167-IF($D167="Yes",'2. Demand History'!L167,AVERAGE('2. Demand History'!U167:W167)))/MAX('2. Demand History'!X167,1),3)</f>
        <v>0.111</v>
      </c>
      <c r="P167" s="10">
        <f>ROUND(ABS('2. Demand History'!Y167-IF($D167="Yes",'2. Demand History'!M167,AVERAGE('2. Demand History'!V167:X167)))/MAX('2. Demand History'!Y167,1),3)</f>
        <v>0.128</v>
      </c>
      <c r="Q167" s="10">
        <f>ROUND(ABS('2. Demand History'!Z167-IF($D167="Yes",'2. Demand History'!N167,AVERAGE('2. Demand History'!W167:Y167)))/MAX('2. Demand History'!Z167,1),3)</f>
        <v>0.156</v>
      </c>
    </row>
    <row r="168" spans="1:17" ht="15" customHeight="1" x14ac:dyDescent="0.2">
      <c r="A168" s="3" t="str">
        <f>'2. Demand History'!A168</f>
        <v>NT10164</v>
      </c>
      <c r="B168" s="1" t="str">
        <f>'2. Demand History'!B168</f>
        <v>ClipMic 995 Wireless</v>
      </c>
      <c r="C168" s="3" t="str">
        <f>'1. Master Data'!C168</f>
        <v>Audio</v>
      </c>
      <c r="D168" s="3" t="s">
        <v>1111</v>
      </c>
      <c r="E168" s="3" t="str">
        <f t="shared" si="6"/>
        <v>Seasonal Naive</v>
      </c>
      <c r="F168" s="3">
        <f>ROUND(AVERAGE('2. Demand History'!O168:Z168),1)</f>
        <v>77.3</v>
      </c>
      <c r="G168" s="3">
        <f>ROUND(STDEV('2. Demand History'!O168:Z168),1)</f>
        <v>26.7</v>
      </c>
      <c r="H168" s="8">
        <f t="shared" si="7"/>
        <v>0.35</v>
      </c>
      <c r="I168" s="8">
        <f>ROUND(SUM('2. Demand History'!O168:Z168)/MAX(SUM('2. Demand History'!C168:N168),1),2)</f>
        <v>1.1000000000000001</v>
      </c>
      <c r="J168" s="5">
        <f>IF(D168="Yes",ROUND('2. Demand History'!O168*I168,0),ROUND(AVERAGE('2. Demand History'!X168:Z168),0))</f>
        <v>66</v>
      </c>
      <c r="K168" s="9">
        <f t="shared" si="8"/>
        <v>0.108</v>
      </c>
      <c r="L168" s="10">
        <f>ROUND(ABS('2. Demand History'!U168-IF($D168="Yes",'2. Demand History'!I168,AVERAGE('2. Demand History'!R168:T168)))/MAX('2. Demand History'!U168,1),3)</f>
        <v>0.17899999999999999</v>
      </c>
      <c r="M168" s="10">
        <f>ROUND(ABS('2. Demand History'!V168-IF($D168="Yes",'2. Demand History'!J168,AVERAGE('2. Demand History'!S168:U168)))/MAX('2. Demand History'!V168,1),3)</f>
        <v>5.8000000000000003E-2</v>
      </c>
      <c r="N168" s="10">
        <f>ROUND(ABS('2. Demand History'!W168-IF($D168="Yes",'2. Demand History'!K168,AVERAGE('2. Demand History'!T168:V168)))/MAX('2. Demand History'!W168,1),3)</f>
        <v>3.6999999999999998E-2</v>
      </c>
      <c r="O168" s="10">
        <f>ROUND(ABS('2. Demand History'!X168-IF($D168="Yes",'2. Demand History'!L168,AVERAGE('2. Demand History'!U168:W168)))/MAX('2. Demand History'!X168,1),3)</f>
        <v>0.20300000000000001</v>
      </c>
      <c r="P168" s="10">
        <f>ROUND(ABS('2. Demand History'!Y168-IF($D168="Yes",'2. Demand History'!M168,AVERAGE('2. Demand History'!V168:X168)))/MAX('2. Demand History'!Y168,1),3)</f>
        <v>0.108</v>
      </c>
      <c r="Q168" s="10">
        <f>ROUND(ABS('2. Demand History'!Z168-IF($D168="Yes",'2. Demand History'!N168,AVERAGE('2. Demand History'!W168:Y168)))/MAX('2. Demand History'!Z168,1),3)</f>
        <v>6.3E-2</v>
      </c>
    </row>
    <row r="169" spans="1:17" ht="15" customHeight="1" x14ac:dyDescent="0.2">
      <c r="A169" s="3" t="str">
        <f>'2. Demand History'!A169</f>
        <v>NT10165</v>
      </c>
      <c r="B169" s="1" t="str">
        <f>'2. Demand History'!B169</f>
        <v>WaveBar 479 Soundbar</v>
      </c>
      <c r="C169" s="3" t="str">
        <f>'1. Master Data'!C169</f>
        <v>Audio</v>
      </c>
      <c r="D169" s="3" t="s">
        <v>1111</v>
      </c>
      <c r="E169" s="3" t="str">
        <f t="shared" si="6"/>
        <v>Seasonal Naive</v>
      </c>
      <c r="F169" s="3">
        <f>ROUND(AVERAGE('2. Demand History'!O169:Z169),1)</f>
        <v>369.9</v>
      </c>
      <c r="G169" s="3">
        <f>ROUND(STDEV('2. Demand History'!O169:Z169),1)</f>
        <v>95.4</v>
      </c>
      <c r="H169" s="8">
        <f t="shared" si="7"/>
        <v>0.26</v>
      </c>
      <c r="I169" s="8">
        <f>ROUND(SUM('2. Demand History'!O169:Z169)/MAX(SUM('2. Demand History'!C169:N169),1),2)</f>
        <v>0.99</v>
      </c>
      <c r="J169" s="5">
        <f>IF(D169="Yes",ROUND('2. Demand History'!O169*I169,0),ROUND(AVERAGE('2. Demand History'!X169:Z169),0))</f>
        <v>288</v>
      </c>
      <c r="K169" s="9">
        <f t="shared" si="8"/>
        <v>0.13400000000000001</v>
      </c>
      <c r="L169" s="10">
        <f>ROUND(ABS('2. Demand History'!U169-IF($D169="Yes",'2. Demand History'!I169,AVERAGE('2. Demand History'!R169:T169)))/MAX('2. Demand History'!U169,1),3)</f>
        <v>3.5999999999999997E-2</v>
      </c>
      <c r="M169" s="10">
        <f>ROUND(ABS('2. Demand History'!V169-IF($D169="Yes",'2. Demand History'!J169,AVERAGE('2. Demand History'!S169:U169)))/MAX('2. Demand History'!V169,1),3)</f>
        <v>0.04</v>
      </c>
      <c r="N169" s="10">
        <f>ROUND(ABS('2. Demand History'!W169-IF($D169="Yes",'2. Demand History'!K169,AVERAGE('2. Demand History'!T169:V169)))/MAX('2. Demand History'!W169,1),3)</f>
        <v>0.153</v>
      </c>
      <c r="O169" s="10">
        <f>ROUND(ABS('2. Demand History'!X169-IF($D169="Yes",'2. Demand History'!L169,AVERAGE('2. Demand History'!U169:W169)))/MAX('2. Demand History'!X169,1),3)</f>
        <v>0.22500000000000001</v>
      </c>
      <c r="P169" s="10">
        <f>ROUND(ABS('2. Demand History'!Y169-IF($D169="Yes",'2. Demand History'!M169,AVERAGE('2. Demand History'!V169:X169)))/MAX('2. Demand History'!Y169,1),3)</f>
        <v>0.13900000000000001</v>
      </c>
      <c r="Q169" s="10">
        <f>ROUND(ABS('2. Demand History'!Z169-IF($D169="Yes",'2. Demand History'!N169,AVERAGE('2. Demand History'!W169:Y169)))/MAX('2. Demand History'!Z169,1),3)</f>
        <v>0.21</v>
      </c>
    </row>
    <row r="170" spans="1:17" ht="15" customHeight="1" x14ac:dyDescent="0.2">
      <c r="A170" s="3" t="str">
        <f>'2. Demand History'!A170</f>
        <v>NT10166</v>
      </c>
      <c r="B170" s="1" t="str">
        <f>'2. Demand History'!B170</f>
        <v>BassMax Speaker 721</v>
      </c>
      <c r="C170" s="3" t="str">
        <f>'1. Master Data'!C170</f>
        <v>Audio</v>
      </c>
      <c r="D170" s="3" t="s">
        <v>1111</v>
      </c>
      <c r="E170" s="3" t="str">
        <f t="shared" si="6"/>
        <v>Seasonal Naive</v>
      </c>
      <c r="F170" s="3">
        <f>ROUND(AVERAGE('2. Demand History'!O170:Z170),1)</f>
        <v>24</v>
      </c>
      <c r="G170" s="3">
        <f>ROUND(STDEV('2. Demand History'!O170:Z170),1)</f>
        <v>7.5</v>
      </c>
      <c r="H170" s="8">
        <f t="shared" si="7"/>
        <v>0.31</v>
      </c>
      <c r="I170" s="8">
        <f>ROUND(SUM('2. Demand History'!O170:Z170)/MAX(SUM('2. Demand History'!C170:N170),1),2)</f>
        <v>1.18</v>
      </c>
      <c r="J170" s="5">
        <f>IF(D170="Yes",ROUND('2. Demand History'!O170*I170,0),ROUND(AVERAGE('2. Demand History'!X170:Z170),0))</f>
        <v>27</v>
      </c>
      <c r="K170" s="9">
        <f t="shared" si="8"/>
        <v>0.20699999999999999</v>
      </c>
      <c r="L170" s="10">
        <f>ROUND(ABS('2. Demand History'!U170-IF($D170="Yes",'2. Demand History'!I170,AVERAGE('2. Demand History'!R170:T170)))/MAX('2. Demand History'!U170,1),3)</f>
        <v>0.318</v>
      </c>
      <c r="M170" s="10">
        <f>ROUND(ABS('2. Demand History'!V170-IF($D170="Yes",'2. Demand History'!J170,AVERAGE('2. Demand History'!S170:U170)))/MAX('2. Demand History'!V170,1),3)</f>
        <v>0.16700000000000001</v>
      </c>
      <c r="N170" s="10">
        <f>ROUND(ABS('2. Demand History'!W170-IF($D170="Yes",'2. Demand History'!K170,AVERAGE('2. Demand History'!T170:V170)))/MAX('2. Demand History'!W170,1),3)</f>
        <v>0.158</v>
      </c>
      <c r="O170" s="10">
        <f>ROUND(ABS('2. Demand History'!X170-IF($D170="Yes",'2. Demand History'!L170,AVERAGE('2. Demand History'!U170:W170)))/MAX('2. Demand History'!X170,1),3)</f>
        <v>0.13</v>
      </c>
      <c r="P170" s="10">
        <f>ROUND(ABS('2. Demand History'!Y170-IF($D170="Yes",'2. Demand History'!M170,AVERAGE('2. Demand History'!V170:X170)))/MAX('2. Demand History'!Y170,1),3)</f>
        <v>0.17399999999999999</v>
      </c>
      <c r="Q170" s="10">
        <f>ROUND(ABS('2. Demand History'!Z170-IF($D170="Yes",'2. Demand History'!N170,AVERAGE('2. Demand History'!W170:Y170)))/MAX('2. Demand History'!Z170,1),3)</f>
        <v>0.29199999999999998</v>
      </c>
    </row>
    <row r="171" spans="1:17" ht="15" customHeight="1" x14ac:dyDescent="0.2">
      <c r="A171" s="3" t="str">
        <f>'2. Demand History'!A171</f>
        <v>NT10167</v>
      </c>
      <c r="B171" s="1" t="str">
        <f>'2. Demand History'!B171</f>
        <v>WaveBar 750 Soundbar</v>
      </c>
      <c r="C171" s="3" t="str">
        <f>'1. Master Data'!C171</f>
        <v>Audio</v>
      </c>
      <c r="D171" s="3" t="s">
        <v>1111</v>
      </c>
      <c r="E171" s="3" t="str">
        <f t="shared" si="6"/>
        <v>Seasonal Naive</v>
      </c>
      <c r="F171" s="3">
        <f>ROUND(AVERAGE('2. Demand History'!O171:Z171),1)</f>
        <v>438.9</v>
      </c>
      <c r="G171" s="3">
        <f>ROUND(STDEV('2. Demand History'!O171:Z171),1)</f>
        <v>118.9</v>
      </c>
      <c r="H171" s="8">
        <f t="shared" si="7"/>
        <v>0.27</v>
      </c>
      <c r="I171" s="8">
        <f>ROUND(SUM('2. Demand History'!O171:Z171)/MAX(SUM('2. Demand History'!C171:N171),1),2)</f>
        <v>1.04</v>
      </c>
      <c r="J171" s="5">
        <f>IF(D171="Yes",ROUND('2. Demand History'!O171*I171,0),ROUND(AVERAGE('2. Demand History'!X171:Z171),0))</f>
        <v>493</v>
      </c>
      <c r="K171" s="9">
        <f t="shared" si="8"/>
        <v>9.7000000000000003E-2</v>
      </c>
      <c r="L171" s="10">
        <f>ROUND(ABS('2. Demand History'!U171-IF($D171="Yes",'2. Demand History'!I171,AVERAGE('2. Demand History'!R171:T171)))/MAX('2. Demand History'!U171,1),3)</f>
        <v>2.8000000000000001E-2</v>
      </c>
      <c r="M171" s="10">
        <f>ROUND(ABS('2. Demand History'!V171-IF($D171="Yes",'2. Demand History'!J171,AVERAGE('2. Demand History'!S171:U171)))/MAX('2. Demand History'!V171,1),3)</f>
        <v>0.13900000000000001</v>
      </c>
      <c r="N171" s="10">
        <f>ROUND(ABS('2. Demand History'!W171-IF($D171="Yes",'2. Demand History'!K171,AVERAGE('2. Demand History'!T171:V171)))/MAX('2. Demand History'!W171,1),3)</f>
        <v>0.14000000000000001</v>
      </c>
      <c r="O171" s="10">
        <f>ROUND(ABS('2. Demand History'!X171-IF($D171="Yes",'2. Demand History'!L171,AVERAGE('2. Demand History'!U171:W171)))/MAX('2. Demand History'!X171,1),3)</f>
        <v>0.104</v>
      </c>
      <c r="P171" s="10">
        <f>ROUND(ABS('2. Demand History'!Y171-IF($D171="Yes",'2. Demand History'!M171,AVERAGE('2. Demand History'!V171:X171)))/MAX('2. Demand History'!Y171,1),3)</f>
        <v>6.9000000000000006E-2</v>
      </c>
      <c r="Q171" s="10">
        <f>ROUND(ABS('2. Demand History'!Z171-IF($D171="Yes",'2. Demand History'!N171,AVERAGE('2. Demand History'!W171:Y171)))/MAX('2. Demand History'!Z171,1),3)</f>
        <v>0.1</v>
      </c>
    </row>
    <row r="172" spans="1:17" ht="15" customHeight="1" x14ac:dyDescent="0.2">
      <c r="A172" s="3" t="str">
        <f>'2. Demand History'!A172</f>
        <v>NT10168</v>
      </c>
      <c r="B172" s="1" t="str">
        <f>'2. Demand History'!B172</f>
        <v>StudioPods 858 ANC</v>
      </c>
      <c r="C172" s="3" t="str">
        <f>'1. Master Data'!C172</f>
        <v>Audio</v>
      </c>
      <c r="D172" s="3" t="s">
        <v>1111</v>
      </c>
      <c r="E172" s="3" t="str">
        <f t="shared" si="6"/>
        <v>Seasonal Naive</v>
      </c>
      <c r="F172" s="3">
        <f>ROUND(AVERAGE('2. Demand History'!O172:Z172),1)</f>
        <v>81.400000000000006</v>
      </c>
      <c r="G172" s="3">
        <f>ROUND(STDEV('2. Demand History'!O172:Z172),1)</f>
        <v>26</v>
      </c>
      <c r="H172" s="8">
        <f t="shared" si="7"/>
        <v>0.32</v>
      </c>
      <c r="I172" s="8">
        <f>ROUND(SUM('2. Demand History'!O172:Z172)/MAX(SUM('2. Demand History'!C172:N172),1),2)</f>
        <v>0.99</v>
      </c>
      <c r="J172" s="5">
        <f>IF(D172="Yes",ROUND('2. Demand History'!O172*I172,0),ROUND(AVERAGE('2. Demand History'!X172:Z172),0))</f>
        <v>64</v>
      </c>
      <c r="K172" s="9">
        <f t="shared" si="8"/>
        <v>7.0999999999999994E-2</v>
      </c>
      <c r="L172" s="10">
        <f>ROUND(ABS('2. Demand History'!U172-IF($D172="Yes",'2. Demand History'!I172,AVERAGE('2. Demand History'!R172:T172)))/MAX('2. Demand History'!U172,1),3)</f>
        <v>0.112</v>
      </c>
      <c r="M172" s="10">
        <f>ROUND(ABS('2. Demand History'!V172-IF($D172="Yes",'2. Demand History'!J172,AVERAGE('2. Demand History'!S172:U172)))/MAX('2. Demand History'!V172,1),3)</f>
        <v>3.5999999999999997E-2</v>
      </c>
      <c r="N172" s="10">
        <f>ROUND(ABS('2. Demand History'!W172-IF($D172="Yes",'2. Demand History'!K172,AVERAGE('2. Demand History'!T172:V172)))/MAX('2. Demand History'!W172,1),3)</f>
        <v>0.11</v>
      </c>
      <c r="O172" s="10">
        <f>ROUND(ABS('2. Demand History'!X172-IF($D172="Yes",'2. Demand History'!L172,AVERAGE('2. Demand History'!U172:W172)))/MAX('2. Demand History'!X172,1),3)</f>
        <v>2.7E-2</v>
      </c>
      <c r="P172" s="10">
        <f>ROUND(ABS('2. Demand History'!Y172-IF($D172="Yes",'2. Demand History'!M172,AVERAGE('2. Demand History'!V172:X172)))/MAX('2. Demand History'!Y172,1),3)</f>
        <v>0.14299999999999999</v>
      </c>
      <c r="Q172" s="10">
        <f>ROUND(ABS('2. Demand History'!Z172-IF($D172="Yes",'2. Demand History'!N172,AVERAGE('2. Demand History'!W172:Y172)))/MAX('2. Demand History'!Z172,1),3)</f>
        <v>0</v>
      </c>
    </row>
    <row r="173" spans="1:17" ht="15" customHeight="1" x14ac:dyDescent="0.2">
      <c r="A173" s="3" t="str">
        <f>'2. Demand History'!A173</f>
        <v>NT10169</v>
      </c>
      <c r="B173" s="1" t="str">
        <f>'2. Demand History'!B173</f>
        <v>StudioPods 131 ANC</v>
      </c>
      <c r="C173" s="3" t="str">
        <f>'1. Master Data'!C173</f>
        <v>Audio</v>
      </c>
      <c r="D173" s="3" t="s">
        <v>1111</v>
      </c>
      <c r="E173" s="3" t="str">
        <f t="shared" si="6"/>
        <v>Seasonal Naive</v>
      </c>
      <c r="F173" s="3">
        <f>ROUND(AVERAGE('2. Demand History'!O173:Z173),1)</f>
        <v>145.5</v>
      </c>
      <c r="G173" s="3">
        <f>ROUND(STDEV('2. Demand History'!O173:Z173),1)</f>
        <v>42.9</v>
      </c>
      <c r="H173" s="8">
        <f t="shared" si="7"/>
        <v>0.28999999999999998</v>
      </c>
      <c r="I173" s="8">
        <f>ROUND(SUM('2. Demand History'!O173:Z173)/MAX(SUM('2. Demand History'!C173:N173),1),2)</f>
        <v>1.08</v>
      </c>
      <c r="J173" s="5">
        <f>IF(D173="Yes",ROUND('2. Demand History'!O173*I173,0),ROUND(AVERAGE('2. Demand History'!X173:Z173),0))</f>
        <v>141</v>
      </c>
      <c r="K173" s="9">
        <f t="shared" si="8"/>
        <v>0.10199999999999999</v>
      </c>
      <c r="L173" s="10">
        <f>ROUND(ABS('2. Demand History'!U173-IF($D173="Yes",'2. Demand History'!I173,AVERAGE('2. Demand History'!R173:T173)))/MAX('2. Demand History'!U173,1),3)</f>
        <v>9.9000000000000005E-2</v>
      </c>
      <c r="M173" s="10">
        <f>ROUND(ABS('2. Demand History'!V173-IF($D173="Yes",'2. Demand History'!J173,AVERAGE('2. Demand History'!S173:U173)))/MAX('2. Demand History'!V173,1),3)</f>
        <v>0.14399999999999999</v>
      </c>
      <c r="N173" s="10">
        <f>ROUND(ABS('2. Demand History'!W173-IF($D173="Yes",'2. Demand History'!K173,AVERAGE('2. Demand History'!T173:V173)))/MAX('2. Demand History'!W173,1),3)</f>
        <v>9.4E-2</v>
      </c>
      <c r="O173" s="10">
        <f>ROUND(ABS('2. Demand History'!X173-IF($D173="Yes",'2. Demand History'!L173,AVERAGE('2. Demand History'!U173:W173)))/MAX('2. Demand History'!X173,1),3)</f>
        <v>0.153</v>
      </c>
      <c r="P173" s="10">
        <f>ROUND(ABS('2. Demand History'!Y173-IF($D173="Yes",'2. Demand History'!M173,AVERAGE('2. Demand History'!V173:X173)))/MAX('2. Demand History'!Y173,1),3)</f>
        <v>4.2000000000000003E-2</v>
      </c>
      <c r="Q173" s="10">
        <f>ROUND(ABS('2. Demand History'!Z173-IF($D173="Yes",'2. Demand History'!N173,AVERAGE('2. Demand History'!W173:Y173)))/MAX('2. Demand History'!Z173,1),3)</f>
        <v>8.2000000000000003E-2</v>
      </c>
    </row>
    <row r="174" spans="1:17" ht="15" customHeight="1" x14ac:dyDescent="0.2">
      <c r="A174" s="3" t="str">
        <f>'2. Demand History'!A174</f>
        <v>NT10170</v>
      </c>
      <c r="B174" s="1" t="str">
        <f>'2. Demand History'!B174</f>
        <v>SoundCore Buds 475</v>
      </c>
      <c r="C174" s="3" t="str">
        <f>'1. Master Data'!C174</f>
        <v>Audio</v>
      </c>
      <c r="D174" s="3" t="s">
        <v>1111</v>
      </c>
      <c r="E174" s="3" t="str">
        <f t="shared" si="6"/>
        <v>Seasonal Naive</v>
      </c>
      <c r="F174" s="3">
        <f>ROUND(AVERAGE('2. Demand History'!O174:Z174),1)</f>
        <v>101.9</v>
      </c>
      <c r="G174" s="3">
        <f>ROUND(STDEV('2. Demand History'!O174:Z174),1)</f>
        <v>37.700000000000003</v>
      </c>
      <c r="H174" s="8">
        <f t="shared" si="7"/>
        <v>0.37</v>
      </c>
      <c r="I174" s="8">
        <f>ROUND(SUM('2. Demand History'!O174:Z174)/MAX(SUM('2. Demand History'!C174:N174),1),2)</f>
        <v>1.01</v>
      </c>
      <c r="J174" s="5">
        <f>IF(D174="Yes",ROUND('2. Demand History'!O174*I174,0),ROUND(AVERAGE('2. Demand History'!X174:Z174),0))</f>
        <v>86</v>
      </c>
      <c r="K174" s="9">
        <f t="shared" si="8"/>
        <v>0.126</v>
      </c>
      <c r="L174" s="10">
        <f>ROUND(ABS('2. Demand History'!U174-IF($D174="Yes",'2. Demand History'!I174,AVERAGE('2. Demand History'!R174:T174)))/MAX('2. Demand History'!U174,1),3)</f>
        <v>0.10199999999999999</v>
      </c>
      <c r="M174" s="10">
        <f>ROUND(ABS('2. Demand History'!V174-IF($D174="Yes",'2. Demand History'!J174,AVERAGE('2. Demand History'!S174:U174)))/MAX('2. Demand History'!V174,1),3)</f>
        <v>0.151</v>
      </c>
      <c r="N174" s="10">
        <f>ROUND(ABS('2. Demand History'!W174-IF($D174="Yes",'2. Demand History'!K174,AVERAGE('2. Demand History'!T174:V174)))/MAX('2. Demand History'!W174,1),3)</f>
        <v>0.153</v>
      </c>
      <c r="O174" s="10">
        <f>ROUND(ABS('2. Demand History'!X174-IF($D174="Yes",'2. Demand History'!L174,AVERAGE('2. Demand History'!U174:W174)))/MAX('2. Demand History'!X174,1),3)</f>
        <v>0.24</v>
      </c>
      <c r="P174" s="10">
        <f>ROUND(ABS('2. Demand History'!Y174-IF($D174="Yes",'2. Demand History'!M174,AVERAGE('2. Demand History'!V174:X174)))/MAX('2. Demand History'!Y174,1),3)</f>
        <v>6.8000000000000005E-2</v>
      </c>
      <c r="Q174" s="10">
        <f>ROUND(ABS('2. Demand History'!Z174-IF($D174="Yes",'2. Demand History'!N174,AVERAGE('2. Demand History'!W174:Y174)))/MAX('2. Demand History'!Z174,1),3)</f>
        <v>4.2000000000000003E-2</v>
      </c>
    </row>
    <row r="175" spans="1:17" ht="15" customHeight="1" x14ac:dyDescent="0.2">
      <c r="A175" s="3" t="str">
        <f>'2. Demand History'!A175</f>
        <v>NT10171</v>
      </c>
      <c r="B175" s="1" t="str">
        <f>'2. Demand History'!B175</f>
        <v>StudioPods 651 ANC</v>
      </c>
      <c r="C175" s="3" t="str">
        <f>'1. Master Data'!C175</f>
        <v>Audio</v>
      </c>
      <c r="D175" s="3" t="s">
        <v>1111</v>
      </c>
      <c r="E175" s="3" t="str">
        <f t="shared" si="6"/>
        <v>Seasonal Naive</v>
      </c>
      <c r="F175" s="3">
        <f>ROUND(AVERAGE('2. Demand History'!O175:Z175),1)</f>
        <v>220</v>
      </c>
      <c r="G175" s="3">
        <f>ROUND(STDEV('2. Demand History'!O175:Z175),1)</f>
        <v>60.8</v>
      </c>
      <c r="H175" s="8">
        <f t="shared" si="7"/>
        <v>0.28000000000000003</v>
      </c>
      <c r="I175" s="8">
        <f>ROUND(SUM('2. Demand History'!O175:Z175)/MAX(SUM('2. Demand History'!C175:N175),1),2)</f>
        <v>1.04</v>
      </c>
      <c r="J175" s="5">
        <f>IF(D175="Yes",ROUND('2. Demand History'!O175*I175,0),ROUND(AVERAGE('2. Demand History'!X175:Z175),0))</f>
        <v>188</v>
      </c>
      <c r="K175" s="9">
        <f t="shared" si="8"/>
        <v>0.129</v>
      </c>
      <c r="L175" s="10">
        <f>ROUND(ABS('2. Demand History'!U175-IF($D175="Yes",'2. Demand History'!I175,AVERAGE('2. Demand History'!R175:T175)))/MAX('2. Demand History'!U175,1),3)</f>
        <v>6.5000000000000002E-2</v>
      </c>
      <c r="M175" s="10">
        <f>ROUND(ABS('2. Demand History'!V175-IF($D175="Yes",'2. Demand History'!J175,AVERAGE('2. Demand History'!S175:U175)))/MAX('2. Demand History'!V175,1),3)</f>
        <v>0.123</v>
      </c>
      <c r="N175" s="10">
        <f>ROUND(ABS('2. Demand History'!W175-IF($D175="Yes",'2. Demand History'!K175,AVERAGE('2. Demand History'!T175:V175)))/MAX('2. Demand History'!W175,1),3)</f>
        <v>0.17399999999999999</v>
      </c>
      <c r="O175" s="10">
        <f>ROUND(ABS('2. Demand History'!X175-IF($D175="Yes",'2. Demand History'!L175,AVERAGE('2. Demand History'!U175:W175)))/MAX('2. Demand History'!X175,1),3)</f>
        <v>6.5000000000000002E-2</v>
      </c>
      <c r="P175" s="10">
        <f>ROUND(ABS('2. Demand History'!Y175-IF($D175="Yes",'2. Demand History'!M175,AVERAGE('2. Demand History'!V175:X175)))/MAX('2. Demand History'!Y175,1),3)</f>
        <v>5.0000000000000001E-3</v>
      </c>
      <c r="Q175" s="10">
        <f>ROUND(ABS('2. Demand History'!Z175-IF($D175="Yes",'2. Demand History'!N175,AVERAGE('2. Demand History'!W175:Y175)))/MAX('2. Demand History'!Z175,1),3)</f>
        <v>0.34100000000000003</v>
      </c>
    </row>
    <row r="176" spans="1:17" ht="15" customHeight="1" x14ac:dyDescent="0.2">
      <c r="A176" s="3" t="str">
        <f>'2. Demand History'!A176</f>
        <v>NT10172</v>
      </c>
      <c r="B176" s="1" t="str">
        <f>'2. Demand History'!B176</f>
        <v>BassMax Speaker 274</v>
      </c>
      <c r="C176" s="3" t="str">
        <f>'1. Master Data'!C176</f>
        <v>Audio</v>
      </c>
      <c r="D176" s="3" t="s">
        <v>1111</v>
      </c>
      <c r="E176" s="3" t="str">
        <f t="shared" si="6"/>
        <v>Seasonal Naive</v>
      </c>
      <c r="F176" s="3">
        <f>ROUND(AVERAGE('2. Demand History'!O176:Z176),1)</f>
        <v>100.3</v>
      </c>
      <c r="G176" s="3">
        <f>ROUND(STDEV('2. Demand History'!O176:Z176),1)</f>
        <v>113.1</v>
      </c>
      <c r="H176" s="8">
        <f t="shared" si="7"/>
        <v>1.1299999999999999</v>
      </c>
      <c r="I176" s="8">
        <f>ROUND(SUM('2. Demand History'!O176:Z176)/MAX(SUM('2. Demand History'!C176:N176),1),2)</f>
        <v>1.53</v>
      </c>
      <c r="J176" s="5">
        <f>IF(D176="Yes",ROUND('2. Demand History'!O176*I176,0),ROUND(AVERAGE('2. Demand History'!X176:Z176),0))</f>
        <v>509</v>
      </c>
      <c r="K176" s="9">
        <f t="shared" si="8"/>
        <v>0.08</v>
      </c>
      <c r="L176" s="10">
        <f>ROUND(ABS('2. Demand History'!U176-IF($D176="Yes",'2. Demand History'!I176,AVERAGE('2. Demand History'!R176:T176)))/MAX('2. Demand History'!U176,1),3)</f>
        <v>8.6999999999999994E-2</v>
      </c>
      <c r="M176" s="10">
        <f>ROUND(ABS('2. Demand History'!V176-IF($D176="Yes",'2. Demand History'!J176,AVERAGE('2. Demand History'!S176:U176)))/MAX('2. Demand History'!V176,1),3)</f>
        <v>4.8000000000000001E-2</v>
      </c>
      <c r="N176" s="10">
        <f>ROUND(ABS('2. Demand History'!W176-IF($D176="Yes",'2. Demand History'!K176,AVERAGE('2. Demand History'!T176:V176)))/MAX('2. Demand History'!W176,1),3)</f>
        <v>4.1000000000000002E-2</v>
      </c>
      <c r="O176" s="10">
        <f>ROUND(ABS('2. Demand History'!X176-IF($D176="Yes",'2. Demand History'!L176,AVERAGE('2. Demand History'!U176:W176)))/MAX('2. Demand History'!X176,1),3)</f>
        <v>2.5999999999999999E-2</v>
      </c>
      <c r="P176" s="10">
        <f>ROUND(ABS('2. Demand History'!Y176-IF($D176="Yes",'2. Demand History'!M176,AVERAGE('2. Demand History'!V176:X176)))/MAX('2. Demand History'!Y176,1),3)</f>
        <v>0.17799999999999999</v>
      </c>
      <c r="Q176" s="10">
        <f>ROUND(ABS('2. Demand History'!Z176-IF($D176="Yes",'2. Demand History'!N176,AVERAGE('2. Demand History'!W176:Y176)))/MAX('2. Demand History'!Z176,1),3)</f>
        <v>0.10199999999999999</v>
      </c>
    </row>
    <row r="177" spans="1:17" ht="15" customHeight="1" x14ac:dyDescent="0.2">
      <c r="A177" s="3" t="str">
        <f>'2. Demand History'!A177</f>
        <v>NT10173</v>
      </c>
      <c r="B177" s="1" t="str">
        <f>'2. Demand History'!B177</f>
        <v>WaveBar 471 Soundbar</v>
      </c>
      <c r="C177" s="3" t="str">
        <f>'1. Master Data'!C177</f>
        <v>Audio</v>
      </c>
      <c r="D177" s="3" t="s">
        <v>1111</v>
      </c>
      <c r="E177" s="3" t="str">
        <f t="shared" si="6"/>
        <v>Seasonal Naive</v>
      </c>
      <c r="F177" s="3">
        <f>ROUND(AVERAGE('2. Demand History'!O177:Z177),1)</f>
        <v>38.700000000000003</v>
      </c>
      <c r="G177" s="3">
        <f>ROUND(STDEV('2. Demand History'!O177:Z177),1)</f>
        <v>34.299999999999997</v>
      </c>
      <c r="H177" s="8">
        <f t="shared" si="7"/>
        <v>0.89</v>
      </c>
      <c r="I177" s="8">
        <f>ROUND(SUM('2. Demand History'!O177:Z177)/MAX(SUM('2. Demand History'!C177:N177),1),2)</f>
        <v>0.71</v>
      </c>
      <c r="J177" s="5">
        <f>IF(D177="Yes",ROUND('2. Demand History'!O177*I177,0),ROUND(AVERAGE('2. Demand History'!X177:Z177),0))</f>
        <v>17</v>
      </c>
      <c r="K177" s="9">
        <f t="shared" si="8"/>
        <v>2.266</v>
      </c>
      <c r="L177" s="10">
        <f>ROUND(ABS('2. Demand History'!U177-IF($D177="Yes",'2. Demand History'!I177,AVERAGE('2. Demand History'!R177:T177)))/MAX('2. Demand History'!U177,1),3)</f>
        <v>0.6</v>
      </c>
      <c r="M177" s="10">
        <f>ROUND(ABS('2. Demand History'!V177-IF($D177="Yes",'2. Demand History'!J177,AVERAGE('2. Demand History'!S177:U177)))/MAX('2. Demand History'!V177,1),3)</f>
        <v>0.70199999999999996</v>
      </c>
      <c r="N177" s="10">
        <f>ROUND(ABS('2. Demand History'!W177-IF($D177="Yes",'2. Demand History'!K177,AVERAGE('2. Demand History'!T177:V177)))/MAX('2. Demand History'!W177,1),3)</f>
        <v>0.70299999999999996</v>
      </c>
      <c r="O177" s="10">
        <f>ROUND(ABS('2. Demand History'!X177-IF($D177="Yes",'2. Demand History'!L177,AVERAGE('2. Demand History'!U177:W177)))/MAX('2. Demand History'!X177,1),3)</f>
        <v>5.0449999999999999</v>
      </c>
      <c r="P177" s="10">
        <f>ROUND(ABS('2. Demand History'!Y177-IF($D177="Yes",'2. Demand History'!M177,AVERAGE('2. Demand History'!V177:X177)))/MAX('2. Demand History'!Y177,1),3)</f>
        <v>5.6820000000000004</v>
      </c>
      <c r="Q177" s="10">
        <f>ROUND(ABS('2. Demand History'!Z177-IF($D177="Yes",'2. Demand History'!N177,AVERAGE('2. Demand History'!W177:Y177)))/MAX('2. Demand History'!Z177,1),3)</f>
        <v>0.86199999999999999</v>
      </c>
    </row>
    <row r="178" spans="1:17" ht="15" customHeight="1" x14ac:dyDescent="0.2">
      <c r="A178" s="3" t="str">
        <f>'2. Demand History'!A178</f>
        <v>NT10174</v>
      </c>
      <c r="B178" s="1" t="str">
        <f>'2. Demand History'!B178</f>
        <v>ClipMic 238 Wireless</v>
      </c>
      <c r="C178" s="3" t="str">
        <f>'1. Master Data'!C178</f>
        <v>Audio</v>
      </c>
      <c r="D178" s="3" t="s">
        <v>1111</v>
      </c>
      <c r="E178" s="3" t="str">
        <f t="shared" si="6"/>
        <v>Seasonal Naive</v>
      </c>
      <c r="F178" s="3">
        <f>ROUND(AVERAGE('2. Demand History'!O178:Z178),1)</f>
        <v>59.5</v>
      </c>
      <c r="G178" s="3">
        <f>ROUND(STDEV('2. Demand History'!O178:Z178),1)</f>
        <v>18.100000000000001</v>
      </c>
      <c r="H178" s="8">
        <f t="shared" si="7"/>
        <v>0.3</v>
      </c>
      <c r="I178" s="8">
        <f>ROUND(SUM('2. Demand History'!O178:Z178)/MAX(SUM('2. Demand History'!C178:N178),1),2)</f>
        <v>1.08</v>
      </c>
      <c r="J178" s="5">
        <f>IF(D178="Yes",ROUND('2. Demand History'!O178*I178,0),ROUND(AVERAGE('2. Demand History'!X178:Z178),0))</f>
        <v>62</v>
      </c>
      <c r="K178" s="9">
        <f t="shared" si="8"/>
        <v>0.123</v>
      </c>
      <c r="L178" s="10">
        <f>ROUND(ABS('2. Demand History'!U178-IF($D178="Yes",'2. Demand History'!I178,AVERAGE('2. Demand History'!R178:T178)))/MAX('2. Demand History'!U178,1),3)</f>
        <v>0.151</v>
      </c>
      <c r="M178" s="10">
        <f>ROUND(ABS('2. Demand History'!V178-IF($D178="Yes",'2. Demand History'!J178,AVERAGE('2. Demand History'!S178:U178)))/MAX('2. Demand History'!V178,1),3)</f>
        <v>0.1</v>
      </c>
      <c r="N178" s="10">
        <f>ROUND(ABS('2. Demand History'!W178-IF($D178="Yes",'2. Demand History'!K178,AVERAGE('2. Demand History'!T178:V178)))/MAX('2. Demand History'!W178,1),3)</f>
        <v>2.1000000000000001E-2</v>
      </c>
      <c r="O178" s="10">
        <f>ROUND(ABS('2. Demand History'!X178-IF($D178="Yes",'2. Demand History'!L178,AVERAGE('2. Demand History'!U178:W178)))/MAX('2. Demand History'!X178,1),3)</f>
        <v>0.214</v>
      </c>
      <c r="P178" s="10">
        <f>ROUND(ABS('2. Demand History'!Y178-IF($D178="Yes",'2. Demand History'!M178,AVERAGE('2. Demand History'!V178:X178)))/MAX('2. Demand History'!Y178,1),3)</f>
        <v>0.183</v>
      </c>
      <c r="Q178" s="10">
        <f>ROUND(ABS('2. Demand History'!Z178-IF($D178="Yes",'2. Demand History'!N178,AVERAGE('2. Demand History'!W178:Y178)))/MAX('2. Demand History'!Z178,1),3)</f>
        <v>7.0000000000000007E-2</v>
      </c>
    </row>
    <row r="179" spans="1:17" ht="15" customHeight="1" x14ac:dyDescent="0.2">
      <c r="A179" s="3" t="str">
        <f>'2. Demand History'!A179</f>
        <v>NT10175</v>
      </c>
      <c r="B179" s="1" t="str">
        <f>'2. Demand History'!B179</f>
        <v>StudioPods 585 ANC</v>
      </c>
      <c r="C179" s="3" t="str">
        <f>'1. Master Data'!C179</f>
        <v>Audio</v>
      </c>
      <c r="D179" s="3" t="s">
        <v>1111</v>
      </c>
      <c r="E179" s="3" t="str">
        <f t="shared" si="6"/>
        <v>Seasonal Naive</v>
      </c>
      <c r="F179" s="3">
        <f>ROUND(AVERAGE('2. Demand History'!O179:Z179),1)</f>
        <v>61.4</v>
      </c>
      <c r="G179" s="3">
        <f>ROUND(STDEV('2. Demand History'!O179:Z179),1)</f>
        <v>53</v>
      </c>
      <c r="H179" s="8">
        <f t="shared" si="7"/>
        <v>0.86</v>
      </c>
      <c r="I179" s="8">
        <f>ROUND(SUM('2. Demand History'!O179:Z179)/MAX(SUM('2. Demand History'!C179:N179),1),2)</f>
        <v>1.1499999999999999</v>
      </c>
      <c r="J179" s="5">
        <f>IF(D179="Yes",ROUND('2. Demand History'!O179*I179,0),ROUND(AVERAGE('2. Demand History'!X179:Z179),0))</f>
        <v>167</v>
      </c>
      <c r="K179" s="9">
        <f t="shared" si="8"/>
        <v>0.40400000000000003</v>
      </c>
      <c r="L179" s="10">
        <f>ROUND(ABS('2. Demand History'!U179-IF($D179="Yes",'2. Demand History'!I179,AVERAGE('2. Demand History'!R179:T179)))/MAX('2. Demand History'!U179,1),3)</f>
        <v>0.77700000000000002</v>
      </c>
      <c r="M179" s="10">
        <f>ROUND(ABS('2. Demand History'!V179-IF($D179="Yes",'2. Demand History'!J179,AVERAGE('2. Demand History'!S179:U179)))/MAX('2. Demand History'!V179,1),3)</f>
        <v>3.3000000000000002E-2</v>
      </c>
      <c r="N179" s="10">
        <f>ROUND(ABS('2. Demand History'!W179-IF($D179="Yes",'2. Demand History'!K179,AVERAGE('2. Demand History'!T179:V179)))/MAX('2. Demand History'!W179,1),3)</f>
        <v>8.3000000000000004E-2</v>
      </c>
      <c r="O179" s="10">
        <f>ROUND(ABS('2. Demand History'!X179-IF($D179="Yes",'2. Demand History'!L179,AVERAGE('2. Demand History'!U179:W179)))/MAX('2. Demand History'!X179,1),3)</f>
        <v>0.11799999999999999</v>
      </c>
      <c r="P179" s="10">
        <f>ROUND(ABS('2. Demand History'!Y179-IF($D179="Yes",'2. Demand History'!M179,AVERAGE('2. Demand History'!V179:X179)))/MAX('2. Demand History'!Y179,1),3)</f>
        <v>0.745</v>
      </c>
      <c r="Q179" s="10">
        <f>ROUND(ABS('2. Demand History'!Z179-IF($D179="Yes",'2. Demand History'!N179,AVERAGE('2. Demand History'!W179:Y179)))/MAX('2. Demand History'!Z179,1),3)</f>
        <v>0.66700000000000004</v>
      </c>
    </row>
    <row r="180" spans="1:17" ht="15" customHeight="1" x14ac:dyDescent="0.2">
      <c r="A180" s="3" t="str">
        <f>'2. Demand History'!A180</f>
        <v>NT10176</v>
      </c>
      <c r="B180" s="1" t="str">
        <f>'2. Demand History'!B180</f>
        <v>SoundCore Buds 312</v>
      </c>
      <c r="C180" s="3" t="str">
        <f>'1. Master Data'!C180</f>
        <v>Audio</v>
      </c>
      <c r="D180" s="3" t="s">
        <v>1111</v>
      </c>
      <c r="E180" s="3" t="str">
        <f t="shared" si="6"/>
        <v>Seasonal Naive</v>
      </c>
      <c r="F180" s="3">
        <f>ROUND(AVERAGE('2. Demand History'!O180:Z180),1)</f>
        <v>66.2</v>
      </c>
      <c r="G180" s="3">
        <f>ROUND(STDEV('2. Demand History'!O180:Z180),1)</f>
        <v>19.3</v>
      </c>
      <c r="H180" s="8">
        <f t="shared" si="7"/>
        <v>0.28999999999999998</v>
      </c>
      <c r="I180" s="8">
        <f>ROUND(SUM('2. Demand History'!O180:Z180)/MAX(SUM('2. Demand History'!C180:N180),1),2)</f>
        <v>1.05</v>
      </c>
      <c r="J180" s="5">
        <f>IF(D180="Yes",ROUND('2. Demand History'!O180*I180,0),ROUND(AVERAGE('2. Demand History'!X180:Z180),0))</f>
        <v>63</v>
      </c>
      <c r="K180" s="9">
        <f t="shared" si="8"/>
        <v>6.4000000000000001E-2</v>
      </c>
      <c r="L180" s="10">
        <f>ROUND(ABS('2. Demand History'!U180-IF($D180="Yes",'2. Demand History'!I180,AVERAGE('2. Demand History'!R180:T180)))/MAX('2. Demand History'!U180,1),3)</f>
        <v>5.2999999999999999E-2</v>
      </c>
      <c r="M180" s="10">
        <f>ROUND(ABS('2. Demand History'!V180-IF($D180="Yes",'2. Demand History'!J180,AVERAGE('2. Demand History'!S180:U180)))/MAX('2. Demand History'!V180,1),3)</f>
        <v>0.105</v>
      </c>
      <c r="N180" s="10">
        <f>ROUND(ABS('2. Demand History'!W180-IF($D180="Yes",'2. Demand History'!K180,AVERAGE('2. Demand History'!T180:V180)))/MAX('2. Demand History'!W180,1),3)</f>
        <v>7.3999999999999996E-2</v>
      </c>
      <c r="O180" s="10">
        <f>ROUND(ABS('2. Demand History'!X180-IF($D180="Yes",'2. Demand History'!L180,AVERAGE('2. Demand History'!U180:W180)))/MAX('2. Demand History'!X180,1),3)</f>
        <v>1.7000000000000001E-2</v>
      </c>
      <c r="P180" s="10">
        <f>ROUND(ABS('2. Demand History'!Y180-IF($D180="Yes",'2. Demand History'!M180,AVERAGE('2. Demand History'!V180:X180)))/MAX('2. Demand History'!Y180,1),3)</f>
        <v>4.5999999999999999E-2</v>
      </c>
      <c r="Q180" s="10">
        <f>ROUND(ABS('2. Demand History'!Z180-IF($D180="Yes",'2. Demand History'!N180,AVERAGE('2. Demand History'!W180:Y180)))/MAX('2. Demand History'!Z180,1),3)</f>
        <v>8.8999999999999996E-2</v>
      </c>
    </row>
    <row r="181" spans="1:17" ht="15" customHeight="1" x14ac:dyDescent="0.2">
      <c r="A181" s="3" t="str">
        <f>'2. Demand History'!A181</f>
        <v>NT10177</v>
      </c>
      <c r="B181" s="1" t="str">
        <f>'2. Demand History'!B181</f>
        <v>StudioPods 405 ANC</v>
      </c>
      <c r="C181" s="3" t="str">
        <f>'1. Master Data'!C181</f>
        <v>Audio</v>
      </c>
      <c r="D181" s="3" t="s">
        <v>1111</v>
      </c>
      <c r="E181" s="3" t="str">
        <f t="shared" si="6"/>
        <v>Seasonal Naive</v>
      </c>
      <c r="F181" s="3">
        <f>ROUND(AVERAGE('2. Demand History'!O181:Z181),1)</f>
        <v>127.6</v>
      </c>
      <c r="G181" s="3">
        <f>ROUND(STDEV('2. Demand History'!O181:Z181),1)</f>
        <v>37.700000000000003</v>
      </c>
      <c r="H181" s="8">
        <f t="shared" si="7"/>
        <v>0.3</v>
      </c>
      <c r="I181" s="8">
        <f>ROUND(SUM('2. Demand History'!O181:Z181)/MAX(SUM('2. Demand History'!C181:N181),1),2)</f>
        <v>1.1499999999999999</v>
      </c>
      <c r="J181" s="5">
        <f>IF(D181="Yes",ROUND('2. Demand History'!O181*I181,0),ROUND(AVERAGE('2. Demand History'!X181:Z181),0))</f>
        <v>143</v>
      </c>
      <c r="K181" s="9">
        <f t="shared" si="8"/>
        <v>0.14799999999999999</v>
      </c>
      <c r="L181" s="10">
        <f>ROUND(ABS('2. Demand History'!U181-IF($D181="Yes",'2. Demand History'!I181,AVERAGE('2. Demand History'!R181:T181)))/MAX('2. Demand History'!U181,1),3)</f>
        <v>0.109</v>
      </c>
      <c r="M181" s="10">
        <f>ROUND(ABS('2. Demand History'!V181-IF($D181="Yes",'2. Demand History'!J181,AVERAGE('2. Demand History'!S181:U181)))/MAX('2. Demand History'!V181,1),3)</f>
        <v>0.191</v>
      </c>
      <c r="N181" s="10">
        <f>ROUND(ABS('2. Demand History'!W181-IF($D181="Yes",'2. Demand History'!K181,AVERAGE('2. Demand History'!T181:V181)))/MAX('2. Demand History'!W181,1),3)</f>
        <v>0.219</v>
      </c>
      <c r="O181" s="10">
        <f>ROUND(ABS('2. Demand History'!X181-IF($D181="Yes",'2. Demand History'!L181,AVERAGE('2. Demand History'!U181:W181)))/MAX('2. Demand History'!X181,1),3)</f>
        <v>0.192</v>
      </c>
      <c r="P181" s="10">
        <f>ROUND(ABS('2. Demand History'!Y181-IF($D181="Yes",'2. Demand History'!M181,AVERAGE('2. Demand History'!V181:X181)))/MAX('2. Demand History'!Y181,1),3)</f>
        <v>6.8000000000000005E-2</v>
      </c>
      <c r="Q181" s="10">
        <f>ROUND(ABS('2. Demand History'!Z181-IF($D181="Yes",'2. Demand History'!N181,AVERAGE('2. Demand History'!W181:Y181)))/MAX('2. Demand History'!Z181,1),3)</f>
        <v>0.107</v>
      </c>
    </row>
    <row r="182" spans="1:17" ht="15" customHeight="1" x14ac:dyDescent="0.2">
      <c r="A182" s="3" t="str">
        <f>'2. Demand History'!A182</f>
        <v>NT10178</v>
      </c>
      <c r="B182" s="1" t="str">
        <f>'2. Demand History'!B182</f>
        <v>BassMax Speaker 653</v>
      </c>
      <c r="C182" s="3" t="str">
        <f>'1. Master Data'!C182</f>
        <v>Audio</v>
      </c>
      <c r="D182" s="3" t="s">
        <v>1111</v>
      </c>
      <c r="E182" s="3" t="str">
        <f t="shared" si="6"/>
        <v>Seasonal Naive</v>
      </c>
      <c r="F182" s="3">
        <f>ROUND(AVERAGE('2. Demand History'!O182:Z182),1)</f>
        <v>100.8</v>
      </c>
      <c r="G182" s="3">
        <f>ROUND(STDEV('2. Demand History'!O182:Z182),1)</f>
        <v>35.4</v>
      </c>
      <c r="H182" s="8">
        <f t="shared" si="7"/>
        <v>0.35</v>
      </c>
      <c r="I182" s="8">
        <f>ROUND(SUM('2. Demand History'!O182:Z182)/MAX(SUM('2. Demand History'!C182:N182),1),2)</f>
        <v>1.08</v>
      </c>
      <c r="J182" s="5">
        <f>IF(D182="Yes",ROUND('2. Demand History'!O182*I182,0),ROUND(AVERAGE('2. Demand History'!X182:Z182),0))</f>
        <v>107</v>
      </c>
      <c r="K182" s="9">
        <f t="shared" si="8"/>
        <v>0.1</v>
      </c>
      <c r="L182" s="10">
        <f>ROUND(ABS('2. Demand History'!U182-IF($D182="Yes",'2. Demand History'!I182,AVERAGE('2. Demand History'!R182:T182)))/MAX('2. Demand History'!U182,1),3)</f>
        <v>7.2999999999999995E-2</v>
      </c>
      <c r="M182" s="10">
        <f>ROUND(ABS('2. Demand History'!V182-IF($D182="Yes",'2. Demand History'!J182,AVERAGE('2. Demand History'!S182:U182)))/MAX('2. Demand History'!V182,1),3)</f>
        <v>9.5000000000000001E-2</v>
      </c>
      <c r="N182" s="10">
        <f>ROUND(ABS('2. Demand History'!W182-IF($D182="Yes",'2. Demand History'!K182,AVERAGE('2. Demand History'!T182:V182)))/MAX('2. Demand History'!W182,1),3)</f>
        <v>0.154</v>
      </c>
      <c r="O182" s="10">
        <f>ROUND(ABS('2. Demand History'!X182-IF($D182="Yes",'2. Demand History'!L182,AVERAGE('2. Demand History'!U182:W182)))/MAX('2. Demand History'!X182,1),3)</f>
        <v>0.14099999999999999</v>
      </c>
      <c r="P182" s="10">
        <f>ROUND(ABS('2. Demand History'!Y182-IF($D182="Yes",'2. Demand History'!M182,AVERAGE('2. Demand History'!V182:X182)))/MAX('2. Demand History'!Y182,1),3)</f>
        <v>1.2E-2</v>
      </c>
      <c r="Q182" s="10">
        <f>ROUND(ABS('2. Demand History'!Z182-IF($D182="Yes",'2. Demand History'!N182,AVERAGE('2. Demand History'!W182:Y182)))/MAX('2. Demand History'!Z182,1),3)</f>
        <v>0.125</v>
      </c>
    </row>
    <row r="183" spans="1:17" ht="15" customHeight="1" x14ac:dyDescent="0.2">
      <c r="A183" s="3" t="str">
        <f>'2. Demand History'!A183</f>
        <v>NT10179</v>
      </c>
      <c r="B183" s="1" t="str">
        <f>'2. Demand History'!B183</f>
        <v>SoundCore Buds 359</v>
      </c>
      <c r="C183" s="3" t="str">
        <f>'1. Master Data'!C183</f>
        <v>Audio</v>
      </c>
      <c r="D183" s="3" t="s">
        <v>1111</v>
      </c>
      <c r="E183" s="3" t="str">
        <f t="shared" si="6"/>
        <v>Seasonal Naive</v>
      </c>
      <c r="F183" s="3">
        <f>ROUND(AVERAGE('2. Demand History'!O183:Z183),1)</f>
        <v>48.5</v>
      </c>
      <c r="G183" s="3">
        <f>ROUND(STDEV('2. Demand History'!O183:Z183),1)</f>
        <v>31.8</v>
      </c>
      <c r="H183" s="8">
        <f t="shared" si="7"/>
        <v>0.66</v>
      </c>
      <c r="I183" s="8">
        <f>ROUND(SUM('2. Demand History'!O183:Z183)/MAX(SUM('2. Demand History'!C183:N183),1),2)</f>
        <v>0.79</v>
      </c>
      <c r="J183" s="5">
        <f>IF(D183="Yes",ROUND('2. Demand History'!O183*I183,0),ROUND(AVERAGE('2. Demand History'!X183:Z183),0))</f>
        <v>24</v>
      </c>
      <c r="K183" s="9">
        <f t="shared" si="8"/>
        <v>0.35099999999999998</v>
      </c>
      <c r="L183" s="10">
        <f>ROUND(ABS('2. Demand History'!U183-IF($D183="Yes",'2. Demand History'!I183,AVERAGE('2. Demand History'!R183:T183)))/MAX('2. Demand History'!U183,1),3)</f>
        <v>0.23699999999999999</v>
      </c>
      <c r="M183" s="10">
        <f>ROUND(ABS('2. Demand History'!V183-IF($D183="Yes",'2. Demand History'!J183,AVERAGE('2. Demand History'!S183:U183)))/MAX('2. Demand History'!V183,1),3)</f>
        <v>0.48099999999999998</v>
      </c>
      <c r="N183" s="10">
        <f>ROUND(ABS('2. Demand History'!W183-IF($D183="Yes",'2. Demand History'!K183,AVERAGE('2. Demand History'!T183:V183)))/MAX('2. Demand History'!W183,1),3)</f>
        <v>0.54900000000000004</v>
      </c>
      <c r="O183" s="10">
        <f>ROUND(ABS('2. Demand History'!X183-IF($D183="Yes",'2. Demand History'!L183,AVERAGE('2. Demand History'!U183:W183)))/MAX('2. Demand History'!X183,1),3)</f>
        <v>7.9000000000000001E-2</v>
      </c>
      <c r="P183" s="10">
        <f>ROUND(ABS('2. Demand History'!Y183-IF($D183="Yes",'2. Demand History'!M183,AVERAGE('2. Demand History'!V183:X183)))/MAX('2. Demand History'!Y183,1),3)</f>
        <v>0.70499999999999996</v>
      </c>
      <c r="Q183" s="10">
        <f>ROUND(ABS('2. Demand History'!Z183-IF($D183="Yes",'2. Demand History'!N183,AVERAGE('2. Demand History'!W183:Y183)))/MAX('2. Demand History'!Z183,1),3)</f>
        <v>5.3999999999999999E-2</v>
      </c>
    </row>
    <row r="184" spans="1:17" ht="15" customHeight="1" x14ac:dyDescent="0.2">
      <c r="A184" s="3" t="str">
        <f>'2. Demand History'!A184</f>
        <v>NT10180</v>
      </c>
      <c r="B184" s="1" t="str">
        <f>'2. Demand History'!B184</f>
        <v>ClipMic 324 Wireless</v>
      </c>
      <c r="C184" s="3" t="str">
        <f>'1. Master Data'!C184</f>
        <v>Audio</v>
      </c>
      <c r="D184" s="3" t="s">
        <v>1111</v>
      </c>
      <c r="E184" s="3" t="str">
        <f t="shared" si="6"/>
        <v>Seasonal Naive</v>
      </c>
      <c r="F184" s="3">
        <f>ROUND(AVERAGE('2. Demand History'!O184:Z184),1)</f>
        <v>217.3</v>
      </c>
      <c r="G184" s="3">
        <f>ROUND(STDEV('2. Demand History'!O184:Z184),1)</f>
        <v>68.2</v>
      </c>
      <c r="H184" s="8">
        <f t="shared" si="7"/>
        <v>0.31</v>
      </c>
      <c r="I184" s="8">
        <f>ROUND(SUM('2. Demand History'!O184:Z184)/MAX(SUM('2. Demand History'!C184:N184),1),2)</f>
        <v>1</v>
      </c>
      <c r="J184" s="5">
        <f>IF(D184="Yes",ROUND('2. Demand History'!O184*I184,0),ROUND(AVERAGE('2. Demand History'!X184:Z184),0))</f>
        <v>166</v>
      </c>
      <c r="K184" s="9">
        <f t="shared" si="8"/>
        <v>0.21199999999999999</v>
      </c>
      <c r="L184" s="10">
        <f>ROUND(ABS('2. Demand History'!U184-IF($D184="Yes",'2. Demand History'!I184,AVERAGE('2. Demand History'!R184:T184)))/MAX('2. Demand History'!U184,1),3)</f>
        <v>9.4E-2</v>
      </c>
      <c r="M184" s="10">
        <f>ROUND(ABS('2. Demand History'!V184-IF($D184="Yes",'2. Demand History'!J184,AVERAGE('2. Demand History'!S184:U184)))/MAX('2. Demand History'!V184,1),3)</f>
        <v>0.28000000000000003</v>
      </c>
      <c r="N184" s="10">
        <f>ROUND(ABS('2. Demand History'!W184-IF($D184="Yes",'2. Demand History'!K184,AVERAGE('2. Demand History'!T184:V184)))/MAX('2. Demand History'!W184,1),3)</f>
        <v>9.0999999999999998E-2</v>
      </c>
      <c r="O184" s="10">
        <f>ROUND(ABS('2. Demand History'!X184-IF($D184="Yes",'2. Demand History'!L184,AVERAGE('2. Demand History'!U184:W184)))/MAX('2. Demand History'!X184,1),3)</f>
        <v>0.23</v>
      </c>
      <c r="P184" s="10">
        <f>ROUND(ABS('2. Demand History'!Y184-IF($D184="Yes",'2. Demand History'!M184,AVERAGE('2. Demand History'!V184:X184)))/MAX('2. Demand History'!Y184,1),3)</f>
        <v>0.25900000000000001</v>
      </c>
      <c r="Q184" s="10">
        <f>ROUND(ABS('2. Demand History'!Z184-IF($D184="Yes",'2. Demand History'!N184,AVERAGE('2. Demand History'!W184:Y184)))/MAX('2. Demand History'!Z184,1),3)</f>
        <v>0.32</v>
      </c>
    </row>
    <row r="185" spans="1:17" ht="15" customHeight="1" x14ac:dyDescent="0.2">
      <c r="A185" s="3" t="str">
        <f>'2. Demand History'!A185</f>
        <v>NT10181</v>
      </c>
      <c r="B185" s="1" t="str">
        <f>'2. Demand History'!B185</f>
        <v>WaveBar 806 Soundbar</v>
      </c>
      <c r="C185" s="3" t="str">
        <f>'1. Master Data'!C185</f>
        <v>Audio</v>
      </c>
      <c r="D185" s="3" t="s">
        <v>1111</v>
      </c>
      <c r="E185" s="3" t="str">
        <f t="shared" si="6"/>
        <v>Seasonal Naive</v>
      </c>
      <c r="F185" s="3">
        <f>ROUND(AVERAGE('2. Demand History'!O185:Z185),1)</f>
        <v>56.9</v>
      </c>
      <c r="G185" s="3">
        <f>ROUND(STDEV('2. Demand History'!O185:Z185),1)</f>
        <v>17.5</v>
      </c>
      <c r="H185" s="8">
        <f t="shared" si="7"/>
        <v>0.31</v>
      </c>
      <c r="I185" s="8">
        <f>ROUND(SUM('2. Demand History'!O185:Z185)/MAX(SUM('2. Demand History'!C185:N185),1),2)</f>
        <v>1.08</v>
      </c>
      <c r="J185" s="5">
        <f>IF(D185="Yes",ROUND('2. Demand History'!O185*I185,0),ROUND(AVERAGE('2. Demand History'!X185:Z185),0))</f>
        <v>45</v>
      </c>
      <c r="K185" s="9">
        <f t="shared" si="8"/>
        <v>9.5000000000000001E-2</v>
      </c>
      <c r="L185" s="10">
        <f>ROUND(ABS('2. Demand History'!U185-IF($D185="Yes",'2. Demand History'!I185,AVERAGE('2. Demand History'!R185:T185)))/MAX('2. Demand History'!U185,1),3)</f>
        <v>8.7999999999999995E-2</v>
      </c>
      <c r="M185" s="10">
        <f>ROUND(ABS('2. Demand History'!V185-IF($D185="Yes",'2. Demand History'!J185,AVERAGE('2. Demand History'!S185:U185)))/MAX('2. Demand History'!V185,1),3)</f>
        <v>8.7999999999999995E-2</v>
      </c>
      <c r="N185" s="10">
        <f>ROUND(ABS('2. Demand History'!W185-IF($D185="Yes",'2. Demand History'!K185,AVERAGE('2. Demand History'!T185:V185)))/MAX('2. Demand History'!W185,1),3)</f>
        <v>0.13500000000000001</v>
      </c>
      <c r="O185" s="10">
        <f>ROUND(ABS('2. Demand History'!X185-IF($D185="Yes",'2. Demand History'!L185,AVERAGE('2. Demand History'!U185:W185)))/MAX('2. Demand History'!X185,1),3)</f>
        <v>7.4999999999999997E-2</v>
      </c>
      <c r="P185" s="10">
        <f>ROUND(ABS('2. Demand History'!Y185-IF($D185="Yes",'2. Demand History'!M185,AVERAGE('2. Demand History'!V185:X185)))/MAX('2. Demand History'!Y185,1),3)</f>
        <v>3.5999999999999997E-2</v>
      </c>
      <c r="Q185" s="10">
        <f>ROUND(ABS('2. Demand History'!Z185-IF($D185="Yes",'2. Demand History'!N185,AVERAGE('2. Demand History'!W185:Y185)))/MAX('2. Demand History'!Z185,1),3)</f>
        <v>0.14499999999999999</v>
      </c>
    </row>
    <row r="186" spans="1:17" ht="15" customHeight="1" x14ac:dyDescent="0.2">
      <c r="A186" s="3" t="str">
        <f>'2. Demand History'!A186</f>
        <v>NT10182</v>
      </c>
      <c r="B186" s="1" t="str">
        <f>'2. Demand History'!B186</f>
        <v>ClipMic 749 Wireless</v>
      </c>
      <c r="C186" s="3" t="str">
        <f>'1. Master Data'!C186</f>
        <v>Audio</v>
      </c>
      <c r="D186" s="3" t="s">
        <v>1111</v>
      </c>
      <c r="E186" s="3" t="str">
        <f t="shared" si="6"/>
        <v>Seasonal Naive</v>
      </c>
      <c r="F186" s="3">
        <f>ROUND(AVERAGE('2. Demand History'!O186:Z186),1)</f>
        <v>79.8</v>
      </c>
      <c r="G186" s="3">
        <f>ROUND(STDEV('2. Demand History'!O186:Z186),1)</f>
        <v>27</v>
      </c>
      <c r="H186" s="8">
        <f t="shared" si="7"/>
        <v>0.34</v>
      </c>
      <c r="I186" s="8">
        <f>ROUND(SUM('2. Demand History'!O186:Z186)/MAX(SUM('2. Demand History'!C186:N186),1),2)</f>
        <v>1.05</v>
      </c>
      <c r="J186" s="5">
        <f>IF(D186="Yes",ROUND('2. Demand History'!O186*I186,0),ROUND(AVERAGE('2. Demand History'!X186:Z186),0))</f>
        <v>63</v>
      </c>
      <c r="K186" s="9">
        <f t="shared" si="8"/>
        <v>0.105</v>
      </c>
      <c r="L186" s="10">
        <f>ROUND(ABS('2. Demand History'!U186-IF($D186="Yes",'2. Demand History'!I186,AVERAGE('2. Demand History'!R186:T186)))/MAX('2. Demand History'!U186,1),3)</f>
        <v>8.5999999999999993E-2</v>
      </c>
      <c r="M186" s="10">
        <f>ROUND(ABS('2. Demand History'!V186-IF($D186="Yes",'2. Demand History'!J186,AVERAGE('2. Demand History'!S186:U186)))/MAX('2. Demand History'!V186,1),3)</f>
        <v>1.9E-2</v>
      </c>
      <c r="N186" s="10">
        <f>ROUND(ABS('2. Demand History'!W186-IF($D186="Yes",'2. Demand History'!K186,AVERAGE('2. Demand History'!T186:V186)))/MAX('2. Demand History'!W186,1),3)</f>
        <v>5.8000000000000003E-2</v>
      </c>
      <c r="O186" s="10">
        <f>ROUND(ABS('2. Demand History'!X186-IF($D186="Yes",'2. Demand History'!L186,AVERAGE('2. Demand History'!U186:W186)))/MAX('2. Demand History'!X186,1),3)</f>
        <v>0.23</v>
      </c>
      <c r="P186" s="10">
        <f>ROUND(ABS('2. Demand History'!Y186-IF($D186="Yes",'2. Demand History'!M186,AVERAGE('2. Demand History'!V186:X186)))/MAX('2. Demand History'!Y186,1),3)</f>
        <v>8.7999999999999995E-2</v>
      </c>
      <c r="Q186" s="10">
        <f>ROUND(ABS('2. Demand History'!Z186-IF($D186="Yes",'2. Demand History'!N186,AVERAGE('2. Demand History'!W186:Y186)))/MAX('2. Demand History'!Z186,1),3)</f>
        <v>0.151</v>
      </c>
    </row>
    <row r="187" spans="1:17" ht="15" customHeight="1" x14ac:dyDescent="0.2">
      <c r="A187" s="3" t="str">
        <f>'2. Demand History'!A187</f>
        <v>NT10183</v>
      </c>
      <c r="B187" s="1" t="str">
        <f>'2. Demand History'!B187</f>
        <v>WaveBar 576 Soundbar</v>
      </c>
      <c r="C187" s="3" t="str">
        <f>'1. Master Data'!C187</f>
        <v>Audio</v>
      </c>
      <c r="D187" s="3" t="s">
        <v>1111</v>
      </c>
      <c r="E187" s="3" t="str">
        <f t="shared" si="6"/>
        <v>Seasonal Naive</v>
      </c>
      <c r="F187" s="3">
        <f>ROUND(AVERAGE('2. Demand History'!O187:Z187),1)</f>
        <v>146.19999999999999</v>
      </c>
      <c r="G187" s="3">
        <f>ROUND(STDEV('2. Demand History'!O187:Z187),1)</f>
        <v>31.4</v>
      </c>
      <c r="H187" s="8">
        <f t="shared" si="7"/>
        <v>0.21</v>
      </c>
      <c r="I187" s="8">
        <f>ROUND(SUM('2. Demand History'!O187:Z187)/MAX(SUM('2. Demand History'!C187:N187),1),2)</f>
        <v>1.04</v>
      </c>
      <c r="J187" s="5">
        <f>IF(D187="Yes",ROUND('2. Demand History'!O187*I187,0),ROUND(AVERAGE('2. Demand History'!X187:Z187),0))</f>
        <v>154</v>
      </c>
      <c r="K187" s="9">
        <f t="shared" si="8"/>
        <v>0.14399999999999999</v>
      </c>
      <c r="L187" s="10">
        <f>ROUND(ABS('2. Demand History'!U187-IF($D187="Yes",'2. Demand History'!I187,AVERAGE('2. Demand History'!R187:T187)))/MAX('2. Demand History'!U187,1),3)</f>
        <v>0.153</v>
      </c>
      <c r="M187" s="10">
        <f>ROUND(ABS('2. Demand History'!V187-IF($D187="Yes",'2. Demand History'!J187,AVERAGE('2. Demand History'!S187:U187)))/MAX('2. Demand History'!V187,1),3)</f>
        <v>0.26700000000000002</v>
      </c>
      <c r="N187" s="10">
        <f>ROUND(ABS('2. Demand History'!W187-IF($D187="Yes",'2. Demand History'!K187,AVERAGE('2. Demand History'!T187:V187)))/MAX('2. Demand History'!W187,1),3)</f>
        <v>0.214</v>
      </c>
      <c r="O187" s="10">
        <f>ROUND(ABS('2. Demand History'!X187-IF($D187="Yes",'2. Demand History'!L187,AVERAGE('2. Demand History'!U187:W187)))/MAX('2. Demand History'!X187,1),3)</f>
        <v>0.13100000000000001</v>
      </c>
      <c r="P187" s="10">
        <f>ROUND(ABS('2. Demand History'!Y187-IF($D187="Yes",'2. Demand History'!M187,AVERAGE('2. Demand History'!V187:X187)))/MAX('2. Demand History'!Y187,1),3)</f>
        <v>8.4000000000000005E-2</v>
      </c>
      <c r="Q187" s="10">
        <f>ROUND(ABS('2. Demand History'!Z187-IF($D187="Yes",'2. Demand History'!N187,AVERAGE('2. Demand History'!W187:Y187)))/MAX('2. Demand History'!Z187,1),3)</f>
        <v>1.4E-2</v>
      </c>
    </row>
    <row r="188" spans="1:17" ht="15" customHeight="1" x14ac:dyDescent="0.2">
      <c r="A188" s="3" t="str">
        <f>'2. Demand History'!A188</f>
        <v>NT10184</v>
      </c>
      <c r="B188" s="1" t="str">
        <f>'2. Demand History'!B188</f>
        <v>SoundCore Buds 830</v>
      </c>
      <c r="C188" s="3" t="str">
        <f>'1. Master Data'!C188</f>
        <v>Audio</v>
      </c>
      <c r="D188" s="3" t="s">
        <v>1111</v>
      </c>
      <c r="E188" s="3" t="str">
        <f t="shared" si="6"/>
        <v>Seasonal Naive</v>
      </c>
      <c r="F188" s="3">
        <f>ROUND(AVERAGE('2. Demand History'!O188:Z188),1)</f>
        <v>76.900000000000006</v>
      </c>
      <c r="G188" s="3">
        <f>ROUND(STDEV('2. Demand History'!O188:Z188),1)</f>
        <v>25.3</v>
      </c>
      <c r="H188" s="8">
        <f t="shared" si="7"/>
        <v>0.33</v>
      </c>
      <c r="I188" s="8">
        <f>ROUND(SUM('2. Demand History'!O188:Z188)/MAX(SUM('2. Demand History'!C188:N188),1),2)</f>
        <v>1.1100000000000001</v>
      </c>
      <c r="J188" s="5">
        <f>IF(D188="Yes",ROUND('2. Demand History'!O188*I188,0),ROUND(AVERAGE('2. Demand History'!X188:Z188),0))</f>
        <v>78</v>
      </c>
      <c r="K188" s="9">
        <f t="shared" si="8"/>
        <v>0.104</v>
      </c>
      <c r="L188" s="10">
        <f>ROUND(ABS('2. Demand History'!U188-IF($D188="Yes",'2. Demand History'!I188,AVERAGE('2. Demand History'!R188:T188)))/MAX('2. Demand History'!U188,1),3)</f>
        <v>0.193</v>
      </c>
      <c r="M188" s="10">
        <f>ROUND(ABS('2. Demand History'!V188-IF($D188="Yes",'2. Demand History'!J188,AVERAGE('2. Demand History'!S188:U188)))/MAX('2. Demand History'!V188,1),3)</f>
        <v>5.5E-2</v>
      </c>
      <c r="N188" s="10">
        <f>ROUND(ABS('2. Demand History'!W188-IF($D188="Yes",'2. Demand History'!K188,AVERAGE('2. Demand History'!T188:V188)))/MAX('2. Demand History'!W188,1),3)</f>
        <v>0.21199999999999999</v>
      </c>
      <c r="O188" s="10">
        <f>ROUND(ABS('2. Demand History'!X188-IF($D188="Yes",'2. Demand History'!L188,AVERAGE('2. Demand History'!U188:W188)))/MAX('2. Demand History'!X188,1),3)</f>
        <v>5.5E-2</v>
      </c>
      <c r="P188" s="10">
        <f>ROUND(ABS('2. Demand History'!Y188-IF($D188="Yes",'2. Demand History'!M188,AVERAGE('2. Demand History'!V188:X188)))/MAX('2. Demand History'!Y188,1),3)</f>
        <v>7.3999999999999996E-2</v>
      </c>
      <c r="Q188" s="10">
        <f>ROUND(ABS('2. Demand History'!Z188-IF($D188="Yes",'2. Demand History'!N188,AVERAGE('2. Demand History'!W188:Y188)))/MAX('2. Demand History'!Z188,1),3)</f>
        <v>3.2000000000000001E-2</v>
      </c>
    </row>
    <row r="189" spans="1:17" ht="15" customHeight="1" x14ac:dyDescent="0.2">
      <c r="A189" s="3" t="str">
        <f>'2. Demand History'!A189</f>
        <v>NT10185</v>
      </c>
      <c r="B189" s="1" t="str">
        <f>'2. Demand History'!B189</f>
        <v>BassMax Speaker 384</v>
      </c>
      <c r="C189" s="3" t="str">
        <f>'1. Master Data'!C189</f>
        <v>Audio</v>
      </c>
      <c r="D189" s="3" t="s">
        <v>1111</v>
      </c>
      <c r="E189" s="3" t="str">
        <f t="shared" si="6"/>
        <v>Seasonal Naive</v>
      </c>
      <c r="F189" s="3">
        <f>ROUND(AVERAGE('2. Demand History'!O189:Z189),1)</f>
        <v>414.6</v>
      </c>
      <c r="G189" s="3">
        <f>ROUND(STDEV('2. Demand History'!O189:Z189),1)</f>
        <v>137.80000000000001</v>
      </c>
      <c r="H189" s="8">
        <f t="shared" si="7"/>
        <v>0.33</v>
      </c>
      <c r="I189" s="8">
        <f>ROUND(SUM('2. Demand History'!O189:Z189)/MAX(SUM('2. Demand History'!C189:N189),1),2)</f>
        <v>1.1299999999999999</v>
      </c>
      <c r="J189" s="5">
        <f>IF(D189="Yes",ROUND('2. Demand History'!O189*I189,0),ROUND(AVERAGE('2. Demand History'!X189:Z189),0))</f>
        <v>425</v>
      </c>
      <c r="K189" s="9">
        <f t="shared" si="8"/>
        <v>0.105</v>
      </c>
      <c r="L189" s="10">
        <f>ROUND(ABS('2. Demand History'!U189-IF($D189="Yes",'2. Demand History'!I189,AVERAGE('2. Demand History'!R189:T189)))/MAX('2. Demand History'!U189,1),3)</f>
        <v>7.0999999999999994E-2</v>
      </c>
      <c r="M189" s="10">
        <f>ROUND(ABS('2. Demand History'!V189-IF($D189="Yes",'2. Demand History'!J189,AVERAGE('2. Demand History'!S189:U189)))/MAX('2. Demand History'!V189,1),3)</f>
        <v>0.14699999999999999</v>
      </c>
      <c r="N189" s="10">
        <f>ROUND(ABS('2. Demand History'!W189-IF($D189="Yes",'2. Demand History'!K189,AVERAGE('2. Demand History'!T189:V189)))/MAX('2. Demand History'!W189,1),3)</f>
        <v>0.214</v>
      </c>
      <c r="O189" s="10">
        <f>ROUND(ABS('2. Demand History'!X189-IF($D189="Yes",'2. Demand History'!L189,AVERAGE('2. Demand History'!U189:W189)))/MAX('2. Demand History'!X189,1),3)</f>
        <v>6.5000000000000002E-2</v>
      </c>
      <c r="P189" s="10">
        <f>ROUND(ABS('2. Demand History'!Y189-IF($D189="Yes",'2. Demand History'!M189,AVERAGE('2. Demand History'!V189:X189)))/MAX('2. Demand History'!Y189,1),3)</f>
        <v>2.1000000000000001E-2</v>
      </c>
      <c r="Q189" s="10">
        <f>ROUND(ABS('2. Demand History'!Z189-IF($D189="Yes",'2. Demand History'!N189,AVERAGE('2. Demand History'!W189:Y189)))/MAX('2. Demand History'!Z189,1),3)</f>
        <v>0.113</v>
      </c>
    </row>
    <row r="190" spans="1:17" ht="15" customHeight="1" x14ac:dyDescent="0.2">
      <c r="A190" s="3" t="str">
        <f>'2. Demand History'!A190</f>
        <v>NT10186</v>
      </c>
      <c r="B190" s="1" t="str">
        <f>'2. Demand History'!B190</f>
        <v>StudioPods 276 ANC</v>
      </c>
      <c r="C190" s="3" t="str">
        <f>'1. Master Data'!C190</f>
        <v>Audio</v>
      </c>
      <c r="D190" s="3" t="s">
        <v>1111</v>
      </c>
      <c r="E190" s="3" t="str">
        <f t="shared" si="6"/>
        <v>Seasonal Naive</v>
      </c>
      <c r="F190" s="3">
        <f>ROUND(AVERAGE('2. Demand History'!O190:Z190),1)</f>
        <v>201.7</v>
      </c>
      <c r="G190" s="3">
        <f>ROUND(STDEV('2. Demand History'!O190:Z190),1)</f>
        <v>59.4</v>
      </c>
      <c r="H190" s="8">
        <f t="shared" si="7"/>
        <v>0.28999999999999998</v>
      </c>
      <c r="I190" s="8">
        <f>ROUND(SUM('2. Demand History'!O190:Z190)/MAX(SUM('2. Demand History'!C190:N190),1),2)</f>
        <v>1.05</v>
      </c>
      <c r="J190" s="5">
        <f>IF(D190="Yes",ROUND('2. Demand History'!O190*I190,0),ROUND(AVERAGE('2. Demand History'!X190:Z190),0))</f>
        <v>192</v>
      </c>
      <c r="K190" s="9">
        <f t="shared" si="8"/>
        <v>7.2999999999999995E-2</v>
      </c>
      <c r="L190" s="10">
        <f>ROUND(ABS('2. Demand History'!U190-IF($D190="Yes",'2. Demand History'!I190,AVERAGE('2. Demand History'!R190:T190)))/MAX('2. Demand History'!U190,1),3)</f>
        <v>7.5999999999999998E-2</v>
      </c>
      <c r="M190" s="10">
        <f>ROUND(ABS('2. Demand History'!V190-IF($D190="Yes",'2. Demand History'!J190,AVERAGE('2. Demand History'!S190:U190)))/MAX('2. Demand History'!V190,1),3)</f>
        <v>6.3E-2</v>
      </c>
      <c r="N190" s="10">
        <f>ROUND(ABS('2. Demand History'!W190-IF($D190="Yes",'2. Demand History'!K190,AVERAGE('2. Demand History'!T190:V190)))/MAX('2. Demand History'!W190,1),3)</f>
        <v>7.0000000000000007E-2</v>
      </c>
      <c r="O190" s="10">
        <f>ROUND(ABS('2. Demand History'!X190-IF($D190="Yes",'2. Demand History'!L190,AVERAGE('2. Demand History'!U190:W190)))/MAX('2. Demand History'!X190,1),3)</f>
        <v>2.3E-2</v>
      </c>
      <c r="P190" s="10">
        <f>ROUND(ABS('2. Demand History'!Y190-IF($D190="Yes",'2. Demand History'!M190,AVERAGE('2. Demand History'!V190:X190)))/MAX('2. Demand History'!Y190,1),3)</f>
        <v>0.129</v>
      </c>
      <c r="Q190" s="10">
        <f>ROUND(ABS('2. Demand History'!Z190-IF($D190="Yes",'2. Demand History'!N190,AVERAGE('2. Demand History'!W190:Y190)))/MAX('2. Demand History'!Z190,1),3)</f>
        <v>7.5999999999999998E-2</v>
      </c>
    </row>
    <row r="191" spans="1:17" ht="15" customHeight="1" x14ac:dyDescent="0.2">
      <c r="A191" s="3" t="str">
        <f>'2. Demand History'!A191</f>
        <v>NT10187</v>
      </c>
      <c r="B191" s="1" t="str">
        <f>'2. Demand History'!B191</f>
        <v>StudioPods 868 ANC</v>
      </c>
      <c r="C191" s="3" t="str">
        <f>'1. Master Data'!C191</f>
        <v>Audio</v>
      </c>
      <c r="D191" s="3" t="s">
        <v>1111</v>
      </c>
      <c r="E191" s="3" t="str">
        <f t="shared" si="6"/>
        <v>Seasonal Naive</v>
      </c>
      <c r="F191" s="3">
        <f>ROUND(AVERAGE('2. Demand History'!O191:Z191),1)</f>
        <v>265.8</v>
      </c>
      <c r="G191" s="3">
        <f>ROUND(STDEV('2. Demand History'!O191:Z191),1)</f>
        <v>72.099999999999994</v>
      </c>
      <c r="H191" s="8">
        <f t="shared" si="7"/>
        <v>0.27</v>
      </c>
      <c r="I191" s="8">
        <f>ROUND(SUM('2. Demand History'!O191:Z191)/MAX(SUM('2. Demand History'!C191:N191),1),2)</f>
        <v>0.99</v>
      </c>
      <c r="J191" s="5">
        <f>IF(D191="Yes",ROUND('2. Demand History'!O191*I191,0),ROUND(AVERAGE('2. Demand History'!X191:Z191),0))</f>
        <v>244</v>
      </c>
      <c r="K191" s="9">
        <f t="shared" si="8"/>
        <v>0.13500000000000001</v>
      </c>
      <c r="L191" s="10">
        <f>ROUND(ABS('2. Demand History'!U191-IF($D191="Yes",'2. Demand History'!I191,AVERAGE('2. Demand History'!R191:T191)))/MAX('2. Demand History'!U191,1),3)</f>
        <v>8.2000000000000003E-2</v>
      </c>
      <c r="M191" s="10">
        <f>ROUND(ABS('2. Demand History'!V191-IF($D191="Yes",'2. Demand History'!J191,AVERAGE('2. Demand History'!S191:U191)))/MAX('2. Demand History'!V191,1),3)</f>
        <v>0.24299999999999999</v>
      </c>
      <c r="N191" s="10">
        <f>ROUND(ABS('2. Demand History'!W191-IF($D191="Yes",'2. Demand History'!K191,AVERAGE('2. Demand History'!T191:V191)))/MAX('2. Demand History'!W191,1),3)</f>
        <v>9.2999999999999999E-2</v>
      </c>
      <c r="O191" s="10">
        <f>ROUND(ABS('2. Demand History'!X191-IF($D191="Yes",'2. Demand History'!L191,AVERAGE('2. Demand History'!U191:W191)))/MAX('2. Demand History'!X191,1),3)</f>
        <v>5.8000000000000003E-2</v>
      </c>
      <c r="P191" s="10">
        <f>ROUND(ABS('2. Demand History'!Y191-IF($D191="Yes",'2. Demand History'!M191,AVERAGE('2. Demand History'!V191:X191)))/MAX('2. Demand History'!Y191,1),3)</f>
        <v>3.3000000000000002E-2</v>
      </c>
      <c r="Q191" s="10">
        <f>ROUND(ABS('2. Demand History'!Z191-IF($D191="Yes",'2. Demand History'!N191,AVERAGE('2. Demand History'!W191:Y191)))/MAX('2. Demand History'!Z191,1),3)</f>
        <v>0.30199999999999999</v>
      </c>
    </row>
    <row r="192" spans="1:17" ht="15" customHeight="1" x14ac:dyDescent="0.2">
      <c r="A192" s="3" t="str">
        <f>'2. Demand History'!A192</f>
        <v>NT10188</v>
      </c>
      <c r="B192" s="1" t="str">
        <f>'2. Demand History'!B192</f>
        <v>SoundCore Buds 506</v>
      </c>
      <c r="C192" s="3" t="str">
        <f>'1. Master Data'!C192</f>
        <v>Audio</v>
      </c>
      <c r="D192" s="3" t="s">
        <v>1111</v>
      </c>
      <c r="E192" s="3" t="str">
        <f t="shared" si="6"/>
        <v>Seasonal Naive</v>
      </c>
      <c r="F192" s="3">
        <f>ROUND(AVERAGE('2. Demand History'!O192:Z192),1)</f>
        <v>102.3</v>
      </c>
      <c r="G192" s="3">
        <f>ROUND(STDEV('2. Demand History'!O192:Z192),1)</f>
        <v>25.3</v>
      </c>
      <c r="H192" s="8">
        <f t="shared" si="7"/>
        <v>0.25</v>
      </c>
      <c r="I192" s="8">
        <f>ROUND(SUM('2. Demand History'!O192:Z192)/MAX(SUM('2. Demand History'!C192:N192),1),2)</f>
        <v>1.03</v>
      </c>
      <c r="J192" s="5">
        <f>IF(D192="Yes",ROUND('2. Demand History'!O192*I192,0),ROUND(AVERAGE('2. Demand History'!X192:Z192),0))</f>
        <v>96</v>
      </c>
      <c r="K192" s="9">
        <f t="shared" si="8"/>
        <v>9.0999999999999998E-2</v>
      </c>
      <c r="L192" s="10">
        <f>ROUND(ABS('2. Demand History'!U192-IF($D192="Yes",'2. Demand History'!I192,AVERAGE('2. Demand History'!R192:T192)))/MAX('2. Demand History'!U192,1),3)</f>
        <v>4.8000000000000001E-2</v>
      </c>
      <c r="M192" s="10">
        <f>ROUND(ABS('2. Demand History'!V192-IF($D192="Yes",'2. Demand History'!J192,AVERAGE('2. Demand History'!S192:U192)))/MAX('2. Demand History'!V192,1),3)</f>
        <v>5.3999999999999999E-2</v>
      </c>
      <c r="N192" s="10">
        <f>ROUND(ABS('2. Demand History'!W192-IF($D192="Yes",'2. Demand History'!K192,AVERAGE('2. Demand History'!T192:V192)))/MAX('2. Demand History'!W192,1),3)</f>
        <v>0.114</v>
      </c>
      <c r="O192" s="10">
        <f>ROUND(ABS('2. Demand History'!X192-IF($D192="Yes",'2. Demand History'!L192,AVERAGE('2. Demand History'!U192:W192)))/MAX('2. Demand History'!X192,1),3)</f>
        <v>0.156</v>
      </c>
      <c r="P192" s="10">
        <f>ROUND(ABS('2. Demand History'!Y192-IF($D192="Yes",'2. Demand History'!M192,AVERAGE('2. Demand History'!V192:X192)))/MAX('2. Demand History'!Y192,1),3)</f>
        <v>0.09</v>
      </c>
      <c r="Q192" s="10">
        <f>ROUND(ABS('2. Demand History'!Z192-IF($D192="Yes",'2. Demand History'!N192,AVERAGE('2. Demand History'!W192:Y192)))/MAX('2. Demand History'!Z192,1),3)</f>
        <v>8.2000000000000003E-2</v>
      </c>
    </row>
    <row r="193" spans="1:17" ht="15" customHeight="1" x14ac:dyDescent="0.2">
      <c r="A193" s="3" t="str">
        <f>'2. Demand History'!A193</f>
        <v>NT10189</v>
      </c>
      <c r="B193" s="1" t="str">
        <f>'2. Demand History'!B193</f>
        <v>ClipMic 886 Wireless</v>
      </c>
      <c r="C193" s="3" t="str">
        <f>'1. Master Data'!C193</f>
        <v>Audio</v>
      </c>
      <c r="D193" s="3" t="s">
        <v>1111</v>
      </c>
      <c r="E193" s="3" t="str">
        <f t="shared" si="6"/>
        <v>Seasonal Naive</v>
      </c>
      <c r="F193" s="3">
        <f>ROUND(AVERAGE('2. Demand History'!O193:Z193),1)</f>
        <v>134.80000000000001</v>
      </c>
      <c r="G193" s="3">
        <f>ROUND(STDEV('2. Demand History'!O193:Z193),1)</f>
        <v>39.299999999999997</v>
      </c>
      <c r="H193" s="8">
        <f t="shared" si="7"/>
        <v>0.28999999999999998</v>
      </c>
      <c r="I193" s="8">
        <f>ROUND(SUM('2. Demand History'!O193:Z193)/MAX(SUM('2. Demand History'!C193:N193),1),2)</f>
        <v>1.0900000000000001</v>
      </c>
      <c r="J193" s="5">
        <f>IF(D193="Yes",ROUND('2. Demand History'!O193*I193,0),ROUND(AVERAGE('2. Demand History'!X193:Z193),0))</f>
        <v>109</v>
      </c>
      <c r="K193" s="9">
        <f t="shared" si="8"/>
        <v>0.16600000000000001</v>
      </c>
      <c r="L193" s="10">
        <f>ROUND(ABS('2. Demand History'!U193-IF($D193="Yes",'2. Demand History'!I193,AVERAGE('2. Demand History'!R193:T193)))/MAX('2. Demand History'!U193,1),3)</f>
        <v>0.20599999999999999</v>
      </c>
      <c r="M193" s="10">
        <f>ROUND(ABS('2. Demand History'!V193-IF($D193="Yes",'2. Demand History'!J193,AVERAGE('2. Demand History'!S193:U193)))/MAX('2. Demand History'!V193,1),3)</f>
        <v>6.8000000000000005E-2</v>
      </c>
      <c r="N193" s="10">
        <f>ROUND(ABS('2. Demand History'!W193-IF($D193="Yes",'2. Demand History'!K193,AVERAGE('2. Demand History'!T193:V193)))/MAX('2. Demand History'!W193,1),3)</f>
        <v>8.2000000000000003E-2</v>
      </c>
      <c r="O193" s="10">
        <f>ROUND(ABS('2. Demand History'!X193-IF($D193="Yes",'2. Demand History'!L193,AVERAGE('2. Demand History'!U193:W193)))/MAX('2. Demand History'!X193,1),3)</f>
        <v>0.27100000000000002</v>
      </c>
      <c r="P193" s="10">
        <f>ROUND(ABS('2. Demand History'!Y193-IF($D193="Yes",'2. Demand History'!M193,AVERAGE('2. Demand History'!V193:X193)))/MAX('2. Demand History'!Y193,1),3)</f>
        <v>0.255</v>
      </c>
      <c r="Q193" s="10">
        <f>ROUND(ABS('2. Demand History'!Z193-IF($D193="Yes",'2. Demand History'!N193,AVERAGE('2. Demand History'!W193:Y193)))/MAX('2. Demand History'!Z193,1),3)</f>
        <v>0.111</v>
      </c>
    </row>
    <row r="194" spans="1:17" ht="15" customHeight="1" x14ac:dyDescent="0.2">
      <c r="A194" s="3" t="str">
        <f>'2. Demand History'!A194</f>
        <v>NT10190</v>
      </c>
      <c r="B194" s="1" t="str">
        <f>'2. Demand History'!B194</f>
        <v>StudioPods 663 ANC</v>
      </c>
      <c r="C194" s="3" t="str">
        <f>'1. Master Data'!C194</f>
        <v>Audio</v>
      </c>
      <c r="D194" s="3" t="s">
        <v>1111</v>
      </c>
      <c r="E194" s="3" t="str">
        <f t="shared" si="6"/>
        <v>Seasonal Naive</v>
      </c>
      <c r="F194" s="3">
        <f>ROUND(AVERAGE('2. Demand History'!O194:Z194),1)</f>
        <v>220.5</v>
      </c>
      <c r="G194" s="3">
        <f>ROUND(STDEV('2. Demand History'!O194:Z194),1)</f>
        <v>73.599999999999994</v>
      </c>
      <c r="H194" s="8">
        <f t="shared" si="7"/>
        <v>0.33</v>
      </c>
      <c r="I194" s="8">
        <f>ROUND(SUM('2. Demand History'!O194:Z194)/MAX(SUM('2. Demand History'!C194:N194),1),2)</f>
        <v>1.1000000000000001</v>
      </c>
      <c r="J194" s="5">
        <f>IF(D194="Yes",ROUND('2. Demand History'!O194*I194,0),ROUND(AVERAGE('2. Demand History'!X194:Z194),0))</f>
        <v>197</v>
      </c>
      <c r="K194" s="9">
        <f t="shared" si="8"/>
        <v>0.09</v>
      </c>
      <c r="L194" s="10">
        <f>ROUND(ABS('2. Demand History'!U194-IF($D194="Yes",'2. Demand History'!I194,AVERAGE('2. Demand History'!R194:T194)))/MAX('2. Demand History'!U194,1),3)</f>
        <v>0.13100000000000001</v>
      </c>
      <c r="M194" s="10">
        <f>ROUND(ABS('2. Demand History'!V194-IF($D194="Yes",'2. Demand History'!J194,AVERAGE('2. Demand History'!S194:U194)))/MAX('2. Demand History'!V194,1),3)</f>
        <v>2.8000000000000001E-2</v>
      </c>
      <c r="N194" s="10">
        <f>ROUND(ABS('2. Demand History'!W194-IF($D194="Yes",'2. Demand History'!K194,AVERAGE('2. Demand History'!T194:V194)))/MAX('2. Demand History'!W194,1),3)</f>
        <v>8.6999999999999994E-2</v>
      </c>
      <c r="O194" s="10">
        <f>ROUND(ABS('2. Demand History'!X194-IF($D194="Yes",'2. Demand History'!L194,AVERAGE('2. Demand History'!U194:W194)))/MAX('2. Demand History'!X194,1),3)</f>
        <v>0.13</v>
      </c>
      <c r="P194" s="10">
        <f>ROUND(ABS('2. Demand History'!Y194-IF($D194="Yes",'2. Demand History'!M194,AVERAGE('2. Demand History'!V194:X194)))/MAX('2. Demand History'!Y194,1),3)</f>
        <v>0.155</v>
      </c>
      <c r="Q194" s="10">
        <f>ROUND(ABS('2. Demand History'!Z194-IF($D194="Yes",'2. Demand History'!N194,AVERAGE('2. Demand History'!W194:Y194)))/MAX('2. Demand History'!Z194,1),3)</f>
        <v>0.01</v>
      </c>
    </row>
    <row r="195" spans="1:17" ht="15" customHeight="1" x14ac:dyDescent="0.2">
      <c r="A195" s="3" t="str">
        <f>'2. Demand History'!A195</f>
        <v>NT10191</v>
      </c>
      <c r="B195" s="1" t="str">
        <f>'2. Demand History'!B195</f>
        <v>BassMax Speaker 416</v>
      </c>
      <c r="C195" s="3" t="str">
        <f>'1. Master Data'!C195</f>
        <v>Audio</v>
      </c>
      <c r="D195" s="3" t="s">
        <v>1111</v>
      </c>
      <c r="E195" s="3" t="str">
        <f t="shared" si="6"/>
        <v>Seasonal Naive</v>
      </c>
      <c r="F195" s="3">
        <f>ROUND(AVERAGE('2. Demand History'!O195:Z195),1)</f>
        <v>82.7</v>
      </c>
      <c r="G195" s="3">
        <f>ROUND(STDEV('2. Demand History'!O195:Z195),1)</f>
        <v>23.6</v>
      </c>
      <c r="H195" s="8">
        <f t="shared" si="7"/>
        <v>0.28999999999999998</v>
      </c>
      <c r="I195" s="8">
        <f>ROUND(SUM('2. Demand History'!O195:Z195)/MAX(SUM('2. Demand History'!C195:N195),1),2)</f>
        <v>1.07</v>
      </c>
      <c r="J195" s="5">
        <f>IF(D195="Yes",ROUND('2. Demand History'!O195*I195,0),ROUND(AVERAGE('2. Demand History'!X195:Z195),0))</f>
        <v>85</v>
      </c>
      <c r="K195" s="9">
        <f t="shared" si="8"/>
        <v>0.13200000000000001</v>
      </c>
      <c r="L195" s="10">
        <f>ROUND(ABS('2. Demand History'!U195-IF($D195="Yes",'2. Demand History'!I195,AVERAGE('2. Demand History'!R195:T195)))/MAX('2. Demand History'!U195,1),3)</f>
        <v>6.5000000000000002E-2</v>
      </c>
      <c r="M195" s="10">
        <f>ROUND(ABS('2. Demand History'!V195-IF($D195="Yes",'2. Demand History'!J195,AVERAGE('2. Demand History'!S195:U195)))/MAX('2. Demand History'!V195,1),3)</f>
        <v>0.33300000000000002</v>
      </c>
      <c r="N195" s="10">
        <f>ROUND(ABS('2. Demand History'!W195-IF($D195="Yes",'2. Demand History'!K195,AVERAGE('2. Demand History'!T195:V195)))/MAX('2. Demand History'!W195,1),3)</f>
        <v>0.222</v>
      </c>
      <c r="O195" s="10">
        <f>ROUND(ABS('2. Demand History'!X195-IF($D195="Yes",'2. Demand History'!L195,AVERAGE('2. Demand History'!U195:W195)))/MAX('2. Demand History'!X195,1),3)</f>
        <v>0.1</v>
      </c>
      <c r="P195" s="10">
        <f>ROUND(ABS('2. Demand History'!Y195-IF($D195="Yes",'2. Demand History'!M195,AVERAGE('2. Demand History'!V195:X195)))/MAX('2. Demand History'!Y195,1),3)</f>
        <v>3.9E-2</v>
      </c>
      <c r="Q195" s="10">
        <f>ROUND(ABS('2. Demand History'!Z195-IF($D195="Yes",'2. Demand History'!N195,AVERAGE('2. Demand History'!W195:Y195)))/MAX('2. Demand History'!Z195,1),3)</f>
        <v>0.03</v>
      </c>
    </row>
    <row r="196" spans="1:17" ht="15" customHeight="1" x14ac:dyDescent="0.2">
      <c r="A196" s="3" t="str">
        <f>'2. Demand History'!A196</f>
        <v>NT10192</v>
      </c>
      <c r="B196" s="1" t="str">
        <f>'2. Demand History'!B196</f>
        <v>StudioPods 810 ANC</v>
      </c>
      <c r="C196" s="3" t="str">
        <f>'1. Master Data'!C196</f>
        <v>Audio</v>
      </c>
      <c r="D196" s="3" t="s">
        <v>1111</v>
      </c>
      <c r="E196" s="3" t="str">
        <f t="shared" si="6"/>
        <v>Seasonal Naive</v>
      </c>
      <c r="F196" s="3">
        <f>ROUND(AVERAGE('2. Demand History'!O196:Z196),1)</f>
        <v>42.6</v>
      </c>
      <c r="G196" s="3">
        <f>ROUND(STDEV('2. Demand History'!O196:Z196),1)</f>
        <v>9.9</v>
      </c>
      <c r="H196" s="8">
        <f t="shared" si="7"/>
        <v>0.23</v>
      </c>
      <c r="I196" s="8">
        <f>ROUND(SUM('2. Demand History'!O196:Z196)/MAX(SUM('2. Demand History'!C196:N196),1),2)</f>
        <v>1.08</v>
      </c>
      <c r="J196" s="5">
        <f>IF(D196="Yes",ROUND('2. Demand History'!O196*I196,0),ROUND(AVERAGE('2. Demand History'!X196:Z196),0))</f>
        <v>41</v>
      </c>
      <c r="K196" s="9">
        <f t="shared" si="8"/>
        <v>0.184</v>
      </c>
      <c r="L196" s="10">
        <f>ROUND(ABS('2. Demand History'!U196-IF($D196="Yes",'2. Demand History'!I196,AVERAGE('2. Demand History'!R196:T196)))/MAX('2. Demand History'!U196,1),3)</f>
        <v>0.38200000000000001</v>
      </c>
      <c r="M196" s="10">
        <f>ROUND(ABS('2. Demand History'!V196-IF($D196="Yes",'2. Demand History'!J196,AVERAGE('2. Demand History'!S196:U196)))/MAX('2. Demand History'!V196,1),3)</f>
        <v>7.0999999999999994E-2</v>
      </c>
      <c r="N196" s="10">
        <f>ROUND(ABS('2. Demand History'!W196-IF($D196="Yes",'2. Demand History'!K196,AVERAGE('2. Demand History'!T196:V196)))/MAX('2. Demand History'!W196,1),3)</f>
        <v>0</v>
      </c>
      <c r="O196" s="10">
        <f>ROUND(ABS('2. Demand History'!X196-IF($D196="Yes",'2. Demand History'!L196,AVERAGE('2. Demand History'!U196:W196)))/MAX('2. Demand History'!X196,1),3)</f>
        <v>0.308</v>
      </c>
      <c r="P196" s="10">
        <f>ROUND(ABS('2. Demand History'!Y196-IF($D196="Yes",'2. Demand History'!M196,AVERAGE('2. Demand History'!V196:X196)))/MAX('2. Demand History'!Y196,1),3)</f>
        <v>9.8000000000000004E-2</v>
      </c>
      <c r="Q196" s="10">
        <f>ROUND(ABS('2. Demand History'!Z196-IF($D196="Yes",'2. Demand History'!N196,AVERAGE('2. Demand History'!W196:Y196)))/MAX('2. Demand History'!Z196,1),3)</f>
        <v>0.245</v>
      </c>
    </row>
    <row r="197" spans="1:17" ht="15" customHeight="1" x14ac:dyDescent="0.2">
      <c r="A197" s="3" t="str">
        <f>'2. Demand History'!A197</f>
        <v>NT10193</v>
      </c>
      <c r="B197" s="1" t="str">
        <f>'2. Demand History'!B197</f>
        <v>SoundCore Buds 879</v>
      </c>
      <c r="C197" s="3" t="str">
        <f>'1. Master Data'!C197</f>
        <v>Audio</v>
      </c>
      <c r="D197" s="3" t="s">
        <v>1111</v>
      </c>
      <c r="E197" s="3" t="str">
        <f t="shared" ref="E197:E260" si="9">IF(D197="Yes","Seasonal Naive","Moving Avg 3")</f>
        <v>Seasonal Naive</v>
      </c>
      <c r="F197" s="3">
        <f>ROUND(AVERAGE('2. Demand History'!O197:Z197),1)</f>
        <v>156.30000000000001</v>
      </c>
      <c r="G197" s="3">
        <f>ROUND(STDEV('2. Demand History'!O197:Z197),1)</f>
        <v>46</v>
      </c>
      <c r="H197" s="8">
        <f t="shared" ref="H197:H260" si="10">IF(F197=0,0,ROUND(G197/F197,2))</f>
        <v>0.28999999999999998</v>
      </c>
      <c r="I197" s="8">
        <f>ROUND(SUM('2. Demand History'!O197:Z197)/MAX(SUM('2. Demand History'!C197:N197),1),2)</f>
        <v>1.02</v>
      </c>
      <c r="J197" s="5">
        <f>IF(D197="Yes",ROUND('2. Demand History'!O197*I197,0),ROUND(AVERAGE('2. Demand History'!X197:Z197),0))</f>
        <v>117</v>
      </c>
      <c r="K197" s="9">
        <f t="shared" ref="K197:K260" si="11">ROUND(AVERAGE(L197:Q197),3)</f>
        <v>0.129</v>
      </c>
      <c r="L197" s="10">
        <f>ROUND(ABS('2. Demand History'!U197-IF($D197="Yes",'2. Demand History'!I197,AVERAGE('2. Demand History'!R197:T197)))/MAX('2. Demand History'!U197,1),3)</f>
        <v>9.0999999999999998E-2</v>
      </c>
      <c r="M197" s="10">
        <f>ROUND(ABS('2. Demand History'!V197-IF($D197="Yes",'2. Demand History'!J197,AVERAGE('2. Demand History'!S197:U197)))/MAX('2. Demand History'!V197,1),3)</f>
        <v>8.9999999999999993E-3</v>
      </c>
      <c r="N197" s="10">
        <f>ROUND(ABS('2. Demand History'!W197-IF($D197="Yes",'2. Demand History'!K197,AVERAGE('2. Demand History'!T197:V197)))/MAX('2. Demand History'!W197,1),3)</f>
        <v>0.128</v>
      </c>
      <c r="O197" s="10">
        <f>ROUND(ABS('2. Demand History'!X197-IF($D197="Yes",'2. Demand History'!L197,AVERAGE('2. Demand History'!U197:W197)))/MAX('2. Demand History'!X197,1),3)</f>
        <v>0.13100000000000001</v>
      </c>
      <c r="P197" s="10">
        <f>ROUND(ABS('2. Demand History'!Y197-IF($D197="Yes",'2. Demand History'!M197,AVERAGE('2. Demand History'!V197:X197)))/MAX('2. Demand History'!Y197,1),3)</f>
        <v>0.14399999999999999</v>
      </c>
      <c r="Q197" s="10">
        <f>ROUND(ABS('2. Demand History'!Z197-IF($D197="Yes",'2. Demand History'!N197,AVERAGE('2. Demand History'!W197:Y197)))/MAX('2. Demand History'!Z197,1),3)</f>
        <v>0.26900000000000002</v>
      </c>
    </row>
    <row r="198" spans="1:17" ht="15" customHeight="1" x14ac:dyDescent="0.2">
      <c r="A198" s="3" t="str">
        <f>'2. Demand History'!A198</f>
        <v>NT10194</v>
      </c>
      <c r="B198" s="1" t="str">
        <f>'2. Demand History'!B198</f>
        <v>SoundCore Buds 815</v>
      </c>
      <c r="C198" s="3" t="str">
        <f>'1. Master Data'!C198</f>
        <v>Audio</v>
      </c>
      <c r="D198" s="3" t="s">
        <v>1111</v>
      </c>
      <c r="E198" s="3" t="str">
        <f t="shared" si="9"/>
        <v>Seasonal Naive</v>
      </c>
      <c r="F198" s="3">
        <f>ROUND(AVERAGE('2. Demand History'!O198:Z198),1)</f>
        <v>17.399999999999999</v>
      </c>
      <c r="G198" s="3">
        <f>ROUND(STDEV('2. Demand History'!O198:Z198),1)</f>
        <v>6.1</v>
      </c>
      <c r="H198" s="8">
        <f t="shared" si="10"/>
        <v>0.35</v>
      </c>
      <c r="I198" s="8">
        <f>ROUND(SUM('2. Demand History'!O198:Z198)/MAX(SUM('2. Demand History'!C198:N198),1),2)</f>
        <v>1.08</v>
      </c>
      <c r="J198" s="5">
        <f>IF(D198="Yes",ROUND('2. Demand History'!O198*I198,0),ROUND(AVERAGE('2. Demand History'!X198:Z198),0))</f>
        <v>14</v>
      </c>
      <c r="K198" s="9">
        <f t="shared" si="11"/>
        <v>0.109</v>
      </c>
      <c r="L198" s="10">
        <f>ROUND(ABS('2. Demand History'!U198-IF($D198="Yes",'2. Demand History'!I198,AVERAGE('2. Demand History'!R198:T198)))/MAX('2. Demand History'!U198,1),3)</f>
        <v>9.7000000000000003E-2</v>
      </c>
      <c r="M198" s="10">
        <f>ROUND(ABS('2. Demand History'!V198-IF($D198="Yes",'2. Demand History'!J198,AVERAGE('2. Demand History'!S198:U198)))/MAX('2. Demand History'!V198,1),3)</f>
        <v>8.3000000000000004E-2</v>
      </c>
      <c r="N198" s="10">
        <f>ROUND(ABS('2. Demand History'!W198-IF($D198="Yes",'2. Demand History'!K198,AVERAGE('2. Demand History'!T198:V198)))/MAX('2. Demand History'!W198,1),3)</f>
        <v>0</v>
      </c>
      <c r="O198" s="10">
        <f>ROUND(ABS('2. Demand History'!X198-IF($D198="Yes",'2. Demand History'!L198,AVERAGE('2. Demand History'!U198:W198)))/MAX('2. Demand History'!X198,1),3)</f>
        <v>0.13300000000000001</v>
      </c>
      <c r="P198" s="10">
        <f>ROUND(ABS('2. Demand History'!Y198-IF($D198="Yes",'2. Demand History'!M198,AVERAGE('2. Demand History'!V198:X198)))/MAX('2. Demand History'!Y198,1),3)</f>
        <v>6.3E-2</v>
      </c>
      <c r="Q198" s="10">
        <f>ROUND(ABS('2. Demand History'!Z198-IF($D198="Yes",'2. Demand History'!N198,AVERAGE('2. Demand History'!W198:Y198)))/MAX('2. Demand History'!Z198,1),3)</f>
        <v>0.27800000000000002</v>
      </c>
    </row>
    <row r="199" spans="1:17" ht="15" customHeight="1" x14ac:dyDescent="0.2">
      <c r="A199" s="3" t="str">
        <f>'2. Demand History'!A199</f>
        <v>NT10195</v>
      </c>
      <c r="B199" s="1" t="str">
        <f>'2. Demand History'!B199</f>
        <v>ClipMic 425 Wireless</v>
      </c>
      <c r="C199" s="3" t="str">
        <f>'1. Master Data'!C199</f>
        <v>Audio</v>
      </c>
      <c r="D199" s="3" t="s">
        <v>1111</v>
      </c>
      <c r="E199" s="3" t="str">
        <f t="shared" si="9"/>
        <v>Seasonal Naive</v>
      </c>
      <c r="F199" s="3">
        <f>ROUND(AVERAGE('2. Demand History'!O199:Z199),1)</f>
        <v>84</v>
      </c>
      <c r="G199" s="3">
        <f>ROUND(STDEV('2. Demand History'!O199:Z199),1)</f>
        <v>58.4</v>
      </c>
      <c r="H199" s="8">
        <f t="shared" si="10"/>
        <v>0.7</v>
      </c>
      <c r="I199" s="8">
        <f>ROUND(SUM('2. Demand History'!O199:Z199)/MAX(SUM('2. Demand History'!C199:N199),1),2)</f>
        <v>0.3</v>
      </c>
      <c r="J199" s="5">
        <f>IF(D199="Yes",ROUND('2. Demand History'!O199*I199,0),ROUND(AVERAGE('2. Demand History'!X199:Z199),0))</f>
        <v>56</v>
      </c>
      <c r="K199" s="9">
        <f t="shared" si="11"/>
        <v>6.6740000000000004</v>
      </c>
      <c r="L199" s="10">
        <f>ROUND(ABS('2. Demand History'!U199-IF($D199="Yes",'2. Demand History'!I199,AVERAGE('2. Demand History'!R199:T199)))/MAX('2. Demand History'!U199,1),3)</f>
        <v>1.675</v>
      </c>
      <c r="M199" s="10">
        <f>ROUND(ABS('2. Demand History'!V199-IF($D199="Yes",'2. Demand History'!J199,AVERAGE('2. Demand History'!S199:U199)))/MAX('2. Demand History'!V199,1),3)</f>
        <v>4.923</v>
      </c>
      <c r="N199" s="10">
        <f>ROUND(ABS('2. Demand History'!W199-IF($D199="Yes",'2. Demand History'!K199,AVERAGE('2. Demand History'!T199:V199)))/MAX('2. Demand History'!W199,1),3)</f>
        <v>5.7409999999999997</v>
      </c>
      <c r="O199" s="10">
        <f>ROUND(ABS('2. Demand History'!X199-IF($D199="Yes",'2. Demand History'!L199,AVERAGE('2. Demand History'!U199:W199)))/MAX('2. Demand History'!X199,1),3)</f>
        <v>15.063000000000001</v>
      </c>
      <c r="P199" s="10">
        <f>ROUND(ABS('2. Demand History'!Y199-IF($D199="Yes",'2. Demand History'!M199,AVERAGE('2. Demand History'!V199:X199)))/MAX('2. Demand History'!Y199,1),3)</f>
        <v>5.6959999999999997</v>
      </c>
      <c r="Q199" s="10">
        <f>ROUND(ABS('2. Demand History'!Z199-IF($D199="Yes",'2. Demand History'!N199,AVERAGE('2. Demand History'!W199:Y199)))/MAX('2. Demand History'!Z199,1),3)</f>
        <v>6.944</v>
      </c>
    </row>
    <row r="200" spans="1:17" ht="15" customHeight="1" x14ac:dyDescent="0.2">
      <c r="A200" s="3" t="str">
        <f>'2. Demand History'!A200</f>
        <v>NT10196</v>
      </c>
      <c r="B200" s="1" t="str">
        <f>'2. Demand History'!B200</f>
        <v>ClipMic 380 Wireless</v>
      </c>
      <c r="C200" s="3" t="str">
        <f>'1. Master Data'!C200</f>
        <v>Audio</v>
      </c>
      <c r="D200" s="3" t="s">
        <v>1111</v>
      </c>
      <c r="E200" s="3" t="str">
        <f t="shared" si="9"/>
        <v>Seasonal Naive</v>
      </c>
      <c r="F200" s="3">
        <f>ROUND(AVERAGE('2. Demand History'!O200:Z200),1)</f>
        <v>168</v>
      </c>
      <c r="G200" s="3">
        <f>ROUND(STDEV('2. Demand History'!O200:Z200),1)</f>
        <v>48.5</v>
      </c>
      <c r="H200" s="8">
        <f t="shared" si="10"/>
        <v>0.28999999999999998</v>
      </c>
      <c r="I200" s="8">
        <f>ROUND(SUM('2. Demand History'!O200:Z200)/MAX(SUM('2. Demand History'!C200:N200),1),2)</f>
        <v>1.1399999999999999</v>
      </c>
      <c r="J200" s="5">
        <f>IF(D200="Yes",ROUND('2. Demand History'!O200*I200,0),ROUND(AVERAGE('2. Demand History'!X200:Z200),0))</f>
        <v>161</v>
      </c>
      <c r="K200" s="9">
        <f t="shared" si="11"/>
        <v>0.11799999999999999</v>
      </c>
      <c r="L200" s="10">
        <f>ROUND(ABS('2. Demand History'!U200-IF($D200="Yes",'2. Demand History'!I200,AVERAGE('2. Demand History'!R200:T200)))/MAX('2. Demand History'!U200,1),3)</f>
        <v>0.13</v>
      </c>
      <c r="M200" s="10">
        <f>ROUND(ABS('2. Demand History'!V200-IF($D200="Yes",'2. Demand History'!J200,AVERAGE('2. Demand History'!S200:U200)))/MAX('2. Demand History'!V200,1),3)</f>
        <v>9.6000000000000002E-2</v>
      </c>
      <c r="N200" s="10">
        <f>ROUND(ABS('2. Demand History'!W200-IF($D200="Yes",'2. Demand History'!K200,AVERAGE('2. Demand History'!T200:V200)))/MAX('2. Demand History'!W200,1),3)</f>
        <v>0.13500000000000001</v>
      </c>
      <c r="O200" s="10">
        <f>ROUND(ABS('2. Demand History'!X200-IF($D200="Yes",'2. Demand History'!L200,AVERAGE('2. Demand History'!U200:W200)))/MAX('2. Demand History'!X200,1),3)</f>
        <v>0.10100000000000001</v>
      </c>
      <c r="P200" s="10">
        <f>ROUND(ABS('2. Demand History'!Y200-IF($D200="Yes",'2. Demand History'!M200,AVERAGE('2. Demand History'!V200:X200)))/MAX('2. Demand History'!Y200,1),3)</f>
        <v>0.16800000000000001</v>
      </c>
      <c r="Q200" s="10">
        <f>ROUND(ABS('2. Demand History'!Z200-IF($D200="Yes",'2. Demand History'!N200,AVERAGE('2. Demand History'!W200:Y200)))/MAX('2. Demand History'!Z200,1),3)</f>
        <v>7.4999999999999997E-2</v>
      </c>
    </row>
    <row r="201" spans="1:17" ht="15" customHeight="1" x14ac:dyDescent="0.2">
      <c r="A201" s="3" t="str">
        <f>'2. Demand History'!A201</f>
        <v>NT10197</v>
      </c>
      <c r="B201" s="1" t="str">
        <f>'2. Demand History'!B201</f>
        <v>ClipMic 231 Wireless</v>
      </c>
      <c r="C201" s="3" t="str">
        <f>'1. Master Data'!C201</f>
        <v>Audio</v>
      </c>
      <c r="D201" s="3" t="s">
        <v>1111</v>
      </c>
      <c r="E201" s="3" t="str">
        <f t="shared" si="9"/>
        <v>Seasonal Naive</v>
      </c>
      <c r="F201" s="3">
        <f>ROUND(AVERAGE('2. Demand History'!O201:Z201),1)</f>
        <v>437.6</v>
      </c>
      <c r="G201" s="3">
        <f>ROUND(STDEV('2. Demand History'!O201:Z201),1)</f>
        <v>169</v>
      </c>
      <c r="H201" s="8">
        <f t="shared" si="10"/>
        <v>0.39</v>
      </c>
      <c r="I201" s="8">
        <f>ROUND(SUM('2. Demand History'!O201:Z201)/MAX(SUM('2. Demand History'!C201:N201),1),2)</f>
        <v>0.99</v>
      </c>
      <c r="J201" s="5">
        <f>IF(D201="Yes",ROUND('2. Demand History'!O201*I201,0),ROUND(AVERAGE('2. Demand History'!X201:Z201),0))</f>
        <v>374</v>
      </c>
      <c r="K201" s="9">
        <f t="shared" si="11"/>
        <v>9.2999999999999999E-2</v>
      </c>
      <c r="L201" s="10">
        <f>ROUND(ABS('2. Demand History'!U201-IF($D201="Yes",'2. Demand History'!I201,AVERAGE('2. Demand History'!R201:T201)))/MAX('2. Demand History'!U201,1),3)</f>
        <v>0.255</v>
      </c>
      <c r="M201" s="10">
        <f>ROUND(ABS('2. Demand History'!V201-IF($D201="Yes",'2. Demand History'!J201,AVERAGE('2. Demand History'!S201:U201)))/MAX('2. Demand History'!V201,1),3)</f>
        <v>7.0000000000000001E-3</v>
      </c>
      <c r="N201" s="10">
        <f>ROUND(ABS('2. Demand History'!W201-IF($D201="Yes",'2. Demand History'!K201,AVERAGE('2. Demand History'!T201:V201)))/MAX('2. Demand History'!W201,1),3)</f>
        <v>9.1999999999999998E-2</v>
      </c>
      <c r="O201" s="10">
        <f>ROUND(ABS('2. Demand History'!X201-IF($D201="Yes",'2. Demand History'!L201,AVERAGE('2. Demand History'!U201:W201)))/MAX('2. Demand History'!X201,1),3)</f>
        <v>0.13300000000000001</v>
      </c>
      <c r="P201" s="10">
        <f>ROUND(ABS('2. Demand History'!Y201-IF($D201="Yes",'2. Demand History'!M201,AVERAGE('2. Demand History'!V201:X201)))/MAX('2. Demand History'!Y201,1),3)</f>
        <v>2.1000000000000001E-2</v>
      </c>
      <c r="Q201" s="10">
        <f>ROUND(ABS('2. Demand History'!Z201-IF($D201="Yes",'2. Demand History'!N201,AVERAGE('2. Demand History'!W201:Y201)))/MAX('2. Demand History'!Z201,1),3)</f>
        <v>4.8000000000000001E-2</v>
      </c>
    </row>
    <row r="202" spans="1:17" ht="15" customHeight="1" x14ac:dyDescent="0.2">
      <c r="A202" s="3" t="str">
        <f>'2. Demand History'!A202</f>
        <v>NT10198</v>
      </c>
      <c r="B202" s="1" t="str">
        <f>'2. Demand History'!B202</f>
        <v>StudioPods 513 ANC</v>
      </c>
      <c r="C202" s="3" t="str">
        <f>'1. Master Data'!C202</f>
        <v>Audio</v>
      </c>
      <c r="D202" s="3" t="s">
        <v>1111</v>
      </c>
      <c r="E202" s="3" t="str">
        <f t="shared" si="9"/>
        <v>Seasonal Naive</v>
      </c>
      <c r="F202" s="3">
        <f>ROUND(AVERAGE('2. Demand History'!O202:Z202),1)</f>
        <v>36.799999999999997</v>
      </c>
      <c r="G202" s="3">
        <f>ROUND(STDEV('2. Demand History'!O202:Z202),1)</f>
        <v>13.5</v>
      </c>
      <c r="H202" s="8">
        <f t="shared" si="10"/>
        <v>0.37</v>
      </c>
      <c r="I202" s="8">
        <f>ROUND(SUM('2. Demand History'!O202:Z202)/MAX(SUM('2. Demand History'!C202:N202),1),2)</f>
        <v>1.1499999999999999</v>
      </c>
      <c r="J202" s="5">
        <f>IF(D202="Yes",ROUND('2. Demand History'!O202*I202,0),ROUND(AVERAGE('2. Demand History'!X202:Z202),0))</f>
        <v>36</v>
      </c>
      <c r="K202" s="9">
        <f t="shared" si="11"/>
        <v>0.14599999999999999</v>
      </c>
      <c r="L202" s="10">
        <f>ROUND(ABS('2. Demand History'!U202-IF($D202="Yes",'2. Demand History'!I202,AVERAGE('2. Demand History'!R202:T202)))/MAX('2. Demand History'!U202,1),3)</f>
        <v>0.247</v>
      </c>
      <c r="M202" s="10">
        <f>ROUND(ABS('2. Demand History'!V202-IF($D202="Yes",'2. Demand History'!J202,AVERAGE('2. Demand History'!S202:U202)))/MAX('2. Demand History'!V202,1),3)</f>
        <v>0.08</v>
      </c>
      <c r="N202" s="10">
        <f>ROUND(ABS('2. Demand History'!W202-IF($D202="Yes",'2. Demand History'!K202,AVERAGE('2. Demand History'!T202:V202)))/MAX('2. Demand History'!W202,1),3)</f>
        <v>0.16700000000000001</v>
      </c>
      <c r="O202" s="10">
        <f>ROUND(ABS('2. Demand History'!X202-IF($D202="Yes",'2. Demand History'!L202,AVERAGE('2. Demand History'!U202:W202)))/MAX('2. Demand History'!X202,1),3)</f>
        <v>0.10299999999999999</v>
      </c>
      <c r="P202" s="10">
        <f>ROUND(ABS('2. Demand History'!Y202-IF($D202="Yes",'2. Demand History'!M202,AVERAGE('2. Demand History'!V202:X202)))/MAX('2. Demand History'!Y202,1),3)</f>
        <v>5.7000000000000002E-2</v>
      </c>
      <c r="Q202" s="10">
        <f>ROUND(ABS('2. Demand History'!Z202-IF($D202="Yes",'2. Demand History'!N202,AVERAGE('2. Demand History'!W202:Y202)))/MAX('2. Demand History'!Z202,1),3)</f>
        <v>0.222</v>
      </c>
    </row>
    <row r="203" spans="1:17" ht="15" customHeight="1" x14ac:dyDescent="0.2">
      <c r="A203" s="3" t="str">
        <f>'2. Demand History'!A203</f>
        <v>NT10199</v>
      </c>
      <c r="B203" s="1" t="str">
        <f>'2. Demand History'!B203</f>
        <v>StudioPods 749 ANC</v>
      </c>
      <c r="C203" s="3" t="str">
        <f>'1. Master Data'!C203</f>
        <v>Audio</v>
      </c>
      <c r="D203" s="3" t="s">
        <v>1111</v>
      </c>
      <c r="E203" s="3" t="str">
        <f t="shared" si="9"/>
        <v>Seasonal Naive</v>
      </c>
      <c r="F203" s="3">
        <f>ROUND(AVERAGE('2. Demand History'!O203:Z203),1)</f>
        <v>5.7</v>
      </c>
      <c r="G203" s="3">
        <f>ROUND(STDEV('2. Demand History'!O203:Z203),1)</f>
        <v>3.4</v>
      </c>
      <c r="H203" s="8">
        <f t="shared" si="10"/>
        <v>0.6</v>
      </c>
      <c r="I203" s="8">
        <f>ROUND(SUM('2. Demand History'!O203:Z203)/MAX(SUM('2. Demand History'!C203:N203),1),2)</f>
        <v>0.28999999999999998</v>
      </c>
      <c r="J203" s="5">
        <f>IF(D203="Yes",ROUND('2. Demand History'!O203*I203,0),ROUND(AVERAGE('2. Demand History'!X203:Z203),0))</f>
        <v>2</v>
      </c>
      <c r="K203" s="9">
        <f t="shared" si="11"/>
        <v>5.9169999999999998</v>
      </c>
      <c r="L203" s="10">
        <f>ROUND(ABS('2. Demand History'!U203-IF($D203="Yes",'2. Demand History'!I203,AVERAGE('2. Demand History'!R203:T203)))/MAX('2. Demand History'!U203,1),3)</f>
        <v>3</v>
      </c>
      <c r="M203" s="10">
        <f>ROUND(ABS('2. Demand History'!V203-IF($D203="Yes",'2. Demand History'!J203,AVERAGE('2. Demand History'!S203:U203)))/MAX('2. Demand History'!V203,1),3)</f>
        <v>3</v>
      </c>
      <c r="N203" s="10">
        <f>ROUND(ABS('2. Demand History'!W203-IF($D203="Yes",'2. Demand History'!K203,AVERAGE('2. Demand History'!T203:V203)))/MAX('2. Demand History'!W203,1),3)</f>
        <v>4</v>
      </c>
      <c r="O203" s="10">
        <f>ROUND(ABS('2. Demand History'!X203-IF($D203="Yes",'2. Demand History'!L203,AVERAGE('2. Demand History'!U203:W203)))/MAX('2. Demand History'!X203,1),3)</f>
        <v>7</v>
      </c>
      <c r="P203" s="10">
        <f>ROUND(ABS('2. Demand History'!Y203-IF($D203="Yes",'2. Demand History'!M203,AVERAGE('2. Demand History'!V203:X203)))/MAX('2. Demand History'!Y203,1),3)</f>
        <v>5.5</v>
      </c>
      <c r="Q203" s="10">
        <f>ROUND(ABS('2. Demand History'!Z203-IF($D203="Yes",'2. Demand History'!N203,AVERAGE('2. Demand History'!W203:Y203)))/MAX('2. Demand History'!Z203,1),3)</f>
        <v>13</v>
      </c>
    </row>
    <row r="204" spans="1:17" ht="15" customHeight="1" x14ac:dyDescent="0.2">
      <c r="A204" s="3" t="str">
        <f>'2. Demand History'!A204</f>
        <v>NT10200</v>
      </c>
      <c r="B204" s="1" t="str">
        <f>'2. Demand History'!B204</f>
        <v>WaveBar 886 Soundbar</v>
      </c>
      <c r="C204" s="3" t="str">
        <f>'1. Master Data'!C204</f>
        <v>Audio</v>
      </c>
      <c r="D204" s="3" t="s">
        <v>1111</v>
      </c>
      <c r="E204" s="3" t="str">
        <f t="shared" si="9"/>
        <v>Seasonal Naive</v>
      </c>
      <c r="F204" s="3">
        <f>ROUND(AVERAGE('2. Demand History'!O204:Z204),1)</f>
        <v>467</v>
      </c>
      <c r="G204" s="3">
        <f>ROUND(STDEV('2. Demand History'!O204:Z204),1)</f>
        <v>107.7</v>
      </c>
      <c r="H204" s="8">
        <f t="shared" si="10"/>
        <v>0.23</v>
      </c>
      <c r="I204" s="8">
        <f>ROUND(SUM('2. Demand History'!O204:Z204)/MAX(SUM('2. Demand History'!C204:N204),1),2)</f>
        <v>1.06</v>
      </c>
      <c r="J204" s="5">
        <f>IF(D204="Yes",ROUND('2. Demand History'!O204*I204,0),ROUND(AVERAGE('2. Demand History'!X204:Z204),0))</f>
        <v>413</v>
      </c>
      <c r="K204" s="9">
        <f t="shared" si="11"/>
        <v>0.104</v>
      </c>
      <c r="L204" s="10">
        <f>ROUND(ABS('2. Demand History'!U204-IF($D204="Yes",'2. Demand History'!I204,AVERAGE('2. Demand History'!R204:T204)))/MAX('2. Demand History'!U204,1),3)</f>
        <v>5.2999999999999999E-2</v>
      </c>
      <c r="M204" s="10">
        <f>ROUND(ABS('2. Demand History'!V204-IF($D204="Yes",'2. Demand History'!J204,AVERAGE('2. Demand History'!S204:U204)))/MAX('2. Demand History'!V204,1),3)</f>
        <v>1.2999999999999999E-2</v>
      </c>
      <c r="N204" s="10">
        <f>ROUND(ABS('2. Demand History'!W204-IF($D204="Yes",'2. Demand History'!K204,AVERAGE('2. Demand History'!T204:V204)))/MAX('2. Demand History'!W204,1),3)</f>
        <v>3.3000000000000002E-2</v>
      </c>
      <c r="O204" s="10">
        <f>ROUND(ABS('2. Demand History'!X204-IF($D204="Yes",'2. Demand History'!L204,AVERAGE('2. Demand History'!U204:W204)))/MAX('2. Demand History'!X204,1),3)</f>
        <v>0.34300000000000003</v>
      </c>
      <c r="P204" s="10">
        <f>ROUND(ABS('2. Demand History'!Y204-IF($D204="Yes",'2. Demand History'!M204,AVERAGE('2. Demand History'!V204:X204)))/MAX('2. Demand History'!Y204,1),3)</f>
        <v>5.6000000000000001E-2</v>
      </c>
      <c r="Q204" s="10">
        <f>ROUND(ABS('2. Demand History'!Z204-IF($D204="Yes",'2. Demand History'!N204,AVERAGE('2. Demand History'!W204:Y204)))/MAX('2. Demand History'!Z204,1),3)</f>
        <v>0.123</v>
      </c>
    </row>
    <row r="205" spans="1:17" ht="15" customHeight="1" x14ac:dyDescent="0.2">
      <c r="A205" s="3" t="str">
        <f>'2. Demand History'!A205</f>
        <v>NT10201</v>
      </c>
      <c r="B205" s="1" t="str">
        <f>'2. Demand History'!B205</f>
        <v>FitTrack Band 482</v>
      </c>
      <c r="C205" s="3" t="str">
        <f>'1. Master Data'!C205</f>
        <v>Wearables</v>
      </c>
      <c r="D205" s="3" t="s">
        <v>1111</v>
      </c>
      <c r="E205" s="3" t="str">
        <f t="shared" si="9"/>
        <v>Seasonal Naive</v>
      </c>
      <c r="F205" s="3">
        <f>ROUND(AVERAGE('2. Demand History'!O205:Z205),1)</f>
        <v>14.3</v>
      </c>
      <c r="G205" s="3">
        <f>ROUND(STDEV('2. Demand History'!O205:Z205),1)</f>
        <v>11.3</v>
      </c>
      <c r="H205" s="8">
        <f t="shared" si="10"/>
        <v>0.79</v>
      </c>
      <c r="I205" s="8">
        <f>ROUND(SUM('2. Demand History'!O205:Z205)/MAX(SUM('2. Demand History'!C205:N205),1),2)</f>
        <v>0.88</v>
      </c>
      <c r="J205" s="5">
        <f>IF(D205="Yes",ROUND('2. Demand History'!O205*I205,0),ROUND(AVERAGE('2. Demand History'!X205:Z205),0))</f>
        <v>7</v>
      </c>
      <c r="K205" s="9">
        <f t="shared" si="11"/>
        <v>1.1910000000000001</v>
      </c>
      <c r="L205" s="10">
        <f>ROUND(ABS('2. Demand History'!U205-IF($D205="Yes",'2. Demand History'!I205,AVERAGE('2. Demand History'!R205:T205)))/MAX('2. Demand History'!U205,1),3)</f>
        <v>5.7</v>
      </c>
      <c r="M205" s="10">
        <f>ROUND(ABS('2. Demand History'!V205-IF($D205="Yes",'2. Demand History'!J205,AVERAGE('2. Demand History'!S205:U205)))/MAX('2. Demand History'!V205,1),3)</f>
        <v>0</v>
      </c>
      <c r="N205" s="10">
        <f>ROUND(ABS('2. Demand History'!W205-IF($D205="Yes",'2. Demand History'!K205,AVERAGE('2. Demand History'!T205:V205)))/MAX('2. Demand History'!W205,1),3)</f>
        <v>0.41699999999999998</v>
      </c>
      <c r="O205" s="10">
        <f>ROUND(ABS('2. Demand History'!X205-IF($D205="Yes",'2. Demand History'!L205,AVERAGE('2. Demand History'!U205:W205)))/MAX('2. Demand History'!X205,1),3)</f>
        <v>0.111</v>
      </c>
      <c r="P205" s="10">
        <f>ROUND(ABS('2. Demand History'!Y205-IF($D205="Yes",'2. Demand History'!M205,AVERAGE('2. Demand History'!V205:X205)))/MAX('2. Demand History'!Y205,1),3)</f>
        <v>0.79100000000000004</v>
      </c>
      <c r="Q205" s="10">
        <f>ROUND(ABS('2. Demand History'!Z205-IF($D205="Yes",'2. Demand History'!N205,AVERAGE('2. Demand History'!W205:Y205)))/MAX('2. Demand History'!Z205,1),3)</f>
        <v>0.125</v>
      </c>
    </row>
    <row r="206" spans="1:17" ht="15" customHeight="1" x14ac:dyDescent="0.2">
      <c r="A206" s="3" t="str">
        <f>'2. Demand History'!A206</f>
        <v>NT10202</v>
      </c>
      <c r="B206" s="1" t="str">
        <f>'2. Demand History'!B206</f>
        <v>StepOne Tracker 559</v>
      </c>
      <c r="C206" s="3" t="str">
        <f>'1. Master Data'!C206</f>
        <v>Wearables</v>
      </c>
      <c r="D206" s="3" t="s">
        <v>1111</v>
      </c>
      <c r="E206" s="3" t="str">
        <f t="shared" si="9"/>
        <v>Seasonal Naive</v>
      </c>
      <c r="F206" s="3">
        <f>ROUND(AVERAGE('2. Demand History'!O206:Z206),1)</f>
        <v>63.3</v>
      </c>
      <c r="G206" s="3">
        <f>ROUND(STDEV('2. Demand History'!O206:Z206),1)</f>
        <v>18.600000000000001</v>
      </c>
      <c r="H206" s="8">
        <f t="shared" si="10"/>
        <v>0.28999999999999998</v>
      </c>
      <c r="I206" s="8">
        <f>ROUND(SUM('2. Demand History'!O206:Z206)/MAX(SUM('2. Demand History'!C206:N206),1),2)</f>
        <v>1.05</v>
      </c>
      <c r="J206" s="5">
        <f>IF(D206="Yes",ROUND('2. Demand History'!O206*I206,0),ROUND(AVERAGE('2. Demand History'!X206:Z206),0))</f>
        <v>64</v>
      </c>
      <c r="K206" s="9">
        <f t="shared" si="11"/>
        <v>6.8000000000000005E-2</v>
      </c>
      <c r="L206" s="10">
        <f>ROUND(ABS('2. Demand History'!U206-IF($D206="Yes",'2. Demand History'!I206,AVERAGE('2. Demand History'!R206:T206)))/MAX('2. Demand History'!U206,1),3)</f>
        <v>8.9999999999999993E-3</v>
      </c>
      <c r="M206" s="10">
        <f>ROUND(ABS('2. Demand History'!V206-IF($D206="Yes",'2. Demand History'!J206,AVERAGE('2. Demand History'!S206:U206)))/MAX('2. Demand History'!V206,1),3)</f>
        <v>8.3000000000000004E-2</v>
      </c>
      <c r="N206" s="10">
        <f>ROUND(ABS('2. Demand History'!W206-IF($D206="Yes",'2. Demand History'!K206,AVERAGE('2. Demand History'!T206:V206)))/MAX('2. Demand History'!W206,1),3)</f>
        <v>0.10199999999999999</v>
      </c>
      <c r="O206" s="10">
        <f>ROUND(ABS('2. Demand History'!X206-IF($D206="Yes",'2. Demand History'!L206,AVERAGE('2. Demand History'!U206:W206)))/MAX('2. Demand History'!X206,1),3)</f>
        <v>1.7999999999999999E-2</v>
      </c>
      <c r="P206" s="10">
        <f>ROUND(ABS('2. Demand History'!Y206-IF($D206="Yes",'2. Demand History'!M206,AVERAGE('2. Demand History'!V206:X206)))/MAX('2. Demand History'!Y206,1),3)</f>
        <v>0.153</v>
      </c>
      <c r="Q206" s="10">
        <f>ROUND(ABS('2. Demand History'!Z206-IF($D206="Yes",'2. Demand History'!N206,AVERAGE('2. Demand History'!W206:Y206)))/MAX('2. Demand History'!Z206,1),3)</f>
        <v>4.4999999999999998E-2</v>
      </c>
    </row>
    <row r="207" spans="1:17" ht="15" customHeight="1" x14ac:dyDescent="0.2">
      <c r="A207" s="3" t="str">
        <f>'2. Demand History'!A207</f>
        <v>NT10203</v>
      </c>
      <c r="B207" s="1" t="str">
        <f>'2. Demand History'!B207</f>
        <v>PulseRing 185</v>
      </c>
      <c r="C207" s="3" t="str">
        <f>'1. Master Data'!C207</f>
        <v>Wearables</v>
      </c>
      <c r="D207" s="3" t="s">
        <v>1111</v>
      </c>
      <c r="E207" s="3" t="str">
        <f t="shared" si="9"/>
        <v>Seasonal Naive</v>
      </c>
      <c r="F207" s="3">
        <f>ROUND(AVERAGE('2. Demand History'!O207:Z207),1)</f>
        <v>41.8</v>
      </c>
      <c r="G207" s="3">
        <f>ROUND(STDEV('2. Demand History'!O207:Z207),1)</f>
        <v>13.6</v>
      </c>
      <c r="H207" s="8">
        <f t="shared" si="10"/>
        <v>0.33</v>
      </c>
      <c r="I207" s="8">
        <f>ROUND(SUM('2. Demand History'!O207:Z207)/MAX(SUM('2. Demand History'!C207:N207),1),2)</f>
        <v>1.1299999999999999</v>
      </c>
      <c r="J207" s="5">
        <f>IF(D207="Yes",ROUND('2. Demand History'!O207*I207,0),ROUND(AVERAGE('2. Demand History'!X207:Z207),0))</f>
        <v>50</v>
      </c>
      <c r="K207" s="9">
        <f t="shared" si="11"/>
        <v>0.111</v>
      </c>
      <c r="L207" s="10">
        <f>ROUND(ABS('2. Demand History'!U207-IF($D207="Yes",'2. Demand History'!I207,AVERAGE('2. Demand History'!R207:T207)))/MAX('2. Demand History'!U207,1),3)</f>
        <v>0.20300000000000001</v>
      </c>
      <c r="M207" s="10">
        <f>ROUND(ABS('2. Demand History'!V207-IF($D207="Yes",'2. Demand History'!J207,AVERAGE('2. Demand History'!S207:U207)))/MAX('2. Demand History'!V207,1),3)</f>
        <v>0.161</v>
      </c>
      <c r="N207" s="10">
        <f>ROUND(ABS('2. Demand History'!W207-IF($D207="Yes",'2. Demand History'!K207,AVERAGE('2. Demand History'!T207:V207)))/MAX('2. Demand History'!W207,1),3)</f>
        <v>0.11799999999999999</v>
      </c>
      <c r="O207" s="10">
        <f>ROUND(ABS('2. Demand History'!X207-IF($D207="Yes",'2. Demand History'!L207,AVERAGE('2. Demand History'!U207:W207)))/MAX('2. Demand History'!X207,1),3)</f>
        <v>0.03</v>
      </c>
      <c r="P207" s="10">
        <f>ROUND(ABS('2. Demand History'!Y207-IF($D207="Yes",'2. Demand History'!M207,AVERAGE('2. Demand History'!V207:X207)))/MAX('2. Demand History'!Y207,1),3)</f>
        <v>8.1000000000000003E-2</v>
      </c>
      <c r="Q207" s="10">
        <f>ROUND(ABS('2. Demand History'!Z207-IF($D207="Yes",'2. Demand History'!N207,AVERAGE('2. Demand History'!W207:Y207)))/MAX('2. Demand History'!Z207,1),3)</f>
        <v>7.0999999999999994E-2</v>
      </c>
    </row>
    <row r="208" spans="1:17" ht="15" customHeight="1" x14ac:dyDescent="0.2">
      <c r="A208" s="3" t="str">
        <f>'2. Demand History'!A208</f>
        <v>NT10204</v>
      </c>
      <c r="B208" s="1" t="str">
        <f>'2. Demand History'!B208</f>
        <v>FitTrack Band 970</v>
      </c>
      <c r="C208" s="3" t="str">
        <f>'1. Master Data'!C208</f>
        <v>Wearables</v>
      </c>
      <c r="D208" s="3" t="s">
        <v>1111</v>
      </c>
      <c r="E208" s="3" t="str">
        <f t="shared" si="9"/>
        <v>Seasonal Naive</v>
      </c>
      <c r="F208" s="3">
        <f>ROUND(AVERAGE('2. Demand History'!O208:Z208),1)</f>
        <v>153.6</v>
      </c>
      <c r="G208" s="3">
        <f>ROUND(STDEV('2. Demand History'!O208:Z208),1)</f>
        <v>47</v>
      </c>
      <c r="H208" s="8">
        <f t="shared" si="10"/>
        <v>0.31</v>
      </c>
      <c r="I208" s="8">
        <f>ROUND(SUM('2. Demand History'!O208:Z208)/MAX(SUM('2. Demand History'!C208:N208),1),2)</f>
        <v>1.07</v>
      </c>
      <c r="J208" s="5">
        <f>IF(D208="Yes",ROUND('2. Demand History'!O208*I208,0),ROUND(AVERAGE('2. Demand History'!X208:Z208),0))</f>
        <v>127</v>
      </c>
      <c r="K208" s="9">
        <f t="shared" si="11"/>
        <v>8.3000000000000004E-2</v>
      </c>
      <c r="L208" s="10">
        <f>ROUND(ABS('2. Demand History'!U208-IF($D208="Yes",'2. Demand History'!I208,AVERAGE('2. Demand History'!R208:T208)))/MAX('2. Demand History'!U208,1),3)</f>
        <v>3.1E-2</v>
      </c>
      <c r="M208" s="10">
        <f>ROUND(ABS('2. Demand History'!V208-IF($D208="Yes",'2. Demand History'!J208,AVERAGE('2. Demand History'!S208:U208)))/MAX('2. Demand History'!V208,1),3)</f>
        <v>4.2000000000000003E-2</v>
      </c>
      <c r="N208" s="10">
        <f>ROUND(ABS('2. Demand History'!W208-IF($D208="Yes",'2. Demand History'!K208,AVERAGE('2. Demand History'!T208:V208)))/MAX('2. Demand History'!W208,1),3)</f>
        <v>0.01</v>
      </c>
      <c r="O208" s="10">
        <f>ROUND(ABS('2. Demand History'!X208-IF($D208="Yes",'2. Demand History'!L208,AVERAGE('2. Demand History'!U208:W208)))/MAX('2. Demand History'!X208,1),3)</f>
        <v>8.8999999999999996E-2</v>
      </c>
      <c r="P208" s="10">
        <f>ROUND(ABS('2. Demand History'!Y208-IF($D208="Yes",'2. Demand History'!M208,AVERAGE('2. Demand History'!V208:X208)))/MAX('2. Demand History'!Y208,1),3)</f>
        <v>0.22500000000000001</v>
      </c>
      <c r="Q208" s="10">
        <f>ROUND(ABS('2. Demand History'!Z208-IF($D208="Yes",'2. Demand History'!N208,AVERAGE('2. Demand History'!W208:Y208)))/MAX('2. Demand History'!Z208,1),3)</f>
        <v>9.9000000000000005E-2</v>
      </c>
    </row>
    <row r="209" spans="1:17" ht="15" customHeight="1" x14ac:dyDescent="0.2">
      <c r="A209" s="3" t="str">
        <f>'2. Demand History'!A209</f>
        <v>NT10205</v>
      </c>
      <c r="B209" s="1" t="str">
        <f>'2. Demand History'!B209</f>
        <v>StepOne Tracker 188</v>
      </c>
      <c r="C209" s="3" t="str">
        <f>'1. Master Data'!C209</f>
        <v>Wearables</v>
      </c>
      <c r="D209" s="3" t="s">
        <v>1111</v>
      </c>
      <c r="E209" s="3" t="str">
        <f t="shared" si="9"/>
        <v>Seasonal Naive</v>
      </c>
      <c r="F209" s="3">
        <f>ROUND(AVERAGE('2. Demand History'!O209:Z209),1)</f>
        <v>105</v>
      </c>
      <c r="G209" s="3">
        <f>ROUND(STDEV('2. Demand History'!O209:Z209),1)</f>
        <v>29.5</v>
      </c>
      <c r="H209" s="8">
        <f t="shared" si="10"/>
        <v>0.28000000000000003</v>
      </c>
      <c r="I209" s="8">
        <f>ROUND(SUM('2. Demand History'!O209:Z209)/MAX(SUM('2. Demand History'!C209:N209),1),2)</f>
        <v>1.08</v>
      </c>
      <c r="J209" s="5">
        <f>IF(D209="Yes",ROUND('2. Demand History'!O209*I209,0),ROUND(AVERAGE('2. Demand History'!X209:Z209),0))</f>
        <v>107</v>
      </c>
      <c r="K209" s="9">
        <f t="shared" si="11"/>
        <v>9.6000000000000002E-2</v>
      </c>
      <c r="L209" s="10">
        <f>ROUND(ABS('2. Demand History'!U209-IF($D209="Yes",'2. Demand History'!I209,AVERAGE('2. Demand History'!R209:T209)))/MAX('2. Demand History'!U209,1),3)</f>
        <v>6.3E-2</v>
      </c>
      <c r="M209" s="10">
        <f>ROUND(ABS('2. Demand History'!V209-IF($D209="Yes",'2. Demand History'!J209,AVERAGE('2. Demand History'!S209:U209)))/MAX('2. Demand History'!V209,1),3)</f>
        <v>0</v>
      </c>
      <c r="N209" s="10">
        <f>ROUND(ABS('2. Demand History'!W209-IF($D209="Yes",'2. Demand History'!K209,AVERAGE('2. Demand History'!T209:V209)))/MAX('2. Demand History'!W209,1),3)</f>
        <v>4.8000000000000001E-2</v>
      </c>
      <c r="O209" s="10">
        <f>ROUND(ABS('2. Demand History'!X209-IF($D209="Yes",'2. Demand History'!L209,AVERAGE('2. Demand History'!U209:W209)))/MAX('2. Demand History'!X209,1),3)</f>
        <v>0.23100000000000001</v>
      </c>
      <c r="P209" s="10">
        <f>ROUND(ABS('2. Demand History'!Y209-IF($D209="Yes",'2. Demand History'!M209,AVERAGE('2. Demand History'!V209:X209)))/MAX('2. Demand History'!Y209,1),3)</f>
        <v>0.15</v>
      </c>
      <c r="Q209" s="10">
        <f>ROUND(ABS('2. Demand History'!Z209-IF($D209="Yes",'2. Demand History'!N209,AVERAGE('2. Demand History'!W209:Y209)))/MAX('2. Demand History'!Z209,1),3)</f>
        <v>8.3000000000000004E-2</v>
      </c>
    </row>
    <row r="210" spans="1:17" ht="15" customHeight="1" x14ac:dyDescent="0.2">
      <c r="A210" s="3" t="str">
        <f>'2. Demand History'!A210</f>
        <v>NT10206</v>
      </c>
      <c r="B210" s="1" t="str">
        <f>'2. Demand History'!B210</f>
        <v>NovaWatch 145 GPS</v>
      </c>
      <c r="C210" s="3" t="str">
        <f>'1. Master Data'!C210</f>
        <v>Wearables</v>
      </c>
      <c r="D210" s="3" t="s">
        <v>1111</v>
      </c>
      <c r="E210" s="3" t="str">
        <f t="shared" si="9"/>
        <v>Seasonal Naive</v>
      </c>
      <c r="F210" s="3">
        <f>ROUND(AVERAGE('2. Demand History'!O210:Z210),1)</f>
        <v>122.6</v>
      </c>
      <c r="G210" s="3">
        <f>ROUND(STDEV('2. Demand History'!O210:Z210),1)</f>
        <v>30.3</v>
      </c>
      <c r="H210" s="8">
        <f t="shared" si="10"/>
        <v>0.25</v>
      </c>
      <c r="I210" s="8">
        <f>ROUND(SUM('2. Demand History'!O210:Z210)/MAX(SUM('2. Demand History'!C210:N210),1),2)</f>
        <v>1.0900000000000001</v>
      </c>
      <c r="J210" s="5">
        <f>IF(D210="Yes",ROUND('2. Demand History'!O210*I210,0),ROUND(AVERAGE('2. Demand History'!X210:Z210),0))</f>
        <v>109</v>
      </c>
      <c r="K210" s="9">
        <f t="shared" si="11"/>
        <v>0.14299999999999999</v>
      </c>
      <c r="L210" s="10">
        <f>ROUND(ABS('2. Demand History'!U210-IF($D210="Yes",'2. Demand History'!I210,AVERAGE('2. Demand History'!R210:T210)))/MAX('2. Demand History'!U210,1),3)</f>
        <v>0.17</v>
      </c>
      <c r="M210" s="10">
        <f>ROUND(ABS('2. Demand History'!V210-IF($D210="Yes",'2. Demand History'!J210,AVERAGE('2. Demand History'!S210:U210)))/MAX('2. Demand History'!V210,1),3)</f>
        <v>7.6999999999999999E-2</v>
      </c>
      <c r="N210" s="10">
        <f>ROUND(ABS('2. Demand History'!W210-IF($D210="Yes",'2. Demand History'!K210,AVERAGE('2. Demand History'!T210:V210)))/MAX('2. Demand History'!W210,1),3)</f>
        <v>0.02</v>
      </c>
      <c r="O210" s="10">
        <f>ROUND(ABS('2. Demand History'!X210-IF($D210="Yes",'2. Demand History'!L210,AVERAGE('2. Demand History'!U210:W210)))/MAX('2. Demand History'!X210,1),3)</f>
        <v>1.7000000000000001E-2</v>
      </c>
      <c r="P210" s="10">
        <f>ROUND(ABS('2. Demand History'!Y210-IF($D210="Yes",'2. Demand History'!M210,AVERAGE('2. Demand History'!V210:X210)))/MAX('2. Demand History'!Y210,1),3)</f>
        <v>0.22600000000000001</v>
      </c>
      <c r="Q210" s="10">
        <f>ROUND(ABS('2. Demand History'!Z210-IF($D210="Yes",'2. Demand History'!N210,AVERAGE('2. Demand History'!W210:Y210)))/MAX('2. Demand History'!Z210,1),3)</f>
        <v>0.35</v>
      </c>
    </row>
    <row r="211" spans="1:17" ht="15" customHeight="1" x14ac:dyDescent="0.2">
      <c r="A211" s="3" t="str">
        <f>'2. Demand History'!A211</f>
        <v>NT10207</v>
      </c>
      <c r="B211" s="1" t="str">
        <f>'2. Demand History'!B211</f>
        <v>NovaWatch 894 GPS</v>
      </c>
      <c r="C211" s="3" t="str">
        <f>'1. Master Data'!C211</f>
        <v>Wearables</v>
      </c>
      <c r="D211" s="3" t="s">
        <v>1111</v>
      </c>
      <c r="E211" s="3" t="str">
        <f t="shared" si="9"/>
        <v>Seasonal Naive</v>
      </c>
      <c r="F211" s="3">
        <f>ROUND(AVERAGE('2. Demand History'!O211:Z211),1)</f>
        <v>86.8</v>
      </c>
      <c r="G211" s="3">
        <f>ROUND(STDEV('2. Demand History'!O211:Z211),1)</f>
        <v>23.3</v>
      </c>
      <c r="H211" s="8">
        <f t="shared" si="10"/>
        <v>0.27</v>
      </c>
      <c r="I211" s="8">
        <f>ROUND(SUM('2. Demand History'!O211:Z211)/MAX(SUM('2. Demand History'!C211:N211),1),2)</f>
        <v>1.0900000000000001</v>
      </c>
      <c r="J211" s="5">
        <f>IF(D211="Yes",ROUND('2. Demand History'!O211*I211,0),ROUND(AVERAGE('2. Demand History'!X211:Z211),0))</f>
        <v>86</v>
      </c>
      <c r="K211" s="9">
        <f t="shared" si="11"/>
        <v>0.10100000000000001</v>
      </c>
      <c r="L211" s="10">
        <f>ROUND(ABS('2. Demand History'!U211-IF($D211="Yes",'2. Demand History'!I211,AVERAGE('2. Demand History'!R211:T211)))/MAX('2. Demand History'!U211,1),3)</f>
        <v>0.20300000000000001</v>
      </c>
      <c r="M211" s="10">
        <f>ROUND(ABS('2. Demand History'!V211-IF($D211="Yes",'2. Demand History'!J211,AVERAGE('2. Demand History'!S211:U211)))/MAX('2. Demand History'!V211,1),3)</f>
        <v>0.156</v>
      </c>
      <c r="N211" s="10">
        <f>ROUND(ABS('2. Demand History'!W211-IF($D211="Yes",'2. Demand History'!K211,AVERAGE('2. Demand History'!T211:V211)))/MAX('2. Demand History'!W211,1),3)</f>
        <v>3.1E-2</v>
      </c>
      <c r="O211" s="10">
        <f>ROUND(ABS('2. Demand History'!X211-IF($D211="Yes",'2. Demand History'!L211,AVERAGE('2. Demand History'!U211:W211)))/MAX('2. Demand History'!X211,1),3)</f>
        <v>4.5999999999999999E-2</v>
      </c>
      <c r="P211" s="10">
        <f>ROUND(ABS('2. Demand History'!Y211-IF($D211="Yes",'2. Demand History'!M211,AVERAGE('2. Demand History'!V211:X211)))/MAX('2. Demand History'!Y211,1),3)</f>
        <v>5.6000000000000001E-2</v>
      </c>
      <c r="Q211" s="10">
        <f>ROUND(ABS('2. Demand History'!Z211-IF($D211="Yes",'2. Demand History'!N211,AVERAGE('2. Demand History'!W211:Y211)))/MAX('2. Demand History'!Z211,1),3)</f>
        <v>0.115</v>
      </c>
    </row>
    <row r="212" spans="1:17" ht="15" customHeight="1" x14ac:dyDescent="0.2">
      <c r="A212" s="3" t="str">
        <f>'2. Demand History'!A212</f>
        <v>NT10208</v>
      </c>
      <c r="B212" s="1" t="str">
        <f>'2. Demand History'!B212</f>
        <v>NovaWatch 308 GPS</v>
      </c>
      <c r="C212" s="3" t="str">
        <f>'1. Master Data'!C212</f>
        <v>Wearables</v>
      </c>
      <c r="D212" s="3" t="s">
        <v>1111</v>
      </c>
      <c r="E212" s="3" t="str">
        <f t="shared" si="9"/>
        <v>Seasonal Naive</v>
      </c>
      <c r="F212" s="3">
        <f>ROUND(AVERAGE('2. Demand History'!O212:Z212),1)</f>
        <v>298.3</v>
      </c>
      <c r="G212" s="3">
        <f>ROUND(STDEV('2. Demand History'!O212:Z212),1)</f>
        <v>86</v>
      </c>
      <c r="H212" s="8">
        <f t="shared" si="10"/>
        <v>0.28999999999999998</v>
      </c>
      <c r="I212" s="8">
        <f>ROUND(SUM('2. Demand History'!O212:Z212)/MAX(SUM('2. Demand History'!C212:N212),1),2)</f>
        <v>0.97</v>
      </c>
      <c r="J212" s="5">
        <f>IF(D212="Yes",ROUND('2. Demand History'!O212*I212,0),ROUND(AVERAGE('2. Demand History'!X212:Z212),0))</f>
        <v>245</v>
      </c>
      <c r="K212" s="9">
        <f t="shared" si="11"/>
        <v>0.108</v>
      </c>
      <c r="L212" s="10">
        <f>ROUND(ABS('2. Demand History'!U212-IF($D212="Yes",'2. Demand History'!I212,AVERAGE('2. Demand History'!R212:T212)))/MAX('2. Demand History'!U212,1),3)</f>
        <v>0.28599999999999998</v>
      </c>
      <c r="M212" s="10">
        <f>ROUND(ABS('2. Demand History'!V212-IF($D212="Yes",'2. Demand History'!J212,AVERAGE('2. Demand History'!S212:U212)))/MAX('2. Demand History'!V212,1),3)</f>
        <v>0.124</v>
      </c>
      <c r="N212" s="10">
        <f>ROUND(ABS('2. Demand History'!W212-IF($D212="Yes",'2. Demand History'!K212,AVERAGE('2. Demand History'!T212:V212)))/MAX('2. Demand History'!W212,1),3)</f>
        <v>4.7E-2</v>
      </c>
      <c r="O212" s="10">
        <f>ROUND(ABS('2. Demand History'!X212-IF($D212="Yes",'2. Demand History'!L212,AVERAGE('2. Demand History'!U212:W212)))/MAX('2. Demand History'!X212,1),3)</f>
        <v>1.2E-2</v>
      </c>
      <c r="P212" s="10">
        <f>ROUND(ABS('2. Demand History'!Y212-IF($D212="Yes",'2. Demand History'!M212,AVERAGE('2. Demand History'!V212:X212)))/MAX('2. Demand History'!Y212,1),3)</f>
        <v>0.13</v>
      </c>
      <c r="Q212" s="10">
        <f>ROUND(ABS('2. Demand History'!Z212-IF($D212="Yes",'2. Demand History'!N212,AVERAGE('2. Demand History'!W212:Y212)))/MAX('2. Demand History'!Z212,1),3)</f>
        <v>5.0999999999999997E-2</v>
      </c>
    </row>
    <row r="213" spans="1:17" ht="15" customHeight="1" x14ac:dyDescent="0.2">
      <c r="A213" s="3" t="str">
        <f>'2. Demand History'!A213</f>
        <v>NT10209</v>
      </c>
      <c r="B213" s="1" t="str">
        <f>'2. Demand History'!B213</f>
        <v>FitTrack Band 624</v>
      </c>
      <c r="C213" s="3" t="str">
        <f>'1. Master Data'!C213</f>
        <v>Wearables</v>
      </c>
      <c r="D213" s="3" t="s">
        <v>1111</v>
      </c>
      <c r="E213" s="3" t="str">
        <f t="shared" si="9"/>
        <v>Seasonal Naive</v>
      </c>
      <c r="F213" s="3">
        <f>ROUND(AVERAGE('2. Demand History'!O213:Z213),1)</f>
        <v>391.4</v>
      </c>
      <c r="G213" s="3">
        <f>ROUND(STDEV('2. Demand History'!O213:Z213),1)</f>
        <v>83</v>
      </c>
      <c r="H213" s="8">
        <f t="shared" si="10"/>
        <v>0.21</v>
      </c>
      <c r="I213" s="8">
        <f>ROUND(SUM('2. Demand History'!O213:Z213)/MAX(SUM('2. Demand History'!C213:N213),1),2)</f>
        <v>0.96</v>
      </c>
      <c r="J213" s="5">
        <f>IF(D213="Yes",ROUND('2. Demand History'!O213*I213,0),ROUND(AVERAGE('2. Demand History'!X213:Z213),0))</f>
        <v>352</v>
      </c>
      <c r="K213" s="9">
        <f t="shared" si="11"/>
        <v>0.106</v>
      </c>
      <c r="L213" s="10">
        <f>ROUND(ABS('2. Demand History'!U213-IF($D213="Yes",'2. Demand History'!I213,AVERAGE('2. Demand History'!R213:T213)))/MAX('2. Demand History'!U213,1),3)</f>
        <v>0.20899999999999999</v>
      </c>
      <c r="M213" s="10">
        <f>ROUND(ABS('2. Demand History'!V213-IF($D213="Yes",'2. Demand History'!J213,AVERAGE('2. Demand History'!S213:U213)))/MAX('2. Demand History'!V213,1),3)</f>
        <v>3.9E-2</v>
      </c>
      <c r="N213" s="10">
        <f>ROUND(ABS('2. Demand History'!W213-IF($D213="Yes",'2. Demand History'!K213,AVERAGE('2. Demand History'!T213:V213)))/MAX('2. Demand History'!W213,1),3)</f>
        <v>9.9000000000000005E-2</v>
      </c>
      <c r="O213" s="10">
        <f>ROUND(ABS('2. Demand History'!X213-IF($D213="Yes",'2. Demand History'!L213,AVERAGE('2. Demand History'!U213:W213)))/MAX('2. Demand History'!X213,1),3)</f>
        <v>4.8000000000000001E-2</v>
      </c>
      <c r="P213" s="10">
        <f>ROUND(ABS('2. Demand History'!Y213-IF($D213="Yes",'2. Demand History'!M213,AVERAGE('2. Demand History'!V213:X213)))/MAX('2. Demand History'!Y213,1),3)</f>
        <v>0.14599999999999999</v>
      </c>
      <c r="Q213" s="10">
        <f>ROUND(ABS('2. Demand History'!Z213-IF($D213="Yes",'2. Demand History'!N213,AVERAGE('2. Demand History'!W213:Y213)))/MAX('2. Demand History'!Z213,1),3)</f>
        <v>9.6000000000000002E-2</v>
      </c>
    </row>
    <row r="214" spans="1:17" ht="15" customHeight="1" x14ac:dyDescent="0.2">
      <c r="A214" s="3" t="str">
        <f>'2. Demand History'!A214</f>
        <v>NT10210</v>
      </c>
      <c r="B214" s="1" t="str">
        <f>'2. Demand History'!B214</f>
        <v>FitTrack Band 399</v>
      </c>
      <c r="C214" s="3" t="str">
        <f>'1. Master Data'!C214</f>
        <v>Wearables</v>
      </c>
      <c r="D214" s="3" t="s">
        <v>1111</v>
      </c>
      <c r="E214" s="3" t="str">
        <f t="shared" si="9"/>
        <v>Seasonal Naive</v>
      </c>
      <c r="F214" s="3">
        <f>ROUND(AVERAGE('2. Demand History'!O214:Z214),1)</f>
        <v>127.3</v>
      </c>
      <c r="G214" s="3">
        <f>ROUND(STDEV('2. Demand History'!O214:Z214),1)</f>
        <v>38</v>
      </c>
      <c r="H214" s="8">
        <f t="shared" si="10"/>
        <v>0.3</v>
      </c>
      <c r="I214" s="8">
        <f>ROUND(SUM('2. Demand History'!O214:Z214)/MAX(SUM('2. Demand History'!C214:N214),1),2)</f>
        <v>1.02</v>
      </c>
      <c r="J214" s="5">
        <f>IF(D214="Yes",ROUND('2. Demand History'!O214*I214,0),ROUND(AVERAGE('2. Demand History'!X214:Z214),0))</f>
        <v>107</v>
      </c>
      <c r="K214" s="9">
        <f t="shared" si="11"/>
        <v>4.9000000000000002E-2</v>
      </c>
      <c r="L214" s="10">
        <f>ROUND(ABS('2. Demand History'!U214-IF($D214="Yes",'2. Demand History'!I214,AVERAGE('2. Demand History'!R214:T214)))/MAX('2. Demand History'!U214,1),3)</f>
        <v>2.1999999999999999E-2</v>
      </c>
      <c r="M214" s="10">
        <f>ROUND(ABS('2. Demand History'!V214-IF($D214="Yes",'2. Demand History'!J214,AVERAGE('2. Demand History'!S214:U214)))/MAX('2. Demand History'!V214,1),3)</f>
        <v>2.1999999999999999E-2</v>
      </c>
      <c r="N214" s="10">
        <f>ROUND(ABS('2. Demand History'!W214-IF($D214="Yes",'2. Demand History'!K214,AVERAGE('2. Demand History'!T214:V214)))/MAX('2. Demand History'!W214,1),3)</f>
        <v>9.0999999999999998E-2</v>
      </c>
      <c r="O214" s="10">
        <f>ROUND(ABS('2. Demand History'!X214-IF($D214="Yes",'2. Demand History'!L214,AVERAGE('2. Demand History'!U214:W214)))/MAX('2. Demand History'!X214,1),3)</f>
        <v>0</v>
      </c>
      <c r="P214" s="10">
        <f>ROUND(ABS('2. Demand History'!Y214-IF($D214="Yes",'2. Demand History'!M214,AVERAGE('2. Demand History'!V214:X214)))/MAX('2. Demand History'!Y214,1),3)</f>
        <v>4.5999999999999999E-2</v>
      </c>
      <c r="Q214" s="10">
        <f>ROUND(ABS('2. Demand History'!Z214-IF($D214="Yes",'2. Demand History'!N214,AVERAGE('2. Demand History'!W214:Y214)))/MAX('2. Demand History'!Z214,1),3)</f>
        <v>0.111</v>
      </c>
    </row>
    <row r="215" spans="1:17" ht="15" customHeight="1" x14ac:dyDescent="0.2">
      <c r="A215" s="3" t="str">
        <f>'2. Demand History'!A215</f>
        <v>NT10211</v>
      </c>
      <c r="B215" s="1" t="str">
        <f>'2. Demand History'!B215</f>
        <v>PulseRing 157</v>
      </c>
      <c r="C215" s="3" t="str">
        <f>'1. Master Data'!C215</f>
        <v>Wearables</v>
      </c>
      <c r="D215" s="3" t="s">
        <v>1111</v>
      </c>
      <c r="E215" s="3" t="str">
        <f t="shared" si="9"/>
        <v>Seasonal Naive</v>
      </c>
      <c r="F215" s="3">
        <f>ROUND(AVERAGE('2. Demand History'!O215:Z215),1)</f>
        <v>464.8</v>
      </c>
      <c r="G215" s="3">
        <f>ROUND(STDEV('2. Demand History'!O215:Z215),1)</f>
        <v>159.6</v>
      </c>
      <c r="H215" s="8">
        <f t="shared" si="10"/>
        <v>0.34</v>
      </c>
      <c r="I215" s="8">
        <f>ROUND(SUM('2. Demand History'!O215:Z215)/MAX(SUM('2. Demand History'!C215:N215),1),2)</f>
        <v>1.02</v>
      </c>
      <c r="J215" s="5">
        <f>IF(D215="Yes",ROUND('2. Demand History'!O215*I215,0),ROUND(AVERAGE('2. Demand History'!X215:Z215),0))</f>
        <v>412</v>
      </c>
      <c r="K215" s="9">
        <f t="shared" si="11"/>
        <v>8.7999999999999995E-2</v>
      </c>
      <c r="L215" s="10">
        <f>ROUND(ABS('2. Demand History'!U215-IF($D215="Yes",'2. Demand History'!I215,AVERAGE('2. Demand History'!R215:T215)))/MAX('2. Demand History'!U215,1),3)</f>
        <v>0.10299999999999999</v>
      </c>
      <c r="M215" s="10">
        <f>ROUND(ABS('2. Demand History'!V215-IF($D215="Yes",'2. Demand History'!J215,AVERAGE('2. Demand History'!S215:U215)))/MAX('2. Demand History'!V215,1),3)</f>
        <v>0.124</v>
      </c>
      <c r="N215" s="10">
        <f>ROUND(ABS('2. Demand History'!W215-IF($D215="Yes",'2. Demand History'!K215,AVERAGE('2. Demand History'!T215:V215)))/MAX('2. Demand History'!W215,1),3)</f>
        <v>0.113</v>
      </c>
      <c r="O215" s="10">
        <f>ROUND(ABS('2. Demand History'!X215-IF($D215="Yes",'2. Demand History'!L215,AVERAGE('2. Demand History'!U215:W215)))/MAX('2. Demand History'!X215,1),3)</f>
        <v>1.7999999999999999E-2</v>
      </c>
      <c r="P215" s="10">
        <f>ROUND(ABS('2. Demand History'!Y215-IF($D215="Yes",'2. Demand History'!M215,AVERAGE('2. Demand History'!V215:X215)))/MAX('2. Demand History'!Y215,1),3)</f>
        <v>4.4999999999999998E-2</v>
      </c>
      <c r="Q215" s="10">
        <f>ROUND(ABS('2. Demand History'!Z215-IF($D215="Yes",'2. Demand History'!N215,AVERAGE('2. Demand History'!W215:Y215)))/MAX('2. Demand History'!Z215,1),3)</f>
        <v>0.122</v>
      </c>
    </row>
    <row r="216" spans="1:17" ht="15" customHeight="1" x14ac:dyDescent="0.2">
      <c r="A216" s="3" t="str">
        <f>'2. Demand History'!A216</f>
        <v>NT10212</v>
      </c>
      <c r="B216" s="1" t="str">
        <f>'2. Demand History'!B216</f>
        <v>NovaWatch 933 GPS</v>
      </c>
      <c r="C216" s="3" t="str">
        <f>'1. Master Data'!C216</f>
        <v>Wearables</v>
      </c>
      <c r="D216" s="3" t="s">
        <v>1111</v>
      </c>
      <c r="E216" s="3" t="str">
        <f t="shared" si="9"/>
        <v>Seasonal Naive</v>
      </c>
      <c r="F216" s="3">
        <f>ROUND(AVERAGE('2. Demand History'!O216:Z216),1)</f>
        <v>75.400000000000006</v>
      </c>
      <c r="G216" s="3">
        <f>ROUND(STDEV('2. Demand History'!O216:Z216),1)</f>
        <v>20.5</v>
      </c>
      <c r="H216" s="8">
        <f t="shared" si="10"/>
        <v>0.27</v>
      </c>
      <c r="I216" s="8">
        <f>ROUND(SUM('2. Demand History'!O216:Z216)/MAX(SUM('2. Demand History'!C216:N216),1),2)</f>
        <v>1.05</v>
      </c>
      <c r="J216" s="5">
        <f>IF(D216="Yes",ROUND('2. Demand History'!O216*I216,0),ROUND(AVERAGE('2. Demand History'!X216:Z216),0))</f>
        <v>74</v>
      </c>
      <c r="K216" s="9">
        <f t="shared" si="11"/>
        <v>0.1</v>
      </c>
      <c r="L216" s="10">
        <f>ROUND(ABS('2. Demand History'!U216-IF($D216="Yes",'2. Demand History'!I216,AVERAGE('2. Demand History'!R216:T216)))/MAX('2. Demand History'!U216,1),3)</f>
        <v>1.6E-2</v>
      </c>
      <c r="M216" s="10">
        <f>ROUND(ABS('2. Demand History'!V216-IF($D216="Yes",'2. Demand History'!J216,AVERAGE('2. Demand History'!S216:U216)))/MAX('2. Demand History'!V216,1),3)</f>
        <v>4.3999999999999997E-2</v>
      </c>
      <c r="N216" s="10">
        <f>ROUND(ABS('2. Demand History'!W216-IF($D216="Yes",'2. Demand History'!K216,AVERAGE('2. Demand History'!T216:V216)))/MAX('2. Demand History'!W216,1),3)</f>
        <v>0.14299999999999999</v>
      </c>
      <c r="O216" s="10">
        <f>ROUND(ABS('2. Demand History'!X216-IF($D216="Yes",'2. Demand History'!L216,AVERAGE('2. Demand History'!U216:W216)))/MAX('2. Demand History'!X216,1),3)</f>
        <v>0.22800000000000001</v>
      </c>
      <c r="P216" s="10">
        <f>ROUND(ABS('2. Demand History'!Y216-IF($D216="Yes",'2. Demand History'!M216,AVERAGE('2. Demand History'!V216:X216)))/MAX('2. Demand History'!Y216,1),3)</f>
        <v>0.13200000000000001</v>
      </c>
      <c r="Q216" s="10">
        <f>ROUND(ABS('2. Demand History'!Z216-IF($D216="Yes",'2. Demand History'!N216,AVERAGE('2. Demand History'!W216:Y216)))/MAX('2. Demand History'!Z216,1),3)</f>
        <v>3.7999999999999999E-2</v>
      </c>
    </row>
    <row r="217" spans="1:17" ht="15" customHeight="1" x14ac:dyDescent="0.2">
      <c r="A217" s="3" t="str">
        <f>'2. Demand History'!A217</f>
        <v>NT10213</v>
      </c>
      <c r="B217" s="1" t="str">
        <f>'2. Demand History'!B217</f>
        <v>NovaWatch 372 GPS</v>
      </c>
      <c r="C217" s="3" t="str">
        <f>'1. Master Data'!C217</f>
        <v>Wearables</v>
      </c>
      <c r="D217" s="3" t="s">
        <v>1111</v>
      </c>
      <c r="E217" s="3" t="str">
        <f t="shared" si="9"/>
        <v>Seasonal Naive</v>
      </c>
      <c r="F217" s="3">
        <f>ROUND(AVERAGE('2. Demand History'!O217:Z217),1)</f>
        <v>312.60000000000002</v>
      </c>
      <c r="G217" s="3">
        <f>ROUND(STDEV('2. Demand History'!O217:Z217),1)</f>
        <v>102.2</v>
      </c>
      <c r="H217" s="8">
        <f t="shared" si="10"/>
        <v>0.33</v>
      </c>
      <c r="I217" s="8">
        <f>ROUND(SUM('2. Demand History'!O217:Z217)/MAX(SUM('2. Demand History'!C217:N217),1),2)</f>
        <v>0.97</v>
      </c>
      <c r="J217" s="5">
        <f>IF(D217="Yes",ROUND('2. Demand History'!O217*I217,0),ROUND(AVERAGE('2. Demand History'!X217:Z217),0))</f>
        <v>333</v>
      </c>
      <c r="K217" s="9">
        <f t="shared" si="11"/>
        <v>8.7999999999999995E-2</v>
      </c>
      <c r="L217" s="10">
        <f>ROUND(ABS('2. Demand History'!U217-IF($D217="Yes",'2. Demand History'!I217,AVERAGE('2. Demand History'!R217:T217)))/MAX('2. Demand History'!U217,1),3)</f>
        <v>8.5000000000000006E-2</v>
      </c>
      <c r="M217" s="10">
        <f>ROUND(ABS('2. Demand History'!V217-IF($D217="Yes",'2. Demand History'!J217,AVERAGE('2. Demand History'!S217:U217)))/MAX('2. Demand History'!V217,1),3)</f>
        <v>0.125</v>
      </c>
      <c r="N217" s="10">
        <f>ROUND(ABS('2. Demand History'!W217-IF($D217="Yes",'2. Demand History'!K217,AVERAGE('2. Demand History'!T217:V217)))/MAX('2. Demand History'!W217,1),3)</f>
        <v>0.192</v>
      </c>
      <c r="O217" s="10">
        <f>ROUND(ABS('2. Demand History'!X217-IF($D217="Yes",'2. Demand History'!L217,AVERAGE('2. Demand History'!U217:W217)))/MAX('2. Demand History'!X217,1),3)</f>
        <v>4.9000000000000002E-2</v>
      </c>
      <c r="P217" s="10">
        <f>ROUND(ABS('2. Demand History'!Y217-IF($D217="Yes",'2. Demand History'!M217,AVERAGE('2. Demand History'!V217:X217)))/MAX('2. Demand History'!Y217,1),3)</f>
        <v>2.7E-2</v>
      </c>
      <c r="Q217" s="10">
        <f>ROUND(ABS('2. Demand History'!Z217-IF($D217="Yes",'2. Demand History'!N217,AVERAGE('2. Demand History'!W217:Y217)))/MAX('2. Demand History'!Z217,1),3)</f>
        <v>4.9000000000000002E-2</v>
      </c>
    </row>
    <row r="218" spans="1:17" ht="15" customHeight="1" x14ac:dyDescent="0.2">
      <c r="A218" s="3" t="str">
        <f>'2. Demand History'!A218</f>
        <v>NT10214</v>
      </c>
      <c r="B218" s="1" t="str">
        <f>'2. Demand History'!B218</f>
        <v>StepOne Tracker 927</v>
      </c>
      <c r="C218" s="3" t="str">
        <f>'1. Master Data'!C218</f>
        <v>Wearables</v>
      </c>
      <c r="D218" s="3" t="s">
        <v>1111</v>
      </c>
      <c r="E218" s="3" t="str">
        <f t="shared" si="9"/>
        <v>Seasonal Naive</v>
      </c>
      <c r="F218" s="3">
        <f>ROUND(AVERAGE('2. Demand History'!O218:Z218),1)</f>
        <v>75</v>
      </c>
      <c r="G218" s="3">
        <f>ROUND(STDEV('2. Demand History'!O218:Z218),1)</f>
        <v>25.9</v>
      </c>
      <c r="H218" s="8">
        <f t="shared" si="10"/>
        <v>0.35</v>
      </c>
      <c r="I218" s="8">
        <f>ROUND(SUM('2. Demand History'!O218:Z218)/MAX(SUM('2. Demand History'!C218:N218),1),2)</f>
        <v>1.1000000000000001</v>
      </c>
      <c r="J218" s="5">
        <f>IF(D218="Yes",ROUND('2. Demand History'!O218*I218,0),ROUND(AVERAGE('2. Demand History'!X218:Z218),0))</f>
        <v>66</v>
      </c>
      <c r="K218" s="9">
        <f t="shared" si="11"/>
        <v>0.20499999999999999</v>
      </c>
      <c r="L218" s="10">
        <f>ROUND(ABS('2. Demand History'!U218-IF($D218="Yes",'2. Demand History'!I218,AVERAGE('2. Demand History'!R218:T218)))/MAX('2. Demand History'!U218,1),3)</f>
        <v>0.21199999999999999</v>
      </c>
      <c r="M218" s="10">
        <f>ROUND(ABS('2. Demand History'!V218-IF($D218="Yes",'2. Demand History'!J218,AVERAGE('2. Demand History'!S218:U218)))/MAX('2. Demand History'!V218,1),3)</f>
        <v>0.32800000000000001</v>
      </c>
      <c r="N218" s="10">
        <f>ROUND(ABS('2. Demand History'!W218-IF($D218="Yes",'2. Demand History'!K218,AVERAGE('2. Demand History'!T218:V218)))/MAX('2. Demand History'!W218,1),3)</f>
        <v>0.224</v>
      </c>
      <c r="O218" s="10">
        <f>ROUND(ABS('2. Demand History'!X218-IF($D218="Yes",'2. Demand History'!L218,AVERAGE('2. Demand History'!U218:W218)))/MAX('2. Demand History'!X218,1),3)</f>
        <v>4.8000000000000001E-2</v>
      </c>
      <c r="P218" s="10">
        <f>ROUND(ABS('2. Demand History'!Y218-IF($D218="Yes",'2. Demand History'!M218,AVERAGE('2. Demand History'!V218:X218)))/MAX('2. Demand History'!Y218,1),3)</f>
        <v>0.214</v>
      </c>
      <c r="Q218" s="10">
        <f>ROUND(ABS('2. Demand History'!Z218-IF($D218="Yes",'2. Demand History'!N218,AVERAGE('2. Demand History'!W218:Y218)))/MAX('2. Demand History'!Z218,1),3)</f>
        <v>0.20499999999999999</v>
      </c>
    </row>
    <row r="219" spans="1:17" ht="15" customHeight="1" x14ac:dyDescent="0.2">
      <c r="A219" s="3" t="str">
        <f>'2. Demand History'!A219</f>
        <v>NT10215</v>
      </c>
      <c r="B219" s="1" t="str">
        <f>'2. Demand History'!B219</f>
        <v>FitTrack Band 640</v>
      </c>
      <c r="C219" s="3" t="str">
        <f>'1. Master Data'!C219</f>
        <v>Wearables</v>
      </c>
      <c r="D219" s="3" t="s">
        <v>1111</v>
      </c>
      <c r="E219" s="3" t="str">
        <f t="shared" si="9"/>
        <v>Seasonal Naive</v>
      </c>
      <c r="F219" s="3">
        <f>ROUND(AVERAGE('2. Demand History'!O219:Z219),1)</f>
        <v>176</v>
      </c>
      <c r="G219" s="3">
        <f>ROUND(STDEV('2. Demand History'!O219:Z219),1)</f>
        <v>54.1</v>
      </c>
      <c r="H219" s="8">
        <f t="shared" si="10"/>
        <v>0.31</v>
      </c>
      <c r="I219" s="8">
        <f>ROUND(SUM('2. Demand History'!O219:Z219)/MAX(SUM('2. Demand History'!C219:N219),1),2)</f>
        <v>1.06</v>
      </c>
      <c r="J219" s="5">
        <f>IF(D219="Yes",ROUND('2. Demand History'!O219*I219,0),ROUND(AVERAGE('2. Demand History'!X219:Z219),0))</f>
        <v>173</v>
      </c>
      <c r="K219" s="9">
        <f t="shared" si="11"/>
        <v>9.5000000000000001E-2</v>
      </c>
      <c r="L219" s="10">
        <f>ROUND(ABS('2. Demand History'!U219-IF($D219="Yes",'2. Demand History'!I219,AVERAGE('2. Demand History'!R219:T219)))/MAX('2. Demand History'!U219,1),3)</f>
        <v>0.13300000000000001</v>
      </c>
      <c r="M219" s="10">
        <f>ROUND(ABS('2. Demand History'!V219-IF($D219="Yes",'2. Demand History'!J219,AVERAGE('2. Demand History'!S219:U219)))/MAX('2. Demand History'!V219,1),3)</f>
        <v>8.9999999999999993E-3</v>
      </c>
      <c r="N219" s="10">
        <f>ROUND(ABS('2. Demand History'!W219-IF($D219="Yes",'2. Demand History'!K219,AVERAGE('2. Demand History'!T219:V219)))/MAX('2. Demand History'!W219,1),3)</f>
        <v>7.0999999999999994E-2</v>
      </c>
      <c r="O219" s="10">
        <f>ROUND(ABS('2. Demand History'!X219-IF($D219="Yes",'2. Demand History'!L219,AVERAGE('2. Demand History'!U219:W219)))/MAX('2. Demand History'!X219,1),3)</f>
        <v>0.105</v>
      </c>
      <c r="P219" s="10">
        <f>ROUND(ABS('2. Demand History'!Y219-IF($D219="Yes",'2. Demand History'!M219,AVERAGE('2. Demand History'!V219:X219)))/MAX('2. Demand History'!Y219,1),3)</f>
        <v>2.9000000000000001E-2</v>
      </c>
      <c r="Q219" s="10">
        <f>ROUND(ABS('2. Demand History'!Z219-IF($D219="Yes",'2. Demand History'!N219,AVERAGE('2. Demand History'!W219:Y219)))/MAX('2. Demand History'!Z219,1),3)</f>
        <v>0.223</v>
      </c>
    </row>
    <row r="220" spans="1:17" ht="15" customHeight="1" x14ac:dyDescent="0.2">
      <c r="A220" s="3" t="str">
        <f>'2. Demand History'!A220</f>
        <v>NT10216</v>
      </c>
      <c r="B220" s="1" t="str">
        <f>'2. Demand History'!B220</f>
        <v>StepOne Tracker 267</v>
      </c>
      <c r="C220" s="3" t="str">
        <f>'1. Master Data'!C220</f>
        <v>Wearables</v>
      </c>
      <c r="D220" s="3" t="s">
        <v>1111</v>
      </c>
      <c r="E220" s="3" t="str">
        <f t="shared" si="9"/>
        <v>Seasonal Naive</v>
      </c>
      <c r="F220" s="3">
        <f>ROUND(AVERAGE('2. Demand History'!O220:Z220),1)</f>
        <v>189.1</v>
      </c>
      <c r="G220" s="3">
        <f>ROUND(STDEV('2. Demand History'!O220:Z220),1)</f>
        <v>55.8</v>
      </c>
      <c r="H220" s="8">
        <f t="shared" si="10"/>
        <v>0.3</v>
      </c>
      <c r="I220" s="8">
        <f>ROUND(SUM('2. Demand History'!O220:Z220)/MAX(SUM('2. Demand History'!C220:N220),1),2)</f>
        <v>1.04</v>
      </c>
      <c r="J220" s="5">
        <f>IF(D220="Yes",ROUND('2. Demand History'!O220*I220,0),ROUND(AVERAGE('2. Demand History'!X220:Z220),0))</f>
        <v>172</v>
      </c>
      <c r="K220" s="9">
        <f t="shared" si="11"/>
        <v>0.107</v>
      </c>
      <c r="L220" s="10">
        <f>ROUND(ABS('2. Demand History'!U220-IF($D220="Yes",'2. Demand History'!I220,AVERAGE('2. Demand History'!R220:T220)))/MAX('2. Demand History'!U220,1),3)</f>
        <v>0.159</v>
      </c>
      <c r="M220" s="10">
        <f>ROUND(ABS('2. Demand History'!V220-IF($D220="Yes",'2. Demand History'!J220,AVERAGE('2. Demand History'!S220:U220)))/MAX('2. Demand History'!V220,1),3)</f>
        <v>0.107</v>
      </c>
      <c r="N220" s="10">
        <f>ROUND(ABS('2. Demand History'!W220-IF($D220="Yes",'2. Demand History'!K220,AVERAGE('2. Demand History'!T220:V220)))/MAX('2. Demand History'!W220,1),3)</f>
        <v>3.5999999999999997E-2</v>
      </c>
      <c r="O220" s="10">
        <f>ROUND(ABS('2. Demand History'!X220-IF($D220="Yes",'2. Demand History'!L220,AVERAGE('2. Demand History'!U220:W220)))/MAX('2. Demand History'!X220,1),3)</f>
        <v>4.3999999999999997E-2</v>
      </c>
      <c r="P220" s="10">
        <f>ROUND(ABS('2. Demand History'!Y220-IF($D220="Yes",'2. Demand History'!M220,AVERAGE('2. Demand History'!V220:X220)))/MAX('2. Demand History'!Y220,1),3)</f>
        <v>0.249</v>
      </c>
      <c r="Q220" s="10">
        <f>ROUND(ABS('2. Demand History'!Z220-IF($D220="Yes",'2. Demand History'!N220,AVERAGE('2. Demand History'!W220:Y220)))/MAX('2. Demand History'!Z220,1),3)</f>
        <v>4.9000000000000002E-2</v>
      </c>
    </row>
    <row r="221" spans="1:17" ht="15" customHeight="1" x14ac:dyDescent="0.2">
      <c r="A221" s="3" t="str">
        <f>'2. Demand History'!A221</f>
        <v>NT10217</v>
      </c>
      <c r="B221" s="1" t="str">
        <f>'2. Demand History'!B221</f>
        <v>PulseRing 145</v>
      </c>
      <c r="C221" s="3" t="str">
        <f>'1. Master Data'!C221</f>
        <v>Wearables</v>
      </c>
      <c r="D221" s="3" t="s">
        <v>1111</v>
      </c>
      <c r="E221" s="3" t="str">
        <f t="shared" si="9"/>
        <v>Seasonal Naive</v>
      </c>
      <c r="F221" s="3">
        <f>ROUND(AVERAGE('2. Demand History'!O221:Z221),1)</f>
        <v>148.4</v>
      </c>
      <c r="G221" s="3">
        <f>ROUND(STDEV('2. Demand History'!O221:Z221),1)</f>
        <v>38.799999999999997</v>
      </c>
      <c r="H221" s="8">
        <f t="shared" si="10"/>
        <v>0.26</v>
      </c>
      <c r="I221" s="8">
        <f>ROUND(SUM('2. Demand History'!O221:Z221)/MAX(SUM('2. Demand History'!C221:N221),1),2)</f>
        <v>1.04</v>
      </c>
      <c r="J221" s="5">
        <f>IF(D221="Yes",ROUND('2. Demand History'!O221*I221,0),ROUND(AVERAGE('2. Demand History'!X221:Z221),0))</f>
        <v>131</v>
      </c>
      <c r="K221" s="9">
        <f t="shared" si="11"/>
        <v>0.1</v>
      </c>
      <c r="L221" s="10">
        <f>ROUND(ABS('2. Demand History'!U221-IF($D221="Yes",'2. Demand History'!I221,AVERAGE('2. Demand History'!R221:T221)))/MAX('2. Demand History'!U221,1),3)</f>
        <v>0.23300000000000001</v>
      </c>
      <c r="M221" s="10">
        <f>ROUND(ABS('2. Demand History'!V221-IF($D221="Yes",'2. Demand History'!J221,AVERAGE('2. Demand History'!S221:U221)))/MAX('2. Demand History'!V221,1),3)</f>
        <v>8.8999999999999996E-2</v>
      </c>
      <c r="N221" s="10">
        <f>ROUND(ABS('2. Demand History'!W221-IF($D221="Yes",'2. Demand History'!K221,AVERAGE('2. Demand History'!T221:V221)))/MAX('2. Demand History'!W221,1),3)</f>
        <v>2.1000000000000001E-2</v>
      </c>
      <c r="O221" s="10">
        <f>ROUND(ABS('2. Demand History'!X221-IF($D221="Yes",'2. Demand History'!L221,AVERAGE('2. Demand History'!U221:W221)))/MAX('2. Demand History'!X221,1),3)</f>
        <v>7.0999999999999994E-2</v>
      </c>
      <c r="P221" s="10">
        <f>ROUND(ABS('2. Demand History'!Y221-IF($D221="Yes",'2. Demand History'!M221,AVERAGE('2. Demand History'!V221:X221)))/MAX('2. Demand History'!Y221,1),3)</f>
        <v>0.153</v>
      </c>
      <c r="Q221" s="10">
        <f>ROUND(ABS('2. Demand History'!Z221-IF($D221="Yes",'2. Demand History'!N221,AVERAGE('2. Demand History'!W221:Y221)))/MAX('2. Demand History'!Z221,1),3)</f>
        <v>0.03</v>
      </c>
    </row>
    <row r="222" spans="1:17" ht="15" customHeight="1" x14ac:dyDescent="0.2">
      <c r="A222" s="3" t="str">
        <f>'2. Demand History'!A222</f>
        <v>NT10218</v>
      </c>
      <c r="B222" s="1" t="str">
        <f>'2. Demand History'!B222</f>
        <v>StepOne Tracker 111</v>
      </c>
      <c r="C222" s="3" t="str">
        <f>'1. Master Data'!C222</f>
        <v>Wearables</v>
      </c>
      <c r="D222" s="3" t="s">
        <v>1111</v>
      </c>
      <c r="E222" s="3" t="str">
        <f t="shared" si="9"/>
        <v>Seasonal Naive</v>
      </c>
      <c r="F222" s="3">
        <f>ROUND(AVERAGE('2. Demand History'!O222:Z222),1)</f>
        <v>13.3</v>
      </c>
      <c r="G222" s="3">
        <f>ROUND(STDEV('2. Demand History'!O222:Z222),1)</f>
        <v>3.2</v>
      </c>
      <c r="H222" s="8">
        <f t="shared" si="10"/>
        <v>0.24</v>
      </c>
      <c r="I222" s="8">
        <f>ROUND(SUM('2. Demand History'!O222:Z222)/MAX(SUM('2. Demand History'!C222:N222),1),2)</f>
        <v>1.03</v>
      </c>
      <c r="J222" s="5">
        <f>IF(D222="Yes",ROUND('2. Demand History'!O222*I222,0),ROUND(AVERAGE('2. Demand History'!X222:Z222),0))</f>
        <v>12</v>
      </c>
      <c r="K222" s="9">
        <f t="shared" si="11"/>
        <v>0.153</v>
      </c>
      <c r="L222" s="10">
        <f>ROUND(ABS('2. Demand History'!U222-IF($D222="Yes",'2. Demand History'!I222,AVERAGE('2. Demand History'!R222:T222)))/MAX('2. Demand History'!U222,1),3)</f>
        <v>9.5000000000000001E-2</v>
      </c>
      <c r="M222" s="10">
        <f>ROUND(ABS('2. Demand History'!V222-IF($D222="Yes",'2. Demand History'!J222,AVERAGE('2. Demand History'!S222:U222)))/MAX('2. Demand History'!V222,1),3)</f>
        <v>0.1</v>
      </c>
      <c r="N222" s="10">
        <f>ROUND(ABS('2. Demand History'!W222-IF($D222="Yes",'2. Demand History'!K222,AVERAGE('2. Demand History'!T222:V222)))/MAX('2. Demand History'!W222,1),3)</f>
        <v>0.25</v>
      </c>
      <c r="O222" s="10">
        <f>ROUND(ABS('2. Demand History'!X222-IF($D222="Yes",'2. Demand History'!L222,AVERAGE('2. Demand History'!U222:W222)))/MAX('2. Demand History'!X222,1),3)</f>
        <v>0</v>
      </c>
      <c r="P222" s="10">
        <f>ROUND(ABS('2. Demand History'!Y222-IF($D222="Yes",'2. Demand History'!M222,AVERAGE('2. Demand History'!V222:X222)))/MAX('2. Demand History'!Y222,1),3)</f>
        <v>0.2</v>
      </c>
      <c r="Q222" s="10">
        <f>ROUND(ABS('2. Demand History'!Z222-IF($D222="Yes",'2. Demand History'!N222,AVERAGE('2. Demand History'!W222:Y222)))/MAX('2. Demand History'!Z222,1),3)</f>
        <v>0.27300000000000002</v>
      </c>
    </row>
    <row r="223" spans="1:17" ht="15" customHeight="1" x14ac:dyDescent="0.2">
      <c r="A223" s="3" t="str">
        <f>'2. Demand History'!A223</f>
        <v>NT10219</v>
      </c>
      <c r="B223" s="1" t="str">
        <f>'2. Demand History'!B223</f>
        <v>NovaWatch 336 GPS</v>
      </c>
      <c r="C223" s="3" t="str">
        <f>'1. Master Data'!C223</f>
        <v>Wearables</v>
      </c>
      <c r="D223" s="3" t="s">
        <v>1111</v>
      </c>
      <c r="E223" s="3" t="str">
        <f t="shared" si="9"/>
        <v>Seasonal Naive</v>
      </c>
      <c r="F223" s="3">
        <f>ROUND(AVERAGE('2. Demand History'!O223:Z223),1)</f>
        <v>114.5</v>
      </c>
      <c r="G223" s="3">
        <f>ROUND(STDEV('2. Demand History'!O223:Z223),1)</f>
        <v>32.200000000000003</v>
      </c>
      <c r="H223" s="8">
        <f t="shared" si="10"/>
        <v>0.28000000000000003</v>
      </c>
      <c r="I223" s="8">
        <f>ROUND(SUM('2. Demand History'!O223:Z223)/MAX(SUM('2. Demand History'!C223:N223),1),2)</f>
        <v>1.0900000000000001</v>
      </c>
      <c r="J223" s="5">
        <f>IF(D223="Yes",ROUND('2. Demand History'!O223*I223,0),ROUND(AVERAGE('2. Demand History'!X223:Z223),0))</f>
        <v>120</v>
      </c>
      <c r="K223" s="9">
        <f t="shared" si="11"/>
        <v>0.129</v>
      </c>
      <c r="L223" s="10">
        <f>ROUND(ABS('2. Demand History'!U223-IF($D223="Yes",'2. Demand History'!I223,AVERAGE('2. Demand History'!R223:T223)))/MAX('2. Demand History'!U223,1),3)</f>
        <v>9.7000000000000003E-2</v>
      </c>
      <c r="M223" s="10">
        <f>ROUND(ABS('2. Demand History'!V223-IF($D223="Yes",'2. Demand History'!J223,AVERAGE('2. Demand History'!S223:U223)))/MAX('2. Demand History'!V223,1),3)</f>
        <v>0.159</v>
      </c>
      <c r="N223" s="10">
        <f>ROUND(ABS('2. Demand History'!W223-IF($D223="Yes",'2. Demand History'!K223,AVERAGE('2. Demand History'!T223:V223)))/MAX('2. Demand History'!W223,1),3)</f>
        <v>0.16</v>
      </c>
      <c r="O223" s="10">
        <f>ROUND(ABS('2. Demand History'!X223-IF($D223="Yes",'2. Demand History'!L223,AVERAGE('2. Demand History'!U223:W223)))/MAX('2. Demand History'!X223,1),3)</f>
        <v>1.0999999999999999E-2</v>
      </c>
      <c r="P223" s="10">
        <f>ROUND(ABS('2. Demand History'!Y223-IF($D223="Yes",'2. Demand History'!M223,AVERAGE('2. Demand History'!V223:X223)))/MAX('2. Demand History'!Y223,1),3)</f>
        <v>0.112</v>
      </c>
      <c r="Q223" s="10">
        <f>ROUND(ABS('2. Demand History'!Z223-IF($D223="Yes",'2. Demand History'!N223,AVERAGE('2. Demand History'!W223:Y223)))/MAX('2. Demand History'!Z223,1),3)</f>
        <v>0.23499999999999999</v>
      </c>
    </row>
    <row r="224" spans="1:17" ht="15" customHeight="1" x14ac:dyDescent="0.2">
      <c r="A224" s="3" t="str">
        <f>'2. Demand History'!A224</f>
        <v>NT10220</v>
      </c>
      <c r="B224" s="1" t="str">
        <f>'2. Demand History'!B224</f>
        <v>StepOne Tracker 846</v>
      </c>
      <c r="C224" s="3" t="str">
        <f>'1. Master Data'!C224</f>
        <v>Wearables</v>
      </c>
      <c r="D224" s="3" t="s">
        <v>1111</v>
      </c>
      <c r="E224" s="3" t="str">
        <f t="shared" si="9"/>
        <v>Seasonal Naive</v>
      </c>
      <c r="F224" s="3">
        <f>ROUND(AVERAGE('2. Demand History'!O224:Z224),1)</f>
        <v>36.6</v>
      </c>
      <c r="G224" s="3">
        <f>ROUND(STDEV('2. Demand History'!O224:Z224),1)</f>
        <v>12.2</v>
      </c>
      <c r="H224" s="8">
        <f t="shared" si="10"/>
        <v>0.33</v>
      </c>
      <c r="I224" s="8">
        <f>ROUND(SUM('2. Demand History'!O224:Z224)/MAX(SUM('2. Demand History'!C224:N224),1),2)</f>
        <v>1.07</v>
      </c>
      <c r="J224" s="5">
        <f>IF(D224="Yes",ROUND('2. Demand History'!O224*I224,0),ROUND(AVERAGE('2. Demand History'!X224:Z224),0))</f>
        <v>36</v>
      </c>
      <c r="K224" s="9">
        <f t="shared" si="11"/>
        <v>4.4999999999999998E-2</v>
      </c>
      <c r="L224" s="10">
        <f>ROUND(ABS('2. Demand History'!U224-IF($D224="Yes",'2. Demand History'!I224,AVERAGE('2. Demand History'!R224:T224)))/MAX('2. Demand History'!U224,1),3)</f>
        <v>0.10299999999999999</v>
      </c>
      <c r="M224" s="10">
        <f>ROUND(ABS('2. Demand History'!V224-IF($D224="Yes",'2. Demand History'!J224,AVERAGE('2. Demand History'!S224:U224)))/MAX('2. Demand History'!V224,1),3)</f>
        <v>7.0999999999999994E-2</v>
      </c>
      <c r="N224" s="10">
        <f>ROUND(ABS('2. Demand History'!W224-IF($D224="Yes",'2. Demand History'!K224,AVERAGE('2. Demand History'!T224:V224)))/MAX('2. Demand History'!W224,1),3)</f>
        <v>3.6999999999999998E-2</v>
      </c>
      <c r="O224" s="10">
        <f>ROUND(ABS('2. Demand History'!X224-IF($D224="Yes",'2. Demand History'!L224,AVERAGE('2. Demand History'!U224:W224)))/MAX('2. Demand History'!X224,1),3)</f>
        <v>2.9000000000000001E-2</v>
      </c>
      <c r="P224" s="10">
        <f>ROUND(ABS('2. Demand History'!Y224-IF($D224="Yes",'2. Demand History'!M224,AVERAGE('2. Demand History'!V224:X224)))/MAX('2. Demand History'!Y224,1),3)</f>
        <v>0.03</v>
      </c>
      <c r="Q224" s="10">
        <f>ROUND(ABS('2. Demand History'!Z224-IF($D224="Yes",'2. Demand History'!N224,AVERAGE('2. Demand History'!W224:Y224)))/MAX('2. Demand History'!Z224,1),3)</f>
        <v>0</v>
      </c>
    </row>
    <row r="225" spans="1:17" ht="15" customHeight="1" x14ac:dyDescent="0.2">
      <c r="A225" s="3" t="str">
        <f>'2. Demand History'!A225</f>
        <v>NT10221</v>
      </c>
      <c r="B225" s="1" t="str">
        <f>'2. Demand History'!B225</f>
        <v>StepOne Tracker 811</v>
      </c>
      <c r="C225" s="3" t="str">
        <f>'1. Master Data'!C225</f>
        <v>Wearables</v>
      </c>
      <c r="D225" s="3" t="s">
        <v>1111</v>
      </c>
      <c r="E225" s="3" t="str">
        <f t="shared" si="9"/>
        <v>Seasonal Naive</v>
      </c>
      <c r="F225" s="3">
        <f>ROUND(AVERAGE('2. Demand History'!O225:Z225),1)</f>
        <v>60.3</v>
      </c>
      <c r="G225" s="3">
        <f>ROUND(STDEV('2. Demand History'!O225:Z225),1)</f>
        <v>21.5</v>
      </c>
      <c r="H225" s="8">
        <f t="shared" si="10"/>
        <v>0.36</v>
      </c>
      <c r="I225" s="8">
        <f>ROUND(SUM('2. Demand History'!O225:Z225)/MAX(SUM('2. Demand History'!C225:N225),1),2)</f>
        <v>0.97</v>
      </c>
      <c r="J225" s="5">
        <f>IF(D225="Yes",ROUND('2. Demand History'!O225*I225,0),ROUND(AVERAGE('2. Demand History'!X225:Z225),0))</f>
        <v>45</v>
      </c>
      <c r="K225" s="9">
        <f t="shared" si="11"/>
        <v>0.14299999999999999</v>
      </c>
      <c r="L225" s="10">
        <f>ROUND(ABS('2. Demand History'!U225-IF($D225="Yes",'2. Demand History'!I225,AVERAGE('2. Demand History'!R225:T225)))/MAX('2. Demand History'!U225,1),3)</f>
        <v>8.6999999999999994E-2</v>
      </c>
      <c r="M225" s="10">
        <f>ROUND(ABS('2. Demand History'!V225-IF($D225="Yes",'2. Demand History'!J225,AVERAGE('2. Demand History'!S225:U225)))/MAX('2. Demand History'!V225,1),3)</f>
        <v>0.2</v>
      </c>
      <c r="N225" s="10">
        <f>ROUND(ABS('2. Demand History'!W225-IF($D225="Yes",'2. Demand History'!K225,AVERAGE('2. Demand History'!T225:V225)))/MAX('2. Demand History'!W225,1),3)</f>
        <v>0.13600000000000001</v>
      </c>
      <c r="O225" s="10">
        <f>ROUND(ABS('2. Demand History'!X225-IF($D225="Yes",'2. Demand History'!L225,AVERAGE('2. Demand History'!U225:W225)))/MAX('2. Demand History'!X225,1),3)</f>
        <v>0.16700000000000001</v>
      </c>
      <c r="P225" s="10">
        <f>ROUND(ABS('2. Demand History'!Y225-IF($D225="Yes",'2. Demand History'!M225,AVERAGE('2. Demand History'!V225:X225)))/MAX('2. Demand History'!Y225,1),3)</f>
        <v>5.5E-2</v>
      </c>
      <c r="Q225" s="10">
        <f>ROUND(ABS('2. Demand History'!Z225-IF($D225="Yes",'2. Demand History'!N225,AVERAGE('2. Demand History'!W225:Y225)))/MAX('2. Demand History'!Z225,1),3)</f>
        <v>0.21099999999999999</v>
      </c>
    </row>
    <row r="226" spans="1:17" ht="15" customHeight="1" x14ac:dyDescent="0.2">
      <c r="A226" s="3" t="str">
        <f>'2. Demand History'!A226</f>
        <v>NT10222</v>
      </c>
      <c r="B226" s="1" t="str">
        <f>'2. Demand History'!B226</f>
        <v>StepOne Tracker 743</v>
      </c>
      <c r="C226" s="3" t="str">
        <f>'1. Master Data'!C226</f>
        <v>Wearables</v>
      </c>
      <c r="D226" s="3" t="s">
        <v>1111</v>
      </c>
      <c r="E226" s="3" t="str">
        <f t="shared" si="9"/>
        <v>Seasonal Naive</v>
      </c>
      <c r="F226" s="3">
        <f>ROUND(AVERAGE('2. Demand History'!O226:Z226),1)</f>
        <v>25.5</v>
      </c>
      <c r="G226" s="3">
        <f>ROUND(STDEV('2. Demand History'!O226:Z226),1)</f>
        <v>8.6999999999999993</v>
      </c>
      <c r="H226" s="8">
        <f t="shared" si="10"/>
        <v>0.34</v>
      </c>
      <c r="I226" s="8">
        <f>ROUND(SUM('2. Demand History'!O226:Z226)/MAX(SUM('2. Demand History'!C226:N226),1),2)</f>
        <v>1.1100000000000001</v>
      </c>
      <c r="J226" s="5">
        <f>IF(D226="Yes",ROUND('2. Demand History'!O226*I226,0),ROUND(AVERAGE('2. Demand History'!X226:Z226),0))</f>
        <v>24</v>
      </c>
      <c r="K226" s="9">
        <f t="shared" si="11"/>
        <v>0.15</v>
      </c>
      <c r="L226" s="10">
        <f>ROUND(ABS('2. Demand History'!U226-IF($D226="Yes",'2. Demand History'!I226,AVERAGE('2. Demand History'!R226:T226)))/MAX('2. Demand History'!U226,1),3)</f>
        <v>0.152</v>
      </c>
      <c r="M226" s="10">
        <f>ROUND(ABS('2. Demand History'!V226-IF($D226="Yes",'2. Demand History'!J226,AVERAGE('2. Demand History'!S226:U226)))/MAX('2. Demand History'!V226,1),3)</f>
        <v>0.11799999999999999</v>
      </c>
      <c r="N226" s="10">
        <f>ROUND(ABS('2. Demand History'!W226-IF($D226="Yes",'2. Demand History'!K226,AVERAGE('2. Demand History'!T226:V226)))/MAX('2. Demand History'!W226,1),3)</f>
        <v>5.2999999999999999E-2</v>
      </c>
      <c r="O226" s="10">
        <f>ROUND(ABS('2. Demand History'!X226-IF($D226="Yes",'2. Demand History'!L226,AVERAGE('2. Demand History'!U226:W226)))/MAX('2. Demand History'!X226,1),3)</f>
        <v>0.13</v>
      </c>
      <c r="P226" s="10">
        <f>ROUND(ABS('2. Demand History'!Y226-IF($D226="Yes",'2. Demand History'!M226,AVERAGE('2. Demand History'!V226:X226)))/MAX('2. Demand History'!Y226,1),3)</f>
        <v>0.125</v>
      </c>
      <c r="Q226" s="10">
        <f>ROUND(ABS('2. Demand History'!Z226-IF($D226="Yes",'2. Demand History'!N226,AVERAGE('2. Demand History'!W226:Y226)))/MAX('2. Demand History'!Z226,1),3)</f>
        <v>0.32100000000000001</v>
      </c>
    </row>
    <row r="227" spans="1:17" ht="15" customHeight="1" x14ac:dyDescent="0.2">
      <c r="A227" s="3" t="str">
        <f>'2. Demand History'!A227</f>
        <v>NT10223</v>
      </c>
      <c r="B227" s="1" t="str">
        <f>'2. Demand History'!B227</f>
        <v>FitTrack Band 120</v>
      </c>
      <c r="C227" s="3" t="str">
        <f>'1. Master Data'!C227</f>
        <v>Wearables</v>
      </c>
      <c r="D227" s="3" t="s">
        <v>1111</v>
      </c>
      <c r="E227" s="3" t="str">
        <f t="shared" si="9"/>
        <v>Seasonal Naive</v>
      </c>
      <c r="F227" s="3">
        <f>ROUND(AVERAGE('2. Demand History'!O227:Z227),1)</f>
        <v>63.8</v>
      </c>
      <c r="G227" s="3">
        <f>ROUND(STDEV('2. Demand History'!O227:Z227),1)</f>
        <v>14.5</v>
      </c>
      <c r="H227" s="8">
        <f t="shared" si="10"/>
        <v>0.23</v>
      </c>
      <c r="I227" s="8">
        <f>ROUND(SUM('2. Demand History'!O227:Z227)/MAX(SUM('2. Demand History'!C227:N227),1),2)</f>
        <v>1.04</v>
      </c>
      <c r="J227" s="5">
        <f>IF(D227="Yes",ROUND('2. Demand History'!O227*I227,0),ROUND(AVERAGE('2. Demand History'!X227:Z227),0))</f>
        <v>67</v>
      </c>
      <c r="K227" s="9">
        <f t="shared" si="11"/>
        <v>0.128</v>
      </c>
      <c r="L227" s="10">
        <f>ROUND(ABS('2. Demand History'!U227-IF($D227="Yes",'2. Demand History'!I227,AVERAGE('2. Demand History'!R227:T227)))/MAX('2. Demand History'!U227,1),3)</f>
        <v>0.217</v>
      </c>
      <c r="M227" s="10">
        <f>ROUND(ABS('2. Demand History'!V227-IF($D227="Yes",'2. Demand History'!J227,AVERAGE('2. Demand History'!S227:U227)))/MAX('2. Demand History'!V227,1),3)</f>
        <v>0.122</v>
      </c>
      <c r="N227" s="10">
        <f>ROUND(ABS('2. Demand History'!W227-IF($D227="Yes",'2. Demand History'!K227,AVERAGE('2. Demand History'!T227:V227)))/MAX('2. Demand History'!W227,1),3)</f>
        <v>4.2000000000000003E-2</v>
      </c>
      <c r="O227" s="10">
        <f>ROUND(ABS('2. Demand History'!X227-IF($D227="Yes",'2. Demand History'!L227,AVERAGE('2. Demand History'!U227:W227)))/MAX('2. Demand History'!X227,1),3)</f>
        <v>6.7000000000000004E-2</v>
      </c>
      <c r="P227" s="10">
        <f>ROUND(ABS('2. Demand History'!Y227-IF($D227="Yes",'2. Demand History'!M227,AVERAGE('2. Demand History'!V227:X227)))/MAX('2. Demand History'!Y227,1),3)</f>
        <v>0.125</v>
      </c>
      <c r="Q227" s="10">
        <f>ROUND(ABS('2. Demand History'!Z227-IF($D227="Yes",'2. Demand History'!N227,AVERAGE('2. Demand History'!W227:Y227)))/MAX('2. Demand History'!Z227,1),3)</f>
        <v>0.19700000000000001</v>
      </c>
    </row>
    <row r="228" spans="1:17" ht="15" customHeight="1" x14ac:dyDescent="0.2">
      <c r="A228" s="3" t="str">
        <f>'2. Demand History'!A228</f>
        <v>NT10224</v>
      </c>
      <c r="B228" s="1" t="str">
        <f>'2. Demand History'!B228</f>
        <v>PulseRing 309</v>
      </c>
      <c r="C228" s="3" t="str">
        <f>'1. Master Data'!C228</f>
        <v>Wearables</v>
      </c>
      <c r="D228" s="3" t="s">
        <v>1111</v>
      </c>
      <c r="E228" s="3" t="str">
        <f t="shared" si="9"/>
        <v>Seasonal Naive</v>
      </c>
      <c r="F228" s="3">
        <f>ROUND(AVERAGE('2. Demand History'!O228:Z228),1)</f>
        <v>65.900000000000006</v>
      </c>
      <c r="G228" s="3">
        <f>ROUND(STDEV('2. Demand History'!O228:Z228),1)</f>
        <v>23.2</v>
      </c>
      <c r="H228" s="8">
        <f t="shared" si="10"/>
        <v>0.35</v>
      </c>
      <c r="I228" s="8">
        <f>ROUND(SUM('2. Demand History'!O228:Z228)/MAX(SUM('2. Demand History'!C228:N228),1),2)</f>
        <v>1</v>
      </c>
      <c r="J228" s="5">
        <f>IF(D228="Yes",ROUND('2. Demand History'!O228*I228,0),ROUND(AVERAGE('2. Demand History'!X228:Z228),0))</f>
        <v>64</v>
      </c>
      <c r="K228" s="9">
        <f t="shared" si="11"/>
        <v>0.151</v>
      </c>
      <c r="L228" s="10">
        <f>ROUND(ABS('2. Demand History'!U228-IF($D228="Yes",'2. Demand History'!I228,AVERAGE('2. Demand History'!R228:T228)))/MAX('2. Demand History'!U228,1),3)</f>
        <v>0.13700000000000001</v>
      </c>
      <c r="M228" s="10">
        <f>ROUND(ABS('2. Demand History'!V228-IF($D228="Yes",'2. Demand History'!J228,AVERAGE('2. Demand History'!S228:U228)))/MAX('2. Demand History'!V228,1),3)</f>
        <v>0.109</v>
      </c>
      <c r="N228" s="10">
        <f>ROUND(ABS('2. Demand History'!W228-IF($D228="Yes",'2. Demand History'!K228,AVERAGE('2. Demand History'!T228:V228)))/MAX('2. Demand History'!W228,1),3)</f>
        <v>0.08</v>
      </c>
      <c r="O228" s="10">
        <f>ROUND(ABS('2. Demand History'!X228-IF($D228="Yes",'2. Demand History'!L228,AVERAGE('2. Demand History'!U228:W228)))/MAX('2. Demand History'!X228,1),3)</f>
        <v>0.14799999999999999</v>
      </c>
      <c r="P228" s="10">
        <f>ROUND(ABS('2. Demand History'!Y228-IF($D228="Yes",'2. Demand History'!M228,AVERAGE('2. Demand History'!V228:X228)))/MAX('2. Demand History'!Y228,1),3)</f>
        <v>0.308</v>
      </c>
      <c r="Q228" s="10">
        <f>ROUND(ABS('2. Demand History'!Z228-IF($D228="Yes",'2. Demand History'!N228,AVERAGE('2. Demand History'!W228:Y228)))/MAX('2. Demand History'!Z228,1),3)</f>
        <v>0.121</v>
      </c>
    </row>
    <row r="229" spans="1:17" ht="15" customHeight="1" x14ac:dyDescent="0.2">
      <c r="A229" s="3" t="str">
        <f>'2. Demand History'!A229</f>
        <v>NT10225</v>
      </c>
      <c r="B229" s="1" t="str">
        <f>'2. Demand History'!B229</f>
        <v>FitTrack Band 167</v>
      </c>
      <c r="C229" s="3" t="str">
        <f>'1. Master Data'!C229</f>
        <v>Wearables</v>
      </c>
      <c r="D229" s="3" t="s">
        <v>1111</v>
      </c>
      <c r="E229" s="3" t="str">
        <f t="shared" si="9"/>
        <v>Seasonal Naive</v>
      </c>
      <c r="F229" s="3">
        <f>ROUND(AVERAGE('2. Demand History'!O229:Z229),1)</f>
        <v>32.9</v>
      </c>
      <c r="G229" s="3">
        <f>ROUND(STDEV('2. Demand History'!O229:Z229),1)</f>
        <v>10</v>
      </c>
      <c r="H229" s="8">
        <f t="shared" si="10"/>
        <v>0.3</v>
      </c>
      <c r="I229" s="8">
        <f>ROUND(SUM('2. Demand History'!O229:Z229)/MAX(SUM('2. Demand History'!C229:N229),1),2)</f>
        <v>1.08</v>
      </c>
      <c r="J229" s="5">
        <f>IF(D229="Yes",ROUND('2. Demand History'!O229*I229,0),ROUND(AVERAGE('2. Demand History'!X229:Z229),0))</f>
        <v>31</v>
      </c>
      <c r="K229" s="9">
        <f t="shared" si="11"/>
        <v>0.11600000000000001</v>
      </c>
      <c r="L229" s="10">
        <f>ROUND(ABS('2. Demand History'!U229-IF($D229="Yes",'2. Demand History'!I229,AVERAGE('2. Demand History'!R229:T229)))/MAX('2. Demand History'!U229,1),3)</f>
        <v>0.111</v>
      </c>
      <c r="M229" s="10">
        <f>ROUND(ABS('2. Demand History'!V229-IF($D229="Yes",'2. Demand History'!J229,AVERAGE('2. Demand History'!S229:U229)))/MAX('2. Demand History'!V229,1),3)</f>
        <v>0.16</v>
      </c>
      <c r="N229" s="10">
        <f>ROUND(ABS('2. Demand History'!W229-IF($D229="Yes",'2. Demand History'!K229,AVERAGE('2. Demand History'!T229:V229)))/MAX('2. Demand History'!W229,1),3)</f>
        <v>0.22700000000000001</v>
      </c>
      <c r="O229" s="10">
        <f>ROUND(ABS('2. Demand History'!X229-IF($D229="Yes",'2. Demand History'!L229,AVERAGE('2. Demand History'!U229:W229)))/MAX('2. Demand History'!X229,1),3)</f>
        <v>0.129</v>
      </c>
      <c r="P229" s="10">
        <f>ROUND(ABS('2. Demand History'!Y229-IF($D229="Yes",'2. Demand History'!M229,AVERAGE('2. Demand History'!V229:X229)))/MAX('2. Demand History'!Y229,1),3)</f>
        <v>6.7000000000000004E-2</v>
      </c>
      <c r="Q229" s="10">
        <f>ROUND(ABS('2. Demand History'!Z229-IF($D229="Yes",'2. Demand History'!N229,AVERAGE('2. Demand History'!W229:Y229)))/MAX('2. Demand History'!Z229,1),3)</f>
        <v>0</v>
      </c>
    </row>
    <row r="230" spans="1:17" ht="15" customHeight="1" x14ac:dyDescent="0.2">
      <c r="A230" s="3" t="str">
        <f>'2. Demand History'!A230</f>
        <v>NT10226</v>
      </c>
      <c r="B230" s="1" t="str">
        <f>'2. Demand History'!B230</f>
        <v>StepOne Tracker 298</v>
      </c>
      <c r="C230" s="3" t="str">
        <f>'1. Master Data'!C230</f>
        <v>Wearables</v>
      </c>
      <c r="D230" s="3" t="s">
        <v>1111</v>
      </c>
      <c r="E230" s="3" t="str">
        <f t="shared" si="9"/>
        <v>Seasonal Naive</v>
      </c>
      <c r="F230" s="3">
        <f>ROUND(AVERAGE('2. Demand History'!O230:Z230),1)</f>
        <v>51.4</v>
      </c>
      <c r="G230" s="3">
        <f>ROUND(STDEV('2. Demand History'!O230:Z230),1)</f>
        <v>16.2</v>
      </c>
      <c r="H230" s="8">
        <f t="shared" si="10"/>
        <v>0.32</v>
      </c>
      <c r="I230" s="8">
        <f>ROUND(SUM('2. Demand History'!O230:Z230)/MAX(SUM('2. Demand History'!C230:N230),1),2)</f>
        <v>1.08</v>
      </c>
      <c r="J230" s="5">
        <f>IF(D230="Yes",ROUND('2. Demand History'!O230*I230,0),ROUND(AVERAGE('2. Demand History'!X230:Z230),0))</f>
        <v>42</v>
      </c>
      <c r="K230" s="9">
        <f t="shared" si="11"/>
        <v>0.108</v>
      </c>
      <c r="L230" s="10">
        <f>ROUND(ABS('2. Demand History'!U230-IF($D230="Yes",'2. Demand History'!I230,AVERAGE('2. Demand History'!R230:T230)))/MAX('2. Demand History'!U230,1),3)</f>
        <v>0.128</v>
      </c>
      <c r="M230" s="10">
        <f>ROUND(ABS('2. Demand History'!V230-IF($D230="Yes",'2. Demand History'!J230,AVERAGE('2. Demand History'!S230:U230)))/MAX('2. Demand History'!V230,1),3)</f>
        <v>0.23699999999999999</v>
      </c>
      <c r="N230" s="10">
        <f>ROUND(ABS('2. Demand History'!W230-IF($D230="Yes",'2. Demand History'!K230,AVERAGE('2. Demand History'!T230:V230)))/MAX('2. Demand History'!W230,1),3)</f>
        <v>5.0999999999999997E-2</v>
      </c>
      <c r="O230" s="10">
        <f>ROUND(ABS('2. Demand History'!X230-IF($D230="Yes",'2. Demand History'!L230,AVERAGE('2. Demand History'!U230:W230)))/MAX('2. Demand History'!X230,1),3)</f>
        <v>4.2000000000000003E-2</v>
      </c>
      <c r="P230" s="10">
        <f>ROUND(ABS('2. Demand History'!Y230-IF($D230="Yes",'2. Demand History'!M230,AVERAGE('2. Demand History'!V230:X230)))/MAX('2. Demand History'!Y230,1),3)</f>
        <v>6.5000000000000002E-2</v>
      </c>
      <c r="Q230" s="10">
        <f>ROUND(ABS('2. Demand History'!Z230-IF($D230="Yes",'2. Demand History'!N230,AVERAGE('2. Demand History'!W230:Y230)))/MAX('2. Demand History'!Z230,1),3)</f>
        <v>0.127</v>
      </c>
    </row>
    <row r="231" spans="1:17" ht="15" customHeight="1" x14ac:dyDescent="0.2">
      <c r="A231" s="3" t="str">
        <f>'2. Demand History'!A231</f>
        <v>NT10227</v>
      </c>
      <c r="B231" s="1" t="str">
        <f>'2. Demand History'!B231</f>
        <v>PulseRing 331</v>
      </c>
      <c r="C231" s="3" t="str">
        <f>'1. Master Data'!C231</f>
        <v>Wearables</v>
      </c>
      <c r="D231" s="3" t="s">
        <v>1111</v>
      </c>
      <c r="E231" s="3" t="str">
        <f t="shared" si="9"/>
        <v>Seasonal Naive</v>
      </c>
      <c r="F231" s="3">
        <f>ROUND(AVERAGE('2. Demand History'!O231:Z231),1)</f>
        <v>49.3</v>
      </c>
      <c r="G231" s="3">
        <f>ROUND(STDEV('2. Demand History'!O231:Z231),1)</f>
        <v>14.7</v>
      </c>
      <c r="H231" s="8">
        <f t="shared" si="10"/>
        <v>0.3</v>
      </c>
      <c r="I231" s="8">
        <f>ROUND(SUM('2. Demand History'!O231:Z231)/MAX(SUM('2. Demand History'!C231:N231),1),2)</f>
        <v>1.01</v>
      </c>
      <c r="J231" s="5">
        <f>IF(D231="Yes",ROUND('2. Demand History'!O231*I231,0),ROUND(AVERAGE('2. Demand History'!X231:Z231),0))</f>
        <v>48</v>
      </c>
      <c r="K231" s="9">
        <f t="shared" si="11"/>
        <v>7.0999999999999994E-2</v>
      </c>
      <c r="L231" s="10">
        <f>ROUND(ABS('2. Demand History'!U231-IF($D231="Yes",'2. Demand History'!I231,AVERAGE('2. Demand History'!R231:T231)))/MAX('2. Demand History'!U231,1),3)</f>
        <v>7.0000000000000007E-2</v>
      </c>
      <c r="M231" s="10">
        <f>ROUND(ABS('2. Demand History'!V231-IF($D231="Yes",'2. Demand History'!J231,AVERAGE('2. Demand History'!S231:U231)))/MAX('2. Demand History'!V231,1),3)</f>
        <v>9.7000000000000003E-2</v>
      </c>
      <c r="N231" s="10">
        <f>ROUND(ABS('2. Demand History'!W231-IF($D231="Yes",'2. Demand History'!K231,AVERAGE('2. Demand History'!T231:V231)))/MAX('2. Demand History'!W231,1),3)</f>
        <v>2.5000000000000001E-2</v>
      </c>
      <c r="O231" s="10">
        <f>ROUND(ABS('2. Demand History'!X231-IF($D231="Yes",'2. Demand History'!L231,AVERAGE('2. Demand History'!U231:W231)))/MAX('2. Demand History'!X231,1),3)</f>
        <v>2.5999999999999999E-2</v>
      </c>
      <c r="P231" s="10">
        <f>ROUND(ABS('2. Demand History'!Y231-IF($D231="Yes",'2. Demand History'!M231,AVERAGE('2. Demand History'!V231:X231)))/MAX('2. Demand History'!Y231,1),3)</f>
        <v>0.14599999999999999</v>
      </c>
      <c r="Q231" s="10">
        <f>ROUND(ABS('2. Demand History'!Z231-IF($D231="Yes",'2. Demand History'!N231,AVERAGE('2. Demand History'!W231:Y231)))/MAX('2. Demand History'!Z231,1),3)</f>
        <v>6.4000000000000001E-2</v>
      </c>
    </row>
    <row r="232" spans="1:17" ht="15" customHeight="1" x14ac:dyDescent="0.2">
      <c r="A232" s="3" t="str">
        <f>'2. Demand History'!A232</f>
        <v>NT10228</v>
      </c>
      <c r="B232" s="1" t="str">
        <f>'2. Demand History'!B232</f>
        <v>FitTrack Band 708</v>
      </c>
      <c r="C232" s="3" t="str">
        <f>'1. Master Data'!C232</f>
        <v>Wearables</v>
      </c>
      <c r="D232" s="3" t="s">
        <v>1111</v>
      </c>
      <c r="E232" s="3" t="str">
        <f t="shared" si="9"/>
        <v>Seasonal Naive</v>
      </c>
      <c r="F232" s="3">
        <f>ROUND(AVERAGE('2. Demand History'!O232:Z232),1)</f>
        <v>189.1</v>
      </c>
      <c r="G232" s="3">
        <f>ROUND(STDEV('2. Demand History'!O232:Z232),1)</f>
        <v>58.4</v>
      </c>
      <c r="H232" s="8">
        <f t="shared" si="10"/>
        <v>0.31</v>
      </c>
      <c r="I232" s="8">
        <f>ROUND(SUM('2. Demand History'!O232:Z232)/MAX(SUM('2. Demand History'!C232:N232),1),2)</f>
        <v>1.01</v>
      </c>
      <c r="J232" s="5">
        <f>IF(D232="Yes",ROUND('2. Demand History'!O232*I232,0),ROUND(AVERAGE('2. Demand History'!X232:Z232),0))</f>
        <v>183</v>
      </c>
      <c r="K232" s="9">
        <f t="shared" si="11"/>
        <v>0.09</v>
      </c>
      <c r="L232" s="10">
        <f>ROUND(ABS('2. Demand History'!U232-IF($D232="Yes",'2. Demand History'!I232,AVERAGE('2. Demand History'!R232:T232)))/MAX('2. Demand History'!U232,1),3)</f>
        <v>3.2000000000000001E-2</v>
      </c>
      <c r="M232" s="10">
        <f>ROUND(ABS('2. Demand History'!V232-IF($D232="Yes",'2. Demand History'!J232,AVERAGE('2. Demand History'!S232:U232)))/MAX('2. Demand History'!V232,1),3)</f>
        <v>1.9E-2</v>
      </c>
      <c r="N232" s="10">
        <f>ROUND(ABS('2. Demand History'!W232-IF($D232="Yes",'2. Demand History'!K232,AVERAGE('2. Demand History'!T232:V232)))/MAX('2. Demand History'!W232,1),3)</f>
        <v>0.02</v>
      </c>
      <c r="O232" s="10">
        <f>ROUND(ABS('2. Demand History'!X232-IF($D232="Yes",'2. Demand History'!L232,AVERAGE('2. Demand History'!U232:W232)))/MAX('2. Demand History'!X232,1),3)</f>
        <v>8.7999999999999995E-2</v>
      </c>
      <c r="P232" s="10">
        <f>ROUND(ABS('2. Demand History'!Y232-IF($D232="Yes",'2. Demand History'!M232,AVERAGE('2. Demand History'!V232:X232)))/MAX('2. Demand History'!Y232,1),3)</f>
        <v>3.9E-2</v>
      </c>
      <c r="Q232" s="10">
        <f>ROUND(ABS('2. Demand History'!Z232-IF($D232="Yes",'2. Demand History'!N232,AVERAGE('2. Demand History'!W232:Y232)))/MAX('2. Demand History'!Z232,1),3)</f>
        <v>0.34</v>
      </c>
    </row>
    <row r="233" spans="1:17" ht="15" customHeight="1" x14ac:dyDescent="0.2">
      <c r="A233" s="3" t="str">
        <f>'2. Demand History'!A233</f>
        <v>NT10229</v>
      </c>
      <c r="B233" s="1" t="str">
        <f>'2. Demand History'!B233</f>
        <v>FitTrack Band 496</v>
      </c>
      <c r="C233" s="3" t="str">
        <f>'1. Master Data'!C233</f>
        <v>Wearables</v>
      </c>
      <c r="D233" s="3" t="s">
        <v>1111</v>
      </c>
      <c r="E233" s="3" t="str">
        <f t="shared" si="9"/>
        <v>Seasonal Naive</v>
      </c>
      <c r="F233" s="3">
        <f>ROUND(AVERAGE('2. Demand History'!O233:Z233),1)</f>
        <v>54.7</v>
      </c>
      <c r="G233" s="3">
        <f>ROUND(STDEV('2. Demand History'!O233:Z233),1)</f>
        <v>13.7</v>
      </c>
      <c r="H233" s="8">
        <f t="shared" si="10"/>
        <v>0.25</v>
      </c>
      <c r="I233" s="8">
        <f>ROUND(SUM('2. Demand History'!O233:Z233)/MAX(SUM('2. Demand History'!C233:N233),1),2)</f>
        <v>1.1000000000000001</v>
      </c>
      <c r="J233" s="5">
        <f>IF(D233="Yes",ROUND('2. Demand History'!O233*I233,0),ROUND(AVERAGE('2. Demand History'!X233:Z233),0))</f>
        <v>58</v>
      </c>
      <c r="K233" s="9">
        <f t="shared" si="11"/>
        <v>9.0999999999999998E-2</v>
      </c>
      <c r="L233" s="10">
        <f>ROUND(ABS('2. Demand History'!U233-IF($D233="Yes",'2. Demand History'!I233,AVERAGE('2. Demand History'!R233:T233)))/MAX('2. Demand History'!U233,1),3)</f>
        <v>4.2999999999999997E-2</v>
      </c>
      <c r="M233" s="10">
        <f>ROUND(ABS('2. Demand History'!V233-IF($D233="Yes",'2. Demand History'!J233,AVERAGE('2. Demand History'!S233:U233)))/MAX('2. Demand History'!V233,1),3)</f>
        <v>2.5000000000000001E-2</v>
      </c>
      <c r="N233" s="10">
        <f>ROUND(ABS('2. Demand History'!W233-IF($D233="Yes",'2. Demand History'!K233,AVERAGE('2. Demand History'!T233:V233)))/MAX('2. Demand History'!W233,1),3)</f>
        <v>0.20399999999999999</v>
      </c>
      <c r="O233" s="10">
        <f>ROUND(ABS('2. Demand History'!X233-IF($D233="Yes",'2. Demand History'!L233,AVERAGE('2. Demand History'!U233:W233)))/MAX('2. Demand History'!X233,1),3)</f>
        <v>0.128</v>
      </c>
      <c r="P233" s="10">
        <f>ROUND(ABS('2. Demand History'!Y233-IF($D233="Yes",'2. Demand History'!M233,AVERAGE('2. Demand History'!V233:X233)))/MAX('2. Demand History'!Y233,1),3)</f>
        <v>0.14299999999999999</v>
      </c>
      <c r="Q233" s="10">
        <f>ROUND(ABS('2. Demand History'!Z233-IF($D233="Yes",'2. Demand History'!N233,AVERAGE('2. Demand History'!W233:Y233)))/MAX('2. Demand History'!Z233,1),3)</f>
        <v>0</v>
      </c>
    </row>
    <row r="234" spans="1:17" ht="15" customHeight="1" x14ac:dyDescent="0.2">
      <c r="A234" s="3" t="str">
        <f>'2. Demand History'!A234</f>
        <v>NT10230</v>
      </c>
      <c r="B234" s="1" t="str">
        <f>'2. Demand History'!B234</f>
        <v>FitTrack Band 260</v>
      </c>
      <c r="C234" s="3" t="str">
        <f>'1. Master Data'!C234</f>
        <v>Wearables</v>
      </c>
      <c r="D234" s="3" t="s">
        <v>1111</v>
      </c>
      <c r="E234" s="3" t="str">
        <f t="shared" si="9"/>
        <v>Seasonal Naive</v>
      </c>
      <c r="F234" s="3">
        <f>ROUND(AVERAGE('2. Demand History'!O234:Z234),1)</f>
        <v>8.4</v>
      </c>
      <c r="G234" s="3">
        <f>ROUND(STDEV('2. Demand History'!O234:Z234),1)</f>
        <v>2.8</v>
      </c>
      <c r="H234" s="8">
        <f t="shared" si="10"/>
        <v>0.33</v>
      </c>
      <c r="I234" s="8">
        <f>ROUND(SUM('2. Demand History'!O234:Z234)/MAX(SUM('2. Demand History'!C234:N234),1),2)</f>
        <v>1.02</v>
      </c>
      <c r="J234" s="5">
        <f>IF(D234="Yes",ROUND('2. Demand History'!O234*I234,0),ROUND(AVERAGE('2. Demand History'!X234:Z234),0))</f>
        <v>7</v>
      </c>
      <c r="K234" s="9">
        <f t="shared" si="11"/>
        <v>9.9000000000000005E-2</v>
      </c>
      <c r="L234" s="10">
        <f>ROUND(ABS('2. Demand History'!U234-IF($D234="Yes",'2. Demand History'!I234,AVERAGE('2. Demand History'!R234:T234)))/MAX('2. Demand History'!U234,1),3)</f>
        <v>0.188</v>
      </c>
      <c r="M234" s="10">
        <f>ROUND(ABS('2. Demand History'!V234-IF($D234="Yes",'2. Demand History'!J234,AVERAGE('2. Demand History'!S234:U234)))/MAX('2. Demand History'!V234,1),3)</f>
        <v>0</v>
      </c>
      <c r="N234" s="10">
        <f>ROUND(ABS('2. Demand History'!W234-IF($D234="Yes",'2. Demand History'!K234,AVERAGE('2. Demand History'!T234:V234)))/MAX('2. Demand History'!W234,1),3)</f>
        <v>0.16700000000000001</v>
      </c>
      <c r="O234" s="10">
        <f>ROUND(ABS('2. Demand History'!X234-IF($D234="Yes",'2. Demand History'!L234,AVERAGE('2. Demand History'!U234:W234)))/MAX('2. Demand History'!X234,1),3)</f>
        <v>0.111</v>
      </c>
      <c r="P234" s="10">
        <f>ROUND(ABS('2. Demand History'!Y234-IF($D234="Yes",'2. Demand History'!M234,AVERAGE('2. Demand History'!V234:X234)))/MAX('2. Demand History'!Y234,1),3)</f>
        <v>0</v>
      </c>
      <c r="Q234" s="10">
        <f>ROUND(ABS('2. Demand History'!Z234-IF($D234="Yes",'2. Demand History'!N234,AVERAGE('2. Demand History'!W234:Y234)))/MAX('2. Demand History'!Z234,1),3)</f>
        <v>0.125</v>
      </c>
    </row>
    <row r="235" spans="1:17" ht="15" customHeight="1" x14ac:dyDescent="0.2">
      <c r="A235" s="3" t="str">
        <f>'2. Demand History'!A235</f>
        <v>NT10231</v>
      </c>
      <c r="B235" s="1" t="str">
        <f>'2. Demand History'!B235</f>
        <v>NovaWatch 715 GPS</v>
      </c>
      <c r="C235" s="3" t="str">
        <f>'1. Master Data'!C235</f>
        <v>Wearables</v>
      </c>
      <c r="D235" s="3" t="s">
        <v>1111</v>
      </c>
      <c r="E235" s="3" t="str">
        <f t="shared" si="9"/>
        <v>Seasonal Naive</v>
      </c>
      <c r="F235" s="3">
        <f>ROUND(AVERAGE('2. Demand History'!O235:Z235),1)</f>
        <v>240.3</v>
      </c>
      <c r="G235" s="3">
        <f>ROUND(STDEV('2. Demand History'!O235:Z235),1)</f>
        <v>62.5</v>
      </c>
      <c r="H235" s="8">
        <f t="shared" si="10"/>
        <v>0.26</v>
      </c>
      <c r="I235" s="8">
        <f>ROUND(SUM('2. Demand History'!O235:Z235)/MAX(SUM('2. Demand History'!C235:N235),1),2)</f>
        <v>1.1100000000000001</v>
      </c>
      <c r="J235" s="5">
        <f>IF(D235="Yes",ROUND('2. Demand History'!O235*I235,0),ROUND(AVERAGE('2. Demand History'!X235:Z235),0))</f>
        <v>233</v>
      </c>
      <c r="K235" s="9">
        <f t="shared" si="11"/>
        <v>0.13100000000000001</v>
      </c>
      <c r="L235" s="10">
        <f>ROUND(ABS('2. Demand History'!U235-IF($D235="Yes",'2. Demand History'!I235,AVERAGE('2. Demand History'!R235:T235)))/MAX('2. Demand History'!U235,1),3)</f>
        <v>1.7000000000000001E-2</v>
      </c>
      <c r="M235" s="10">
        <f>ROUND(ABS('2. Demand History'!V235-IF($D235="Yes",'2. Demand History'!J235,AVERAGE('2. Demand History'!S235:U235)))/MAX('2. Demand History'!V235,1),3)</f>
        <v>0.27500000000000002</v>
      </c>
      <c r="N235" s="10">
        <f>ROUND(ABS('2. Demand History'!W235-IF($D235="Yes",'2. Demand History'!K235,AVERAGE('2. Demand History'!T235:V235)))/MAX('2. Demand History'!W235,1),3)</f>
        <v>0.14099999999999999</v>
      </c>
      <c r="O235" s="10">
        <f>ROUND(ABS('2. Demand History'!X235-IF($D235="Yes",'2. Demand History'!L235,AVERAGE('2. Demand History'!U235:W235)))/MAX('2. Demand History'!X235,1),3)</f>
        <v>6.2E-2</v>
      </c>
      <c r="P235" s="10">
        <f>ROUND(ABS('2. Demand History'!Y235-IF($D235="Yes",'2. Demand History'!M235,AVERAGE('2. Demand History'!V235:X235)))/MAX('2. Demand History'!Y235,1),3)</f>
        <v>6.9000000000000006E-2</v>
      </c>
      <c r="Q235" s="10">
        <f>ROUND(ABS('2. Demand History'!Z235-IF($D235="Yes",'2. Demand History'!N235,AVERAGE('2. Demand History'!W235:Y235)))/MAX('2. Demand History'!Z235,1),3)</f>
        <v>0.221</v>
      </c>
    </row>
    <row r="236" spans="1:17" ht="15" customHeight="1" x14ac:dyDescent="0.2">
      <c r="A236" s="3" t="str">
        <f>'2. Demand History'!A236</f>
        <v>NT10232</v>
      </c>
      <c r="B236" s="1" t="str">
        <f>'2. Demand History'!B236</f>
        <v>FitTrack Band 981</v>
      </c>
      <c r="C236" s="3" t="str">
        <f>'1. Master Data'!C236</f>
        <v>Wearables</v>
      </c>
      <c r="D236" s="3" t="s">
        <v>1111</v>
      </c>
      <c r="E236" s="3" t="str">
        <f t="shared" si="9"/>
        <v>Seasonal Naive</v>
      </c>
      <c r="F236" s="3">
        <f>ROUND(AVERAGE('2. Demand History'!O236:Z236),1)</f>
        <v>226.3</v>
      </c>
      <c r="G236" s="3">
        <f>ROUND(STDEV('2. Demand History'!O236:Z236),1)</f>
        <v>70.3</v>
      </c>
      <c r="H236" s="8">
        <f t="shared" si="10"/>
        <v>0.31</v>
      </c>
      <c r="I236" s="8">
        <f>ROUND(SUM('2. Demand History'!O236:Z236)/MAX(SUM('2. Demand History'!C236:N236),1),2)</f>
        <v>1.03</v>
      </c>
      <c r="J236" s="5">
        <f>IF(D236="Yes",ROUND('2. Demand History'!O236*I236,0),ROUND(AVERAGE('2. Demand History'!X236:Z236),0))</f>
        <v>186</v>
      </c>
      <c r="K236" s="9">
        <f t="shared" si="11"/>
        <v>9.7000000000000003E-2</v>
      </c>
      <c r="L236" s="10">
        <f>ROUND(ABS('2. Demand History'!U236-IF($D236="Yes",'2. Demand History'!I236,AVERAGE('2. Demand History'!R236:T236)))/MAX('2. Demand History'!U236,1),3)</f>
        <v>0.114</v>
      </c>
      <c r="M236" s="10">
        <f>ROUND(ABS('2. Demand History'!V236-IF($D236="Yes",'2. Demand History'!J236,AVERAGE('2. Demand History'!S236:U236)))/MAX('2. Demand History'!V236,1),3)</f>
        <v>0.113</v>
      </c>
      <c r="N236" s="10">
        <f>ROUND(ABS('2. Demand History'!W236-IF($D236="Yes",'2. Demand History'!K236,AVERAGE('2. Demand History'!T236:V236)))/MAX('2. Demand History'!W236,1),3)</f>
        <v>0.17399999999999999</v>
      </c>
      <c r="O236" s="10">
        <f>ROUND(ABS('2. Demand History'!X236-IF($D236="Yes",'2. Demand History'!L236,AVERAGE('2. Demand History'!U236:W236)))/MAX('2. Demand History'!X236,1),3)</f>
        <v>0.17199999999999999</v>
      </c>
      <c r="P236" s="10">
        <f>ROUND(ABS('2. Demand History'!Y236-IF($D236="Yes",'2. Demand History'!M236,AVERAGE('2. Demand History'!V236:X236)))/MAX('2. Demand History'!Y236,1),3)</f>
        <v>5.0000000000000001E-3</v>
      </c>
      <c r="Q236" s="10">
        <f>ROUND(ABS('2. Demand History'!Z236-IF($D236="Yes",'2. Demand History'!N236,AVERAGE('2. Demand History'!W236:Y236)))/MAX('2. Demand History'!Z236,1),3)</f>
        <v>5.0000000000000001E-3</v>
      </c>
    </row>
    <row r="237" spans="1:17" ht="15" customHeight="1" x14ac:dyDescent="0.2">
      <c r="A237" s="3" t="str">
        <f>'2. Demand History'!A237</f>
        <v>NT10233</v>
      </c>
      <c r="B237" s="1" t="str">
        <f>'2. Demand History'!B237</f>
        <v>FitTrack Band 945</v>
      </c>
      <c r="C237" s="3" t="str">
        <f>'1. Master Data'!C237</f>
        <v>Wearables</v>
      </c>
      <c r="D237" s="3" t="s">
        <v>1111</v>
      </c>
      <c r="E237" s="3" t="str">
        <f t="shared" si="9"/>
        <v>Seasonal Naive</v>
      </c>
      <c r="F237" s="3">
        <f>ROUND(AVERAGE('2. Demand History'!O237:Z237),1)</f>
        <v>43.5</v>
      </c>
      <c r="G237" s="3">
        <f>ROUND(STDEV('2. Demand History'!O237:Z237),1)</f>
        <v>11.9</v>
      </c>
      <c r="H237" s="8">
        <f t="shared" si="10"/>
        <v>0.27</v>
      </c>
      <c r="I237" s="8">
        <f>ROUND(SUM('2. Demand History'!O237:Z237)/MAX(SUM('2. Demand History'!C237:N237),1),2)</f>
        <v>1.02</v>
      </c>
      <c r="J237" s="5">
        <f>IF(D237="Yes",ROUND('2. Demand History'!O237*I237,0),ROUND(AVERAGE('2. Demand History'!X237:Z237),0))</f>
        <v>38</v>
      </c>
      <c r="K237" s="9">
        <f t="shared" si="11"/>
        <v>0.02</v>
      </c>
      <c r="L237" s="10">
        <f>ROUND(ABS('2. Demand History'!U237-IF($D237="Yes",'2. Demand History'!I237,AVERAGE('2. Demand History'!R237:T237)))/MAX('2. Demand History'!U237,1),3)</f>
        <v>4.1000000000000002E-2</v>
      </c>
      <c r="M237" s="10">
        <f>ROUND(ABS('2. Demand History'!V237-IF($D237="Yes",'2. Demand History'!J237,AVERAGE('2. Demand History'!S237:U237)))/MAX('2. Demand History'!V237,1),3)</f>
        <v>0</v>
      </c>
      <c r="N237" s="10">
        <f>ROUND(ABS('2. Demand History'!W237-IF($D237="Yes",'2. Demand History'!K237,AVERAGE('2. Demand History'!T237:V237)))/MAX('2. Demand History'!W237,1),3)</f>
        <v>2.9000000000000001E-2</v>
      </c>
      <c r="O237" s="10">
        <f>ROUND(ABS('2. Demand History'!X237-IF($D237="Yes",'2. Demand History'!L237,AVERAGE('2. Demand History'!U237:W237)))/MAX('2. Demand History'!X237,1),3)</f>
        <v>0</v>
      </c>
      <c r="P237" s="10">
        <f>ROUND(ABS('2. Demand History'!Y237-IF($D237="Yes",'2. Demand History'!M237,AVERAGE('2. Demand History'!V237:X237)))/MAX('2. Demand History'!Y237,1),3)</f>
        <v>4.8000000000000001E-2</v>
      </c>
      <c r="Q237" s="10">
        <f>ROUND(ABS('2. Demand History'!Z237-IF($D237="Yes",'2. Demand History'!N237,AVERAGE('2. Demand History'!W237:Y237)))/MAX('2. Demand History'!Z237,1),3)</f>
        <v>0</v>
      </c>
    </row>
    <row r="238" spans="1:17" ht="15" customHeight="1" x14ac:dyDescent="0.2">
      <c r="A238" s="3" t="str">
        <f>'2. Demand History'!A238</f>
        <v>NT10234</v>
      </c>
      <c r="B238" s="1" t="str">
        <f>'2. Demand History'!B238</f>
        <v>NovaWatch 818 GPS</v>
      </c>
      <c r="C238" s="3" t="str">
        <f>'1. Master Data'!C238</f>
        <v>Wearables</v>
      </c>
      <c r="D238" s="3" t="s">
        <v>1111</v>
      </c>
      <c r="E238" s="3" t="str">
        <f t="shared" si="9"/>
        <v>Seasonal Naive</v>
      </c>
      <c r="F238" s="3">
        <f>ROUND(AVERAGE('2. Demand History'!O238:Z238),1)</f>
        <v>78</v>
      </c>
      <c r="G238" s="3">
        <f>ROUND(STDEV('2. Demand History'!O238:Z238),1)</f>
        <v>20.9</v>
      </c>
      <c r="H238" s="8">
        <f t="shared" si="10"/>
        <v>0.27</v>
      </c>
      <c r="I238" s="8">
        <f>ROUND(SUM('2. Demand History'!O238:Z238)/MAX(SUM('2. Demand History'!C238:N238),1),2)</f>
        <v>1.1299999999999999</v>
      </c>
      <c r="J238" s="5">
        <f>IF(D238="Yes",ROUND('2. Demand History'!O238*I238,0),ROUND(AVERAGE('2. Demand History'!X238:Z238),0))</f>
        <v>75</v>
      </c>
      <c r="K238" s="9">
        <f t="shared" si="11"/>
        <v>0.126</v>
      </c>
      <c r="L238" s="10">
        <f>ROUND(ABS('2. Demand History'!U238-IF($D238="Yes",'2. Demand History'!I238,AVERAGE('2. Demand History'!R238:T238)))/MAX('2. Demand History'!U238,1),3)</f>
        <v>9.6000000000000002E-2</v>
      </c>
      <c r="M238" s="10">
        <f>ROUND(ABS('2. Demand History'!V238-IF($D238="Yes",'2. Demand History'!J238,AVERAGE('2. Demand History'!S238:U238)))/MAX('2. Demand History'!V238,1),3)</f>
        <v>9.0999999999999998E-2</v>
      </c>
      <c r="N238" s="10">
        <f>ROUND(ABS('2. Demand History'!W238-IF($D238="Yes",'2. Demand History'!K238,AVERAGE('2. Demand History'!T238:V238)))/MAX('2. Demand History'!W238,1),3)</f>
        <v>0.246</v>
      </c>
      <c r="O238" s="10">
        <f>ROUND(ABS('2. Demand History'!X238-IF($D238="Yes",'2. Demand History'!L238,AVERAGE('2. Demand History'!U238:W238)))/MAX('2. Demand History'!X238,1),3)</f>
        <v>0.21099999999999999</v>
      </c>
      <c r="P238" s="10">
        <f>ROUND(ABS('2. Demand History'!Y238-IF($D238="Yes",'2. Demand History'!M238,AVERAGE('2. Demand History'!V238:X238)))/MAX('2. Demand History'!Y238,1),3)</f>
        <v>8.5999999999999993E-2</v>
      </c>
      <c r="Q238" s="10">
        <f>ROUND(ABS('2. Demand History'!Z238-IF($D238="Yes",'2. Demand History'!N238,AVERAGE('2. Demand History'!W238:Y238)))/MAX('2. Demand History'!Z238,1),3)</f>
        <v>2.5999999999999999E-2</v>
      </c>
    </row>
    <row r="239" spans="1:17" ht="15" customHeight="1" x14ac:dyDescent="0.2">
      <c r="A239" s="3" t="str">
        <f>'2. Demand History'!A239</f>
        <v>NT10235</v>
      </c>
      <c r="B239" s="1" t="str">
        <f>'2. Demand History'!B239</f>
        <v>StepOne Tracker 147</v>
      </c>
      <c r="C239" s="3" t="str">
        <f>'1. Master Data'!C239</f>
        <v>Wearables</v>
      </c>
      <c r="D239" s="3" t="s">
        <v>1111</v>
      </c>
      <c r="E239" s="3" t="str">
        <f t="shared" si="9"/>
        <v>Seasonal Naive</v>
      </c>
      <c r="F239" s="3">
        <f>ROUND(AVERAGE('2. Demand History'!O239:Z239),1)</f>
        <v>32.799999999999997</v>
      </c>
      <c r="G239" s="3">
        <f>ROUND(STDEV('2. Demand History'!O239:Z239),1)</f>
        <v>10</v>
      </c>
      <c r="H239" s="8">
        <f t="shared" si="10"/>
        <v>0.3</v>
      </c>
      <c r="I239" s="8">
        <f>ROUND(SUM('2. Demand History'!O239:Z239)/MAX(SUM('2. Demand History'!C239:N239),1),2)</f>
        <v>1.0900000000000001</v>
      </c>
      <c r="J239" s="5">
        <f>IF(D239="Yes",ROUND('2. Demand History'!O239*I239,0),ROUND(AVERAGE('2. Demand History'!X239:Z239),0))</f>
        <v>35</v>
      </c>
      <c r="K239" s="9">
        <f t="shared" si="11"/>
        <v>0.151</v>
      </c>
      <c r="L239" s="10">
        <f>ROUND(ABS('2. Demand History'!U239-IF($D239="Yes",'2. Demand History'!I239,AVERAGE('2. Demand History'!R239:T239)))/MAX('2. Demand History'!U239,1),3)</f>
        <v>0.17699999999999999</v>
      </c>
      <c r="M239" s="10">
        <f>ROUND(ABS('2. Demand History'!V239-IF($D239="Yes",'2. Demand History'!J239,AVERAGE('2. Demand History'!S239:U239)))/MAX('2. Demand History'!V239,1),3)</f>
        <v>0.13600000000000001</v>
      </c>
      <c r="N239" s="10">
        <f>ROUND(ABS('2. Demand History'!W239-IF($D239="Yes",'2. Demand History'!K239,AVERAGE('2. Demand History'!T239:V239)))/MAX('2. Demand History'!W239,1),3)</f>
        <v>0.25900000000000001</v>
      </c>
      <c r="O239" s="10">
        <f>ROUND(ABS('2. Demand History'!X239-IF($D239="Yes",'2. Demand History'!L239,AVERAGE('2. Demand History'!U239:W239)))/MAX('2. Demand History'!X239,1),3)</f>
        <v>6.9000000000000006E-2</v>
      </c>
      <c r="P239" s="10">
        <f>ROUND(ABS('2. Demand History'!Y239-IF($D239="Yes",'2. Demand History'!M239,AVERAGE('2. Demand History'!V239:X239)))/MAX('2. Demand History'!Y239,1),3)</f>
        <v>9.0999999999999998E-2</v>
      </c>
      <c r="Q239" s="10">
        <f>ROUND(ABS('2. Demand History'!Z239-IF($D239="Yes",'2. Demand History'!N239,AVERAGE('2. Demand History'!W239:Y239)))/MAX('2. Demand History'!Z239,1),3)</f>
        <v>0.17100000000000001</v>
      </c>
    </row>
    <row r="240" spans="1:17" ht="15" customHeight="1" x14ac:dyDescent="0.2">
      <c r="A240" s="3" t="str">
        <f>'2. Demand History'!A240</f>
        <v>NT10236</v>
      </c>
      <c r="B240" s="1" t="str">
        <f>'2. Demand History'!B240</f>
        <v>PulseRing 393</v>
      </c>
      <c r="C240" s="3" t="str">
        <f>'1. Master Data'!C240</f>
        <v>Wearables</v>
      </c>
      <c r="D240" s="3" t="s">
        <v>1111</v>
      </c>
      <c r="E240" s="3" t="str">
        <f t="shared" si="9"/>
        <v>Seasonal Naive</v>
      </c>
      <c r="F240" s="3">
        <f>ROUND(AVERAGE('2. Demand History'!O240:Z240),1)</f>
        <v>99.8</v>
      </c>
      <c r="G240" s="3">
        <f>ROUND(STDEV('2. Demand History'!O240:Z240),1)</f>
        <v>75.099999999999994</v>
      </c>
      <c r="H240" s="8">
        <f t="shared" si="10"/>
        <v>0.75</v>
      </c>
      <c r="I240" s="8">
        <f>ROUND(SUM('2. Demand History'!O240:Z240)/MAX(SUM('2. Demand History'!C240:N240),1),2)</f>
        <v>1.36</v>
      </c>
      <c r="J240" s="5">
        <f>IF(D240="Yes",ROUND('2. Demand History'!O240*I240,0),ROUND(AVERAGE('2. Demand History'!X240:Z240),0))</f>
        <v>260</v>
      </c>
      <c r="K240" s="9">
        <f t="shared" si="11"/>
        <v>1.292</v>
      </c>
      <c r="L240" s="10">
        <f>ROUND(ABS('2. Demand History'!U240-IF($D240="Yes",'2. Demand History'!I240,AVERAGE('2. Demand History'!R240:T240)))/MAX('2. Demand History'!U240,1),3)</f>
        <v>0.80300000000000005</v>
      </c>
      <c r="M240" s="10">
        <f>ROUND(ABS('2. Demand History'!V240-IF($D240="Yes",'2. Demand History'!J240,AVERAGE('2. Demand History'!S240:U240)))/MAX('2. Demand History'!V240,1),3)</f>
        <v>0.35299999999999998</v>
      </c>
      <c r="N240" s="10">
        <f>ROUND(ABS('2. Demand History'!W240-IF($D240="Yes",'2. Demand History'!K240,AVERAGE('2. Demand History'!T240:V240)))/MAX('2. Demand History'!W240,1),3)</f>
        <v>0.38600000000000001</v>
      </c>
      <c r="O240" s="10">
        <f>ROUND(ABS('2. Demand History'!X240-IF($D240="Yes",'2. Demand History'!L240,AVERAGE('2. Demand History'!U240:W240)))/MAX('2. Demand History'!X240,1),3)</f>
        <v>5.6150000000000002</v>
      </c>
      <c r="P240" s="10">
        <f>ROUND(ABS('2. Demand History'!Y240-IF($D240="Yes",'2. Demand History'!M240,AVERAGE('2. Demand History'!V240:X240)))/MAX('2. Demand History'!Y240,1),3)</f>
        <v>0.56899999999999995</v>
      </c>
      <c r="Q240" s="10">
        <f>ROUND(ABS('2. Demand History'!Z240-IF($D240="Yes",'2. Demand History'!N240,AVERAGE('2. Demand History'!W240:Y240)))/MAX('2. Demand History'!Z240,1),3)</f>
        <v>2.5000000000000001E-2</v>
      </c>
    </row>
    <row r="241" spans="1:17" ht="15" customHeight="1" x14ac:dyDescent="0.2">
      <c r="A241" s="3" t="str">
        <f>'2. Demand History'!A241</f>
        <v>NT10237</v>
      </c>
      <c r="B241" s="1" t="str">
        <f>'2. Demand History'!B241</f>
        <v>NovaWatch 728 GPS</v>
      </c>
      <c r="C241" s="3" t="str">
        <f>'1. Master Data'!C241</f>
        <v>Wearables</v>
      </c>
      <c r="D241" s="3" t="s">
        <v>1111</v>
      </c>
      <c r="E241" s="3" t="str">
        <f t="shared" si="9"/>
        <v>Seasonal Naive</v>
      </c>
      <c r="F241" s="3">
        <f>ROUND(AVERAGE('2. Demand History'!O241:Z241),1)</f>
        <v>183</v>
      </c>
      <c r="G241" s="3">
        <f>ROUND(STDEV('2. Demand History'!O241:Z241),1)</f>
        <v>52.8</v>
      </c>
      <c r="H241" s="8">
        <f t="shared" si="10"/>
        <v>0.28999999999999998</v>
      </c>
      <c r="I241" s="8">
        <f>ROUND(SUM('2. Demand History'!O241:Z241)/MAX(SUM('2. Demand History'!C241:N241),1),2)</f>
        <v>1.07</v>
      </c>
      <c r="J241" s="5">
        <f>IF(D241="Yes",ROUND('2. Demand History'!O241*I241,0),ROUND(AVERAGE('2. Demand History'!X241:Z241),0))</f>
        <v>186</v>
      </c>
      <c r="K241" s="9">
        <f t="shared" si="11"/>
        <v>5.3999999999999999E-2</v>
      </c>
      <c r="L241" s="10">
        <f>ROUND(ABS('2. Demand History'!U241-IF($D241="Yes",'2. Demand History'!I241,AVERAGE('2. Demand History'!R241:T241)))/MAX('2. Demand History'!U241,1),3)</f>
        <v>5.8999999999999997E-2</v>
      </c>
      <c r="M241" s="10">
        <f>ROUND(ABS('2. Demand History'!V241-IF($D241="Yes",'2. Demand History'!J241,AVERAGE('2. Demand History'!S241:U241)))/MAX('2. Demand History'!V241,1),3)</f>
        <v>0.104</v>
      </c>
      <c r="N241" s="10">
        <f>ROUND(ABS('2. Demand History'!W241-IF($D241="Yes",'2. Demand History'!K241,AVERAGE('2. Demand History'!T241:V241)))/MAX('2. Demand History'!W241,1),3)</f>
        <v>8.0000000000000002E-3</v>
      </c>
      <c r="O241" s="10">
        <f>ROUND(ABS('2. Demand History'!X241-IF($D241="Yes",'2. Demand History'!L241,AVERAGE('2. Demand History'!U241:W241)))/MAX('2. Demand History'!X241,1),3)</f>
        <v>6.8000000000000005E-2</v>
      </c>
      <c r="P241" s="10">
        <f>ROUND(ABS('2. Demand History'!Y241-IF($D241="Yes",'2. Demand History'!M241,AVERAGE('2. Demand History'!V241:X241)))/MAX('2. Demand History'!Y241,1),3)</f>
        <v>7.0000000000000007E-2</v>
      </c>
      <c r="Q241" s="10">
        <f>ROUND(ABS('2. Demand History'!Z241-IF($D241="Yes",'2. Demand History'!N241,AVERAGE('2. Demand History'!W241:Y241)))/MAX('2. Demand History'!Z241,1),3)</f>
        <v>1.7000000000000001E-2</v>
      </c>
    </row>
    <row r="242" spans="1:17" ht="15" customHeight="1" x14ac:dyDescent="0.2">
      <c r="A242" s="3" t="str">
        <f>'2. Demand History'!A242</f>
        <v>NT10238</v>
      </c>
      <c r="B242" s="1" t="str">
        <f>'2. Demand History'!B242</f>
        <v>FitTrack Band 382</v>
      </c>
      <c r="C242" s="3" t="str">
        <f>'1. Master Data'!C242</f>
        <v>Wearables</v>
      </c>
      <c r="D242" s="3" t="s">
        <v>1111</v>
      </c>
      <c r="E242" s="3" t="str">
        <f t="shared" si="9"/>
        <v>Seasonal Naive</v>
      </c>
      <c r="F242" s="3">
        <f>ROUND(AVERAGE('2. Demand History'!O242:Z242),1)</f>
        <v>145.5</v>
      </c>
      <c r="G242" s="3">
        <f>ROUND(STDEV('2. Demand History'!O242:Z242),1)</f>
        <v>41.9</v>
      </c>
      <c r="H242" s="8">
        <f t="shared" si="10"/>
        <v>0.28999999999999998</v>
      </c>
      <c r="I242" s="8">
        <f>ROUND(SUM('2. Demand History'!O242:Z242)/MAX(SUM('2. Demand History'!C242:N242),1),2)</f>
        <v>0.99</v>
      </c>
      <c r="J242" s="5">
        <f>IF(D242="Yes",ROUND('2. Demand History'!O242*I242,0),ROUND(AVERAGE('2. Demand History'!X242:Z242),0))</f>
        <v>144</v>
      </c>
      <c r="K242" s="9">
        <f t="shared" si="11"/>
        <v>9.5000000000000001E-2</v>
      </c>
      <c r="L242" s="10">
        <f>ROUND(ABS('2. Demand History'!U242-IF($D242="Yes",'2. Demand History'!I242,AVERAGE('2. Demand History'!R242:T242)))/MAX('2. Demand History'!U242,1),3)</f>
        <v>0.109</v>
      </c>
      <c r="M242" s="10">
        <f>ROUND(ABS('2. Demand History'!V242-IF($D242="Yes",'2. Demand History'!J242,AVERAGE('2. Demand History'!S242:U242)))/MAX('2. Demand History'!V242,1),3)</f>
        <v>4.4999999999999998E-2</v>
      </c>
      <c r="N242" s="10">
        <f>ROUND(ABS('2. Demand History'!W242-IF($D242="Yes",'2. Demand History'!K242,AVERAGE('2. Demand History'!T242:V242)))/MAX('2. Demand History'!W242,1),3)</f>
        <v>8.0000000000000002E-3</v>
      </c>
      <c r="O242" s="10">
        <f>ROUND(ABS('2. Demand History'!X242-IF($D242="Yes",'2. Demand History'!L242,AVERAGE('2. Demand History'!U242:W242)))/MAX('2. Demand History'!X242,1),3)</f>
        <v>0.04</v>
      </c>
      <c r="P242" s="10">
        <f>ROUND(ABS('2. Demand History'!Y242-IF($D242="Yes",'2. Demand History'!M242,AVERAGE('2. Demand History'!V242:X242)))/MAX('2. Demand History'!Y242,1),3)</f>
        <v>0.28299999999999997</v>
      </c>
      <c r="Q242" s="10">
        <f>ROUND(ABS('2. Demand History'!Z242-IF($D242="Yes",'2. Demand History'!N242,AVERAGE('2. Demand History'!W242:Y242)))/MAX('2. Demand History'!Z242,1),3)</f>
        <v>8.2000000000000003E-2</v>
      </c>
    </row>
    <row r="243" spans="1:17" ht="15" customHeight="1" x14ac:dyDescent="0.2">
      <c r="A243" s="3" t="str">
        <f>'2. Demand History'!A243</f>
        <v>NT10239</v>
      </c>
      <c r="B243" s="1" t="str">
        <f>'2. Demand History'!B243</f>
        <v>PulseRing 448</v>
      </c>
      <c r="C243" s="3" t="str">
        <f>'1. Master Data'!C243</f>
        <v>Wearables</v>
      </c>
      <c r="D243" s="3" t="s">
        <v>1111</v>
      </c>
      <c r="E243" s="3" t="str">
        <f t="shared" si="9"/>
        <v>Seasonal Naive</v>
      </c>
      <c r="F243" s="3">
        <f>ROUND(AVERAGE('2. Demand History'!O243:Z243),1)</f>
        <v>25</v>
      </c>
      <c r="G243" s="3">
        <f>ROUND(STDEV('2. Demand History'!O243:Z243),1)</f>
        <v>7.9</v>
      </c>
      <c r="H243" s="8">
        <f t="shared" si="10"/>
        <v>0.32</v>
      </c>
      <c r="I243" s="8">
        <f>ROUND(SUM('2. Demand History'!O243:Z243)/MAX(SUM('2. Demand History'!C243:N243),1),2)</f>
        <v>1.1100000000000001</v>
      </c>
      <c r="J243" s="5">
        <f>IF(D243="Yes",ROUND('2. Demand History'!O243*I243,0),ROUND(AVERAGE('2. Demand History'!X243:Z243),0))</f>
        <v>24</v>
      </c>
      <c r="K243" s="9">
        <f t="shared" si="11"/>
        <v>9.9000000000000005E-2</v>
      </c>
      <c r="L243" s="10">
        <f>ROUND(ABS('2. Demand History'!U243-IF($D243="Yes",'2. Demand History'!I243,AVERAGE('2. Demand History'!R243:T243)))/MAX('2. Demand History'!U243,1),3)</f>
        <v>8.8999999999999996E-2</v>
      </c>
      <c r="M243" s="10">
        <f>ROUND(ABS('2. Demand History'!V243-IF($D243="Yes",'2. Demand History'!J243,AVERAGE('2. Demand History'!S243:U243)))/MAX('2. Demand History'!V243,1),3)</f>
        <v>0</v>
      </c>
      <c r="N243" s="10">
        <f>ROUND(ABS('2. Demand History'!W243-IF($D243="Yes",'2. Demand History'!K243,AVERAGE('2. Demand History'!T243:V243)))/MAX('2. Demand History'!W243,1),3)</f>
        <v>0.2</v>
      </c>
      <c r="O243" s="10">
        <f>ROUND(ABS('2. Demand History'!X243-IF($D243="Yes",'2. Demand History'!L243,AVERAGE('2. Demand History'!U243:W243)))/MAX('2. Demand History'!X243,1),3)</f>
        <v>9.0999999999999998E-2</v>
      </c>
      <c r="P243" s="10">
        <f>ROUND(ABS('2. Demand History'!Y243-IF($D243="Yes",'2. Demand History'!M243,AVERAGE('2. Demand History'!V243:X243)))/MAX('2. Demand History'!Y243,1),3)</f>
        <v>0.17399999999999999</v>
      </c>
      <c r="Q243" s="10">
        <f>ROUND(ABS('2. Demand History'!Z243-IF($D243="Yes",'2. Demand History'!N243,AVERAGE('2. Demand History'!W243:Y243)))/MAX('2. Demand History'!Z243,1),3)</f>
        <v>3.6999999999999998E-2</v>
      </c>
    </row>
    <row r="244" spans="1:17" ht="15" customHeight="1" x14ac:dyDescent="0.2">
      <c r="A244" s="3" t="str">
        <f>'2. Demand History'!A244</f>
        <v>NT10240</v>
      </c>
      <c r="B244" s="1" t="str">
        <f>'2. Demand History'!B244</f>
        <v>FitTrack Band 445</v>
      </c>
      <c r="C244" s="3" t="str">
        <f>'1. Master Data'!C244</f>
        <v>Wearables</v>
      </c>
      <c r="D244" s="3" t="s">
        <v>1111</v>
      </c>
      <c r="E244" s="3" t="str">
        <f t="shared" si="9"/>
        <v>Seasonal Naive</v>
      </c>
      <c r="F244" s="3">
        <f>ROUND(AVERAGE('2. Demand History'!O244:Z244),1)</f>
        <v>82.6</v>
      </c>
      <c r="G244" s="3">
        <f>ROUND(STDEV('2. Demand History'!O244:Z244),1)</f>
        <v>19.8</v>
      </c>
      <c r="H244" s="8">
        <f t="shared" si="10"/>
        <v>0.24</v>
      </c>
      <c r="I244" s="8">
        <f>ROUND(SUM('2. Demand History'!O244:Z244)/MAX(SUM('2. Demand History'!C244:N244),1),2)</f>
        <v>1.03</v>
      </c>
      <c r="J244" s="5">
        <f>IF(D244="Yes",ROUND('2. Demand History'!O244*I244,0),ROUND(AVERAGE('2. Demand History'!X244:Z244),0))</f>
        <v>69</v>
      </c>
      <c r="K244" s="9">
        <f t="shared" si="11"/>
        <v>0.113</v>
      </c>
      <c r="L244" s="10">
        <f>ROUND(ABS('2. Demand History'!U244-IF($D244="Yes",'2. Demand History'!I244,AVERAGE('2. Demand History'!R244:T244)))/MAX('2. Demand History'!U244,1),3)</f>
        <v>5.2999999999999999E-2</v>
      </c>
      <c r="M244" s="10">
        <f>ROUND(ABS('2. Demand History'!V244-IF($D244="Yes",'2. Demand History'!J244,AVERAGE('2. Demand History'!S244:U244)))/MAX('2. Demand History'!V244,1),3)</f>
        <v>0</v>
      </c>
      <c r="N244" s="10">
        <f>ROUND(ABS('2. Demand History'!W244-IF($D244="Yes",'2. Demand History'!K244,AVERAGE('2. Demand History'!T244:V244)))/MAX('2. Demand History'!W244,1),3)</f>
        <v>0.156</v>
      </c>
      <c r="O244" s="10">
        <f>ROUND(ABS('2. Demand History'!X244-IF($D244="Yes",'2. Demand History'!L244,AVERAGE('2. Demand History'!U244:W244)))/MAX('2. Demand History'!X244,1),3)</f>
        <v>0.14099999999999999</v>
      </c>
      <c r="P244" s="10">
        <f>ROUND(ABS('2. Demand History'!Y244-IF($D244="Yes",'2. Demand History'!M244,AVERAGE('2. Demand History'!V244:X244)))/MAX('2. Demand History'!Y244,1),3)</f>
        <v>0.186</v>
      </c>
      <c r="Q244" s="10">
        <f>ROUND(ABS('2. Demand History'!Z244-IF($D244="Yes",'2. Demand History'!N244,AVERAGE('2. Demand History'!W244:Y244)))/MAX('2. Demand History'!Z244,1),3)</f>
        <v>0.14399999999999999</v>
      </c>
    </row>
    <row r="245" spans="1:17" ht="15" customHeight="1" x14ac:dyDescent="0.2">
      <c r="A245" s="3" t="str">
        <f>'2. Demand History'!A245</f>
        <v>NT10241</v>
      </c>
      <c r="B245" s="1" t="str">
        <f>'2. Demand History'!B245</f>
        <v>NovaWatch 498 GPS</v>
      </c>
      <c r="C245" s="3" t="str">
        <f>'1. Master Data'!C245</f>
        <v>Wearables</v>
      </c>
      <c r="D245" s="3" t="s">
        <v>1111</v>
      </c>
      <c r="E245" s="3" t="str">
        <f t="shared" si="9"/>
        <v>Seasonal Naive</v>
      </c>
      <c r="F245" s="3">
        <f>ROUND(AVERAGE('2. Demand History'!O245:Z245),1)</f>
        <v>15.3</v>
      </c>
      <c r="G245" s="3">
        <f>ROUND(STDEV('2. Demand History'!O245:Z245),1)</f>
        <v>5.5</v>
      </c>
      <c r="H245" s="8">
        <f t="shared" si="10"/>
        <v>0.36</v>
      </c>
      <c r="I245" s="8">
        <f>ROUND(SUM('2. Demand History'!O245:Z245)/MAX(SUM('2. Demand History'!C245:N245),1),2)</f>
        <v>1.1200000000000001</v>
      </c>
      <c r="J245" s="5">
        <f>IF(D245="Yes",ROUND('2. Demand History'!O245*I245,0),ROUND(AVERAGE('2. Demand History'!X245:Z245),0))</f>
        <v>13</v>
      </c>
      <c r="K245" s="9">
        <f t="shared" si="11"/>
        <v>8.5999999999999993E-2</v>
      </c>
      <c r="L245" s="10">
        <f>ROUND(ABS('2. Demand History'!U245-IF($D245="Yes",'2. Demand History'!I245,AVERAGE('2. Demand History'!R245:T245)))/MAX('2. Demand History'!U245,1),3)</f>
        <v>0.13300000000000001</v>
      </c>
      <c r="M245" s="10">
        <f>ROUND(ABS('2. Demand History'!V245-IF($D245="Yes",'2. Demand History'!J245,AVERAGE('2. Demand History'!S245:U245)))/MAX('2. Demand History'!V245,1),3)</f>
        <v>0</v>
      </c>
      <c r="N245" s="10">
        <f>ROUND(ABS('2. Demand History'!W245-IF($D245="Yes",'2. Demand History'!K245,AVERAGE('2. Demand History'!T245:V245)))/MAX('2. Demand History'!W245,1),3)</f>
        <v>0.23100000000000001</v>
      </c>
      <c r="O245" s="10">
        <f>ROUND(ABS('2. Demand History'!X245-IF($D245="Yes",'2. Demand History'!L245,AVERAGE('2. Demand History'!U245:W245)))/MAX('2. Demand History'!X245,1),3)</f>
        <v>6.7000000000000004E-2</v>
      </c>
      <c r="P245" s="10">
        <f>ROUND(ABS('2. Demand History'!Y245-IF($D245="Yes",'2. Demand History'!M245,AVERAGE('2. Demand History'!V245:X245)))/MAX('2. Demand History'!Y245,1),3)</f>
        <v>0</v>
      </c>
      <c r="Q245" s="10">
        <f>ROUND(ABS('2. Demand History'!Z245-IF($D245="Yes",'2. Demand History'!N245,AVERAGE('2. Demand History'!W245:Y245)))/MAX('2. Demand History'!Z245,1),3)</f>
        <v>8.3000000000000004E-2</v>
      </c>
    </row>
    <row r="246" spans="1:17" ht="15" customHeight="1" x14ac:dyDescent="0.2">
      <c r="A246" s="3" t="str">
        <f>'2. Demand History'!A246</f>
        <v>NT10242</v>
      </c>
      <c r="B246" s="1" t="str">
        <f>'2. Demand History'!B246</f>
        <v>PulseRing 393</v>
      </c>
      <c r="C246" s="3" t="str">
        <f>'1. Master Data'!C246</f>
        <v>Wearables</v>
      </c>
      <c r="D246" s="3" t="s">
        <v>1111</v>
      </c>
      <c r="E246" s="3" t="str">
        <f t="shared" si="9"/>
        <v>Seasonal Naive</v>
      </c>
      <c r="F246" s="3">
        <f>ROUND(AVERAGE('2. Demand History'!O246:Z246),1)</f>
        <v>933.1</v>
      </c>
      <c r="G246" s="3">
        <f>ROUND(STDEV('2. Demand History'!O246:Z246),1)</f>
        <v>277.39999999999998</v>
      </c>
      <c r="H246" s="8">
        <f t="shared" si="10"/>
        <v>0.3</v>
      </c>
      <c r="I246" s="8">
        <f>ROUND(SUM('2. Demand History'!O246:Z246)/MAX(SUM('2. Demand History'!C246:N246),1),2)</f>
        <v>1.07</v>
      </c>
      <c r="J246" s="5">
        <f>IF(D246="Yes",ROUND('2. Demand History'!O246*I246,0),ROUND(AVERAGE('2. Demand History'!X246:Z246),0))</f>
        <v>851</v>
      </c>
      <c r="K246" s="9">
        <f t="shared" si="11"/>
        <v>0.129</v>
      </c>
      <c r="L246" s="10">
        <f>ROUND(ABS('2. Demand History'!U246-IF($D246="Yes",'2. Demand History'!I246,AVERAGE('2. Demand History'!R246:T246)))/MAX('2. Demand History'!U246,1),3)</f>
        <v>8.5000000000000006E-2</v>
      </c>
      <c r="M246" s="10">
        <f>ROUND(ABS('2. Demand History'!V246-IF($D246="Yes",'2. Demand History'!J246,AVERAGE('2. Demand History'!S246:U246)))/MAX('2. Demand History'!V246,1),3)</f>
        <v>0.17</v>
      </c>
      <c r="N246" s="10">
        <f>ROUND(ABS('2. Demand History'!W246-IF($D246="Yes",'2. Demand History'!K246,AVERAGE('2. Demand History'!T246:V246)))/MAX('2. Demand History'!W246,1),3)</f>
        <v>0.20899999999999999</v>
      </c>
      <c r="O246" s="10">
        <f>ROUND(ABS('2. Demand History'!X246-IF($D246="Yes",'2. Demand History'!L246,AVERAGE('2. Demand History'!U246:W246)))/MAX('2. Demand History'!X246,1),3)</f>
        <v>0.28799999999999998</v>
      </c>
      <c r="P246" s="10">
        <f>ROUND(ABS('2. Demand History'!Y246-IF($D246="Yes",'2. Demand History'!M246,AVERAGE('2. Demand History'!V246:X246)))/MAX('2. Demand History'!Y246,1),3)</f>
        <v>3.0000000000000001E-3</v>
      </c>
      <c r="Q246" s="10">
        <f>ROUND(ABS('2. Demand History'!Z246-IF($D246="Yes",'2. Demand History'!N246,AVERAGE('2. Demand History'!W246:Y246)))/MAX('2. Demand History'!Z246,1),3)</f>
        <v>0.02</v>
      </c>
    </row>
    <row r="247" spans="1:17" ht="15" customHeight="1" x14ac:dyDescent="0.2">
      <c r="A247" s="3" t="str">
        <f>'2. Demand History'!A247</f>
        <v>NT10243</v>
      </c>
      <c r="B247" s="1" t="str">
        <f>'2. Demand History'!B247</f>
        <v>FitTrack Band 420</v>
      </c>
      <c r="C247" s="3" t="str">
        <f>'1. Master Data'!C247</f>
        <v>Wearables</v>
      </c>
      <c r="D247" s="3" t="s">
        <v>1111</v>
      </c>
      <c r="E247" s="3" t="str">
        <f t="shared" si="9"/>
        <v>Seasonal Naive</v>
      </c>
      <c r="F247" s="3">
        <f>ROUND(AVERAGE('2. Demand History'!O247:Z247),1)</f>
        <v>94.9</v>
      </c>
      <c r="G247" s="3">
        <f>ROUND(STDEV('2. Demand History'!O247:Z247),1)</f>
        <v>28.2</v>
      </c>
      <c r="H247" s="8">
        <f t="shared" si="10"/>
        <v>0.3</v>
      </c>
      <c r="I247" s="8">
        <f>ROUND(SUM('2. Demand History'!O247:Z247)/MAX(SUM('2. Demand History'!C247:N247),1),2)</f>
        <v>1.03</v>
      </c>
      <c r="J247" s="5">
        <f>IF(D247="Yes",ROUND('2. Demand History'!O247*I247,0),ROUND(AVERAGE('2. Demand History'!X247:Z247),0))</f>
        <v>101</v>
      </c>
      <c r="K247" s="9">
        <f t="shared" si="11"/>
        <v>9.2999999999999999E-2</v>
      </c>
      <c r="L247" s="10">
        <f>ROUND(ABS('2. Demand History'!U247-IF($D247="Yes",'2. Demand History'!I247,AVERAGE('2. Demand History'!R247:T247)))/MAX('2. Demand History'!U247,1),3)</f>
        <v>6.0000000000000001E-3</v>
      </c>
      <c r="M247" s="10">
        <f>ROUND(ABS('2. Demand History'!V247-IF($D247="Yes",'2. Demand History'!J247,AVERAGE('2. Demand History'!S247:U247)))/MAX('2. Demand History'!V247,1),3)</f>
        <v>9.4E-2</v>
      </c>
      <c r="N247" s="10">
        <f>ROUND(ABS('2. Demand History'!W247-IF($D247="Yes",'2. Demand History'!K247,AVERAGE('2. Demand History'!T247:V247)))/MAX('2. Demand History'!W247,1),3)</f>
        <v>0</v>
      </c>
      <c r="O247" s="10">
        <f>ROUND(ABS('2. Demand History'!X247-IF($D247="Yes",'2. Demand History'!L247,AVERAGE('2. Demand History'!U247:W247)))/MAX('2. Demand History'!X247,1),3)</f>
        <v>8.5000000000000006E-2</v>
      </c>
      <c r="P247" s="10">
        <f>ROUND(ABS('2. Demand History'!Y247-IF($D247="Yes",'2. Demand History'!M247,AVERAGE('2. Demand History'!V247:X247)))/MAX('2. Demand History'!Y247,1),3)</f>
        <v>0.161</v>
      </c>
      <c r="Q247" s="10">
        <f>ROUND(ABS('2. Demand History'!Z247-IF($D247="Yes",'2. Demand History'!N247,AVERAGE('2. Demand History'!W247:Y247)))/MAX('2. Demand History'!Z247,1),3)</f>
        <v>0.21299999999999999</v>
      </c>
    </row>
    <row r="248" spans="1:17" ht="15" customHeight="1" x14ac:dyDescent="0.2">
      <c r="A248" s="3" t="str">
        <f>'2. Demand History'!A248</f>
        <v>NT10244</v>
      </c>
      <c r="B248" s="1" t="str">
        <f>'2. Demand History'!B248</f>
        <v>FitTrack Band 588</v>
      </c>
      <c r="C248" s="3" t="str">
        <f>'1. Master Data'!C248</f>
        <v>Wearables</v>
      </c>
      <c r="D248" s="3" t="s">
        <v>1111</v>
      </c>
      <c r="E248" s="3" t="str">
        <f t="shared" si="9"/>
        <v>Seasonal Naive</v>
      </c>
      <c r="F248" s="3">
        <f>ROUND(AVERAGE('2. Demand History'!O248:Z248),1)</f>
        <v>153.5</v>
      </c>
      <c r="G248" s="3">
        <f>ROUND(STDEV('2. Demand History'!O248:Z248),1)</f>
        <v>46.2</v>
      </c>
      <c r="H248" s="8">
        <f t="shared" si="10"/>
        <v>0.3</v>
      </c>
      <c r="I248" s="8">
        <f>ROUND(SUM('2. Demand History'!O248:Z248)/MAX(SUM('2. Demand History'!C248:N248),1),2)</f>
        <v>1.04</v>
      </c>
      <c r="J248" s="5">
        <f>IF(D248="Yes",ROUND('2. Demand History'!O248*I248,0),ROUND(AVERAGE('2. Demand History'!X248:Z248),0))</f>
        <v>131</v>
      </c>
      <c r="K248" s="9">
        <f t="shared" si="11"/>
        <v>5.7000000000000002E-2</v>
      </c>
      <c r="L248" s="10">
        <f>ROUND(ABS('2. Demand History'!U248-IF($D248="Yes",'2. Demand History'!I248,AVERAGE('2. Demand History'!R248:T248)))/MAX('2. Demand History'!U248,1),3)</f>
        <v>0.13300000000000001</v>
      </c>
      <c r="M248" s="10">
        <f>ROUND(ABS('2. Demand History'!V248-IF($D248="Yes",'2. Demand History'!J248,AVERAGE('2. Demand History'!S248:U248)))/MAX('2. Demand History'!V248,1),3)</f>
        <v>5.5E-2</v>
      </c>
      <c r="N248" s="10">
        <f>ROUND(ABS('2. Demand History'!W248-IF($D248="Yes",'2. Demand History'!K248,AVERAGE('2. Demand History'!T248:V248)))/MAX('2. Demand History'!W248,1),3)</f>
        <v>8.0000000000000002E-3</v>
      </c>
      <c r="O248" s="10">
        <f>ROUND(ABS('2. Demand History'!X248-IF($D248="Yes",'2. Demand History'!L248,AVERAGE('2. Demand History'!U248:W248)))/MAX('2. Demand History'!X248,1),3)</f>
        <v>9.6000000000000002E-2</v>
      </c>
      <c r="P248" s="10">
        <f>ROUND(ABS('2. Demand History'!Y248-IF($D248="Yes",'2. Demand History'!M248,AVERAGE('2. Demand History'!V248:X248)))/MAX('2. Demand History'!Y248,1),3)</f>
        <v>1.4E-2</v>
      </c>
      <c r="Q248" s="10">
        <f>ROUND(ABS('2. Demand History'!Z248-IF($D248="Yes",'2. Demand History'!N248,AVERAGE('2. Demand History'!W248:Y248)))/MAX('2. Demand History'!Z248,1),3)</f>
        <v>3.7999999999999999E-2</v>
      </c>
    </row>
    <row r="249" spans="1:17" ht="15" customHeight="1" x14ac:dyDescent="0.2">
      <c r="A249" s="3" t="str">
        <f>'2. Demand History'!A249</f>
        <v>NT10245</v>
      </c>
      <c r="B249" s="1" t="str">
        <f>'2. Demand History'!B249</f>
        <v>StepOne Tracker 844</v>
      </c>
      <c r="C249" s="3" t="str">
        <f>'1. Master Data'!C249</f>
        <v>Wearables</v>
      </c>
      <c r="D249" s="3" t="s">
        <v>1111</v>
      </c>
      <c r="E249" s="3" t="str">
        <f t="shared" si="9"/>
        <v>Seasonal Naive</v>
      </c>
      <c r="F249" s="3">
        <f>ROUND(AVERAGE('2. Demand History'!O249:Z249),1)</f>
        <v>135.80000000000001</v>
      </c>
      <c r="G249" s="3">
        <f>ROUND(STDEV('2. Demand History'!O249:Z249),1)</f>
        <v>45.2</v>
      </c>
      <c r="H249" s="8">
        <f t="shared" si="10"/>
        <v>0.33</v>
      </c>
      <c r="I249" s="8">
        <f>ROUND(SUM('2. Demand History'!O249:Z249)/MAX(SUM('2. Demand History'!C249:N249),1),2)</f>
        <v>1.07</v>
      </c>
      <c r="J249" s="5">
        <f>IF(D249="Yes",ROUND('2. Demand History'!O249*I249,0),ROUND(AVERAGE('2. Demand History'!X249:Z249),0))</f>
        <v>113</v>
      </c>
      <c r="K249" s="9">
        <f t="shared" si="11"/>
        <v>0.16</v>
      </c>
      <c r="L249" s="10">
        <f>ROUND(ABS('2. Demand History'!U249-IF($D249="Yes",'2. Demand History'!I249,AVERAGE('2. Demand History'!R249:T249)))/MAX('2. Demand History'!U249,1),3)</f>
        <v>0.22800000000000001</v>
      </c>
      <c r="M249" s="10">
        <f>ROUND(ABS('2. Demand History'!V249-IF($D249="Yes",'2. Demand History'!J249,AVERAGE('2. Demand History'!S249:U249)))/MAX('2. Demand History'!V249,1),3)</f>
        <v>3.2000000000000001E-2</v>
      </c>
      <c r="N249" s="10">
        <f>ROUND(ABS('2. Demand History'!W249-IF($D249="Yes",'2. Demand History'!K249,AVERAGE('2. Demand History'!T249:V249)))/MAX('2. Demand History'!W249,1),3)</f>
        <v>0.23300000000000001</v>
      </c>
      <c r="O249" s="10">
        <f>ROUND(ABS('2. Demand History'!X249-IF($D249="Yes",'2. Demand History'!L249,AVERAGE('2. Demand History'!U249:W249)))/MAX('2. Demand History'!X249,1),3)</f>
        <v>0.307</v>
      </c>
      <c r="P249" s="10">
        <f>ROUND(ABS('2. Demand History'!Y249-IF($D249="Yes",'2. Demand History'!M249,AVERAGE('2. Demand History'!V249:X249)))/MAX('2. Demand History'!Y249,1),3)</f>
        <v>1.7999999999999999E-2</v>
      </c>
      <c r="Q249" s="10">
        <f>ROUND(ABS('2. Demand History'!Z249-IF($D249="Yes",'2. Demand History'!N249,AVERAGE('2. Demand History'!W249:Y249)))/MAX('2. Demand History'!Z249,1),3)</f>
        <v>0.14099999999999999</v>
      </c>
    </row>
    <row r="250" spans="1:17" ht="15" customHeight="1" x14ac:dyDescent="0.2">
      <c r="A250" s="3" t="str">
        <f>'2. Demand History'!A250</f>
        <v>NT10246</v>
      </c>
      <c r="B250" s="1" t="str">
        <f>'2. Demand History'!B250</f>
        <v>NovaWatch 686 GPS</v>
      </c>
      <c r="C250" s="3" t="str">
        <f>'1. Master Data'!C250</f>
        <v>Wearables</v>
      </c>
      <c r="D250" s="3" t="s">
        <v>1111</v>
      </c>
      <c r="E250" s="3" t="str">
        <f t="shared" si="9"/>
        <v>Seasonal Naive</v>
      </c>
      <c r="F250" s="3">
        <f>ROUND(AVERAGE('2. Demand History'!O250:Z250),1)</f>
        <v>40.4</v>
      </c>
      <c r="G250" s="3">
        <f>ROUND(STDEV('2. Demand History'!O250:Z250),1)</f>
        <v>11.1</v>
      </c>
      <c r="H250" s="8">
        <f t="shared" si="10"/>
        <v>0.27</v>
      </c>
      <c r="I250" s="8">
        <f>ROUND(SUM('2. Demand History'!O250:Z250)/MAX(SUM('2. Demand History'!C250:N250),1),2)</f>
        <v>1.01</v>
      </c>
      <c r="J250" s="5">
        <f>IF(D250="Yes",ROUND('2. Demand History'!O250*I250,0),ROUND(AVERAGE('2. Demand History'!X250:Z250),0))</f>
        <v>33</v>
      </c>
      <c r="K250" s="9">
        <f t="shared" si="11"/>
        <v>9.4E-2</v>
      </c>
      <c r="L250" s="10">
        <f>ROUND(ABS('2. Demand History'!U250-IF($D250="Yes",'2. Demand History'!I250,AVERAGE('2. Demand History'!R250:T250)))/MAX('2. Demand History'!U250,1),3)</f>
        <v>0.03</v>
      </c>
      <c r="M250" s="10">
        <f>ROUND(ABS('2. Demand History'!V250-IF($D250="Yes",'2. Demand History'!J250,AVERAGE('2. Demand History'!S250:U250)))/MAX('2. Demand History'!V250,1),3)</f>
        <v>4.2000000000000003E-2</v>
      </c>
      <c r="N250" s="10">
        <f>ROUND(ABS('2. Demand History'!W250-IF($D250="Yes",'2. Demand History'!K250,AVERAGE('2. Demand History'!T250:V250)))/MAX('2. Demand History'!W250,1),3)</f>
        <v>0.105</v>
      </c>
      <c r="O250" s="10">
        <f>ROUND(ABS('2. Demand History'!X250-IF($D250="Yes",'2. Demand History'!L250,AVERAGE('2. Demand History'!U250:W250)))/MAX('2. Demand History'!X250,1),3)</f>
        <v>0.33300000000000002</v>
      </c>
      <c r="P250" s="10">
        <f>ROUND(ABS('2. Demand History'!Y250-IF($D250="Yes",'2. Demand History'!M250,AVERAGE('2. Demand History'!V250:X250)))/MAX('2. Demand History'!Y250,1),3)</f>
        <v>5.0999999999999997E-2</v>
      </c>
      <c r="Q250" s="10">
        <f>ROUND(ABS('2. Demand History'!Z250-IF($D250="Yes",'2. Demand History'!N250,AVERAGE('2. Demand History'!W250:Y250)))/MAX('2. Demand History'!Z250,1),3)</f>
        <v>0</v>
      </c>
    </row>
    <row r="251" spans="1:17" ht="15" customHeight="1" x14ac:dyDescent="0.2">
      <c r="A251" s="3" t="str">
        <f>'2. Demand History'!A251</f>
        <v>NT10247</v>
      </c>
      <c r="B251" s="1" t="str">
        <f>'2. Demand History'!B251</f>
        <v>StepOne Tracker 687</v>
      </c>
      <c r="C251" s="3" t="str">
        <f>'1. Master Data'!C251</f>
        <v>Wearables</v>
      </c>
      <c r="D251" s="3" t="s">
        <v>1111</v>
      </c>
      <c r="E251" s="3" t="str">
        <f t="shared" si="9"/>
        <v>Seasonal Naive</v>
      </c>
      <c r="F251" s="3">
        <f>ROUND(AVERAGE('2. Demand History'!O251:Z251),1)</f>
        <v>377</v>
      </c>
      <c r="G251" s="3">
        <f>ROUND(STDEV('2. Demand History'!O251:Z251),1)</f>
        <v>92.1</v>
      </c>
      <c r="H251" s="8">
        <f t="shared" si="10"/>
        <v>0.24</v>
      </c>
      <c r="I251" s="8">
        <f>ROUND(SUM('2. Demand History'!O251:Z251)/MAX(SUM('2. Demand History'!C251:N251),1),2)</f>
        <v>1.07</v>
      </c>
      <c r="J251" s="5">
        <f>IF(D251="Yes",ROUND('2. Demand History'!O251*I251,0),ROUND(AVERAGE('2. Demand History'!X251:Z251),0))</f>
        <v>364</v>
      </c>
      <c r="K251" s="9">
        <f t="shared" si="11"/>
        <v>7.4999999999999997E-2</v>
      </c>
      <c r="L251" s="10">
        <f>ROUND(ABS('2. Demand History'!U251-IF($D251="Yes",'2. Demand History'!I251,AVERAGE('2. Demand History'!R251:T251)))/MAX('2. Demand History'!U251,1),3)</f>
        <v>4.9000000000000002E-2</v>
      </c>
      <c r="M251" s="10">
        <f>ROUND(ABS('2. Demand History'!V251-IF($D251="Yes",'2. Demand History'!J251,AVERAGE('2. Demand History'!S251:U251)))/MAX('2. Demand History'!V251,1),3)</f>
        <v>6.6000000000000003E-2</v>
      </c>
      <c r="N251" s="10">
        <f>ROUND(ABS('2. Demand History'!W251-IF($D251="Yes",'2. Demand History'!K251,AVERAGE('2. Demand History'!T251:V251)))/MAX('2. Demand History'!W251,1),3)</f>
        <v>0.128</v>
      </c>
      <c r="O251" s="10">
        <f>ROUND(ABS('2. Demand History'!X251-IF($D251="Yes",'2. Demand History'!L251,AVERAGE('2. Demand History'!U251:W251)))/MAX('2. Demand History'!X251,1),3)</f>
        <v>6.3E-2</v>
      </c>
      <c r="P251" s="10">
        <f>ROUND(ABS('2. Demand History'!Y251-IF($D251="Yes",'2. Demand History'!M251,AVERAGE('2. Demand History'!V251:X251)))/MAX('2. Demand History'!Y251,1),3)</f>
        <v>7.8E-2</v>
      </c>
      <c r="Q251" s="10">
        <f>ROUND(ABS('2. Demand History'!Z251-IF($D251="Yes",'2. Demand History'!N251,AVERAGE('2. Demand History'!W251:Y251)))/MAX('2. Demand History'!Z251,1),3)</f>
        <v>6.6000000000000003E-2</v>
      </c>
    </row>
    <row r="252" spans="1:17" ht="15" customHeight="1" x14ac:dyDescent="0.2">
      <c r="A252" s="3" t="str">
        <f>'2. Demand History'!A252</f>
        <v>NT10248</v>
      </c>
      <c r="B252" s="1" t="str">
        <f>'2. Demand History'!B252</f>
        <v>StepOne Tracker 517</v>
      </c>
      <c r="C252" s="3" t="str">
        <f>'1. Master Data'!C252</f>
        <v>Wearables</v>
      </c>
      <c r="D252" s="3" t="s">
        <v>1111</v>
      </c>
      <c r="E252" s="3" t="str">
        <f t="shared" si="9"/>
        <v>Seasonal Naive</v>
      </c>
      <c r="F252" s="3">
        <f>ROUND(AVERAGE('2. Demand History'!O252:Z252),1)</f>
        <v>49.4</v>
      </c>
      <c r="G252" s="3">
        <f>ROUND(STDEV('2. Demand History'!O252:Z252),1)</f>
        <v>16.399999999999999</v>
      </c>
      <c r="H252" s="8">
        <f t="shared" si="10"/>
        <v>0.33</v>
      </c>
      <c r="I252" s="8">
        <f>ROUND(SUM('2. Demand History'!O252:Z252)/MAX(SUM('2. Demand History'!C252:N252),1),2)</f>
        <v>1.1000000000000001</v>
      </c>
      <c r="J252" s="5">
        <f>IF(D252="Yes",ROUND('2. Demand History'!O252*I252,0),ROUND(AVERAGE('2. Demand History'!X252:Z252),0))</f>
        <v>53</v>
      </c>
      <c r="K252" s="9">
        <f t="shared" si="11"/>
        <v>0.105</v>
      </c>
      <c r="L252" s="10">
        <f>ROUND(ABS('2. Demand History'!U252-IF($D252="Yes",'2. Demand History'!I252,AVERAGE('2. Demand History'!R252:T252)))/MAX('2. Demand History'!U252,1),3)</f>
        <v>0.20699999999999999</v>
      </c>
      <c r="M252" s="10">
        <f>ROUND(ABS('2. Demand History'!V252-IF($D252="Yes",'2. Demand History'!J252,AVERAGE('2. Demand History'!S252:U252)))/MAX('2. Demand History'!V252,1),3)</f>
        <v>0.184</v>
      </c>
      <c r="N252" s="10">
        <f>ROUND(ABS('2. Demand History'!W252-IF($D252="Yes",'2. Demand History'!K252,AVERAGE('2. Demand History'!T252:V252)))/MAX('2. Demand History'!W252,1),3)</f>
        <v>5.6000000000000001E-2</v>
      </c>
      <c r="O252" s="10">
        <f>ROUND(ABS('2. Demand History'!X252-IF($D252="Yes",'2. Demand History'!L252,AVERAGE('2. Demand History'!U252:W252)))/MAX('2. Demand History'!X252,1),3)</f>
        <v>7.0999999999999994E-2</v>
      </c>
      <c r="P252" s="10">
        <f>ROUND(ABS('2. Demand History'!Y252-IF($D252="Yes",'2. Demand History'!M252,AVERAGE('2. Demand History'!V252:X252)))/MAX('2. Demand History'!Y252,1),3)</f>
        <v>4.4999999999999998E-2</v>
      </c>
      <c r="Q252" s="10">
        <f>ROUND(ABS('2. Demand History'!Z252-IF($D252="Yes",'2. Demand History'!N252,AVERAGE('2. Demand History'!W252:Y252)))/MAX('2. Demand History'!Z252,1),3)</f>
        <v>6.4000000000000001E-2</v>
      </c>
    </row>
    <row r="253" spans="1:17" ht="15" customHeight="1" x14ac:dyDescent="0.2">
      <c r="A253" s="3" t="str">
        <f>'2. Demand History'!A253</f>
        <v>NT10249</v>
      </c>
      <c r="B253" s="1" t="str">
        <f>'2. Demand History'!B253</f>
        <v>StepOne Tracker 117</v>
      </c>
      <c r="C253" s="3" t="str">
        <f>'1. Master Data'!C253</f>
        <v>Wearables</v>
      </c>
      <c r="D253" s="3" t="s">
        <v>1111</v>
      </c>
      <c r="E253" s="3" t="str">
        <f t="shared" si="9"/>
        <v>Seasonal Naive</v>
      </c>
      <c r="F253" s="3">
        <f>ROUND(AVERAGE('2. Demand History'!O253:Z253),1)</f>
        <v>587.20000000000005</v>
      </c>
      <c r="G253" s="3">
        <f>ROUND(STDEV('2. Demand History'!O253:Z253),1)</f>
        <v>152.4</v>
      </c>
      <c r="H253" s="8">
        <f t="shared" si="10"/>
        <v>0.26</v>
      </c>
      <c r="I253" s="8">
        <f>ROUND(SUM('2. Demand History'!O253:Z253)/MAX(SUM('2. Demand History'!C253:N253),1),2)</f>
        <v>1.1100000000000001</v>
      </c>
      <c r="J253" s="5">
        <f>IF(D253="Yes",ROUND('2. Demand History'!O253*I253,0),ROUND(AVERAGE('2. Demand History'!X253:Z253),0))</f>
        <v>571</v>
      </c>
      <c r="K253" s="9">
        <f t="shared" si="11"/>
        <v>9.6000000000000002E-2</v>
      </c>
      <c r="L253" s="10">
        <f>ROUND(ABS('2. Demand History'!U253-IF($D253="Yes",'2. Demand History'!I253,AVERAGE('2. Demand History'!R253:T253)))/MAX('2. Demand History'!U253,1),3)</f>
        <v>8.1000000000000003E-2</v>
      </c>
      <c r="M253" s="10">
        <f>ROUND(ABS('2. Demand History'!V253-IF($D253="Yes",'2. Demand History'!J253,AVERAGE('2. Demand History'!S253:U253)))/MAX('2. Demand History'!V253,1),3)</f>
        <v>5.1999999999999998E-2</v>
      </c>
      <c r="N253" s="10">
        <f>ROUND(ABS('2. Demand History'!W253-IF($D253="Yes",'2. Demand History'!K253,AVERAGE('2. Demand History'!T253:V253)))/MAX('2. Demand History'!W253,1),3)</f>
        <v>5.6000000000000001E-2</v>
      </c>
      <c r="O253" s="10">
        <f>ROUND(ABS('2. Demand History'!X253-IF($D253="Yes",'2. Demand History'!L253,AVERAGE('2. Demand History'!U253:W253)))/MAX('2. Demand History'!X253,1),3)</f>
        <v>0.187</v>
      </c>
      <c r="P253" s="10">
        <f>ROUND(ABS('2. Demand History'!Y253-IF($D253="Yes",'2. Demand History'!M253,AVERAGE('2. Demand History'!V253:X253)))/MAX('2. Demand History'!Y253,1),3)</f>
        <v>5.7000000000000002E-2</v>
      </c>
      <c r="Q253" s="10">
        <f>ROUND(ABS('2. Demand History'!Z253-IF($D253="Yes",'2. Demand History'!N253,AVERAGE('2. Demand History'!W253:Y253)))/MAX('2. Demand History'!Z253,1),3)</f>
        <v>0.14299999999999999</v>
      </c>
    </row>
    <row r="254" spans="1:17" ht="15" customHeight="1" x14ac:dyDescent="0.2">
      <c r="A254" s="3" t="str">
        <f>'2. Demand History'!A254</f>
        <v>NT10250</v>
      </c>
      <c r="B254" s="1" t="str">
        <f>'2. Demand History'!B254</f>
        <v>PulseRing 290</v>
      </c>
      <c r="C254" s="3" t="str">
        <f>'1. Master Data'!C254</f>
        <v>Wearables</v>
      </c>
      <c r="D254" s="3" t="s">
        <v>1111</v>
      </c>
      <c r="E254" s="3" t="str">
        <f t="shared" si="9"/>
        <v>Seasonal Naive</v>
      </c>
      <c r="F254" s="3">
        <f>ROUND(AVERAGE('2. Demand History'!O254:Z254),1)</f>
        <v>46.8</v>
      </c>
      <c r="G254" s="3">
        <f>ROUND(STDEV('2. Demand History'!O254:Z254),1)</f>
        <v>15.2</v>
      </c>
      <c r="H254" s="8">
        <f t="shared" si="10"/>
        <v>0.32</v>
      </c>
      <c r="I254" s="8">
        <f>ROUND(SUM('2. Demand History'!O254:Z254)/MAX(SUM('2. Demand History'!C254:N254),1),2)</f>
        <v>1.1000000000000001</v>
      </c>
      <c r="J254" s="5">
        <f>IF(D254="Yes",ROUND('2. Demand History'!O254*I254,0),ROUND(AVERAGE('2. Demand History'!X254:Z254),0))</f>
        <v>45</v>
      </c>
      <c r="K254" s="9">
        <f t="shared" si="11"/>
        <v>0.157</v>
      </c>
      <c r="L254" s="10">
        <f>ROUND(ABS('2. Demand History'!U254-IF($D254="Yes",'2. Demand History'!I254,AVERAGE('2. Demand History'!R254:T254)))/MAX('2. Demand History'!U254,1),3)</f>
        <v>0.27800000000000002</v>
      </c>
      <c r="M254" s="10">
        <f>ROUND(ABS('2. Demand History'!V254-IF($D254="Yes",'2. Demand History'!J254,AVERAGE('2. Demand History'!S254:U254)))/MAX('2. Demand History'!V254,1),3)</f>
        <v>0.182</v>
      </c>
      <c r="N254" s="10">
        <f>ROUND(ABS('2. Demand History'!W254-IF($D254="Yes",'2. Demand History'!K254,AVERAGE('2. Demand History'!T254:V254)))/MAX('2. Demand History'!W254,1),3)</f>
        <v>0.13900000000000001</v>
      </c>
      <c r="O254" s="10">
        <f>ROUND(ABS('2. Demand History'!X254-IF($D254="Yes",'2. Demand History'!L254,AVERAGE('2. Demand History'!U254:W254)))/MAX('2. Demand History'!X254,1),3)</f>
        <v>2.4E-2</v>
      </c>
      <c r="P254" s="10">
        <f>ROUND(ABS('2. Demand History'!Y254-IF($D254="Yes",'2. Demand History'!M254,AVERAGE('2. Demand History'!V254:X254)))/MAX('2. Demand History'!Y254,1),3)</f>
        <v>0.316</v>
      </c>
      <c r="Q254" s="10">
        <f>ROUND(ABS('2. Demand History'!Z254-IF($D254="Yes",'2. Demand History'!N254,AVERAGE('2. Demand History'!W254:Y254)))/MAX('2. Demand History'!Z254,1),3)</f>
        <v>0</v>
      </c>
    </row>
    <row r="255" spans="1:17" ht="15" customHeight="1" x14ac:dyDescent="0.2">
      <c r="A255" s="3" t="str">
        <f>'2. Demand History'!A255</f>
        <v>NT10251</v>
      </c>
      <c r="B255" s="1" t="str">
        <f>'2. Demand History'!B255</f>
        <v>ProMouse G975</v>
      </c>
      <c r="C255" s="3" t="str">
        <f>'1. Master Data'!C255</f>
        <v>Gaming</v>
      </c>
      <c r="D255" s="3" t="s">
        <v>1111</v>
      </c>
      <c r="E255" s="3" t="str">
        <f t="shared" si="9"/>
        <v>Seasonal Naive</v>
      </c>
      <c r="F255" s="3">
        <f>ROUND(AVERAGE('2. Demand History'!O255:Z255),1)</f>
        <v>54.3</v>
      </c>
      <c r="G255" s="3">
        <f>ROUND(STDEV('2. Demand History'!O255:Z255),1)</f>
        <v>14</v>
      </c>
      <c r="H255" s="8">
        <f t="shared" si="10"/>
        <v>0.26</v>
      </c>
      <c r="I255" s="8">
        <f>ROUND(SUM('2. Demand History'!O255:Z255)/MAX(SUM('2. Demand History'!C255:N255),1),2)</f>
        <v>1.05</v>
      </c>
      <c r="J255" s="5">
        <f>IF(D255="Yes",ROUND('2. Demand History'!O255*I255,0),ROUND(AVERAGE('2. Demand History'!X255:Z255),0))</f>
        <v>56</v>
      </c>
      <c r="K255" s="9">
        <f t="shared" si="11"/>
        <v>0.14000000000000001</v>
      </c>
      <c r="L255" s="10">
        <f>ROUND(ABS('2. Demand History'!U255-IF($D255="Yes",'2. Demand History'!I255,AVERAGE('2. Demand History'!R255:T255)))/MAX('2. Demand History'!U255,1),3)</f>
        <v>7.8E-2</v>
      </c>
      <c r="M255" s="10">
        <f>ROUND(ABS('2. Demand History'!V255-IF($D255="Yes",'2. Demand History'!J255,AVERAGE('2. Demand History'!S255:U255)))/MAX('2. Demand History'!V255,1),3)</f>
        <v>0.159</v>
      </c>
      <c r="N255" s="10">
        <f>ROUND(ABS('2. Demand History'!W255-IF($D255="Yes",'2. Demand History'!K255,AVERAGE('2. Demand History'!T255:V255)))/MAX('2. Demand History'!W255,1),3)</f>
        <v>0.23100000000000001</v>
      </c>
      <c r="O255" s="10">
        <f>ROUND(ABS('2. Demand History'!X255-IF($D255="Yes",'2. Demand History'!L255,AVERAGE('2. Demand History'!U255:W255)))/MAX('2. Demand History'!X255,1),3)</f>
        <v>0.14000000000000001</v>
      </c>
      <c r="P255" s="10">
        <f>ROUND(ABS('2. Demand History'!Y255-IF($D255="Yes",'2. Demand History'!M255,AVERAGE('2. Demand History'!V255:X255)))/MAX('2. Demand History'!Y255,1),3)</f>
        <v>9.4E-2</v>
      </c>
      <c r="Q255" s="10">
        <f>ROUND(ABS('2. Demand History'!Z255-IF($D255="Yes",'2. Demand History'!N255,AVERAGE('2. Demand History'!W255:Y255)))/MAX('2. Demand History'!Z255,1),3)</f>
        <v>0.13700000000000001</v>
      </c>
    </row>
    <row r="256" spans="1:17" ht="15" customHeight="1" x14ac:dyDescent="0.2">
      <c r="A256" s="3" t="str">
        <f>'2. Demand History'!A256</f>
        <v>NT10252</v>
      </c>
      <c r="B256" s="1" t="str">
        <f>'2. Demand History'!B256</f>
        <v>ProMouse G315</v>
      </c>
      <c r="C256" s="3" t="str">
        <f>'1. Master Data'!C256</f>
        <v>Gaming</v>
      </c>
      <c r="D256" s="3" t="s">
        <v>1111</v>
      </c>
      <c r="E256" s="3" t="str">
        <f t="shared" si="9"/>
        <v>Seasonal Naive</v>
      </c>
      <c r="F256" s="3">
        <f>ROUND(AVERAGE('2. Demand History'!O256:Z256),1)</f>
        <v>50.2</v>
      </c>
      <c r="G256" s="3">
        <f>ROUND(STDEV('2. Demand History'!O256:Z256),1)</f>
        <v>13.9</v>
      </c>
      <c r="H256" s="8">
        <f t="shared" si="10"/>
        <v>0.28000000000000003</v>
      </c>
      <c r="I256" s="8">
        <f>ROUND(SUM('2. Demand History'!O256:Z256)/MAX(SUM('2. Demand History'!C256:N256),1),2)</f>
        <v>1.02</v>
      </c>
      <c r="J256" s="5">
        <f>IF(D256="Yes",ROUND('2. Demand History'!O256*I256,0),ROUND(AVERAGE('2. Demand History'!X256:Z256),0))</f>
        <v>48</v>
      </c>
      <c r="K256" s="9">
        <f t="shared" si="11"/>
        <v>7.5999999999999998E-2</v>
      </c>
      <c r="L256" s="10">
        <f>ROUND(ABS('2. Demand History'!U256-IF($D256="Yes",'2. Demand History'!I256,AVERAGE('2. Demand History'!R256:T256)))/MAX('2. Demand History'!U256,1),3)</f>
        <v>5.7000000000000002E-2</v>
      </c>
      <c r="M256" s="10">
        <f>ROUND(ABS('2. Demand History'!V256-IF($D256="Yes",'2. Demand History'!J256,AVERAGE('2. Demand History'!S256:U256)))/MAX('2. Demand History'!V256,1),3)</f>
        <v>8.1000000000000003E-2</v>
      </c>
      <c r="N256" s="10">
        <f>ROUND(ABS('2. Demand History'!W256-IF($D256="Yes",'2. Demand History'!K256,AVERAGE('2. Demand History'!T256:V256)))/MAX('2. Demand History'!W256,1),3)</f>
        <v>9.5000000000000001E-2</v>
      </c>
      <c r="O256" s="10">
        <f>ROUND(ABS('2. Demand History'!X256-IF($D256="Yes",'2. Demand History'!L256,AVERAGE('2. Demand History'!U256:W256)))/MAX('2. Demand History'!X256,1),3)</f>
        <v>0.125</v>
      </c>
      <c r="P256" s="10">
        <f>ROUND(ABS('2. Demand History'!Y256-IF($D256="Yes",'2. Demand History'!M256,AVERAGE('2. Demand History'!V256:X256)))/MAX('2. Demand History'!Y256,1),3)</f>
        <v>2.1000000000000001E-2</v>
      </c>
      <c r="Q256" s="10">
        <f>ROUND(ABS('2. Demand History'!Z256-IF($D256="Yes",'2. Demand History'!N256,AVERAGE('2. Demand History'!W256:Y256)))/MAX('2. Demand History'!Z256,1),3)</f>
        <v>7.4999999999999997E-2</v>
      </c>
    </row>
    <row r="257" spans="1:17" ht="15" customHeight="1" x14ac:dyDescent="0.2">
      <c r="A257" s="3" t="str">
        <f>'2. Demand History'!A257</f>
        <v>NT10253</v>
      </c>
      <c r="B257" s="1" t="str">
        <f>'2. Demand History'!B257</f>
        <v>ArenaHeadset H710</v>
      </c>
      <c r="C257" s="3" t="str">
        <f>'1. Master Data'!C257</f>
        <v>Gaming</v>
      </c>
      <c r="D257" s="3" t="s">
        <v>1111</v>
      </c>
      <c r="E257" s="3" t="str">
        <f t="shared" si="9"/>
        <v>Seasonal Naive</v>
      </c>
      <c r="F257" s="3">
        <f>ROUND(AVERAGE('2. Demand History'!O257:Z257),1)</f>
        <v>45.1</v>
      </c>
      <c r="G257" s="3">
        <f>ROUND(STDEV('2. Demand History'!O257:Z257),1)</f>
        <v>8.5</v>
      </c>
      <c r="H257" s="8">
        <f t="shared" si="10"/>
        <v>0.19</v>
      </c>
      <c r="I257" s="8">
        <f>ROUND(SUM('2. Demand History'!O257:Z257)/MAX(SUM('2. Demand History'!C257:N257),1),2)</f>
        <v>0.99</v>
      </c>
      <c r="J257" s="5">
        <f>IF(D257="Yes",ROUND('2. Demand History'!O257*I257,0),ROUND(AVERAGE('2. Demand History'!X257:Z257),0))</f>
        <v>41</v>
      </c>
      <c r="K257" s="9">
        <f t="shared" si="11"/>
        <v>0.153</v>
      </c>
      <c r="L257" s="10">
        <f>ROUND(ABS('2. Demand History'!U257-IF($D257="Yes",'2. Demand History'!I257,AVERAGE('2. Demand History'!R257:T257)))/MAX('2. Demand History'!U257,1),3)</f>
        <v>0.214</v>
      </c>
      <c r="M257" s="10">
        <f>ROUND(ABS('2. Demand History'!V257-IF($D257="Yes",'2. Demand History'!J257,AVERAGE('2. Demand History'!S257:U257)))/MAX('2. Demand History'!V257,1),3)</f>
        <v>0.21099999999999999</v>
      </c>
      <c r="N257" s="10">
        <f>ROUND(ABS('2. Demand History'!W257-IF($D257="Yes",'2. Demand History'!K257,AVERAGE('2. Demand History'!T257:V257)))/MAX('2. Demand History'!W257,1),3)</f>
        <v>0.26800000000000002</v>
      </c>
      <c r="O257" s="10">
        <f>ROUND(ABS('2. Demand History'!X257-IF($D257="Yes",'2. Demand History'!L257,AVERAGE('2. Demand History'!U257:W257)))/MAX('2. Demand History'!X257,1),3)</f>
        <v>2.4E-2</v>
      </c>
      <c r="P257" s="10">
        <f>ROUND(ABS('2. Demand History'!Y257-IF($D257="Yes",'2. Demand History'!M257,AVERAGE('2. Demand History'!V257:X257)))/MAX('2. Demand History'!Y257,1),3)</f>
        <v>0.154</v>
      </c>
      <c r="Q257" s="10">
        <f>ROUND(ABS('2. Demand History'!Z257-IF($D257="Yes",'2. Demand History'!N257,AVERAGE('2. Demand History'!W257:Y257)))/MAX('2. Demand History'!Z257,1),3)</f>
        <v>4.3999999999999997E-2</v>
      </c>
    </row>
    <row r="258" spans="1:17" ht="15" customHeight="1" x14ac:dyDescent="0.2">
      <c r="A258" s="3" t="str">
        <f>'2. Demand History'!A258</f>
        <v>NT10254</v>
      </c>
      <c r="B258" s="1" t="str">
        <f>'2. Demand History'!B258</f>
        <v>ProMouse G406</v>
      </c>
      <c r="C258" s="3" t="str">
        <f>'1. Master Data'!C258</f>
        <v>Gaming</v>
      </c>
      <c r="D258" s="3" t="s">
        <v>1111</v>
      </c>
      <c r="E258" s="3" t="str">
        <f t="shared" si="9"/>
        <v>Seasonal Naive</v>
      </c>
      <c r="F258" s="3">
        <f>ROUND(AVERAGE('2. Demand History'!O258:Z258),1)</f>
        <v>210.4</v>
      </c>
      <c r="G258" s="3">
        <f>ROUND(STDEV('2. Demand History'!O258:Z258),1)</f>
        <v>66.599999999999994</v>
      </c>
      <c r="H258" s="8">
        <f t="shared" si="10"/>
        <v>0.32</v>
      </c>
      <c r="I258" s="8">
        <f>ROUND(SUM('2. Demand History'!O258:Z258)/MAX(SUM('2. Demand History'!C258:N258),1),2)</f>
        <v>1.03</v>
      </c>
      <c r="J258" s="5">
        <f>IF(D258="Yes",ROUND('2. Demand History'!O258*I258,0),ROUND(AVERAGE('2. Demand History'!X258:Z258),0))</f>
        <v>179</v>
      </c>
      <c r="K258" s="9">
        <f t="shared" si="11"/>
        <v>9.7000000000000003E-2</v>
      </c>
      <c r="L258" s="10">
        <f>ROUND(ABS('2. Demand History'!U258-IF($D258="Yes",'2. Demand History'!I258,AVERAGE('2. Demand History'!R258:T258)))/MAX('2. Demand History'!U258,1),3)</f>
        <v>4.5999999999999999E-2</v>
      </c>
      <c r="M258" s="10">
        <f>ROUND(ABS('2. Demand History'!V258-IF($D258="Yes",'2. Demand History'!J258,AVERAGE('2. Demand History'!S258:U258)))/MAX('2. Demand History'!V258,1),3)</f>
        <v>0.14399999999999999</v>
      </c>
      <c r="N258" s="10">
        <f>ROUND(ABS('2. Demand History'!W258-IF($D258="Yes",'2. Demand History'!K258,AVERAGE('2. Demand History'!T258:V258)))/MAX('2. Demand History'!W258,1),3)</f>
        <v>0.128</v>
      </c>
      <c r="O258" s="10">
        <f>ROUND(ABS('2. Demand History'!X258-IF($D258="Yes",'2. Demand History'!L258,AVERAGE('2. Demand History'!U258:W258)))/MAX('2. Demand History'!X258,1),3)</f>
        <v>0.23699999999999999</v>
      </c>
      <c r="P258" s="10">
        <f>ROUND(ABS('2. Demand History'!Y258-IF($D258="Yes",'2. Demand History'!M258,AVERAGE('2. Demand History'!V258:X258)))/MAX('2. Demand History'!Y258,1),3)</f>
        <v>5.0000000000000001E-3</v>
      </c>
      <c r="Q258" s="10">
        <f>ROUND(ABS('2. Demand History'!Z258-IF($D258="Yes",'2. Demand History'!N258,AVERAGE('2. Demand History'!W258:Y258)))/MAX('2. Demand History'!Z258,1),3)</f>
        <v>2.1999999999999999E-2</v>
      </c>
    </row>
    <row r="259" spans="1:17" ht="15" customHeight="1" x14ac:dyDescent="0.2">
      <c r="A259" s="3" t="str">
        <f>'2. Demand History'!A259</f>
        <v>NT10255</v>
      </c>
      <c r="B259" s="1" t="str">
        <f>'2. Demand History'!B259</f>
        <v>ProMouse G982</v>
      </c>
      <c r="C259" s="3" t="str">
        <f>'1. Master Data'!C259</f>
        <v>Gaming</v>
      </c>
      <c r="D259" s="3" t="s">
        <v>1111</v>
      </c>
      <c r="E259" s="3" t="str">
        <f t="shared" si="9"/>
        <v>Seasonal Naive</v>
      </c>
      <c r="F259" s="3">
        <f>ROUND(AVERAGE('2. Demand History'!O259:Z259),1)</f>
        <v>194.8</v>
      </c>
      <c r="G259" s="3">
        <f>ROUND(STDEV('2. Demand History'!O259:Z259),1)</f>
        <v>48</v>
      </c>
      <c r="H259" s="8">
        <f t="shared" si="10"/>
        <v>0.25</v>
      </c>
      <c r="I259" s="8">
        <f>ROUND(SUM('2. Demand History'!O259:Z259)/MAX(SUM('2. Demand History'!C259:N259),1),2)</f>
        <v>1.03</v>
      </c>
      <c r="J259" s="5">
        <f>IF(D259="Yes",ROUND('2. Demand History'!O259*I259,0),ROUND(AVERAGE('2. Demand History'!X259:Z259),0))</f>
        <v>194</v>
      </c>
      <c r="K259" s="9">
        <f t="shared" si="11"/>
        <v>0.124</v>
      </c>
      <c r="L259" s="10">
        <f>ROUND(ABS('2. Demand History'!U259-IF($D259="Yes",'2. Demand History'!I259,AVERAGE('2. Demand History'!R259:T259)))/MAX('2. Demand History'!U259,1),3)</f>
        <v>1.4E-2</v>
      </c>
      <c r="M259" s="10">
        <f>ROUND(ABS('2. Demand History'!V259-IF($D259="Yes",'2. Demand History'!J259,AVERAGE('2. Demand History'!S259:U259)))/MAX('2. Demand History'!V259,1),3)</f>
        <v>0</v>
      </c>
      <c r="N259" s="10">
        <f>ROUND(ABS('2. Demand History'!W259-IF($D259="Yes",'2. Demand History'!K259,AVERAGE('2. Demand History'!T259:V259)))/MAX('2. Demand History'!W259,1),3)</f>
        <v>7.8E-2</v>
      </c>
      <c r="O259" s="10">
        <f>ROUND(ABS('2. Demand History'!X259-IF($D259="Yes",'2. Demand History'!L259,AVERAGE('2. Demand History'!U259:W259)))/MAX('2. Demand History'!X259,1),3)</f>
        <v>0.115</v>
      </c>
      <c r="P259" s="10">
        <f>ROUND(ABS('2. Demand History'!Y259-IF($D259="Yes",'2. Demand History'!M259,AVERAGE('2. Demand History'!V259:X259)))/MAX('2. Demand History'!Y259,1),3)</f>
        <v>0.40899999999999997</v>
      </c>
      <c r="Q259" s="10">
        <f>ROUND(ABS('2. Demand History'!Z259-IF($D259="Yes",'2. Demand History'!N259,AVERAGE('2. Demand History'!W259:Y259)))/MAX('2. Demand History'!Z259,1),3)</f>
        <v>0.127</v>
      </c>
    </row>
    <row r="260" spans="1:17" ht="15" customHeight="1" x14ac:dyDescent="0.2">
      <c r="A260" s="3" t="str">
        <f>'2. Demand History'!A260</f>
        <v>NT10256</v>
      </c>
      <c r="B260" s="1" t="str">
        <f>'2. Demand History'!B260</f>
        <v>RGB Keyboard K272</v>
      </c>
      <c r="C260" s="3" t="str">
        <f>'1. Master Data'!C260</f>
        <v>Gaming</v>
      </c>
      <c r="D260" s="3" t="s">
        <v>1111</v>
      </c>
      <c r="E260" s="3" t="str">
        <f t="shared" si="9"/>
        <v>Seasonal Naive</v>
      </c>
      <c r="F260" s="3">
        <f>ROUND(AVERAGE('2. Demand History'!O260:Z260),1)</f>
        <v>155</v>
      </c>
      <c r="G260" s="3">
        <f>ROUND(STDEV('2. Demand History'!O260:Z260),1)</f>
        <v>37.9</v>
      </c>
      <c r="H260" s="8">
        <f t="shared" si="10"/>
        <v>0.24</v>
      </c>
      <c r="I260" s="8">
        <f>ROUND(SUM('2. Demand History'!O260:Z260)/MAX(SUM('2. Demand History'!C260:N260),1),2)</f>
        <v>1.02</v>
      </c>
      <c r="J260" s="5">
        <f>IF(D260="Yes",ROUND('2. Demand History'!O260*I260,0),ROUND(AVERAGE('2. Demand History'!X260:Z260),0))</f>
        <v>174</v>
      </c>
      <c r="K260" s="9">
        <f t="shared" si="11"/>
        <v>0.14099999999999999</v>
      </c>
      <c r="L260" s="10">
        <f>ROUND(ABS('2. Demand History'!U260-IF($D260="Yes",'2. Demand History'!I260,AVERAGE('2. Demand History'!R260:T260)))/MAX('2. Demand History'!U260,1),3)</f>
        <v>0.16900000000000001</v>
      </c>
      <c r="M260" s="10">
        <f>ROUND(ABS('2. Demand History'!V260-IF($D260="Yes",'2. Demand History'!J260,AVERAGE('2. Demand History'!S260:U260)))/MAX('2. Demand History'!V260,1),3)</f>
        <v>0.22900000000000001</v>
      </c>
      <c r="N260" s="10">
        <f>ROUND(ABS('2. Demand History'!W260-IF($D260="Yes",'2. Demand History'!K260,AVERAGE('2. Demand History'!T260:V260)))/MAX('2. Demand History'!W260,1),3)</f>
        <v>6.6000000000000003E-2</v>
      </c>
      <c r="O260" s="10">
        <f>ROUND(ABS('2. Demand History'!X260-IF($D260="Yes",'2. Demand History'!L260,AVERAGE('2. Demand History'!U260:W260)))/MAX('2. Demand History'!X260,1),3)</f>
        <v>0.11899999999999999</v>
      </c>
      <c r="P260" s="10">
        <f>ROUND(ABS('2. Demand History'!Y260-IF($D260="Yes",'2. Demand History'!M260,AVERAGE('2. Demand History'!V260:X260)))/MAX('2. Demand History'!Y260,1),3)</f>
        <v>0.03</v>
      </c>
      <c r="Q260" s="10">
        <f>ROUND(ABS('2. Demand History'!Z260-IF($D260="Yes",'2. Demand History'!N260,AVERAGE('2. Demand History'!W260:Y260)))/MAX('2. Demand History'!Z260,1),3)</f>
        <v>0.23100000000000001</v>
      </c>
    </row>
    <row r="261" spans="1:17" ht="15" customHeight="1" x14ac:dyDescent="0.2">
      <c r="A261" s="3" t="str">
        <f>'2. Demand History'!A261</f>
        <v>NT10257</v>
      </c>
      <c r="B261" s="1" t="str">
        <f>'2. Demand History'!B261</f>
        <v>RGB Keyboard K999</v>
      </c>
      <c r="C261" s="3" t="str">
        <f>'1. Master Data'!C261</f>
        <v>Gaming</v>
      </c>
      <c r="D261" s="3" t="s">
        <v>1111</v>
      </c>
      <c r="E261" s="3" t="str">
        <f t="shared" ref="E261:E324" si="12">IF(D261="Yes","Seasonal Naive","Moving Avg 3")</f>
        <v>Seasonal Naive</v>
      </c>
      <c r="F261" s="3">
        <f>ROUND(AVERAGE('2. Demand History'!O261:Z261),1)</f>
        <v>196.1</v>
      </c>
      <c r="G261" s="3">
        <f>ROUND(STDEV('2. Demand History'!O261:Z261),1)</f>
        <v>62</v>
      </c>
      <c r="H261" s="8">
        <f t="shared" ref="H261:H324" si="13">IF(F261=0,0,ROUND(G261/F261,2))</f>
        <v>0.32</v>
      </c>
      <c r="I261" s="8">
        <f>ROUND(SUM('2. Demand History'!O261:Z261)/MAX(SUM('2. Demand History'!C261:N261),1),2)</f>
        <v>1.1299999999999999</v>
      </c>
      <c r="J261" s="5">
        <f>IF(D261="Yes",ROUND('2. Demand History'!O261*I261,0),ROUND(AVERAGE('2. Demand History'!X261:Z261),0))</f>
        <v>228</v>
      </c>
      <c r="K261" s="9">
        <f t="shared" ref="K261:K324" si="14">ROUND(AVERAGE(L261:Q261),3)</f>
        <v>0.113</v>
      </c>
      <c r="L261" s="10">
        <f>ROUND(ABS('2. Demand History'!U261-IF($D261="Yes",'2. Demand History'!I261,AVERAGE('2. Demand History'!R261:T261)))/MAX('2. Demand History'!U261,1),3)</f>
        <v>0.16</v>
      </c>
      <c r="M261" s="10">
        <f>ROUND(ABS('2. Demand History'!V261-IF($D261="Yes",'2. Demand History'!J261,AVERAGE('2. Demand History'!S261:U261)))/MAX('2. Demand History'!V261,1),3)</f>
        <v>5.8000000000000003E-2</v>
      </c>
      <c r="N261" s="10">
        <f>ROUND(ABS('2. Demand History'!W261-IF($D261="Yes",'2. Demand History'!K261,AVERAGE('2. Demand History'!T261:V261)))/MAX('2. Demand History'!W261,1),3)</f>
        <v>5.5E-2</v>
      </c>
      <c r="O261" s="10">
        <f>ROUND(ABS('2. Demand History'!X261-IF($D261="Yes",'2. Demand History'!L261,AVERAGE('2. Demand History'!U261:W261)))/MAX('2. Demand History'!X261,1),3)</f>
        <v>0.15</v>
      </c>
      <c r="P261" s="10">
        <f>ROUND(ABS('2. Demand History'!Y261-IF($D261="Yes",'2. Demand History'!M261,AVERAGE('2. Demand History'!V261:X261)))/MAX('2. Demand History'!Y261,1),3)</f>
        <v>0.20799999999999999</v>
      </c>
      <c r="Q261" s="10">
        <f>ROUND(ABS('2. Demand History'!Z261-IF($D261="Yes",'2. Demand History'!N261,AVERAGE('2. Demand History'!W261:Y261)))/MAX('2. Demand History'!Z261,1),3)</f>
        <v>4.9000000000000002E-2</v>
      </c>
    </row>
    <row r="262" spans="1:17" ht="15" customHeight="1" x14ac:dyDescent="0.2">
      <c r="A262" s="3" t="str">
        <f>'2. Demand History'!A262</f>
        <v>NT10258</v>
      </c>
      <c r="B262" s="1" t="str">
        <f>'2. Demand History'!B262</f>
        <v>StreamCam S379</v>
      </c>
      <c r="C262" s="3" t="str">
        <f>'1. Master Data'!C262</f>
        <v>Gaming</v>
      </c>
      <c r="D262" s="3" t="s">
        <v>1111</v>
      </c>
      <c r="E262" s="3" t="str">
        <f t="shared" si="12"/>
        <v>Seasonal Naive</v>
      </c>
      <c r="F262" s="3">
        <f>ROUND(AVERAGE('2. Demand History'!O262:Z262),1)</f>
        <v>67.8</v>
      </c>
      <c r="G262" s="3">
        <f>ROUND(STDEV('2. Demand History'!O262:Z262),1)</f>
        <v>17.7</v>
      </c>
      <c r="H262" s="8">
        <f t="shared" si="13"/>
        <v>0.26</v>
      </c>
      <c r="I262" s="8">
        <f>ROUND(SUM('2. Demand History'!O262:Z262)/MAX(SUM('2. Demand History'!C262:N262),1),2)</f>
        <v>1.07</v>
      </c>
      <c r="J262" s="5">
        <f>IF(D262="Yes",ROUND('2. Demand History'!O262*I262,0),ROUND(AVERAGE('2. Demand History'!X262:Z262),0))</f>
        <v>60</v>
      </c>
      <c r="K262" s="9">
        <f t="shared" si="14"/>
        <v>0.1</v>
      </c>
      <c r="L262" s="10">
        <f>ROUND(ABS('2. Demand History'!U262-IF($D262="Yes",'2. Demand History'!I262,AVERAGE('2. Demand History'!R262:T262)))/MAX('2. Demand History'!U262,1),3)</f>
        <v>0.11</v>
      </c>
      <c r="M262" s="10">
        <f>ROUND(ABS('2. Demand History'!V262-IF($D262="Yes",'2. Demand History'!J262,AVERAGE('2. Demand History'!S262:U262)))/MAX('2. Demand History'!V262,1),3)</f>
        <v>4.1000000000000002E-2</v>
      </c>
      <c r="N262" s="10">
        <f>ROUND(ABS('2. Demand History'!W262-IF($D262="Yes",'2. Demand History'!K262,AVERAGE('2. Demand History'!T262:V262)))/MAX('2. Demand History'!W262,1),3)</f>
        <v>7.3999999999999996E-2</v>
      </c>
      <c r="O262" s="10">
        <f>ROUND(ABS('2. Demand History'!X262-IF($D262="Yes",'2. Demand History'!L262,AVERAGE('2. Demand History'!U262:W262)))/MAX('2. Demand History'!X262,1),3)</f>
        <v>0.127</v>
      </c>
      <c r="P262" s="10">
        <f>ROUND(ABS('2. Demand History'!Y262-IF($D262="Yes",'2. Demand History'!M262,AVERAGE('2. Demand History'!V262:X262)))/MAX('2. Demand History'!Y262,1),3)</f>
        <v>9.8000000000000004E-2</v>
      </c>
      <c r="Q262" s="10">
        <f>ROUND(ABS('2. Demand History'!Z262-IF($D262="Yes",'2. Demand History'!N262,AVERAGE('2. Demand History'!W262:Y262)))/MAX('2. Demand History'!Z262,1),3)</f>
        <v>0.151</v>
      </c>
    </row>
    <row r="263" spans="1:17" ht="15" customHeight="1" x14ac:dyDescent="0.2">
      <c r="A263" s="3" t="str">
        <f>'2. Demand History'!A263</f>
        <v>NT10259</v>
      </c>
      <c r="B263" s="1" t="str">
        <f>'2. Demand History'!B263</f>
        <v>StreamCam S482</v>
      </c>
      <c r="C263" s="3" t="str">
        <f>'1. Master Data'!C263</f>
        <v>Gaming</v>
      </c>
      <c r="D263" s="3" t="s">
        <v>1111</v>
      </c>
      <c r="E263" s="3" t="str">
        <f t="shared" si="12"/>
        <v>Seasonal Naive</v>
      </c>
      <c r="F263" s="3">
        <f>ROUND(AVERAGE('2. Demand History'!O263:Z263),1)</f>
        <v>35.799999999999997</v>
      </c>
      <c r="G263" s="3">
        <f>ROUND(STDEV('2. Demand History'!O263:Z263),1)</f>
        <v>10.7</v>
      </c>
      <c r="H263" s="8">
        <f t="shared" si="13"/>
        <v>0.3</v>
      </c>
      <c r="I263" s="8">
        <f>ROUND(SUM('2. Demand History'!O263:Z263)/MAX(SUM('2. Demand History'!C263:N263),1),2)</f>
        <v>0.95</v>
      </c>
      <c r="J263" s="5">
        <f>IF(D263="Yes",ROUND('2. Demand History'!O263*I263,0),ROUND(AVERAGE('2. Demand History'!X263:Z263),0))</f>
        <v>30</v>
      </c>
      <c r="K263" s="9">
        <f t="shared" si="14"/>
        <v>0.121</v>
      </c>
      <c r="L263" s="10">
        <f>ROUND(ABS('2. Demand History'!U263-IF($D263="Yes",'2. Demand History'!I263,AVERAGE('2. Demand History'!R263:T263)))/MAX('2. Demand History'!U263,1),3)</f>
        <v>9.5000000000000001E-2</v>
      </c>
      <c r="M263" s="10">
        <f>ROUND(ABS('2. Demand History'!V263-IF($D263="Yes",'2. Demand History'!J263,AVERAGE('2. Demand History'!S263:U263)))/MAX('2. Demand History'!V263,1),3)</f>
        <v>7.6999999999999999E-2</v>
      </c>
      <c r="N263" s="10">
        <f>ROUND(ABS('2. Demand History'!W263-IF($D263="Yes",'2. Demand History'!K263,AVERAGE('2. Demand History'!T263:V263)))/MAX('2. Demand History'!W263,1),3)</f>
        <v>0.217</v>
      </c>
      <c r="O263" s="10">
        <f>ROUND(ABS('2. Demand History'!X263-IF($D263="Yes",'2. Demand History'!L263,AVERAGE('2. Demand History'!U263:W263)))/MAX('2. Demand History'!X263,1),3)</f>
        <v>0.25</v>
      </c>
      <c r="P263" s="10">
        <f>ROUND(ABS('2. Demand History'!Y263-IF($D263="Yes",'2. Demand History'!M263,AVERAGE('2. Demand History'!V263:X263)))/MAX('2. Demand History'!Y263,1),3)</f>
        <v>2.9000000000000001E-2</v>
      </c>
      <c r="Q263" s="10">
        <f>ROUND(ABS('2. Demand History'!Z263-IF($D263="Yes",'2. Demand History'!N263,AVERAGE('2. Demand History'!W263:Y263)))/MAX('2. Demand History'!Z263,1),3)</f>
        <v>5.8999999999999997E-2</v>
      </c>
    </row>
    <row r="264" spans="1:17" ht="15" customHeight="1" x14ac:dyDescent="0.2">
      <c r="A264" s="3" t="str">
        <f>'2. Demand History'!A264</f>
        <v>NT10260</v>
      </c>
      <c r="B264" s="1" t="str">
        <f>'2. Demand History'!B264</f>
        <v>ArenaHeadset H428</v>
      </c>
      <c r="C264" s="3" t="str">
        <f>'1. Master Data'!C264</f>
        <v>Gaming</v>
      </c>
      <c r="D264" s="3" t="s">
        <v>1111</v>
      </c>
      <c r="E264" s="3" t="str">
        <f t="shared" si="12"/>
        <v>Seasonal Naive</v>
      </c>
      <c r="F264" s="3">
        <f>ROUND(AVERAGE('2. Demand History'!O264:Z264),1)</f>
        <v>165.4</v>
      </c>
      <c r="G264" s="3">
        <f>ROUND(STDEV('2. Demand History'!O264:Z264),1)</f>
        <v>51</v>
      </c>
      <c r="H264" s="8">
        <f t="shared" si="13"/>
        <v>0.31</v>
      </c>
      <c r="I264" s="8">
        <f>ROUND(SUM('2. Demand History'!O264:Z264)/MAX(SUM('2. Demand History'!C264:N264),1),2)</f>
        <v>1.08</v>
      </c>
      <c r="J264" s="5">
        <f>IF(D264="Yes",ROUND('2. Demand History'!O264*I264,0),ROUND(AVERAGE('2. Demand History'!X264:Z264),0))</f>
        <v>151</v>
      </c>
      <c r="K264" s="9">
        <f t="shared" si="14"/>
        <v>0.108</v>
      </c>
      <c r="L264" s="10">
        <f>ROUND(ABS('2. Demand History'!U264-IF($D264="Yes",'2. Demand History'!I264,AVERAGE('2. Demand History'!R264:T264)))/MAX('2. Demand History'!U264,1),3)</f>
        <v>0.04</v>
      </c>
      <c r="M264" s="10">
        <f>ROUND(ABS('2. Demand History'!V264-IF($D264="Yes",'2. Demand History'!J264,AVERAGE('2. Demand History'!S264:U264)))/MAX('2. Demand History'!V264,1),3)</f>
        <v>0.154</v>
      </c>
      <c r="N264" s="10">
        <f>ROUND(ABS('2. Demand History'!W264-IF($D264="Yes",'2. Demand History'!K264,AVERAGE('2. Demand History'!T264:V264)))/MAX('2. Demand History'!W264,1),3)</f>
        <v>0.13600000000000001</v>
      </c>
      <c r="O264" s="10">
        <f>ROUND(ABS('2. Demand History'!X264-IF($D264="Yes",'2. Demand History'!L264,AVERAGE('2. Demand History'!U264:W264)))/MAX('2. Demand History'!X264,1),3)</f>
        <v>0.105</v>
      </c>
      <c r="P264" s="10">
        <f>ROUND(ABS('2. Demand History'!Y264-IF($D264="Yes",'2. Demand History'!M264,AVERAGE('2. Demand History'!V264:X264)))/MAX('2. Demand History'!Y264,1),3)</f>
        <v>0.20499999999999999</v>
      </c>
      <c r="Q264" s="10">
        <f>ROUND(ABS('2. Demand History'!Z264-IF($D264="Yes",'2. Demand History'!N264,AVERAGE('2. Demand History'!W264:Y264)))/MAX('2. Demand History'!Z264,1),3)</f>
        <v>7.0000000000000001E-3</v>
      </c>
    </row>
    <row r="265" spans="1:17" ht="15" customHeight="1" x14ac:dyDescent="0.2">
      <c r="A265" s="3" t="str">
        <f>'2. Demand History'!A265</f>
        <v>NT10261</v>
      </c>
      <c r="B265" s="1" t="str">
        <f>'2. Demand History'!B265</f>
        <v>ProMouse G434</v>
      </c>
      <c r="C265" s="3" t="str">
        <f>'1. Master Data'!C265</f>
        <v>Gaming</v>
      </c>
      <c r="D265" s="3" t="s">
        <v>1111</v>
      </c>
      <c r="E265" s="3" t="str">
        <f t="shared" si="12"/>
        <v>Seasonal Naive</v>
      </c>
      <c r="F265" s="3">
        <f>ROUND(AVERAGE('2. Demand History'!O265:Z265),1)</f>
        <v>48.6</v>
      </c>
      <c r="G265" s="3">
        <f>ROUND(STDEV('2. Demand History'!O265:Z265),1)</f>
        <v>14.4</v>
      </c>
      <c r="H265" s="8">
        <f t="shared" si="13"/>
        <v>0.3</v>
      </c>
      <c r="I265" s="8">
        <f>ROUND(SUM('2. Demand History'!O265:Z265)/MAX(SUM('2. Demand History'!C265:N265),1),2)</f>
        <v>1.1200000000000001</v>
      </c>
      <c r="J265" s="5">
        <f>IF(D265="Yes",ROUND('2. Demand History'!O265*I265,0),ROUND(AVERAGE('2. Demand History'!X265:Z265),0))</f>
        <v>48</v>
      </c>
      <c r="K265" s="9">
        <f t="shared" si="14"/>
        <v>0.20599999999999999</v>
      </c>
      <c r="L265" s="10">
        <f>ROUND(ABS('2. Demand History'!U265-IF($D265="Yes",'2. Demand History'!I265,AVERAGE('2. Demand History'!R265:T265)))/MAX('2. Demand History'!U265,1),3)</f>
        <v>0.108</v>
      </c>
      <c r="M265" s="10">
        <f>ROUND(ABS('2. Demand History'!V265-IF($D265="Yes",'2. Demand History'!J265,AVERAGE('2. Demand History'!S265:U265)))/MAX('2. Demand History'!V265,1),3)</f>
        <v>0.35</v>
      </c>
      <c r="N265" s="10">
        <f>ROUND(ABS('2. Demand History'!W265-IF($D265="Yes",'2. Demand History'!K265,AVERAGE('2. Demand History'!T265:V265)))/MAX('2. Demand History'!W265,1),3)</f>
        <v>0.318</v>
      </c>
      <c r="O265" s="10">
        <f>ROUND(ABS('2. Demand History'!X265-IF($D265="Yes",'2. Demand History'!L265,AVERAGE('2. Demand History'!U265:W265)))/MAX('2. Demand History'!X265,1),3)</f>
        <v>5.3999999999999999E-2</v>
      </c>
      <c r="P265" s="10">
        <f>ROUND(ABS('2. Demand History'!Y265-IF($D265="Yes",'2. Demand History'!M265,AVERAGE('2. Demand History'!V265:X265)))/MAX('2. Demand History'!Y265,1),3)</f>
        <v>0.33300000000000002</v>
      </c>
      <c r="Q265" s="10">
        <f>ROUND(ABS('2. Demand History'!Z265-IF($D265="Yes",'2. Demand History'!N265,AVERAGE('2. Demand History'!W265:Y265)))/MAX('2. Demand History'!Z265,1),3)</f>
        <v>7.0999999999999994E-2</v>
      </c>
    </row>
    <row r="266" spans="1:17" ht="15" customHeight="1" x14ac:dyDescent="0.2">
      <c r="A266" s="3" t="str">
        <f>'2. Demand History'!A266</f>
        <v>NT10262</v>
      </c>
      <c r="B266" s="1" t="str">
        <f>'2. Demand History'!B266</f>
        <v>GameStation Controller 179</v>
      </c>
      <c r="C266" s="3" t="str">
        <f>'1. Master Data'!C266</f>
        <v>Gaming</v>
      </c>
      <c r="D266" s="3" t="s">
        <v>1111</v>
      </c>
      <c r="E266" s="3" t="str">
        <f t="shared" si="12"/>
        <v>Seasonal Naive</v>
      </c>
      <c r="F266" s="3">
        <f>ROUND(AVERAGE('2. Demand History'!O266:Z266),1)</f>
        <v>210</v>
      </c>
      <c r="G266" s="3">
        <f>ROUND(STDEV('2. Demand History'!O266:Z266),1)</f>
        <v>55.7</v>
      </c>
      <c r="H266" s="8">
        <f t="shared" si="13"/>
        <v>0.27</v>
      </c>
      <c r="I266" s="8">
        <f>ROUND(SUM('2. Demand History'!O266:Z266)/MAX(SUM('2. Demand History'!C266:N266),1),2)</f>
        <v>1.08</v>
      </c>
      <c r="J266" s="5">
        <f>IF(D266="Yes",ROUND('2. Demand History'!O266*I266,0),ROUND(AVERAGE('2. Demand History'!X266:Z266),0))</f>
        <v>204</v>
      </c>
      <c r="K266" s="9">
        <f t="shared" si="14"/>
        <v>0.11600000000000001</v>
      </c>
      <c r="L266" s="10">
        <f>ROUND(ABS('2. Demand History'!U266-IF($D266="Yes",'2. Demand History'!I266,AVERAGE('2. Demand History'!R266:T266)))/MAX('2. Demand History'!U266,1),3)</f>
        <v>3.2000000000000001E-2</v>
      </c>
      <c r="M266" s="10">
        <f>ROUND(ABS('2. Demand History'!V266-IF($D266="Yes",'2. Demand History'!J266,AVERAGE('2. Demand History'!S266:U266)))/MAX('2. Demand History'!V266,1),3)</f>
        <v>0.128</v>
      </c>
      <c r="N266" s="10">
        <f>ROUND(ABS('2. Demand History'!W266-IF($D266="Yes",'2. Demand History'!K266,AVERAGE('2. Demand History'!T266:V266)))/MAX('2. Demand History'!W266,1),3)</f>
        <v>0.26100000000000001</v>
      </c>
      <c r="O266" s="10">
        <f>ROUND(ABS('2. Demand History'!X266-IF($D266="Yes",'2. Demand History'!L266,AVERAGE('2. Demand History'!U266:W266)))/MAX('2. Demand History'!X266,1),3)</f>
        <v>6.9000000000000006E-2</v>
      </c>
      <c r="P266" s="10">
        <f>ROUND(ABS('2. Demand History'!Y266-IF($D266="Yes",'2. Demand History'!M266,AVERAGE('2. Demand History'!V266:X266)))/MAX('2. Demand History'!Y266,1),3)</f>
        <v>0.11600000000000001</v>
      </c>
      <c r="Q266" s="10">
        <f>ROUND(ABS('2. Demand History'!Z266-IF($D266="Yes",'2. Demand History'!N266,AVERAGE('2. Demand History'!W266:Y266)))/MAX('2. Demand History'!Z266,1),3)</f>
        <v>8.8999999999999996E-2</v>
      </c>
    </row>
    <row r="267" spans="1:17" ht="15" customHeight="1" x14ac:dyDescent="0.2">
      <c r="A267" s="3" t="str">
        <f>'2. Demand History'!A267</f>
        <v>NT10263</v>
      </c>
      <c r="B267" s="1" t="str">
        <f>'2. Demand History'!B267</f>
        <v>StreamCam S540</v>
      </c>
      <c r="C267" s="3" t="str">
        <f>'1. Master Data'!C267</f>
        <v>Gaming</v>
      </c>
      <c r="D267" s="3" t="s">
        <v>1111</v>
      </c>
      <c r="E267" s="3" t="str">
        <f t="shared" si="12"/>
        <v>Seasonal Naive</v>
      </c>
      <c r="F267" s="3">
        <f>ROUND(AVERAGE('2. Demand History'!O267:Z267),1)</f>
        <v>40.6</v>
      </c>
      <c r="G267" s="3">
        <f>ROUND(STDEV('2. Demand History'!O267:Z267),1)</f>
        <v>12.2</v>
      </c>
      <c r="H267" s="8">
        <f t="shared" si="13"/>
        <v>0.3</v>
      </c>
      <c r="I267" s="8">
        <f>ROUND(SUM('2. Demand History'!O267:Z267)/MAX(SUM('2. Demand History'!C267:N267),1),2)</f>
        <v>1.02</v>
      </c>
      <c r="J267" s="5">
        <f>IF(D267="Yes",ROUND('2. Demand History'!O267*I267,0),ROUND(AVERAGE('2. Demand History'!X267:Z267),0))</f>
        <v>34</v>
      </c>
      <c r="K267" s="9">
        <f t="shared" si="14"/>
        <v>0.11899999999999999</v>
      </c>
      <c r="L267" s="10">
        <f>ROUND(ABS('2. Demand History'!U267-IF($D267="Yes",'2. Demand History'!I267,AVERAGE('2. Demand History'!R267:T267)))/MAX('2. Demand History'!U267,1),3)</f>
        <v>0.122</v>
      </c>
      <c r="M267" s="10">
        <f>ROUND(ABS('2. Demand History'!V267-IF($D267="Yes",'2. Demand History'!J267,AVERAGE('2. Demand History'!S267:U267)))/MAX('2. Demand History'!V267,1),3)</f>
        <v>3.1E-2</v>
      </c>
      <c r="N267" s="10">
        <f>ROUND(ABS('2. Demand History'!W267-IF($D267="Yes",'2. Demand History'!K267,AVERAGE('2. Demand History'!T267:V267)))/MAX('2. Demand History'!W267,1),3)</f>
        <v>0.17899999999999999</v>
      </c>
      <c r="O267" s="10">
        <f>ROUND(ABS('2. Demand History'!X267-IF($D267="Yes",'2. Demand History'!L267,AVERAGE('2. Demand History'!U267:W267)))/MAX('2. Demand History'!X267,1),3)</f>
        <v>0.125</v>
      </c>
      <c r="P267" s="10">
        <f>ROUND(ABS('2. Demand History'!Y267-IF($D267="Yes",'2. Demand History'!M267,AVERAGE('2. Demand History'!V267:X267)))/MAX('2. Demand History'!Y267,1),3)</f>
        <v>8.1000000000000003E-2</v>
      </c>
      <c r="Q267" s="10">
        <f>ROUND(ABS('2. Demand History'!Z267-IF($D267="Yes",'2. Demand History'!N267,AVERAGE('2. Demand History'!W267:Y267)))/MAX('2. Demand History'!Z267,1),3)</f>
        <v>0.17799999999999999</v>
      </c>
    </row>
    <row r="268" spans="1:17" ht="15" customHeight="1" x14ac:dyDescent="0.2">
      <c r="A268" s="3" t="str">
        <f>'2. Demand History'!A268</f>
        <v>NT10264</v>
      </c>
      <c r="B268" s="1" t="str">
        <f>'2. Demand History'!B268</f>
        <v>ArenaHeadset H746</v>
      </c>
      <c r="C268" s="3" t="str">
        <f>'1. Master Data'!C268</f>
        <v>Gaming</v>
      </c>
      <c r="D268" s="3" t="s">
        <v>1111</v>
      </c>
      <c r="E268" s="3" t="str">
        <f t="shared" si="12"/>
        <v>Seasonal Naive</v>
      </c>
      <c r="F268" s="3">
        <f>ROUND(AVERAGE('2. Demand History'!O268:Z268),1)</f>
        <v>51.6</v>
      </c>
      <c r="G268" s="3">
        <f>ROUND(STDEV('2. Demand History'!O268:Z268),1)</f>
        <v>18.2</v>
      </c>
      <c r="H268" s="8">
        <f t="shared" si="13"/>
        <v>0.35</v>
      </c>
      <c r="I268" s="8">
        <f>ROUND(SUM('2. Demand History'!O268:Z268)/MAX(SUM('2. Demand History'!C268:N268),1),2)</f>
        <v>1.1399999999999999</v>
      </c>
      <c r="J268" s="5">
        <f>IF(D268="Yes",ROUND('2. Demand History'!O268*I268,0),ROUND(AVERAGE('2. Demand History'!X268:Z268),0))</f>
        <v>54</v>
      </c>
      <c r="K268" s="9">
        <f t="shared" si="14"/>
        <v>0.16900000000000001</v>
      </c>
      <c r="L268" s="10">
        <f>ROUND(ABS('2. Demand History'!U268-IF($D268="Yes",'2. Demand History'!I268,AVERAGE('2. Demand History'!R268:T268)))/MAX('2. Demand History'!U268,1),3)</f>
        <v>0.30099999999999999</v>
      </c>
      <c r="M268" s="10">
        <f>ROUND(ABS('2. Demand History'!V268-IF($D268="Yes",'2. Demand History'!J268,AVERAGE('2. Demand History'!S268:U268)))/MAX('2. Demand History'!V268,1),3)</f>
        <v>0.25700000000000001</v>
      </c>
      <c r="N268" s="10">
        <f>ROUND(ABS('2. Demand History'!W268-IF($D268="Yes",'2. Demand History'!K268,AVERAGE('2. Demand History'!T268:V268)))/MAX('2. Demand History'!W268,1),3)</f>
        <v>7.0000000000000007E-2</v>
      </c>
      <c r="O268" s="10">
        <f>ROUND(ABS('2. Demand History'!X268-IF($D268="Yes",'2. Demand History'!L268,AVERAGE('2. Demand History'!U268:W268)))/MAX('2. Demand History'!X268,1),3)</f>
        <v>2.1000000000000001E-2</v>
      </c>
      <c r="P268" s="10">
        <f>ROUND(ABS('2. Demand History'!Y268-IF($D268="Yes",'2. Demand History'!M268,AVERAGE('2. Demand History'!V268:X268)))/MAX('2. Demand History'!Y268,1),3)</f>
        <v>0.17399999999999999</v>
      </c>
      <c r="Q268" s="10">
        <f>ROUND(ABS('2. Demand History'!Z268-IF($D268="Yes",'2. Demand History'!N268,AVERAGE('2. Demand History'!W268:Y268)))/MAX('2. Demand History'!Z268,1),3)</f>
        <v>0.189</v>
      </c>
    </row>
    <row r="269" spans="1:17" ht="15" customHeight="1" x14ac:dyDescent="0.2">
      <c r="A269" s="3" t="str">
        <f>'2. Demand History'!A269</f>
        <v>NT10265</v>
      </c>
      <c r="B269" s="1" t="str">
        <f>'2. Demand History'!B269</f>
        <v>GameStation Controller 214</v>
      </c>
      <c r="C269" s="3" t="str">
        <f>'1. Master Data'!C269</f>
        <v>Gaming</v>
      </c>
      <c r="D269" s="3" t="s">
        <v>1111</v>
      </c>
      <c r="E269" s="3" t="str">
        <f t="shared" si="12"/>
        <v>Seasonal Naive</v>
      </c>
      <c r="F269" s="3">
        <f>ROUND(AVERAGE('2. Demand History'!O269:Z269),1)</f>
        <v>14.3</v>
      </c>
      <c r="G269" s="3">
        <f>ROUND(STDEV('2. Demand History'!O269:Z269),1)</f>
        <v>4.2</v>
      </c>
      <c r="H269" s="8">
        <f t="shared" si="13"/>
        <v>0.28999999999999998</v>
      </c>
      <c r="I269" s="8">
        <f>ROUND(SUM('2. Demand History'!O269:Z269)/MAX(SUM('2. Demand History'!C269:N269),1),2)</f>
        <v>1.01</v>
      </c>
      <c r="J269" s="5">
        <f>IF(D269="Yes",ROUND('2. Demand History'!O269*I269,0),ROUND(AVERAGE('2. Demand History'!X269:Z269),0))</f>
        <v>12</v>
      </c>
      <c r="K269" s="9">
        <f t="shared" si="14"/>
        <v>0.14099999999999999</v>
      </c>
      <c r="L269" s="10">
        <f>ROUND(ABS('2. Demand History'!U269-IF($D269="Yes",'2. Demand History'!I269,AVERAGE('2. Demand History'!R269:T269)))/MAX('2. Demand History'!U269,1),3)</f>
        <v>4.2000000000000003E-2</v>
      </c>
      <c r="M269" s="10">
        <f>ROUND(ABS('2. Demand History'!V269-IF($D269="Yes",'2. Demand History'!J269,AVERAGE('2. Demand History'!S269:U269)))/MAX('2. Demand History'!V269,1),3)</f>
        <v>0.111</v>
      </c>
      <c r="N269" s="10">
        <f>ROUND(ABS('2. Demand History'!W269-IF($D269="Yes",'2. Demand History'!K269,AVERAGE('2. Demand History'!T269:V269)))/MAX('2. Demand History'!W269,1),3)</f>
        <v>0.214</v>
      </c>
      <c r="O269" s="10">
        <f>ROUND(ABS('2. Demand History'!X269-IF($D269="Yes",'2. Demand History'!L269,AVERAGE('2. Demand History'!U269:W269)))/MAX('2. Demand History'!X269,1),3)</f>
        <v>8.3000000000000004E-2</v>
      </c>
      <c r="P269" s="10">
        <f>ROUND(ABS('2. Demand History'!Y269-IF($D269="Yes",'2. Demand History'!M269,AVERAGE('2. Demand History'!V269:X269)))/MAX('2. Demand History'!Y269,1),3)</f>
        <v>0.33300000000000002</v>
      </c>
      <c r="Q269" s="10">
        <f>ROUND(ABS('2. Demand History'!Z269-IF($D269="Yes",'2. Demand History'!N269,AVERAGE('2. Demand History'!W269:Y269)))/MAX('2. Demand History'!Z269,1),3)</f>
        <v>6.3E-2</v>
      </c>
    </row>
    <row r="270" spans="1:17" ht="15" customHeight="1" x14ac:dyDescent="0.2">
      <c r="A270" s="3" t="str">
        <f>'2. Demand History'!A270</f>
        <v>NT10266</v>
      </c>
      <c r="B270" s="1" t="str">
        <f>'2. Demand History'!B270</f>
        <v>GameStation Controller 667</v>
      </c>
      <c r="C270" s="3" t="str">
        <f>'1. Master Data'!C270</f>
        <v>Gaming</v>
      </c>
      <c r="D270" s="3" t="s">
        <v>1111</v>
      </c>
      <c r="E270" s="3" t="str">
        <f t="shared" si="12"/>
        <v>Seasonal Naive</v>
      </c>
      <c r="F270" s="3">
        <f>ROUND(AVERAGE('2. Demand History'!O270:Z270),1)</f>
        <v>329.8</v>
      </c>
      <c r="G270" s="3">
        <f>ROUND(STDEV('2. Demand History'!O270:Z270),1)</f>
        <v>107.1</v>
      </c>
      <c r="H270" s="8">
        <f t="shared" si="13"/>
        <v>0.32</v>
      </c>
      <c r="I270" s="8">
        <f>ROUND(SUM('2. Demand History'!O270:Z270)/MAX(SUM('2. Demand History'!C270:N270),1),2)</f>
        <v>1.01</v>
      </c>
      <c r="J270" s="5">
        <f>IF(D270="Yes",ROUND('2. Demand History'!O270*I270,0),ROUND(AVERAGE('2. Demand History'!X270:Z270),0))</f>
        <v>328</v>
      </c>
      <c r="K270" s="9">
        <f t="shared" si="14"/>
        <v>0.13300000000000001</v>
      </c>
      <c r="L270" s="10">
        <f>ROUND(ABS('2. Demand History'!U270-IF($D270="Yes",'2. Demand History'!I270,AVERAGE('2. Demand History'!R270:T270)))/MAX('2. Demand History'!U270,1),3)</f>
        <v>1.6E-2</v>
      </c>
      <c r="M270" s="10">
        <f>ROUND(ABS('2. Demand History'!V270-IF($D270="Yes",'2. Demand History'!J270,AVERAGE('2. Demand History'!S270:U270)))/MAX('2. Demand History'!V270,1),3)</f>
        <v>6.4000000000000001E-2</v>
      </c>
      <c r="N270" s="10">
        <f>ROUND(ABS('2. Demand History'!W270-IF($D270="Yes",'2. Demand History'!K270,AVERAGE('2. Demand History'!T270:V270)))/MAX('2. Demand History'!W270,1),3)</f>
        <v>0.217</v>
      </c>
      <c r="O270" s="10">
        <f>ROUND(ABS('2. Demand History'!X270-IF($D270="Yes",'2. Demand History'!L270,AVERAGE('2. Demand History'!U270:W270)))/MAX('2. Demand History'!X270,1),3)</f>
        <v>0.24099999999999999</v>
      </c>
      <c r="P270" s="10">
        <f>ROUND(ABS('2. Demand History'!Y270-IF($D270="Yes",'2. Demand History'!M270,AVERAGE('2. Demand History'!V270:X270)))/MAX('2. Demand History'!Y270,1),3)</f>
        <v>0.11</v>
      </c>
      <c r="Q270" s="10">
        <f>ROUND(ABS('2. Demand History'!Z270-IF($D270="Yes",'2. Demand History'!N270,AVERAGE('2. Demand History'!W270:Y270)))/MAX('2. Demand History'!Z270,1),3)</f>
        <v>0.14899999999999999</v>
      </c>
    </row>
    <row r="271" spans="1:17" ht="15" customHeight="1" x14ac:dyDescent="0.2">
      <c r="A271" s="3" t="str">
        <f>'2. Demand History'!A271</f>
        <v>NT10267</v>
      </c>
      <c r="B271" s="1" t="str">
        <f>'2. Demand History'!B271</f>
        <v>StreamCam S531</v>
      </c>
      <c r="C271" s="3" t="str">
        <f>'1. Master Data'!C271</f>
        <v>Gaming</v>
      </c>
      <c r="D271" s="3" t="s">
        <v>1111</v>
      </c>
      <c r="E271" s="3" t="str">
        <f t="shared" si="12"/>
        <v>Seasonal Naive</v>
      </c>
      <c r="F271" s="3">
        <f>ROUND(AVERAGE('2. Demand History'!O271:Z271),1)</f>
        <v>40.299999999999997</v>
      </c>
      <c r="G271" s="3">
        <f>ROUND(STDEV('2. Demand History'!O271:Z271),1)</f>
        <v>12.6</v>
      </c>
      <c r="H271" s="8">
        <f t="shared" si="13"/>
        <v>0.31</v>
      </c>
      <c r="I271" s="8">
        <f>ROUND(SUM('2. Demand History'!O271:Z271)/MAX(SUM('2. Demand History'!C271:N271),1),2)</f>
        <v>1</v>
      </c>
      <c r="J271" s="5">
        <f>IF(D271="Yes",ROUND('2. Demand History'!O271*I271,0),ROUND(AVERAGE('2. Demand History'!X271:Z271),0))</f>
        <v>32</v>
      </c>
      <c r="K271" s="9">
        <f t="shared" si="14"/>
        <v>0.105</v>
      </c>
      <c r="L271" s="10">
        <f>ROUND(ABS('2. Demand History'!U271-IF($D271="Yes",'2. Demand History'!I271,AVERAGE('2. Demand History'!R271:T271)))/MAX('2. Demand History'!U271,1),3)</f>
        <v>5.8000000000000003E-2</v>
      </c>
      <c r="M271" s="10">
        <f>ROUND(ABS('2. Demand History'!V271-IF($D271="Yes",'2. Demand History'!J271,AVERAGE('2. Demand History'!S271:U271)))/MAX('2. Demand History'!V271,1),3)</f>
        <v>3.6999999999999998E-2</v>
      </c>
      <c r="N271" s="10">
        <f>ROUND(ABS('2. Demand History'!W271-IF($D271="Yes",'2. Demand History'!K271,AVERAGE('2. Demand History'!T271:V271)))/MAX('2. Demand History'!W271,1),3)</f>
        <v>0</v>
      </c>
      <c r="O271" s="10">
        <f>ROUND(ABS('2. Demand History'!X271-IF($D271="Yes",'2. Demand History'!L271,AVERAGE('2. Demand History'!U271:W271)))/MAX('2. Demand History'!X271,1),3)</f>
        <v>0.11799999999999999</v>
      </c>
      <c r="P271" s="10">
        <f>ROUND(ABS('2. Demand History'!Y271-IF($D271="Yes",'2. Demand History'!M271,AVERAGE('2. Demand History'!V271:X271)))/MAX('2. Demand History'!Y271,1),3)</f>
        <v>0</v>
      </c>
      <c r="Q271" s="10">
        <f>ROUND(ABS('2. Demand History'!Z271-IF($D271="Yes",'2. Demand History'!N271,AVERAGE('2. Demand History'!W271:Y271)))/MAX('2. Demand History'!Z271,1),3)</f>
        <v>0.41699999999999998</v>
      </c>
    </row>
    <row r="272" spans="1:17" ht="15" customHeight="1" x14ac:dyDescent="0.2">
      <c r="A272" s="3" t="str">
        <f>'2. Demand History'!A272</f>
        <v>NT10268</v>
      </c>
      <c r="B272" s="1" t="str">
        <f>'2. Demand History'!B272</f>
        <v>ProMouse G369</v>
      </c>
      <c r="C272" s="3" t="str">
        <f>'1. Master Data'!C272</f>
        <v>Gaming</v>
      </c>
      <c r="D272" s="3" t="s">
        <v>1111</v>
      </c>
      <c r="E272" s="3" t="str">
        <f t="shared" si="12"/>
        <v>Seasonal Naive</v>
      </c>
      <c r="F272" s="3">
        <f>ROUND(AVERAGE('2. Demand History'!O272:Z272),1)</f>
        <v>52.3</v>
      </c>
      <c r="G272" s="3">
        <f>ROUND(STDEV('2. Demand History'!O272:Z272),1)</f>
        <v>19.399999999999999</v>
      </c>
      <c r="H272" s="8">
        <f t="shared" si="13"/>
        <v>0.37</v>
      </c>
      <c r="I272" s="8">
        <f>ROUND(SUM('2. Demand History'!O272:Z272)/MAX(SUM('2. Demand History'!C272:N272),1),2)</f>
        <v>1.07</v>
      </c>
      <c r="J272" s="5">
        <f>IF(D272="Yes",ROUND('2. Demand History'!O272*I272,0),ROUND(AVERAGE('2. Demand History'!X272:Z272),0))</f>
        <v>37</v>
      </c>
      <c r="K272" s="9">
        <f t="shared" si="14"/>
        <v>0.19800000000000001</v>
      </c>
      <c r="L272" s="10">
        <f>ROUND(ABS('2. Demand History'!U272-IF($D272="Yes",'2. Demand History'!I272,AVERAGE('2. Demand History'!R272:T272)))/MAX('2. Demand History'!U272,1),3)</f>
        <v>0.27800000000000002</v>
      </c>
      <c r="M272" s="10">
        <f>ROUND(ABS('2. Demand History'!V272-IF($D272="Yes",'2. Demand History'!J272,AVERAGE('2. Demand History'!S272:U272)))/MAX('2. Demand History'!V272,1),3)</f>
        <v>0.15</v>
      </c>
      <c r="N272" s="10">
        <f>ROUND(ABS('2. Demand History'!W272-IF($D272="Yes",'2. Demand History'!K272,AVERAGE('2. Demand History'!T272:V272)))/MAX('2. Demand History'!W272,1),3)</f>
        <v>0.217</v>
      </c>
      <c r="O272" s="10">
        <f>ROUND(ABS('2. Demand History'!X272-IF($D272="Yes",'2. Demand History'!L272,AVERAGE('2. Demand History'!U272:W272)))/MAX('2. Demand History'!X272,1),3)</f>
        <v>0.16700000000000001</v>
      </c>
      <c r="P272" s="10">
        <f>ROUND(ABS('2. Demand History'!Y272-IF($D272="Yes",'2. Demand History'!M272,AVERAGE('2. Demand History'!V272:X272)))/MAX('2. Demand History'!Y272,1),3)</f>
        <v>0.14499999999999999</v>
      </c>
      <c r="Q272" s="10">
        <f>ROUND(ABS('2. Demand History'!Z272-IF($D272="Yes",'2. Demand History'!N272,AVERAGE('2. Demand History'!W272:Y272)))/MAX('2. Demand History'!Z272,1),3)</f>
        <v>0.23100000000000001</v>
      </c>
    </row>
    <row r="273" spans="1:17" ht="15" customHeight="1" x14ac:dyDescent="0.2">
      <c r="A273" s="3" t="str">
        <f>'2. Demand History'!A273</f>
        <v>NT10269</v>
      </c>
      <c r="B273" s="1" t="str">
        <f>'2. Demand History'!B273</f>
        <v>RGB Keyboard K733</v>
      </c>
      <c r="C273" s="3" t="str">
        <f>'1. Master Data'!C273</f>
        <v>Gaming</v>
      </c>
      <c r="D273" s="3" t="s">
        <v>1111</v>
      </c>
      <c r="E273" s="3" t="str">
        <f t="shared" si="12"/>
        <v>Seasonal Naive</v>
      </c>
      <c r="F273" s="3">
        <f>ROUND(AVERAGE('2. Demand History'!O273:Z273),1)</f>
        <v>79</v>
      </c>
      <c r="G273" s="3">
        <f>ROUND(STDEV('2. Demand History'!O273:Z273),1)</f>
        <v>30.1</v>
      </c>
      <c r="H273" s="8">
        <f t="shared" si="13"/>
        <v>0.38</v>
      </c>
      <c r="I273" s="8">
        <f>ROUND(SUM('2. Demand History'!O273:Z273)/MAX(SUM('2. Demand History'!C273:N273),1),2)</f>
        <v>1.1499999999999999</v>
      </c>
      <c r="J273" s="5">
        <f>IF(D273="Yes",ROUND('2. Demand History'!O273*I273,0),ROUND(AVERAGE('2. Demand History'!X273:Z273),0))</f>
        <v>77</v>
      </c>
      <c r="K273" s="9">
        <f t="shared" si="14"/>
        <v>0.13300000000000001</v>
      </c>
      <c r="L273" s="10">
        <f>ROUND(ABS('2. Demand History'!U273-IF($D273="Yes",'2. Demand History'!I273,AVERAGE('2. Demand History'!R273:T273)))/MAX('2. Demand History'!U273,1),3)</f>
        <v>0.24099999999999999</v>
      </c>
      <c r="M273" s="10">
        <f>ROUND(ABS('2. Demand History'!V273-IF($D273="Yes",'2. Demand History'!J273,AVERAGE('2. Demand History'!S273:U273)))/MAX('2. Demand History'!V273,1),3)</f>
        <v>0.10299999999999999</v>
      </c>
      <c r="N273" s="10">
        <f>ROUND(ABS('2. Demand History'!W273-IF($D273="Yes",'2. Demand History'!K273,AVERAGE('2. Demand History'!T273:V273)))/MAX('2. Demand History'!W273,1),3)</f>
        <v>6.3E-2</v>
      </c>
      <c r="O273" s="10">
        <f>ROUND(ABS('2. Demand History'!X273-IF($D273="Yes",'2. Demand History'!L273,AVERAGE('2. Demand History'!U273:W273)))/MAX('2. Demand History'!X273,1),3)</f>
        <v>0</v>
      </c>
      <c r="P273" s="10">
        <f>ROUND(ABS('2. Demand History'!Y273-IF($D273="Yes",'2. Demand History'!M273,AVERAGE('2. Demand History'!V273:X273)))/MAX('2. Demand History'!Y273,1),3)</f>
        <v>0.16400000000000001</v>
      </c>
      <c r="Q273" s="10">
        <f>ROUND(ABS('2. Demand History'!Z273-IF($D273="Yes",'2. Demand History'!N273,AVERAGE('2. Demand History'!W273:Y273)))/MAX('2. Demand History'!Z273,1),3)</f>
        <v>0.22900000000000001</v>
      </c>
    </row>
    <row r="274" spans="1:17" ht="15" customHeight="1" x14ac:dyDescent="0.2">
      <c r="A274" s="3" t="str">
        <f>'2. Demand History'!A274</f>
        <v>NT10270</v>
      </c>
      <c r="B274" s="1" t="str">
        <f>'2. Demand History'!B274</f>
        <v>GameStation Controller 974</v>
      </c>
      <c r="C274" s="3" t="str">
        <f>'1. Master Data'!C274</f>
        <v>Gaming</v>
      </c>
      <c r="D274" s="3" t="s">
        <v>1111</v>
      </c>
      <c r="E274" s="3" t="str">
        <f t="shared" si="12"/>
        <v>Seasonal Naive</v>
      </c>
      <c r="F274" s="3">
        <f>ROUND(AVERAGE('2. Demand History'!O274:Z274),1)</f>
        <v>132.80000000000001</v>
      </c>
      <c r="G274" s="3">
        <f>ROUND(STDEV('2. Demand History'!O274:Z274),1)</f>
        <v>46.7</v>
      </c>
      <c r="H274" s="8">
        <f t="shared" si="13"/>
        <v>0.35</v>
      </c>
      <c r="I274" s="8">
        <f>ROUND(SUM('2. Demand History'!O274:Z274)/MAX(SUM('2. Demand History'!C274:N274),1),2)</f>
        <v>1.04</v>
      </c>
      <c r="J274" s="5">
        <f>IF(D274="Yes",ROUND('2. Demand History'!O274*I274,0),ROUND(AVERAGE('2. Demand History'!X274:Z274),0))</f>
        <v>140</v>
      </c>
      <c r="K274" s="9">
        <f t="shared" si="14"/>
        <v>0.127</v>
      </c>
      <c r="L274" s="10">
        <f>ROUND(ABS('2. Demand History'!U274-IF($D274="Yes",'2. Demand History'!I274,AVERAGE('2. Demand History'!R274:T274)))/MAX('2. Demand History'!U274,1),3)</f>
        <v>0.155</v>
      </c>
      <c r="M274" s="10">
        <f>ROUND(ABS('2. Demand History'!V274-IF($D274="Yes",'2. Demand History'!J274,AVERAGE('2. Demand History'!S274:U274)))/MAX('2. Demand History'!V274,1),3)</f>
        <v>0.107</v>
      </c>
      <c r="N274" s="10">
        <f>ROUND(ABS('2. Demand History'!W274-IF($D274="Yes",'2. Demand History'!K274,AVERAGE('2. Demand History'!T274:V274)))/MAX('2. Demand History'!W274,1),3)</f>
        <v>0.14599999999999999</v>
      </c>
      <c r="O274" s="10">
        <f>ROUND(ABS('2. Demand History'!X274-IF($D274="Yes",'2. Demand History'!L274,AVERAGE('2. Demand History'!U274:W274)))/MAX('2. Demand History'!X274,1),3)</f>
        <v>0.09</v>
      </c>
      <c r="P274" s="10">
        <f>ROUND(ABS('2. Demand History'!Y274-IF($D274="Yes",'2. Demand History'!M274,AVERAGE('2. Demand History'!V274:X274)))/MAX('2. Demand History'!Y274,1),3)</f>
        <v>0.246</v>
      </c>
      <c r="Q274" s="10">
        <f>ROUND(ABS('2. Demand History'!Z274-IF($D274="Yes",'2. Demand History'!N274,AVERAGE('2. Demand History'!W274:Y274)))/MAX('2. Demand History'!Z274,1),3)</f>
        <v>1.4999999999999999E-2</v>
      </c>
    </row>
    <row r="275" spans="1:17" ht="15" customHeight="1" x14ac:dyDescent="0.2">
      <c r="A275" s="3" t="str">
        <f>'2. Demand History'!A275</f>
        <v>NT10271</v>
      </c>
      <c r="B275" s="1" t="str">
        <f>'2. Demand History'!B275</f>
        <v>GameStation Controller 390</v>
      </c>
      <c r="C275" s="3" t="str">
        <f>'1. Master Data'!C275</f>
        <v>Gaming</v>
      </c>
      <c r="D275" s="3" t="s">
        <v>1111</v>
      </c>
      <c r="E275" s="3" t="str">
        <f t="shared" si="12"/>
        <v>Seasonal Naive</v>
      </c>
      <c r="F275" s="3">
        <f>ROUND(AVERAGE('2. Demand History'!O275:Z275),1)</f>
        <v>398.5</v>
      </c>
      <c r="G275" s="3">
        <f>ROUND(STDEV('2. Demand History'!O275:Z275),1)</f>
        <v>121.9</v>
      </c>
      <c r="H275" s="8">
        <f t="shared" si="13"/>
        <v>0.31</v>
      </c>
      <c r="I275" s="8">
        <f>ROUND(SUM('2. Demand History'!O275:Z275)/MAX(SUM('2. Demand History'!C275:N275),1),2)</f>
        <v>1.06</v>
      </c>
      <c r="J275" s="5">
        <f>IF(D275="Yes",ROUND('2. Demand History'!O275*I275,0),ROUND(AVERAGE('2. Demand History'!X275:Z275),0))</f>
        <v>392</v>
      </c>
      <c r="K275" s="9">
        <f t="shared" si="14"/>
        <v>9.4E-2</v>
      </c>
      <c r="L275" s="10">
        <f>ROUND(ABS('2. Demand History'!U275-IF($D275="Yes",'2. Demand History'!I275,AVERAGE('2. Demand History'!R275:T275)))/MAX('2. Demand History'!U275,1),3)</f>
        <v>6.0999999999999999E-2</v>
      </c>
      <c r="M275" s="10">
        <f>ROUND(ABS('2. Demand History'!V275-IF($D275="Yes",'2. Demand History'!J275,AVERAGE('2. Demand History'!S275:U275)))/MAX('2. Demand History'!V275,1),3)</f>
        <v>0.111</v>
      </c>
      <c r="N275" s="10">
        <f>ROUND(ABS('2. Demand History'!W275-IF($D275="Yes",'2. Demand History'!K275,AVERAGE('2. Demand History'!T275:V275)))/MAX('2. Demand History'!W275,1),3)</f>
        <v>0.11899999999999999</v>
      </c>
      <c r="O275" s="10">
        <f>ROUND(ABS('2. Demand History'!X275-IF($D275="Yes",'2. Demand History'!L275,AVERAGE('2. Demand History'!U275:W275)))/MAX('2. Demand History'!X275,1),3)</f>
        <v>5.7000000000000002E-2</v>
      </c>
      <c r="P275" s="10">
        <f>ROUND(ABS('2. Demand History'!Y275-IF($D275="Yes",'2. Demand History'!M275,AVERAGE('2. Demand History'!V275:X275)))/MAX('2. Demand History'!Y275,1),3)</f>
        <v>0.122</v>
      </c>
      <c r="Q275" s="10">
        <f>ROUND(ABS('2. Demand History'!Z275-IF($D275="Yes",'2. Demand History'!N275,AVERAGE('2. Demand History'!W275:Y275)))/MAX('2. Demand History'!Z275,1),3)</f>
        <v>9.1999999999999998E-2</v>
      </c>
    </row>
    <row r="276" spans="1:17" ht="15" customHeight="1" x14ac:dyDescent="0.2">
      <c r="A276" s="3" t="str">
        <f>'2. Demand History'!A276</f>
        <v>NT10272</v>
      </c>
      <c r="B276" s="1" t="str">
        <f>'2. Demand History'!B276</f>
        <v>RGB Keyboard K758</v>
      </c>
      <c r="C276" s="3" t="str">
        <f>'1. Master Data'!C276</f>
        <v>Gaming</v>
      </c>
      <c r="D276" s="3" t="s">
        <v>1111</v>
      </c>
      <c r="E276" s="3" t="str">
        <f t="shared" si="12"/>
        <v>Seasonal Naive</v>
      </c>
      <c r="F276" s="3">
        <f>ROUND(AVERAGE('2. Demand History'!O276:Z276),1)</f>
        <v>167.4</v>
      </c>
      <c r="G276" s="3">
        <f>ROUND(STDEV('2. Demand History'!O276:Z276),1)</f>
        <v>44.8</v>
      </c>
      <c r="H276" s="8">
        <f t="shared" si="13"/>
        <v>0.27</v>
      </c>
      <c r="I276" s="8">
        <f>ROUND(SUM('2. Demand History'!O276:Z276)/MAX(SUM('2. Demand History'!C276:N276),1),2)</f>
        <v>1.07</v>
      </c>
      <c r="J276" s="5">
        <f>IF(D276="Yes",ROUND('2. Demand History'!O276*I276,0),ROUND(AVERAGE('2. Demand History'!X276:Z276),0))</f>
        <v>140</v>
      </c>
      <c r="K276" s="9">
        <f t="shared" si="14"/>
        <v>2.7E-2</v>
      </c>
      <c r="L276" s="10">
        <f>ROUND(ABS('2. Demand History'!U276-IF($D276="Yes",'2. Demand History'!I276,AVERAGE('2. Demand History'!R276:T276)))/MAX('2. Demand History'!U276,1),3)</f>
        <v>3.4000000000000002E-2</v>
      </c>
      <c r="M276" s="10">
        <f>ROUND(ABS('2. Demand History'!V276-IF($D276="Yes",'2. Demand History'!J276,AVERAGE('2. Demand History'!S276:U276)))/MAX('2. Demand History'!V276,1),3)</f>
        <v>2.9000000000000001E-2</v>
      </c>
      <c r="N276" s="10">
        <f>ROUND(ABS('2. Demand History'!W276-IF($D276="Yes",'2. Demand History'!K276,AVERAGE('2. Demand History'!T276:V276)))/MAX('2. Demand History'!W276,1),3)</f>
        <v>2.1999999999999999E-2</v>
      </c>
      <c r="O276" s="10">
        <f>ROUND(ABS('2. Demand History'!X276-IF($D276="Yes",'2. Demand History'!L276,AVERAGE('2. Demand History'!U276:W276)))/MAX('2. Demand History'!X276,1),3)</f>
        <v>0</v>
      </c>
      <c r="P276" s="10">
        <f>ROUND(ABS('2. Demand History'!Y276-IF($D276="Yes",'2. Demand History'!M276,AVERAGE('2. Demand History'!V276:X276)))/MAX('2. Demand History'!Y276,1),3)</f>
        <v>5.8999999999999997E-2</v>
      </c>
      <c r="Q276" s="10">
        <f>ROUND(ABS('2. Demand History'!Z276-IF($D276="Yes",'2. Demand History'!N276,AVERAGE('2. Demand History'!W276:Y276)))/MAX('2. Demand History'!Z276,1),3)</f>
        <v>1.9E-2</v>
      </c>
    </row>
    <row r="277" spans="1:17" ht="15" customHeight="1" x14ac:dyDescent="0.2">
      <c r="A277" s="3" t="str">
        <f>'2. Demand History'!A277</f>
        <v>NT10273</v>
      </c>
      <c r="B277" s="1" t="str">
        <f>'2. Demand History'!B277</f>
        <v>ArenaHeadset H637</v>
      </c>
      <c r="C277" s="3" t="str">
        <f>'1. Master Data'!C277</f>
        <v>Gaming</v>
      </c>
      <c r="D277" s="3" t="s">
        <v>1111</v>
      </c>
      <c r="E277" s="3" t="str">
        <f t="shared" si="12"/>
        <v>Seasonal Naive</v>
      </c>
      <c r="F277" s="3">
        <f>ROUND(AVERAGE('2. Demand History'!O277:Z277),1)</f>
        <v>78.2</v>
      </c>
      <c r="G277" s="3">
        <f>ROUND(STDEV('2. Demand History'!O277:Z277),1)</f>
        <v>23.9</v>
      </c>
      <c r="H277" s="8">
        <f t="shared" si="13"/>
        <v>0.31</v>
      </c>
      <c r="I277" s="8">
        <f>ROUND(SUM('2. Demand History'!O277:Z277)/MAX(SUM('2. Demand History'!C277:N277),1),2)</f>
        <v>1.04</v>
      </c>
      <c r="J277" s="5">
        <f>IF(D277="Yes",ROUND('2. Demand History'!O277*I277,0),ROUND(AVERAGE('2. Demand History'!X277:Z277),0))</f>
        <v>69</v>
      </c>
      <c r="K277" s="9">
        <f t="shared" si="14"/>
        <v>8.7999999999999995E-2</v>
      </c>
      <c r="L277" s="10">
        <f>ROUND(ABS('2. Demand History'!U277-IF($D277="Yes",'2. Demand History'!I277,AVERAGE('2. Demand History'!R277:T277)))/MAX('2. Demand History'!U277,1),3)</f>
        <v>0.11799999999999999</v>
      </c>
      <c r="M277" s="10">
        <f>ROUND(ABS('2. Demand History'!V277-IF($D277="Yes",'2. Demand History'!J277,AVERAGE('2. Demand History'!S277:U277)))/MAX('2. Demand History'!V277,1),3)</f>
        <v>7.0999999999999994E-2</v>
      </c>
      <c r="N277" s="10">
        <f>ROUND(ABS('2. Demand History'!W277-IF($D277="Yes",'2. Demand History'!K277,AVERAGE('2. Demand History'!T277:V277)))/MAX('2. Demand History'!W277,1),3)</f>
        <v>0.16900000000000001</v>
      </c>
      <c r="O277" s="10">
        <f>ROUND(ABS('2. Demand History'!X277-IF($D277="Yes",'2. Demand History'!L277,AVERAGE('2. Demand History'!U277:W277)))/MAX('2. Demand History'!X277,1),3)</f>
        <v>0.115</v>
      </c>
      <c r="P277" s="10">
        <f>ROUND(ABS('2. Demand History'!Y277-IF($D277="Yes",'2. Demand History'!M277,AVERAGE('2. Demand History'!V277:X277)))/MAX('2. Demand History'!Y277,1),3)</f>
        <v>1.4E-2</v>
      </c>
      <c r="Q277" s="10">
        <f>ROUND(ABS('2. Demand History'!Z277-IF($D277="Yes",'2. Demand History'!N277,AVERAGE('2. Demand History'!W277:Y277)))/MAX('2. Demand History'!Z277,1),3)</f>
        <v>3.9E-2</v>
      </c>
    </row>
    <row r="278" spans="1:17" ht="15" customHeight="1" x14ac:dyDescent="0.2">
      <c r="A278" s="3" t="str">
        <f>'2. Demand History'!A278</f>
        <v>NT10274</v>
      </c>
      <c r="B278" s="1" t="str">
        <f>'2. Demand History'!B278</f>
        <v>StreamCam S111</v>
      </c>
      <c r="C278" s="3" t="str">
        <f>'1. Master Data'!C278</f>
        <v>Gaming</v>
      </c>
      <c r="D278" s="3" t="s">
        <v>1111</v>
      </c>
      <c r="E278" s="3" t="str">
        <f t="shared" si="12"/>
        <v>Seasonal Naive</v>
      </c>
      <c r="F278" s="3">
        <f>ROUND(AVERAGE('2. Demand History'!O278:Z278),1)</f>
        <v>216.1</v>
      </c>
      <c r="G278" s="3">
        <f>ROUND(STDEV('2. Demand History'!O278:Z278),1)</f>
        <v>72.400000000000006</v>
      </c>
      <c r="H278" s="8">
        <f t="shared" si="13"/>
        <v>0.34</v>
      </c>
      <c r="I278" s="8">
        <f>ROUND(SUM('2. Demand History'!O278:Z278)/MAX(SUM('2. Demand History'!C278:N278),1),2)</f>
        <v>1.1100000000000001</v>
      </c>
      <c r="J278" s="5">
        <f>IF(D278="Yes",ROUND('2. Demand History'!O278*I278,0),ROUND(AVERAGE('2. Demand History'!X278:Z278),0))</f>
        <v>218</v>
      </c>
      <c r="K278" s="9">
        <f t="shared" si="14"/>
        <v>0.121</v>
      </c>
      <c r="L278" s="10">
        <f>ROUND(ABS('2. Demand History'!U278-IF($D278="Yes",'2. Demand History'!I278,AVERAGE('2. Demand History'!R278:T278)))/MAX('2. Demand History'!U278,1),3)</f>
        <v>6.2E-2</v>
      </c>
      <c r="M278" s="10">
        <f>ROUND(ABS('2. Demand History'!V278-IF($D278="Yes",'2. Demand History'!J278,AVERAGE('2. Demand History'!S278:U278)))/MAX('2. Demand History'!V278,1),3)</f>
        <v>7.1999999999999995E-2</v>
      </c>
      <c r="N278" s="10">
        <f>ROUND(ABS('2. Demand History'!W278-IF($D278="Yes",'2. Demand History'!K278,AVERAGE('2. Demand History'!T278:V278)))/MAX('2. Demand History'!W278,1),3)</f>
        <v>8.1000000000000003E-2</v>
      </c>
      <c r="O278" s="10">
        <f>ROUND(ABS('2. Demand History'!X278-IF($D278="Yes",'2. Demand History'!L278,AVERAGE('2. Demand History'!U278:W278)))/MAX('2. Demand History'!X278,1),3)</f>
        <v>5.0000000000000001E-3</v>
      </c>
      <c r="P278" s="10">
        <f>ROUND(ABS('2. Demand History'!Y278-IF($D278="Yes",'2. Demand History'!M278,AVERAGE('2. Demand History'!V278:X278)))/MAX('2. Demand History'!Y278,1),3)</f>
        <v>0.22500000000000001</v>
      </c>
      <c r="Q278" s="10">
        <f>ROUND(ABS('2. Demand History'!Z278-IF($D278="Yes",'2. Demand History'!N278,AVERAGE('2. Demand History'!W278:Y278)))/MAX('2. Demand History'!Z278,1),3)</f>
        <v>0.28100000000000003</v>
      </c>
    </row>
    <row r="279" spans="1:17" ht="15" customHeight="1" x14ac:dyDescent="0.2">
      <c r="A279" s="3" t="str">
        <f>'2. Demand History'!A279</f>
        <v>NT10275</v>
      </c>
      <c r="B279" s="1" t="str">
        <f>'2. Demand History'!B279</f>
        <v>ArenaHeadset H478</v>
      </c>
      <c r="C279" s="3" t="str">
        <f>'1. Master Data'!C279</f>
        <v>Gaming</v>
      </c>
      <c r="D279" s="3" t="s">
        <v>1111</v>
      </c>
      <c r="E279" s="3" t="str">
        <f t="shared" si="12"/>
        <v>Seasonal Naive</v>
      </c>
      <c r="F279" s="3">
        <f>ROUND(AVERAGE('2. Demand History'!O279:Z279),1)</f>
        <v>94.8</v>
      </c>
      <c r="G279" s="3">
        <f>ROUND(STDEV('2. Demand History'!O279:Z279),1)</f>
        <v>28.6</v>
      </c>
      <c r="H279" s="8">
        <f t="shared" si="13"/>
        <v>0.3</v>
      </c>
      <c r="I279" s="8">
        <f>ROUND(SUM('2. Demand History'!O279:Z279)/MAX(SUM('2. Demand History'!C279:N279),1),2)</f>
        <v>1.03</v>
      </c>
      <c r="J279" s="5">
        <f>IF(D279="Yes",ROUND('2. Demand History'!O279*I279,0),ROUND(AVERAGE('2. Demand History'!X279:Z279),0))</f>
        <v>93</v>
      </c>
      <c r="K279" s="9">
        <f t="shared" si="14"/>
        <v>9.2999999999999999E-2</v>
      </c>
      <c r="L279" s="10">
        <f>ROUND(ABS('2. Demand History'!U279-IF($D279="Yes",'2. Demand History'!I279,AVERAGE('2. Demand History'!R279:T279)))/MAX('2. Demand History'!U279,1),3)</f>
        <v>8.1000000000000003E-2</v>
      </c>
      <c r="M279" s="10">
        <f>ROUND(ABS('2. Demand History'!V279-IF($D279="Yes",'2. Demand History'!J279,AVERAGE('2. Demand History'!S279:U279)))/MAX('2. Demand History'!V279,1),3)</f>
        <v>3.4000000000000002E-2</v>
      </c>
      <c r="N279" s="10">
        <f>ROUND(ABS('2. Demand History'!W279-IF($D279="Yes",'2. Demand History'!K279,AVERAGE('2. Demand History'!T279:V279)))/MAX('2. Demand History'!W279,1),3)</f>
        <v>0.13800000000000001</v>
      </c>
      <c r="O279" s="10">
        <f>ROUND(ABS('2. Demand History'!X279-IF($D279="Yes",'2. Demand History'!L279,AVERAGE('2. Demand History'!U279:W279)))/MAX('2. Demand History'!X279,1),3)</f>
        <v>2.5000000000000001E-2</v>
      </c>
      <c r="P279" s="10">
        <f>ROUND(ABS('2. Demand History'!Y279-IF($D279="Yes",'2. Demand History'!M279,AVERAGE('2. Demand History'!V279:X279)))/MAX('2. Demand History'!Y279,1),3)</f>
        <v>2.1999999999999999E-2</v>
      </c>
      <c r="Q279" s="10">
        <f>ROUND(ABS('2. Demand History'!Z279-IF($D279="Yes",'2. Demand History'!N279,AVERAGE('2. Demand History'!W279:Y279)))/MAX('2. Demand History'!Z279,1),3)</f>
        <v>0.26</v>
      </c>
    </row>
    <row r="280" spans="1:17" ht="15" customHeight="1" x14ac:dyDescent="0.2">
      <c r="A280" s="3" t="str">
        <f>'2. Demand History'!A280</f>
        <v>NT10276</v>
      </c>
      <c r="B280" s="1" t="str">
        <f>'2. Demand History'!B280</f>
        <v>RGB Keyboard K646</v>
      </c>
      <c r="C280" s="3" t="str">
        <f>'1. Master Data'!C280</f>
        <v>Gaming</v>
      </c>
      <c r="D280" s="3" t="s">
        <v>1111</v>
      </c>
      <c r="E280" s="3" t="str">
        <f t="shared" si="12"/>
        <v>Seasonal Naive</v>
      </c>
      <c r="F280" s="3">
        <f>ROUND(AVERAGE('2. Demand History'!O280:Z280),1)</f>
        <v>23.5</v>
      </c>
      <c r="G280" s="3">
        <f>ROUND(STDEV('2. Demand History'!O280:Z280),1)</f>
        <v>22.4</v>
      </c>
      <c r="H280" s="8">
        <f t="shared" si="13"/>
        <v>0.95</v>
      </c>
      <c r="I280" s="8">
        <f>ROUND(SUM('2. Demand History'!O280:Z280)/MAX(SUM('2. Demand History'!C280:N280),1),2)</f>
        <v>0.91</v>
      </c>
      <c r="J280" s="5">
        <f>IF(D280="Yes",ROUND('2. Demand History'!O280*I280,0),ROUND(AVERAGE('2. Demand History'!X280:Z280),0))</f>
        <v>59</v>
      </c>
      <c r="K280" s="9">
        <f t="shared" si="14"/>
        <v>3.9510000000000001</v>
      </c>
      <c r="L280" s="10">
        <f>ROUND(ABS('2. Demand History'!U280-IF($D280="Yes",'2. Demand History'!I280,AVERAGE('2. Demand History'!R280:T280)))/MAX('2. Demand History'!U280,1),3)</f>
        <v>9</v>
      </c>
      <c r="M280" s="10">
        <f>ROUND(ABS('2. Demand History'!V280-IF($D280="Yes",'2. Demand History'!J280,AVERAGE('2. Demand History'!S280:U280)))/MAX('2. Demand History'!V280,1),3)</f>
        <v>7.7779999999999996</v>
      </c>
      <c r="N280" s="10">
        <f>ROUND(ABS('2. Demand History'!W280-IF($D280="Yes",'2. Demand History'!K280,AVERAGE('2. Demand History'!T280:V280)))/MAX('2. Demand History'!W280,1),3)</f>
        <v>0.25700000000000001</v>
      </c>
      <c r="O280" s="10">
        <f>ROUND(ABS('2. Demand History'!X280-IF($D280="Yes",'2. Demand History'!L280,AVERAGE('2. Demand History'!U280:W280)))/MAX('2. Demand History'!X280,1),3)</f>
        <v>0.83799999999999997</v>
      </c>
      <c r="P280" s="10">
        <f>ROUND(ABS('2. Demand History'!Y280-IF($D280="Yes",'2. Demand History'!M280,AVERAGE('2. Demand History'!V280:X280)))/MAX('2. Demand History'!Y280,1),3)</f>
        <v>0.33300000000000002</v>
      </c>
      <c r="Q280" s="10">
        <f>ROUND(ABS('2. Demand History'!Z280-IF($D280="Yes",'2. Demand History'!N280,AVERAGE('2. Demand History'!W280:Y280)))/MAX('2. Demand History'!Z280,1),3)</f>
        <v>5.5</v>
      </c>
    </row>
    <row r="281" spans="1:17" ht="15" customHeight="1" x14ac:dyDescent="0.2">
      <c r="A281" s="3" t="str">
        <f>'2. Demand History'!A281</f>
        <v>NT10277</v>
      </c>
      <c r="B281" s="1" t="str">
        <f>'2. Demand History'!B281</f>
        <v>RGB Keyboard K367</v>
      </c>
      <c r="C281" s="3" t="str">
        <f>'1. Master Data'!C281</f>
        <v>Gaming</v>
      </c>
      <c r="D281" s="3" t="s">
        <v>1111</v>
      </c>
      <c r="E281" s="3" t="str">
        <f t="shared" si="12"/>
        <v>Seasonal Naive</v>
      </c>
      <c r="F281" s="3">
        <f>ROUND(AVERAGE('2. Demand History'!O281:Z281),1)</f>
        <v>242.2</v>
      </c>
      <c r="G281" s="3">
        <f>ROUND(STDEV('2. Demand History'!O281:Z281),1)</f>
        <v>80.8</v>
      </c>
      <c r="H281" s="8">
        <f t="shared" si="13"/>
        <v>0.33</v>
      </c>
      <c r="I281" s="8">
        <f>ROUND(SUM('2. Demand History'!O281:Z281)/MAX(SUM('2. Demand History'!C281:N281),1),2)</f>
        <v>1.07</v>
      </c>
      <c r="J281" s="5">
        <f>IF(D281="Yes",ROUND('2. Demand History'!O281*I281,0),ROUND(AVERAGE('2. Demand History'!X281:Z281),0))</f>
        <v>221</v>
      </c>
      <c r="K281" s="9">
        <f t="shared" si="14"/>
        <v>0.124</v>
      </c>
      <c r="L281" s="10">
        <f>ROUND(ABS('2. Demand History'!U281-IF($D281="Yes",'2. Demand History'!I281,AVERAGE('2. Demand History'!R281:T281)))/MAX('2. Demand History'!U281,1),3)</f>
        <v>0.113</v>
      </c>
      <c r="M281" s="10">
        <f>ROUND(ABS('2. Demand History'!V281-IF($D281="Yes",'2. Demand History'!J281,AVERAGE('2. Demand History'!S281:U281)))/MAX('2. Demand History'!V281,1),3)</f>
        <v>6.9000000000000006E-2</v>
      </c>
      <c r="N281" s="10">
        <f>ROUND(ABS('2. Demand History'!W281-IF($D281="Yes",'2. Demand History'!K281,AVERAGE('2. Demand History'!T281:V281)))/MAX('2. Demand History'!W281,1),3)</f>
        <v>3.9E-2</v>
      </c>
      <c r="O281" s="10">
        <f>ROUND(ABS('2. Demand History'!X281-IF($D281="Yes",'2. Demand History'!L281,AVERAGE('2. Demand History'!U281:W281)))/MAX('2. Demand History'!X281,1),3)</f>
        <v>0.253</v>
      </c>
      <c r="P281" s="10">
        <f>ROUND(ABS('2. Demand History'!Y281-IF($D281="Yes",'2. Demand History'!M281,AVERAGE('2. Demand History'!V281:X281)))/MAX('2. Demand History'!Y281,1),3)</f>
        <v>8.1000000000000003E-2</v>
      </c>
      <c r="Q281" s="10">
        <f>ROUND(ABS('2. Demand History'!Z281-IF($D281="Yes",'2. Demand History'!N281,AVERAGE('2. Demand History'!W281:Y281)))/MAX('2. Demand History'!Z281,1),3)</f>
        <v>0.191</v>
      </c>
    </row>
    <row r="282" spans="1:17" ht="15" customHeight="1" x14ac:dyDescent="0.2">
      <c r="A282" s="3" t="str">
        <f>'2. Demand History'!A282</f>
        <v>NT10278</v>
      </c>
      <c r="B282" s="1" t="str">
        <f>'2. Demand History'!B282</f>
        <v>GameStation Controller 520</v>
      </c>
      <c r="C282" s="3" t="str">
        <f>'1. Master Data'!C282</f>
        <v>Gaming</v>
      </c>
      <c r="D282" s="3" t="s">
        <v>1111</v>
      </c>
      <c r="E282" s="3" t="str">
        <f t="shared" si="12"/>
        <v>Seasonal Naive</v>
      </c>
      <c r="F282" s="3">
        <f>ROUND(AVERAGE('2. Demand History'!O282:Z282),1)</f>
        <v>156.4</v>
      </c>
      <c r="G282" s="3">
        <f>ROUND(STDEV('2. Demand History'!O282:Z282),1)</f>
        <v>55.4</v>
      </c>
      <c r="H282" s="8">
        <f t="shared" si="13"/>
        <v>0.35</v>
      </c>
      <c r="I282" s="8">
        <f>ROUND(SUM('2. Demand History'!O282:Z282)/MAX(SUM('2. Demand History'!C282:N282),1),2)</f>
        <v>1.1200000000000001</v>
      </c>
      <c r="J282" s="5">
        <f>IF(D282="Yes",ROUND('2. Demand History'!O282*I282,0),ROUND(AVERAGE('2. Demand History'!X282:Z282),0))</f>
        <v>155</v>
      </c>
      <c r="K282" s="9">
        <f t="shared" si="14"/>
        <v>0.10100000000000001</v>
      </c>
      <c r="L282" s="10">
        <f>ROUND(ABS('2. Demand History'!U282-IF($D282="Yes",'2. Demand History'!I282,AVERAGE('2. Demand History'!R282:T282)))/MAX('2. Demand History'!U282,1),3)</f>
        <v>0.33</v>
      </c>
      <c r="M282" s="10">
        <f>ROUND(ABS('2. Demand History'!V282-IF($D282="Yes",'2. Demand History'!J282,AVERAGE('2. Demand History'!S282:U282)))/MAX('2. Demand History'!V282,1),3)</f>
        <v>0.14899999999999999</v>
      </c>
      <c r="N282" s="10">
        <f>ROUND(ABS('2. Demand History'!W282-IF($D282="Yes",'2. Demand History'!K282,AVERAGE('2. Demand History'!T282:V282)))/MAX('2. Demand History'!W282,1),3)</f>
        <v>3.5000000000000003E-2</v>
      </c>
      <c r="O282" s="10">
        <f>ROUND(ABS('2. Demand History'!X282-IF($D282="Yes",'2. Demand History'!L282,AVERAGE('2. Demand History'!U282:W282)))/MAX('2. Demand History'!X282,1),3)</f>
        <v>5.6000000000000001E-2</v>
      </c>
      <c r="P282" s="10">
        <f>ROUND(ABS('2. Demand History'!Y282-IF($D282="Yes",'2. Demand History'!M282,AVERAGE('2. Demand History'!V282:X282)))/MAX('2. Demand History'!Y282,1),3)</f>
        <v>3.1E-2</v>
      </c>
      <c r="Q282" s="10">
        <f>ROUND(ABS('2. Demand History'!Z282-IF($D282="Yes",'2. Demand History'!N282,AVERAGE('2. Demand History'!W282:Y282)))/MAX('2. Demand History'!Z282,1),3)</f>
        <v>7.0000000000000001E-3</v>
      </c>
    </row>
    <row r="283" spans="1:17" ht="15" customHeight="1" x14ac:dyDescent="0.2">
      <c r="A283" s="3" t="str">
        <f>'2. Demand History'!A283</f>
        <v>NT10279</v>
      </c>
      <c r="B283" s="1" t="str">
        <f>'2. Demand History'!B283</f>
        <v>GameStation Controller 762</v>
      </c>
      <c r="C283" s="3" t="str">
        <f>'1. Master Data'!C283</f>
        <v>Gaming</v>
      </c>
      <c r="D283" s="3" t="s">
        <v>1111</v>
      </c>
      <c r="E283" s="3" t="str">
        <f t="shared" si="12"/>
        <v>Seasonal Naive</v>
      </c>
      <c r="F283" s="3">
        <f>ROUND(AVERAGE('2. Demand History'!O283:Z283),1)</f>
        <v>74.3</v>
      </c>
      <c r="G283" s="3">
        <f>ROUND(STDEV('2. Demand History'!O283:Z283),1)</f>
        <v>18.399999999999999</v>
      </c>
      <c r="H283" s="8">
        <f t="shared" si="13"/>
        <v>0.25</v>
      </c>
      <c r="I283" s="8">
        <f>ROUND(SUM('2. Demand History'!O283:Z283)/MAX(SUM('2. Demand History'!C283:N283),1),2)</f>
        <v>1.02</v>
      </c>
      <c r="J283" s="5">
        <f>IF(D283="Yes",ROUND('2. Demand History'!O283*I283,0),ROUND(AVERAGE('2. Demand History'!X283:Z283),0))</f>
        <v>73</v>
      </c>
      <c r="K283" s="9">
        <f t="shared" si="14"/>
        <v>0.13200000000000001</v>
      </c>
      <c r="L283" s="10">
        <f>ROUND(ABS('2. Demand History'!U283-IF($D283="Yes",'2. Demand History'!I283,AVERAGE('2. Demand History'!R283:T283)))/MAX('2. Demand History'!U283,1),3)</f>
        <v>0.311</v>
      </c>
      <c r="M283" s="10">
        <f>ROUND(ABS('2. Demand History'!V283-IF($D283="Yes",'2. Demand History'!J283,AVERAGE('2. Demand History'!S283:U283)))/MAX('2. Demand History'!V283,1),3)</f>
        <v>8.6999999999999994E-2</v>
      </c>
      <c r="N283" s="10">
        <f>ROUND(ABS('2. Demand History'!W283-IF($D283="Yes",'2. Demand History'!K283,AVERAGE('2. Demand History'!T283:V283)))/MAX('2. Demand History'!W283,1),3)</f>
        <v>3.5000000000000003E-2</v>
      </c>
      <c r="O283" s="10">
        <f>ROUND(ABS('2. Demand History'!X283-IF($D283="Yes",'2. Demand History'!L283,AVERAGE('2. Demand History'!U283:W283)))/MAX('2. Demand History'!X283,1),3)</f>
        <v>4.3999999999999997E-2</v>
      </c>
      <c r="P283" s="10">
        <f>ROUND(ABS('2. Demand History'!Y283-IF($D283="Yes",'2. Demand History'!M283,AVERAGE('2. Demand History'!V283:X283)))/MAX('2. Demand History'!Y283,1),3)</f>
        <v>0.13200000000000001</v>
      </c>
      <c r="Q283" s="10">
        <f>ROUND(ABS('2. Demand History'!Z283-IF($D283="Yes",'2. Demand History'!N283,AVERAGE('2. Demand History'!W283:Y283)))/MAX('2. Demand History'!Z283,1),3)</f>
        <v>0.184</v>
      </c>
    </row>
    <row r="284" spans="1:17" ht="15" customHeight="1" x14ac:dyDescent="0.2">
      <c r="A284" s="3" t="str">
        <f>'2. Demand History'!A284</f>
        <v>NT10280</v>
      </c>
      <c r="B284" s="1" t="str">
        <f>'2. Demand History'!B284</f>
        <v>ProMouse G327</v>
      </c>
      <c r="C284" s="3" t="str">
        <f>'1. Master Data'!C284</f>
        <v>Gaming</v>
      </c>
      <c r="D284" s="3" t="s">
        <v>1111</v>
      </c>
      <c r="E284" s="3" t="str">
        <f t="shared" si="12"/>
        <v>Seasonal Naive</v>
      </c>
      <c r="F284" s="3">
        <f>ROUND(AVERAGE('2. Demand History'!O284:Z284),1)</f>
        <v>118.3</v>
      </c>
      <c r="G284" s="3">
        <f>ROUND(STDEV('2. Demand History'!O284:Z284),1)</f>
        <v>39</v>
      </c>
      <c r="H284" s="8">
        <f t="shared" si="13"/>
        <v>0.33</v>
      </c>
      <c r="I284" s="8">
        <f>ROUND(SUM('2. Demand History'!O284:Z284)/MAX(SUM('2. Demand History'!C284:N284),1),2)</f>
        <v>1.1000000000000001</v>
      </c>
      <c r="J284" s="5">
        <f>IF(D284="Yes",ROUND('2. Demand History'!O284*I284,0),ROUND(AVERAGE('2. Demand History'!X284:Z284),0))</f>
        <v>100</v>
      </c>
      <c r="K284" s="9">
        <f t="shared" si="14"/>
        <v>0.14799999999999999</v>
      </c>
      <c r="L284" s="10">
        <f>ROUND(ABS('2. Demand History'!U284-IF($D284="Yes",'2. Demand History'!I284,AVERAGE('2. Demand History'!R284:T284)))/MAX('2. Demand History'!U284,1),3)</f>
        <v>0.161</v>
      </c>
      <c r="M284" s="10">
        <f>ROUND(ABS('2. Demand History'!V284-IF($D284="Yes",'2. Demand History'!J284,AVERAGE('2. Demand History'!S284:U284)))/MAX('2. Demand History'!V284,1),3)</f>
        <v>0.10199999999999999</v>
      </c>
      <c r="N284" s="10">
        <f>ROUND(ABS('2. Demand History'!W284-IF($D284="Yes",'2. Demand History'!K284,AVERAGE('2. Demand History'!T284:V284)))/MAX('2. Demand History'!W284,1),3)</f>
        <v>3.3000000000000002E-2</v>
      </c>
      <c r="O284" s="10">
        <f>ROUND(ABS('2. Demand History'!X284-IF($D284="Yes",'2. Demand History'!L284,AVERAGE('2. Demand History'!U284:W284)))/MAX('2. Demand History'!X284,1),3)</f>
        <v>0.106</v>
      </c>
      <c r="P284" s="10">
        <f>ROUND(ABS('2. Demand History'!Y284-IF($D284="Yes",'2. Demand History'!M284,AVERAGE('2. Demand History'!V284:X284)))/MAX('2. Demand History'!Y284,1),3)</f>
        <v>0.126</v>
      </c>
      <c r="Q284" s="10">
        <f>ROUND(ABS('2. Demand History'!Z284-IF($D284="Yes",'2. Demand History'!N284,AVERAGE('2. Demand History'!W284:Y284)))/MAX('2. Demand History'!Z284,1),3)</f>
        <v>0.35699999999999998</v>
      </c>
    </row>
    <row r="285" spans="1:17" ht="15" customHeight="1" x14ac:dyDescent="0.2">
      <c r="A285" s="3" t="str">
        <f>'2. Demand History'!A285</f>
        <v>NT10281</v>
      </c>
      <c r="B285" s="1" t="str">
        <f>'2. Demand History'!B285</f>
        <v>StreamCam S631</v>
      </c>
      <c r="C285" s="3" t="str">
        <f>'1. Master Data'!C285</f>
        <v>Gaming</v>
      </c>
      <c r="D285" s="3" t="s">
        <v>1111</v>
      </c>
      <c r="E285" s="3" t="str">
        <f t="shared" si="12"/>
        <v>Seasonal Naive</v>
      </c>
      <c r="F285" s="3">
        <f>ROUND(AVERAGE('2. Demand History'!O285:Z285),1)</f>
        <v>296.5</v>
      </c>
      <c r="G285" s="3">
        <f>ROUND(STDEV('2. Demand History'!O285:Z285),1)</f>
        <v>87.6</v>
      </c>
      <c r="H285" s="8">
        <f t="shared" si="13"/>
        <v>0.3</v>
      </c>
      <c r="I285" s="8">
        <f>ROUND(SUM('2. Demand History'!O285:Z285)/MAX(SUM('2. Demand History'!C285:N285),1),2)</f>
        <v>1.0900000000000001</v>
      </c>
      <c r="J285" s="5">
        <f>IF(D285="Yes",ROUND('2. Demand History'!O285*I285,0),ROUND(AVERAGE('2. Demand History'!X285:Z285),0))</f>
        <v>307</v>
      </c>
      <c r="K285" s="9">
        <f t="shared" si="14"/>
        <v>9.9000000000000005E-2</v>
      </c>
      <c r="L285" s="10">
        <f>ROUND(ABS('2. Demand History'!U285-IF($D285="Yes",'2. Demand History'!I285,AVERAGE('2. Demand History'!R285:T285)))/MAX('2. Demand History'!U285,1),3)</f>
        <v>6.0000000000000001E-3</v>
      </c>
      <c r="M285" s="10">
        <f>ROUND(ABS('2. Demand History'!V285-IF($D285="Yes",'2. Demand History'!J285,AVERAGE('2. Demand History'!S285:U285)))/MAX('2. Demand History'!V285,1),3)</f>
        <v>7.3999999999999996E-2</v>
      </c>
      <c r="N285" s="10">
        <f>ROUND(ABS('2. Demand History'!W285-IF($D285="Yes",'2. Demand History'!K285,AVERAGE('2. Demand History'!T285:V285)))/MAX('2. Demand History'!W285,1),3)</f>
        <v>0.111</v>
      </c>
      <c r="O285" s="10">
        <f>ROUND(ABS('2. Demand History'!X285-IF($D285="Yes",'2. Demand History'!L285,AVERAGE('2. Demand History'!U285:W285)))/MAX('2. Demand History'!X285,1),3)</f>
        <v>8.4000000000000005E-2</v>
      </c>
      <c r="P285" s="10">
        <f>ROUND(ABS('2. Demand History'!Y285-IF($D285="Yes",'2. Demand History'!M285,AVERAGE('2. Demand History'!V285:X285)))/MAX('2. Demand History'!Y285,1),3)</f>
        <v>0.30599999999999999</v>
      </c>
      <c r="Q285" s="10">
        <f>ROUND(ABS('2. Demand History'!Z285-IF($D285="Yes",'2. Demand History'!N285,AVERAGE('2. Demand History'!W285:Y285)))/MAX('2. Demand History'!Z285,1),3)</f>
        <v>1.0999999999999999E-2</v>
      </c>
    </row>
    <row r="286" spans="1:17" ht="15" customHeight="1" x14ac:dyDescent="0.2">
      <c r="A286" s="3" t="str">
        <f>'2. Demand History'!A286</f>
        <v>NT10282</v>
      </c>
      <c r="B286" s="1" t="str">
        <f>'2. Demand History'!B286</f>
        <v>ProMouse G176</v>
      </c>
      <c r="C286" s="3" t="str">
        <f>'1. Master Data'!C286</f>
        <v>Gaming</v>
      </c>
      <c r="D286" s="3" t="s">
        <v>1111</v>
      </c>
      <c r="E286" s="3" t="str">
        <f t="shared" si="12"/>
        <v>Seasonal Naive</v>
      </c>
      <c r="F286" s="3">
        <f>ROUND(AVERAGE('2. Demand History'!O286:Z286),1)</f>
        <v>148.30000000000001</v>
      </c>
      <c r="G286" s="3">
        <f>ROUND(STDEV('2. Demand History'!O286:Z286),1)</f>
        <v>33.1</v>
      </c>
      <c r="H286" s="8">
        <f t="shared" si="13"/>
        <v>0.22</v>
      </c>
      <c r="I286" s="8">
        <f>ROUND(SUM('2. Demand History'!O286:Z286)/MAX(SUM('2. Demand History'!C286:N286),1),2)</f>
        <v>1.04</v>
      </c>
      <c r="J286" s="5">
        <f>IF(D286="Yes",ROUND('2. Demand History'!O286*I286,0),ROUND(AVERAGE('2. Demand History'!X286:Z286),0))</f>
        <v>158</v>
      </c>
      <c r="K286" s="9">
        <f t="shared" si="14"/>
        <v>0.16500000000000001</v>
      </c>
      <c r="L286" s="10">
        <f>ROUND(ABS('2. Demand History'!U286-IF($D286="Yes",'2. Demand History'!I286,AVERAGE('2. Demand History'!R286:T286)))/MAX('2. Demand History'!U286,1),3)</f>
        <v>0.22</v>
      </c>
      <c r="M286" s="10">
        <f>ROUND(ABS('2. Demand History'!V286-IF($D286="Yes",'2. Demand History'!J286,AVERAGE('2. Demand History'!S286:U286)))/MAX('2. Demand History'!V286,1),3)</f>
        <v>0.188</v>
      </c>
      <c r="N286" s="10">
        <f>ROUND(ABS('2. Demand History'!W286-IF($D286="Yes",'2. Demand History'!K286,AVERAGE('2. Demand History'!T286:V286)))/MAX('2. Demand History'!W286,1),3)</f>
        <v>0.14299999999999999</v>
      </c>
      <c r="O286" s="10">
        <f>ROUND(ABS('2. Demand History'!X286-IF($D286="Yes",'2. Demand History'!L286,AVERAGE('2. Demand History'!U286:W286)))/MAX('2. Demand History'!X286,1),3)</f>
        <v>8.7999999999999995E-2</v>
      </c>
      <c r="P286" s="10">
        <f>ROUND(ABS('2. Demand History'!Y286-IF($D286="Yes",'2. Demand History'!M286,AVERAGE('2. Demand History'!V286:X286)))/MAX('2. Demand History'!Y286,1),3)</f>
        <v>8.5000000000000006E-2</v>
      </c>
      <c r="Q286" s="10">
        <f>ROUND(ABS('2. Demand History'!Z286-IF($D286="Yes",'2. Demand History'!N286,AVERAGE('2. Demand History'!W286:Y286)))/MAX('2. Demand History'!Z286,1),3)</f>
        <v>0.26700000000000002</v>
      </c>
    </row>
    <row r="287" spans="1:17" ht="15" customHeight="1" x14ac:dyDescent="0.2">
      <c r="A287" s="3" t="str">
        <f>'2. Demand History'!A287</f>
        <v>NT10283</v>
      </c>
      <c r="B287" s="1" t="str">
        <f>'2. Demand History'!B287</f>
        <v>ArenaHeadset H729</v>
      </c>
      <c r="C287" s="3" t="str">
        <f>'1. Master Data'!C287</f>
        <v>Gaming</v>
      </c>
      <c r="D287" s="3" t="s">
        <v>1111</v>
      </c>
      <c r="E287" s="3" t="str">
        <f t="shared" si="12"/>
        <v>Seasonal Naive</v>
      </c>
      <c r="F287" s="3">
        <f>ROUND(AVERAGE('2. Demand History'!O287:Z287),1)</f>
        <v>50.2</v>
      </c>
      <c r="G287" s="3">
        <f>ROUND(STDEV('2. Demand History'!O287:Z287),1)</f>
        <v>14.2</v>
      </c>
      <c r="H287" s="8">
        <f t="shared" si="13"/>
        <v>0.28000000000000003</v>
      </c>
      <c r="I287" s="8">
        <f>ROUND(SUM('2. Demand History'!O287:Z287)/MAX(SUM('2. Demand History'!C287:N287),1),2)</f>
        <v>1.1100000000000001</v>
      </c>
      <c r="J287" s="5">
        <f>IF(D287="Yes",ROUND('2. Demand History'!O287*I287,0),ROUND(AVERAGE('2. Demand History'!X287:Z287),0))</f>
        <v>46</v>
      </c>
      <c r="K287" s="9">
        <f t="shared" si="14"/>
        <v>0.13500000000000001</v>
      </c>
      <c r="L287" s="10">
        <f>ROUND(ABS('2. Demand History'!U287-IF($D287="Yes",'2. Demand History'!I287,AVERAGE('2. Demand History'!R287:T287)))/MAX('2. Demand History'!U287,1),3)</f>
        <v>3.4000000000000002E-2</v>
      </c>
      <c r="M287" s="10">
        <f>ROUND(ABS('2. Demand History'!V287-IF($D287="Yes",'2. Demand History'!J287,AVERAGE('2. Demand History'!S287:U287)))/MAX('2. Demand History'!V287,1),3)</f>
        <v>8.5999999999999993E-2</v>
      </c>
      <c r="N287" s="10">
        <f>ROUND(ABS('2. Demand History'!W287-IF($D287="Yes",'2. Demand History'!K287,AVERAGE('2. Demand History'!T287:V287)))/MAX('2. Demand History'!W287,1),3)</f>
        <v>0.19600000000000001</v>
      </c>
      <c r="O287" s="10">
        <f>ROUND(ABS('2. Demand History'!X287-IF($D287="Yes",'2. Demand History'!L287,AVERAGE('2. Demand History'!U287:W287)))/MAX('2. Demand History'!X287,1),3)</f>
        <v>0.14000000000000001</v>
      </c>
      <c r="P287" s="10">
        <f>ROUND(ABS('2. Demand History'!Y287-IF($D287="Yes",'2. Demand History'!M287,AVERAGE('2. Demand History'!V287:X287)))/MAX('2. Demand History'!Y287,1),3)</f>
        <v>0.22900000000000001</v>
      </c>
      <c r="Q287" s="10">
        <f>ROUND(ABS('2. Demand History'!Z287-IF($D287="Yes",'2. Demand History'!N287,AVERAGE('2. Demand History'!W287:Y287)))/MAX('2. Demand History'!Z287,1),3)</f>
        <v>0.125</v>
      </c>
    </row>
    <row r="288" spans="1:17" ht="15" customHeight="1" x14ac:dyDescent="0.2">
      <c r="A288" s="3" t="str">
        <f>'2. Demand History'!A288</f>
        <v>NT10284</v>
      </c>
      <c r="B288" s="1" t="str">
        <f>'2. Demand History'!B288</f>
        <v>ProMouse G382</v>
      </c>
      <c r="C288" s="3" t="str">
        <f>'1. Master Data'!C288</f>
        <v>Gaming</v>
      </c>
      <c r="D288" s="3" t="s">
        <v>1111</v>
      </c>
      <c r="E288" s="3" t="str">
        <f t="shared" si="12"/>
        <v>Seasonal Naive</v>
      </c>
      <c r="F288" s="3">
        <f>ROUND(AVERAGE('2. Demand History'!O288:Z288),1)</f>
        <v>37.799999999999997</v>
      </c>
      <c r="G288" s="3">
        <f>ROUND(STDEV('2. Demand History'!O288:Z288),1)</f>
        <v>12.6</v>
      </c>
      <c r="H288" s="8">
        <f t="shared" si="13"/>
        <v>0.33</v>
      </c>
      <c r="I288" s="8">
        <f>ROUND(SUM('2. Demand History'!O288:Z288)/MAX(SUM('2. Demand History'!C288:N288),1),2)</f>
        <v>0.97</v>
      </c>
      <c r="J288" s="5">
        <f>IF(D288="Yes",ROUND('2. Demand History'!O288*I288,0),ROUND(AVERAGE('2. Demand History'!X288:Z288),0))</f>
        <v>31</v>
      </c>
      <c r="K288" s="9">
        <f t="shared" si="14"/>
        <v>0.105</v>
      </c>
      <c r="L288" s="10">
        <f>ROUND(ABS('2. Demand History'!U288-IF($D288="Yes",'2. Demand History'!I288,AVERAGE('2. Demand History'!R288:T288)))/MAX('2. Demand History'!U288,1),3)</f>
        <v>8.7999999999999995E-2</v>
      </c>
      <c r="M288" s="10">
        <f>ROUND(ABS('2. Demand History'!V288-IF($D288="Yes",'2. Demand History'!J288,AVERAGE('2. Demand History'!S288:U288)))/MAX('2. Demand History'!V288,1),3)</f>
        <v>0.25</v>
      </c>
      <c r="N288" s="10">
        <f>ROUND(ABS('2. Demand History'!W288-IF($D288="Yes",'2. Demand History'!K288,AVERAGE('2. Demand History'!T288:V288)))/MAX('2. Demand History'!W288,1),3)</f>
        <v>0.14799999999999999</v>
      </c>
      <c r="O288" s="10">
        <f>ROUND(ABS('2. Demand History'!X288-IF($D288="Yes",'2. Demand History'!L288,AVERAGE('2. Demand History'!U288:W288)))/MAX('2. Demand History'!X288,1),3)</f>
        <v>5.8999999999999997E-2</v>
      </c>
      <c r="P288" s="10">
        <f>ROUND(ABS('2. Demand History'!Y288-IF($D288="Yes",'2. Demand History'!M288,AVERAGE('2. Demand History'!V288:X288)))/MAX('2. Demand History'!Y288,1),3)</f>
        <v>6.0999999999999999E-2</v>
      </c>
      <c r="Q288" s="10">
        <f>ROUND(ABS('2. Demand History'!Z288-IF($D288="Yes",'2. Demand History'!N288,AVERAGE('2. Demand History'!W288:Y288)))/MAX('2. Demand History'!Z288,1),3)</f>
        <v>2.5999999999999999E-2</v>
      </c>
    </row>
    <row r="289" spans="1:17" ht="15" customHeight="1" x14ac:dyDescent="0.2">
      <c r="A289" s="3" t="str">
        <f>'2. Demand History'!A289</f>
        <v>NT10285</v>
      </c>
      <c r="B289" s="1" t="str">
        <f>'2. Demand History'!B289</f>
        <v>ArenaHeadset H548</v>
      </c>
      <c r="C289" s="3" t="str">
        <f>'1. Master Data'!C289</f>
        <v>Gaming</v>
      </c>
      <c r="D289" s="3" t="s">
        <v>1111</v>
      </c>
      <c r="E289" s="3" t="str">
        <f t="shared" si="12"/>
        <v>Seasonal Naive</v>
      </c>
      <c r="F289" s="3">
        <f>ROUND(AVERAGE('2. Demand History'!O289:Z289),1)</f>
        <v>206.9</v>
      </c>
      <c r="G289" s="3">
        <f>ROUND(STDEV('2. Demand History'!O289:Z289),1)</f>
        <v>67.2</v>
      </c>
      <c r="H289" s="8">
        <f t="shared" si="13"/>
        <v>0.32</v>
      </c>
      <c r="I289" s="8">
        <f>ROUND(SUM('2. Demand History'!O289:Z289)/MAX(SUM('2. Demand History'!C289:N289),1),2)</f>
        <v>1.08</v>
      </c>
      <c r="J289" s="5">
        <f>IF(D289="Yes",ROUND('2. Demand History'!O289*I289,0),ROUND(AVERAGE('2. Demand History'!X289:Z289),0))</f>
        <v>183</v>
      </c>
      <c r="K289" s="9">
        <f t="shared" si="14"/>
        <v>0.09</v>
      </c>
      <c r="L289" s="10">
        <f>ROUND(ABS('2. Demand History'!U289-IF($D289="Yes",'2. Demand History'!I289,AVERAGE('2. Demand History'!R289:T289)))/MAX('2. Demand History'!U289,1),3)</f>
        <v>0.114</v>
      </c>
      <c r="M289" s="10">
        <f>ROUND(ABS('2. Demand History'!V289-IF($D289="Yes",'2. Demand History'!J289,AVERAGE('2. Demand History'!S289:U289)))/MAX('2. Demand History'!V289,1),3)</f>
        <v>4.4999999999999998E-2</v>
      </c>
      <c r="N289" s="10">
        <f>ROUND(ABS('2. Demand History'!W289-IF($D289="Yes",'2. Demand History'!K289,AVERAGE('2. Demand History'!T289:V289)))/MAX('2. Demand History'!W289,1),3)</f>
        <v>0.17299999999999999</v>
      </c>
      <c r="O289" s="10">
        <f>ROUND(ABS('2. Demand History'!X289-IF($D289="Yes",'2. Demand History'!L289,AVERAGE('2. Demand History'!U289:W289)))/MAX('2. Demand History'!X289,1),3)</f>
        <v>3.9E-2</v>
      </c>
      <c r="P289" s="10">
        <f>ROUND(ABS('2. Demand History'!Y289-IF($D289="Yes",'2. Demand History'!M289,AVERAGE('2. Demand History'!V289:X289)))/MAX('2. Demand History'!Y289,1),3)</f>
        <v>8.4000000000000005E-2</v>
      </c>
      <c r="Q289" s="10">
        <f>ROUND(ABS('2. Demand History'!Z289-IF($D289="Yes",'2. Demand History'!N289,AVERAGE('2. Demand History'!W289:Y289)))/MAX('2. Demand History'!Z289,1),3)</f>
        <v>8.5000000000000006E-2</v>
      </c>
    </row>
    <row r="290" spans="1:17" ht="15" customHeight="1" x14ac:dyDescent="0.2">
      <c r="A290" s="3" t="str">
        <f>'2. Demand History'!A290</f>
        <v>NT10286</v>
      </c>
      <c r="B290" s="1" t="str">
        <f>'2. Demand History'!B290</f>
        <v>ArenaHeadset H403</v>
      </c>
      <c r="C290" s="3" t="str">
        <f>'1. Master Data'!C290</f>
        <v>Gaming</v>
      </c>
      <c r="D290" s="3" t="s">
        <v>1111</v>
      </c>
      <c r="E290" s="3" t="str">
        <f t="shared" si="12"/>
        <v>Seasonal Naive</v>
      </c>
      <c r="F290" s="3">
        <f>ROUND(AVERAGE('2. Demand History'!O290:Z290),1)</f>
        <v>44</v>
      </c>
      <c r="G290" s="3">
        <f>ROUND(STDEV('2. Demand History'!O290:Z290),1)</f>
        <v>13.2</v>
      </c>
      <c r="H290" s="8">
        <f t="shared" si="13"/>
        <v>0.3</v>
      </c>
      <c r="I290" s="8">
        <f>ROUND(SUM('2. Demand History'!O290:Z290)/MAX(SUM('2. Demand History'!C290:N290),1),2)</f>
        <v>1.1299999999999999</v>
      </c>
      <c r="J290" s="5">
        <f>IF(D290="Yes",ROUND('2. Demand History'!O290*I290,0),ROUND(AVERAGE('2. Demand History'!X290:Z290),0))</f>
        <v>45</v>
      </c>
      <c r="K290" s="9">
        <f t="shared" si="14"/>
        <v>0.124</v>
      </c>
      <c r="L290" s="10">
        <f>ROUND(ABS('2. Demand History'!U290-IF($D290="Yes",'2. Demand History'!I290,AVERAGE('2. Demand History'!R290:T290)))/MAX('2. Demand History'!U290,1),3)</f>
        <v>2.9000000000000001E-2</v>
      </c>
      <c r="M290" s="10">
        <f>ROUND(ABS('2. Demand History'!V290-IF($D290="Yes",'2. Demand History'!J290,AVERAGE('2. Demand History'!S290:U290)))/MAX('2. Demand History'!V290,1),3)</f>
        <v>0.13800000000000001</v>
      </c>
      <c r="N290" s="10">
        <f>ROUND(ABS('2. Demand History'!W290-IF($D290="Yes",'2. Demand History'!K290,AVERAGE('2. Demand History'!T290:V290)))/MAX('2. Demand History'!W290,1),3)</f>
        <v>0.22500000000000001</v>
      </c>
      <c r="O290" s="10">
        <f>ROUND(ABS('2. Demand History'!X290-IF($D290="Yes",'2. Demand History'!L290,AVERAGE('2. Demand History'!U290:W290)))/MAX('2. Demand History'!X290,1),3)</f>
        <v>2.9000000000000001E-2</v>
      </c>
      <c r="P290" s="10">
        <f>ROUND(ABS('2. Demand History'!Y290-IF($D290="Yes",'2. Demand History'!M290,AVERAGE('2. Demand History'!V290:X290)))/MAX('2. Demand History'!Y290,1),3)</f>
        <v>0.14599999999999999</v>
      </c>
      <c r="Q290" s="10">
        <f>ROUND(ABS('2. Demand History'!Z290-IF($D290="Yes",'2. Demand History'!N290,AVERAGE('2. Demand History'!W290:Y290)))/MAX('2. Demand History'!Z290,1),3)</f>
        <v>0.17499999999999999</v>
      </c>
    </row>
    <row r="291" spans="1:17" ht="15" customHeight="1" x14ac:dyDescent="0.2">
      <c r="A291" s="3" t="str">
        <f>'2. Demand History'!A291</f>
        <v>NT10287</v>
      </c>
      <c r="B291" s="1" t="str">
        <f>'2. Demand History'!B291</f>
        <v>ProMouse G661</v>
      </c>
      <c r="C291" s="3" t="str">
        <f>'1. Master Data'!C291</f>
        <v>Gaming</v>
      </c>
      <c r="D291" s="3" t="s">
        <v>1111</v>
      </c>
      <c r="E291" s="3" t="str">
        <f t="shared" si="12"/>
        <v>Seasonal Naive</v>
      </c>
      <c r="F291" s="3">
        <f>ROUND(AVERAGE('2. Demand History'!O291:Z291),1)</f>
        <v>763</v>
      </c>
      <c r="G291" s="3">
        <f>ROUND(STDEV('2. Demand History'!O291:Z291),1)</f>
        <v>189.9</v>
      </c>
      <c r="H291" s="8">
        <f t="shared" si="13"/>
        <v>0.25</v>
      </c>
      <c r="I291" s="8">
        <f>ROUND(SUM('2. Demand History'!O291:Z291)/MAX(SUM('2. Demand History'!C291:N291),1),2)</f>
        <v>1.1000000000000001</v>
      </c>
      <c r="J291" s="5">
        <f>IF(D291="Yes",ROUND('2. Demand History'!O291*I291,0),ROUND(AVERAGE('2. Demand History'!X291:Z291),0))</f>
        <v>743</v>
      </c>
      <c r="K291" s="9">
        <f t="shared" si="14"/>
        <v>9.9000000000000005E-2</v>
      </c>
      <c r="L291" s="10">
        <f>ROUND(ABS('2. Demand History'!U291-IF($D291="Yes",'2. Demand History'!I291,AVERAGE('2. Demand History'!R291:T291)))/MAX('2. Demand History'!U291,1),3)</f>
        <v>2.4E-2</v>
      </c>
      <c r="M291" s="10">
        <f>ROUND(ABS('2. Demand History'!V291-IF($D291="Yes",'2. Demand History'!J291,AVERAGE('2. Demand History'!S291:U291)))/MAX('2. Demand History'!V291,1),3)</f>
        <v>0.252</v>
      </c>
      <c r="N291" s="10">
        <f>ROUND(ABS('2. Demand History'!W291-IF($D291="Yes",'2. Demand History'!K291,AVERAGE('2. Demand History'!T291:V291)))/MAX('2. Demand History'!W291,1),3)</f>
        <v>2.4E-2</v>
      </c>
      <c r="O291" s="10">
        <f>ROUND(ABS('2. Demand History'!X291-IF($D291="Yes",'2. Demand History'!L291,AVERAGE('2. Demand History'!U291:W291)))/MAX('2. Demand History'!X291,1),3)</f>
        <v>0.105</v>
      </c>
      <c r="P291" s="10">
        <f>ROUND(ABS('2. Demand History'!Y291-IF($D291="Yes",'2. Demand History'!M291,AVERAGE('2. Demand History'!V291:X291)))/MAX('2. Demand History'!Y291,1),3)</f>
        <v>2.1000000000000001E-2</v>
      </c>
      <c r="Q291" s="10">
        <f>ROUND(ABS('2. Demand History'!Z291-IF($D291="Yes",'2. Demand History'!N291,AVERAGE('2. Demand History'!W291:Y291)))/MAX('2. Demand History'!Z291,1),3)</f>
        <v>0.16500000000000001</v>
      </c>
    </row>
    <row r="292" spans="1:17" ht="15" customHeight="1" x14ac:dyDescent="0.2">
      <c r="A292" s="3" t="str">
        <f>'2. Demand History'!A292</f>
        <v>NT10288</v>
      </c>
      <c r="B292" s="1" t="str">
        <f>'2. Demand History'!B292</f>
        <v>ArenaHeadset H881</v>
      </c>
      <c r="C292" s="3" t="str">
        <f>'1. Master Data'!C292</f>
        <v>Gaming</v>
      </c>
      <c r="D292" s="3" t="s">
        <v>1111</v>
      </c>
      <c r="E292" s="3" t="str">
        <f t="shared" si="12"/>
        <v>Seasonal Naive</v>
      </c>
      <c r="F292" s="3">
        <f>ROUND(AVERAGE('2. Demand History'!O292:Z292),1)</f>
        <v>184.7</v>
      </c>
      <c r="G292" s="3">
        <f>ROUND(STDEV('2. Demand History'!O292:Z292),1)</f>
        <v>48.9</v>
      </c>
      <c r="H292" s="8">
        <f t="shared" si="13"/>
        <v>0.26</v>
      </c>
      <c r="I292" s="8">
        <f>ROUND(SUM('2. Demand History'!O292:Z292)/MAX(SUM('2. Demand History'!C292:N292),1),2)</f>
        <v>1.04</v>
      </c>
      <c r="J292" s="5">
        <f>IF(D292="Yes",ROUND('2. Demand History'!O292*I292,0),ROUND(AVERAGE('2. Demand History'!X292:Z292),0))</f>
        <v>187</v>
      </c>
      <c r="K292" s="9">
        <f t="shared" si="14"/>
        <v>0.121</v>
      </c>
      <c r="L292" s="10">
        <f>ROUND(ABS('2. Demand History'!U292-IF($D292="Yes",'2. Demand History'!I292,AVERAGE('2. Demand History'!R292:T292)))/MAX('2. Demand History'!U292,1),3)</f>
        <v>0.20799999999999999</v>
      </c>
      <c r="M292" s="10">
        <f>ROUND(ABS('2. Demand History'!V292-IF($D292="Yes",'2. Demand History'!J292,AVERAGE('2. Demand History'!S292:U292)))/MAX('2. Demand History'!V292,1),3)</f>
        <v>0.17100000000000001</v>
      </c>
      <c r="N292" s="10">
        <f>ROUND(ABS('2. Demand History'!W292-IF($D292="Yes",'2. Demand History'!K292,AVERAGE('2. Demand History'!T292:V292)))/MAX('2. Demand History'!W292,1),3)</f>
        <v>1.6E-2</v>
      </c>
      <c r="O292" s="10">
        <f>ROUND(ABS('2. Demand History'!X292-IF($D292="Yes",'2. Demand History'!L292,AVERAGE('2. Demand History'!U292:W292)))/MAX('2. Demand History'!X292,1),3)</f>
        <v>0.14499999999999999</v>
      </c>
      <c r="P292" s="10">
        <f>ROUND(ABS('2. Demand History'!Y292-IF($D292="Yes",'2. Demand History'!M292,AVERAGE('2. Demand History'!V292:X292)))/MAX('2. Demand History'!Y292,1),3)</f>
        <v>0.16800000000000001</v>
      </c>
      <c r="Q292" s="10">
        <f>ROUND(ABS('2. Demand History'!Z292-IF($D292="Yes",'2. Demand History'!N292,AVERAGE('2. Demand History'!W292:Y292)))/MAX('2. Demand History'!Z292,1),3)</f>
        <v>1.7000000000000001E-2</v>
      </c>
    </row>
    <row r="293" spans="1:17" ht="15" customHeight="1" x14ac:dyDescent="0.2">
      <c r="A293" s="3" t="str">
        <f>'2. Demand History'!A293</f>
        <v>NT10289</v>
      </c>
      <c r="B293" s="1" t="str">
        <f>'2. Demand History'!B293</f>
        <v>ArenaHeadset H623</v>
      </c>
      <c r="C293" s="3" t="str">
        <f>'1. Master Data'!C293</f>
        <v>Gaming</v>
      </c>
      <c r="D293" s="3" t="s">
        <v>1111</v>
      </c>
      <c r="E293" s="3" t="str">
        <f t="shared" si="12"/>
        <v>Seasonal Naive</v>
      </c>
      <c r="F293" s="3">
        <f>ROUND(AVERAGE('2. Demand History'!O293:Z293),1)</f>
        <v>143.30000000000001</v>
      </c>
      <c r="G293" s="3">
        <f>ROUND(STDEV('2. Demand History'!O293:Z293),1)</f>
        <v>43.6</v>
      </c>
      <c r="H293" s="8">
        <f t="shared" si="13"/>
        <v>0.3</v>
      </c>
      <c r="I293" s="8">
        <f>ROUND(SUM('2. Demand History'!O293:Z293)/MAX(SUM('2. Demand History'!C293:N293),1),2)</f>
        <v>1.0900000000000001</v>
      </c>
      <c r="J293" s="5">
        <f>IF(D293="Yes",ROUND('2. Demand History'!O293*I293,0),ROUND(AVERAGE('2. Demand History'!X293:Z293),0))</f>
        <v>146</v>
      </c>
      <c r="K293" s="9">
        <f t="shared" si="14"/>
        <v>0.157</v>
      </c>
      <c r="L293" s="10">
        <f>ROUND(ABS('2. Demand History'!U293-IF($D293="Yes",'2. Demand History'!I293,AVERAGE('2. Demand History'!R293:T293)))/MAX('2. Demand History'!U293,1),3)</f>
        <v>0.25600000000000001</v>
      </c>
      <c r="M293" s="10">
        <f>ROUND(ABS('2. Demand History'!V293-IF($D293="Yes",'2. Demand History'!J293,AVERAGE('2. Demand History'!S293:U293)))/MAX('2. Demand History'!V293,1),3)</f>
        <v>0.224</v>
      </c>
      <c r="N293" s="10">
        <f>ROUND(ABS('2. Demand History'!W293-IF($D293="Yes",'2. Demand History'!K293,AVERAGE('2. Demand History'!T293:V293)))/MAX('2. Demand History'!W293,1),3)</f>
        <v>5.1999999999999998E-2</v>
      </c>
      <c r="O293" s="10">
        <f>ROUND(ABS('2. Demand History'!X293-IF($D293="Yes",'2. Demand History'!L293,AVERAGE('2. Demand History'!U293:W293)))/MAX('2. Demand History'!X293,1),3)</f>
        <v>0.115</v>
      </c>
      <c r="P293" s="10">
        <f>ROUND(ABS('2. Demand History'!Y293-IF($D293="Yes",'2. Demand History'!M293,AVERAGE('2. Demand History'!V293:X293)))/MAX('2. Demand History'!Y293,1),3)</f>
        <v>6.6000000000000003E-2</v>
      </c>
      <c r="Q293" s="10">
        <f>ROUND(ABS('2. Demand History'!Z293-IF($D293="Yes",'2. Demand History'!N293,AVERAGE('2. Demand History'!W293:Y293)))/MAX('2. Demand History'!Z293,1),3)</f>
        <v>0.22800000000000001</v>
      </c>
    </row>
    <row r="294" spans="1:17" ht="15" customHeight="1" x14ac:dyDescent="0.2">
      <c r="A294" s="3" t="str">
        <f>'2. Demand History'!A294</f>
        <v>NT10290</v>
      </c>
      <c r="B294" s="1" t="str">
        <f>'2. Demand History'!B294</f>
        <v>GameStation Controller 601</v>
      </c>
      <c r="C294" s="3" t="str">
        <f>'1. Master Data'!C294</f>
        <v>Gaming</v>
      </c>
      <c r="D294" s="3" t="s">
        <v>1111</v>
      </c>
      <c r="E294" s="3" t="str">
        <f t="shared" si="12"/>
        <v>Seasonal Naive</v>
      </c>
      <c r="F294" s="3">
        <f>ROUND(AVERAGE('2. Demand History'!O294:Z294),1)</f>
        <v>88.1</v>
      </c>
      <c r="G294" s="3">
        <f>ROUND(STDEV('2. Demand History'!O294:Z294),1)</f>
        <v>27.9</v>
      </c>
      <c r="H294" s="8">
        <f t="shared" si="13"/>
        <v>0.32</v>
      </c>
      <c r="I294" s="8">
        <f>ROUND(SUM('2. Demand History'!O294:Z294)/MAX(SUM('2. Demand History'!C294:N294),1),2)</f>
        <v>1.05</v>
      </c>
      <c r="J294" s="5">
        <f>IF(D294="Yes",ROUND('2. Demand History'!O294*I294,0),ROUND(AVERAGE('2. Demand History'!X294:Z294),0))</f>
        <v>86</v>
      </c>
      <c r="K294" s="9">
        <f t="shared" si="14"/>
        <v>0.106</v>
      </c>
      <c r="L294" s="10">
        <f>ROUND(ABS('2. Demand History'!U294-IF($D294="Yes",'2. Demand History'!I294,AVERAGE('2. Demand History'!R294:T294)))/MAX('2. Demand History'!U294,1),3)</f>
        <v>0.154</v>
      </c>
      <c r="M294" s="10">
        <f>ROUND(ABS('2. Demand History'!V294-IF($D294="Yes",'2. Demand History'!J294,AVERAGE('2. Demand History'!S294:U294)))/MAX('2. Demand History'!V294,1),3)</f>
        <v>1.6E-2</v>
      </c>
      <c r="N294" s="10">
        <f>ROUND(ABS('2. Demand History'!W294-IF($D294="Yes",'2. Demand History'!K294,AVERAGE('2. Demand History'!T294:V294)))/MAX('2. Demand History'!W294,1),3)</f>
        <v>4.2999999999999997E-2</v>
      </c>
      <c r="O294" s="10">
        <f>ROUND(ABS('2. Demand History'!X294-IF($D294="Yes",'2. Demand History'!L294,AVERAGE('2. Demand History'!U294:W294)))/MAX('2. Demand History'!X294,1),3)</f>
        <v>5.6000000000000001E-2</v>
      </c>
      <c r="P294" s="10">
        <f>ROUND(ABS('2. Demand History'!Y294-IF($D294="Yes",'2. Demand History'!M294,AVERAGE('2. Demand History'!V294:X294)))/MAX('2. Demand History'!Y294,1),3)</f>
        <v>0.23300000000000001</v>
      </c>
      <c r="Q294" s="10">
        <f>ROUND(ABS('2. Demand History'!Z294-IF($D294="Yes",'2. Demand History'!N294,AVERAGE('2. Demand History'!W294:Y294)))/MAX('2. Demand History'!Z294,1),3)</f>
        <v>0.13200000000000001</v>
      </c>
    </row>
    <row r="295" spans="1:17" ht="15" customHeight="1" x14ac:dyDescent="0.2">
      <c r="A295" s="3" t="str">
        <f>'2. Demand History'!A295</f>
        <v>NT10291</v>
      </c>
      <c r="B295" s="1" t="str">
        <f>'2. Demand History'!B295</f>
        <v>GameStation Controller 866</v>
      </c>
      <c r="C295" s="3" t="str">
        <f>'1. Master Data'!C295</f>
        <v>Gaming</v>
      </c>
      <c r="D295" s="3" t="s">
        <v>1111</v>
      </c>
      <c r="E295" s="3" t="str">
        <f t="shared" si="12"/>
        <v>Seasonal Naive</v>
      </c>
      <c r="F295" s="3">
        <f>ROUND(AVERAGE('2. Demand History'!O295:Z295),1)</f>
        <v>386.2</v>
      </c>
      <c r="G295" s="3">
        <f>ROUND(STDEV('2. Demand History'!O295:Z295),1)</f>
        <v>102.5</v>
      </c>
      <c r="H295" s="8">
        <f t="shared" si="13"/>
        <v>0.27</v>
      </c>
      <c r="I295" s="8">
        <f>ROUND(SUM('2. Demand History'!O295:Z295)/MAX(SUM('2. Demand History'!C295:N295),1),2)</f>
        <v>0.99</v>
      </c>
      <c r="J295" s="5">
        <f>IF(D295="Yes",ROUND('2. Demand History'!O295*I295,0),ROUND(AVERAGE('2. Demand History'!X295:Z295),0))</f>
        <v>360</v>
      </c>
      <c r="K295" s="9">
        <f t="shared" si="14"/>
        <v>0.16900000000000001</v>
      </c>
      <c r="L295" s="10">
        <f>ROUND(ABS('2. Demand History'!U295-IF($D295="Yes",'2. Demand History'!I295,AVERAGE('2. Demand History'!R295:T295)))/MAX('2. Demand History'!U295,1),3)</f>
        <v>0.13100000000000001</v>
      </c>
      <c r="M295" s="10">
        <f>ROUND(ABS('2. Demand History'!V295-IF($D295="Yes",'2. Demand History'!J295,AVERAGE('2. Demand History'!S295:U295)))/MAX('2. Demand History'!V295,1),3)</f>
        <v>0.108</v>
      </c>
      <c r="N295" s="10">
        <f>ROUND(ABS('2. Demand History'!W295-IF($D295="Yes",'2. Demand History'!K295,AVERAGE('2. Demand History'!T295:V295)))/MAX('2. Demand History'!W295,1),3)</f>
        <v>0.192</v>
      </c>
      <c r="O295" s="10">
        <f>ROUND(ABS('2. Demand History'!X295-IF($D295="Yes",'2. Demand History'!L295,AVERAGE('2. Demand History'!U295:W295)))/MAX('2. Demand History'!X295,1),3)</f>
        <v>8.7999999999999995E-2</v>
      </c>
      <c r="P295" s="10">
        <f>ROUND(ABS('2. Demand History'!Y295-IF($D295="Yes",'2. Demand History'!M295,AVERAGE('2. Demand History'!V295:X295)))/MAX('2. Demand History'!Y295,1),3)</f>
        <v>0.27500000000000002</v>
      </c>
      <c r="Q295" s="10">
        <f>ROUND(ABS('2. Demand History'!Z295-IF($D295="Yes",'2. Demand History'!N295,AVERAGE('2. Demand History'!W295:Y295)))/MAX('2. Demand History'!Z295,1),3)</f>
        <v>0.221</v>
      </c>
    </row>
    <row r="296" spans="1:17" ht="15" customHeight="1" x14ac:dyDescent="0.2">
      <c r="A296" s="3" t="str">
        <f>'2. Demand History'!A296</f>
        <v>NT10292</v>
      </c>
      <c r="B296" s="1" t="str">
        <f>'2. Demand History'!B296</f>
        <v>ArenaHeadset H600</v>
      </c>
      <c r="C296" s="3" t="str">
        <f>'1. Master Data'!C296</f>
        <v>Gaming</v>
      </c>
      <c r="D296" s="3" t="s">
        <v>1111</v>
      </c>
      <c r="E296" s="3" t="str">
        <f t="shared" si="12"/>
        <v>Seasonal Naive</v>
      </c>
      <c r="F296" s="3">
        <f>ROUND(AVERAGE('2. Demand History'!O296:Z296),1)</f>
        <v>164.8</v>
      </c>
      <c r="G296" s="3">
        <f>ROUND(STDEV('2. Demand History'!O296:Z296),1)</f>
        <v>49.5</v>
      </c>
      <c r="H296" s="8">
        <f t="shared" si="13"/>
        <v>0.3</v>
      </c>
      <c r="I296" s="8">
        <f>ROUND(SUM('2. Demand History'!O296:Z296)/MAX(SUM('2. Demand History'!C296:N296),1),2)</f>
        <v>1.07</v>
      </c>
      <c r="J296" s="5">
        <f>IF(D296="Yes",ROUND('2. Demand History'!O296*I296,0),ROUND(AVERAGE('2. Demand History'!X296:Z296),0))</f>
        <v>150</v>
      </c>
      <c r="K296" s="9">
        <f t="shared" si="14"/>
        <v>7.8E-2</v>
      </c>
      <c r="L296" s="10">
        <f>ROUND(ABS('2. Demand History'!U296-IF($D296="Yes",'2. Demand History'!I296,AVERAGE('2. Demand History'!R296:T296)))/MAX('2. Demand History'!U296,1),3)</f>
        <v>1.4E-2</v>
      </c>
      <c r="M296" s="10">
        <f>ROUND(ABS('2. Demand History'!V296-IF($D296="Yes",'2. Demand History'!J296,AVERAGE('2. Demand History'!S296:U296)))/MAX('2. Demand History'!V296,1),3)</f>
        <v>0.17799999999999999</v>
      </c>
      <c r="N296" s="10">
        <f>ROUND(ABS('2. Demand History'!W296-IF($D296="Yes",'2. Demand History'!K296,AVERAGE('2. Demand History'!T296:V296)))/MAX('2. Demand History'!W296,1),3)</f>
        <v>2.4E-2</v>
      </c>
      <c r="O296" s="10">
        <f>ROUND(ABS('2. Demand History'!X296-IF($D296="Yes",'2. Demand History'!L296,AVERAGE('2. Demand History'!U296:W296)))/MAX('2. Demand History'!X296,1),3)</f>
        <v>0.10100000000000001</v>
      </c>
      <c r="P296" s="10">
        <f>ROUND(ABS('2. Demand History'!Y296-IF($D296="Yes",'2. Demand History'!M296,AVERAGE('2. Demand History'!V296:X296)))/MAX('2. Demand History'!Y296,1),3)</f>
        <v>4.2000000000000003E-2</v>
      </c>
      <c r="Q296" s="10">
        <f>ROUND(ABS('2. Demand History'!Z296-IF($D296="Yes",'2. Demand History'!N296,AVERAGE('2. Demand History'!W296:Y296)))/MAX('2. Demand History'!Z296,1),3)</f>
        <v>0.107</v>
      </c>
    </row>
    <row r="297" spans="1:17" ht="15" customHeight="1" x14ac:dyDescent="0.2">
      <c r="A297" s="3" t="str">
        <f>'2. Demand History'!A297</f>
        <v>NT10293</v>
      </c>
      <c r="B297" s="1" t="str">
        <f>'2. Demand History'!B297</f>
        <v>GameStation Controller 501</v>
      </c>
      <c r="C297" s="3" t="str">
        <f>'1. Master Data'!C297</f>
        <v>Gaming</v>
      </c>
      <c r="D297" s="3" t="s">
        <v>1111</v>
      </c>
      <c r="E297" s="3" t="str">
        <f t="shared" si="12"/>
        <v>Seasonal Naive</v>
      </c>
      <c r="F297" s="3">
        <f>ROUND(AVERAGE('2. Demand History'!O297:Z297),1)</f>
        <v>191.9</v>
      </c>
      <c r="G297" s="3">
        <f>ROUND(STDEV('2. Demand History'!O297:Z297),1)</f>
        <v>69.8</v>
      </c>
      <c r="H297" s="8">
        <f t="shared" si="13"/>
        <v>0.36</v>
      </c>
      <c r="I297" s="8">
        <f>ROUND(SUM('2. Demand History'!O297:Z297)/MAX(SUM('2. Demand History'!C297:N297),1),2)</f>
        <v>1.0900000000000001</v>
      </c>
      <c r="J297" s="5">
        <f>IF(D297="Yes",ROUND('2. Demand History'!O297*I297,0),ROUND(AVERAGE('2. Demand History'!X297:Z297),0))</f>
        <v>205</v>
      </c>
      <c r="K297" s="9">
        <f t="shared" si="14"/>
        <v>0.14299999999999999</v>
      </c>
      <c r="L297" s="10">
        <f>ROUND(ABS('2. Demand History'!U297-IF($D297="Yes",'2. Demand History'!I297,AVERAGE('2. Demand History'!R297:T297)))/MAX('2. Demand History'!U297,1),3)</f>
        <v>0.26</v>
      </c>
      <c r="M297" s="10">
        <f>ROUND(ABS('2. Demand History'!V297-IF($D297="Yes",'2. Demand History'!J297,AVERAGE('2. Demand History'!S297:U297)))/MAX('2. Demand History'!V297,1),3)</f>
        <v>0.222</v>
      </c>
      <c r="N297" s="10">
        <f>ROUND(ABS('2. Demand History'!W297-IF($D297="Yes",'2. Demand History'!K297,AVERAGE('2. Demand History'!T297:V297)))/MAX('2. Demand History'!W297,1),3)</f>
        <v>0.125</v>
      </c>
      <c r="O297" s="10">
        <f>ROUND(ABS('2. Demand History'!X297-IF($D297="Yes",'2. Demand History'!L297,AVERAGE('2. Demand History'!U297:W297)))/MAX('2. Demand History'!X297,1),3)</f>
        <v>0.182</v>
      </c>
      <c r="P297" s="10">
        <f>ROUND(ABS('2. Demand History'!Y297-IF($D297="Yes",'2. Demand History'!M297,AVERAGE('2. Demand History'!V297:X297)))/MAX('2. Demand History'!Y297,1),3)</f>
        <v>2.1999999999999999E-2</v>
      </c>
      <c r="Q297" s="10">
        <f>ROUND(ABS('2. Demand History'!Z297-IF($D297="Yes",'2. Demand History'!N297,AVERAGE('2. Demand History'!W297:Y297)))/MAX('2. Demand History'!Z297,1),3)</f>
        <v>4.4999999999999998E-2</v>
      </c>
    </row>
    <row r="298" spans="1:17" ht="15" customHeight="1" x14ac:dyDescent="0.2">
      <c r="A298" s="3" t="str">
        <f>'2. Demand History'!A298</f>
        <v>NT10294</v>
      </c>
      <c r="B298" s="1" t="str">
        <f>'2. Demand History'!B298</f>
        <v>ArenaHeadset H366</v>
      </c>
      <c r="C298" s="3" t="str">
        <f>'1. Master Data'!C298</f>
        <v>Gaming</v>
      </c>
      <c r="D298" s="3" t="s">
        <v>1111</v>
      </c>
      <c r="E298" s="3" t="str">
        <f t="shared" si="12"/>
        <v>Seasonal Naive</v>
      </c>
      <c r="F298" s="3">
        <f>ROUND(AVERAGE('2. Demand History'!O298:Z298),1)</f>
        <v>19.899999999999999</v>
      </c>
      <c r="G298" s="3">
        <f>ROUND(STDEV('2. Demand History'!O298:Z298),1)</f>
        <v>5.8</v>
      </c>
      <c r="H298" s="8">
        <f t="shared" si="13"/>
        <v>0.28999999999999998</v>
      </c>
      <c r="I298" s="8">
        <f>ROUND(SUM('2. Demand History'!O298:Z298)/MAX(SUM('2. Demand History'!C298:N298),1),2)</f>
        <v>1.05</v>
      </c>
      <c r="J298" s="5">
        <f>IF(D298="Yes",ROUND('2. Demand History'!O298*I298,0),ROUND(AVERAGE('2. Demand History'!X298:Z298),0))</f>
        <v>21</v>
      </c>
      <c r="K298" s="9">
        <f t="shared" si="14"/>
        <v>9.0999999999999998E-2</v>
      </c>
      <c r="L298" s="10">
        <f>ROUND(ABS('2. Demand History'!U298-IF($D298="Yes",'2. Demand History'!I298,AVERAGE('2. Demand History'!R298:T298)))/MAX('2. Demand History'!U298,1),3)</f>
        <v>6.0999999999999999E-2</v>
      </c>
      <c r="M298" s="10">
        <f>ROUND(ABS('2. Demand History'!V298-IF($D298="Yes",'2. Demand History'!J298,AVERAGE('2. Demand History'!S298:U298)))/MAX('2. Demand History'!V298,1),3)</f>
        <v>0.182</v>
      </c>
      <c r="N298" s="10">
        <f>ROUND(ABS('2. Demand History'!W298-IF($D298="Yes",'2. Demand History'!K298,AVERAGE('2. Demand History'!T298:V298)))/MAX('2. Demand History'!W298,1),3)</f>
        <v>0</v>
      </c>
      <c r="O298" s="10">
        <f>ROUND(ABS('2. Demand History'!X298-IF($D298="Yes",'2. Demand History'!L298,AVERAGE('2. Demand History'!U298:W298)))/MAX('2. Demand History'!X298,1),3)</f>
        <v>5.6000000000000001E-2</v>
      </c>
      <c r="P298" s="10">
        <f>ROUND(ABS('2. Demand History'!Y298-IF($D298="Yes",'2. Demand History'!M298,AVERAGE('2. Demand History'!V298:X298)))/MAX('2. Demand History'!Y298,1),3)</f>
        <v>0.105</v>
      </c>
      <c r="Q298" s="10">
        <f>ROUND(ABS('2. Demand History'!Z298-IF($D298="Yes",'2. Demand History'!N298,AVERAGE('2. Demand History'!W298:Y298)))/MAX('2. Demand History'!Z298,1),3)</f>
        <v>0.14299999999999999</v>
      </c>
    </row>
    <row r="299" spans="1:17" ht="15" customHeight="1" x14ac:dyDescent="0.2">
      <c r="A299" s="3" t="str">
        <f>'2. Demand History'!A299</f>
        <v>NT10295</v>
      </c>
      <c r="B299" s="1" t="str">
        <f>'2. Demand History'!B299</f>
        <v>StreamCam S188</v>
      </c>
      <c r="C299" s="3" t="str">
        <f>'1. Master Data'!C299</f>
        <v>Gaming</v>
      </c>
      <c r="D299" s="3" t="s">
        <v>1111</v>
      </c>
      <c r="E299" s="3" t="str">
        <f t="shared" si="12"/>
        <v>Seasonal Naive</v>
      </c>
      <c r="F299" s="3">
        <f>ROUND(AVERAGE('2. Demand History'!O299:Z299),1)</f>
        <v>293.3</v>
      </c>
      <c r="G299" s="3">
        <f>ROUND(STDEV('2. Demand History'!O299:Z299),1)</f>
        <v>89.5</v>
      </c>
      <c r="H299" s="8">
        <f t="shared" si="13"/>
        <v>0.31</v>
      </c>
      <c r="I299" s="8">
        <f>ROUND(SUM('2. Demand History'!O299:Z299)/MAX(SUM('2. Demand History'!C299:N299),1),2)</f>
        <v>1.08</v>
      </c>
      <c r="J299" s="5">
        <f>IF(D299="Yes",ROUND('2. Demand History'!O299*I299,0),ROUND(AVERAGE('2. Demand History'!X299:Z299),0))</f>
        <v>356</v>
      </c>
      <c r="K299" s="9">
        <f t="shared" si="14"/>
        <v>8.2000000000000003E-2</v>
      </c>
      <c r="L299" s="10">
        <f>ROUND(ABS('2. Demand History'!U299-IF($D299="Yes",'2. Demand History'!I299,AVERAGE('2. Demand History'!R299:T299)))/MAX('2. Demand History'!U299,1),3)</f>
        <v>4.8000000000000001E-2</v>
      </c>
      <c r="M299" s="10">
        <f>ROUND(ABS('2. Demand History'!V299-IF($D299="Yes",'2. Demand History'!J299,AVERAGE('2. Demand History'!S299:U299)))/MAX('2. Demand History'!V299,1),3)</f>
        <v>9.5000000000000001E-2</v>
      </c>
      <c r="N299" s="10">
        <f>ROUND(ABS('2. Demand History'!W299-IF($D299="Yes",'2. Demand History'!K299,AVERAGE('2. Demand History'!T299:V299)))/MAX('2. Demand History'!W299,1),3)</f>
        <v>4.0000000000000001E-3</v>
      </c>
      <c r="O299" s="10">
        <f>ROUND(ABS('2. Demand History'!X299-IF($D299="Yes",'2. Demand History'!L299,AVERAGE('2. Demand History'!U299:W299)))/MAX('2. Demand History'!X299,1),3)</f>
        <v>0.17899999999999999</v>
      </c>
      <c r="P299" s="10">
        <f>ROUND(ABS('2. Demand History'!Y299-IF($D299="Yes",'2. Demand History'!M299,AVERAGE('2. Demand History'!V299:X299)))/MAX('2. Demand History'!Y299,1),3)</f>
        <v>0.13600000000000001</v>
      </c>
      <c r="Q299" s="10">
        <f>ROUND(ABS('2. Demand History'!Z299-IF($D299="Yes",'2. Demand History'!N299,AVERAGE('2. Demand History'!W299:Y299)))/MAX('2. Demand History'!Z299,1),3)</f>
        <v>2.7E-2</v>
      </c>
    </row>
    <row r="300" spans="1:17" ht="15" customHeight="1" x14ac:dyDescent="0.2">
      <c r="A300" s="3" t="str">
        <f>'2. Demand History'!A300</f>
        <v>NT10296</v>
      </c>
      <c r="B300" s="1" t="str">
        <f>'2. Demand History'!B300</f>
        <v>GameStation Controller 420</v>
      </c>
      <c r="C300" s="3" t="str">
        <f>'1. Master Data'!C300</f>
        <v>Gaming</v>
      </c>
      <c r="D300" s="3" t="s">
        <v>1111</v>
      </c>
      <c r="E300" s="3" t="str">
        <f t="shared" si="12"/>
        <v>Seasonal Naive</v>
      </c>
      <c r="F300" s="3">
        <f>ROUND(AVERAGE('2. Demand History'!O300:Z300),1)</f>
        <v>54.3</v>
      </c>
      <c r="G300" s="3">
        <f>ROUND(STDEV('2. Demand History'!O300:Z300),1)</f>
        <v>18.5</v>
      </c>
      <c r="H300" s="8">
        <f t="shared" si="13"/>
        <v>0.34</v>
      </c>
      <c r="I300" s="8">
        <f>ROUND(SUM('2. Demand History'!O300:Z300)/MAX(SUM('2. Demand History'!C300:N300),1),2)</f>
        <v>1.01</v>
      </c>
      <c r="J300" s="5">
        <f>IF(D300="Yes",ROUND('2. Demand History'!O300*I300,0),ROUND(AVERAGE('2. Demand History'!X300:Z300),0))</f>
        <v>51</v>
      </c>
      <c r="K300" s="9">
        <f t="shared" si="14"/>
        <v>0.13700000000000001</v>
      </c>
      <c r="L300" s="10">
        <f>ROUND(ABS('2. Demand History'!U300-IF($D300="Yes",'2. Demand History'!I300,AVERAGE('2. Demand History'!R300:T300)))/MAX('2. Demand History'!U300,1),3)</f>
        <v>0.02</v>
      </c>
      <c r="M300" s="10">
        <f>ROUND(ABS('2. Demand History'!V300-IF($D300="Yes",'2. Demand History'!J300,AVERAGE('2. Demand History'!S300:U300)))/MAX('2. Demand History'!V300,1),3)</f>
        <v>5.3999999999999999E-2</v>
      </c>
      <c r="N300" s="10">
        <f>ROUND(ABS('2. Demand History'!W300-IF($D300="Yes",'2. Demand History'!K300,AVERAGE('2. Demand History'!T300:V300)))/MAX('2. Demand History'!W300,1),3)</f>
        <v>0.11899999999999999</v>
      </c>
      <c r="O300" s="10">
        <f>ROUND(ABS('2. Demand History'!X300-IF($D300="Yes",'2. Demand History'!L300,AVERAGE('2. Demand History'!U300:W300)))/MAX('2. Demand History'!X300,1),3)</f>
        <v>0.20499999999999999</v>
      </c>
      <c r="P300" s="10">
        <f>ROUND(ABS('2. Demand History'!Y300-IF($D300="Yes",'2. Demand History'!M300,AVERAGE('2. Demand History'!V300:X300)))/MAX('2. Demand History'!Y300,1),3)</f>
        <v>0.33300000000000002</v>
      </c>
      <c r="Q300" s="10">
        <f>ROUND(ABS('2. Demand History'!Z300-IF($D300="Yes",'2. Demand History'!N300,AVERAGE('2. Demand History'!W300:Y300)))/MAX('2. Demand History'!Z300,1),3)</f>
        <v>8.8999999999999996E-2</v>
      </c>
    </row>
    <row r="301" spans="1:17" ht="15" customHeight="1" x14ac:dyDescent="0.2">
      <c r="A301" s="3" t="str">
        <f>'2. Demand History'!A301</f>
        <v>NT10297</v>
      </c>
      <c r="B301" s="1" t="str">
        <f>'2. Demand History'!B301</f>
        <v>ProMouse G461</v>
      </c>
      <c r="C301" s="3" t="str">
        <f>'1. Master Data'!C301</f>
        <v>Gaming</v>
      </c>
      <c r="D301" s="3" t="s">
        <v>1111</v>
      </c>
      <c r="E301" s="3" t="str">
        <f t="shared" si="12"/>
        <v>Seasonal Naive</v>
      </c>
      <c r="F301" s="3">
        <f>ROUND(AVERAGE('2. Demand History'!O301:Z301),1)</f>
        <v>18.100000000000001</v>
      </c>
      <c r="G301" s="3">
        <f>ROUND(STDEV('2. Demand History'!O301:Z301),1)</f>
        <v>5.4</v>
      </c>
      <c r="H301" s="8">
        <f t="shared" si="13"/>
        <v>0.3</v>
      </c>
      <c r="I301" s="8">
        <f>ROUND(SUM('2. Demand History'!O301:Z301)/MAX(SUM('2. Demand History'!C301:N301),1),2)</f>
        <v>1.1299999999999999</v>
      </c>
      <c r="J301" s="5">
        <f>IF(D301="Yes",ROUND('2. Demand History'!O301*I301,0),ROUND(AVERAGE('2. Demand History'!X301:Z301),0))</f>
        <v>18</v>
      </c>
      <c r="K301" s="9">
        <f t="shared" si="14"/>
        <v>0.14399999999999999</v>
      </c>
      <c r="L301" s="10">
        <f>ROUND(ABS('2. Demand History'!U301-IF($D301="Yes",'2. Demand History'!I301,AVERAGE('2. Demand History'!R301:T301)))/MAX('2. Demand History'!U301,1),3)</f>
        <v>0.121</v>
      </c>
      <c r="M301" s="10">
        <f>ROUND(ABS('2. Demand History'!V301-IF($D301="Yes",'2. Demand History'!J301,AVERAGE('2. Demand History'!S301:U301)))/MAX('2. Demand History'!V301,1),3)</f>
        <v>0.2</v>
      </c>
      <c r="N301" s="10">
        <f>ROUND(ABS('2. Demand History'!W301-IF($D301="Yes",'2. Demand History'!K301,AVERAGE('2. Demand History'!T301:V301)))/MAX('2. Demand History'!W301,1),3)</f>
        <v>0.2</v>
      </c>
      <c r="O301" s="10">
        <f>ROUND(ABS('2. Demand History'!X301-IF($D301="Yes",'2. Demand History'!L301,AVERAGE('2. Demand History'!U301:W301)))/MAX('2. Demand History'!X301,1),3)</f>
        <v>0.13300000000000001</v>
      </c>
      <c r="P301" s="10">
        <f>ROUND(ABS('2. Demand History'!Y301-IF($D301="Yes",'2. Demand History'!M301,AVERAGE('2. Demand History'!V301:X301)))/MAX('2. Demand History'!Y301,1),3)</f>
        <v>0.21099999999999999</v>
      </c>
      <c r="Q301" s="10">
        <f>ROUND(ABS('2. Demand History'!Z301-IF($D301="Yes",'2. Demand History'!N301,AVERAGE('2. Demand History'!W301:Y301)))/MAX('2. Demand History'!Z301,1),3)</f>
        <v>0</v>
      </c>
    </row>
    <row r="302" spans="1:17" ht="15" customHeight="1" x14ac:dyDescent="0.2">
      <c r="A302" s="3" t="str">
        <f>'2. Demand History'!A302</f>
        <v>NT10298</v>
      </c>
      <c r="B302" s="1" t="str">
        <f>'2. Demand History'!B302</f>
        <v>StreamCam S283</v>
      </c>
      <c r="C302" s="3" t="str">
        <f>'1. Master Data'!C302</f>
        <v>Gaming</v>
      </c>
      <c r="D302" s="3" t="s">
        <v>1111</v>
      </c>
      <c r="E302" s="3" t="str">
        <f t="shared" si="12"/>
        <v>Seasonal Naive</v>
      </c>
      <c r="F302" s="3">
        <f>ROUND(AVERAGE('2. Demand History'!O302:Z302),1)</f>
        <v>64</v>
      </c>
      <c r="G302" s="3">
        <f>ROUND(STDEV('2. Demand History'!O302:Z302),1)</f>
        <v>18.3</v>
      </c>
      <c r="H302" s="8">
        <f t="shared" si="13"/>
        <v>0.28999999999999998</v>
      </c>
      <c r="I302" s="8">
        <f>ROUND(SUM('2. Demand History'!O302:Z302)/MAX(SUM('2. Demand History'!C302:N302),1),2)</f>
        <v>1.05</v>
      </c>
      <c r="J302" s="5">
        <f>IF(D302="Yes",ROUND('2. Demand History'!O302*I302,0),ROUND(AVERAGE('2. Demand History'!X302:Z302),0))</f>
        <v>70</v>
      </c>
      <c r="K302" s="9">
        <f t="shared" si="14"/>
        <v>0.1</v>
      </c>
      <c r="L302" s="10">
        <f>ROUND(ABS('2. Demand History'!U302-IF($D302="Yes",'2. Demand History'!I302,AVERAGE('2. Demand History'!R302:T302)))/MAX('2. Demand History'!U302,1),3)</f>
        <v>3.9E-2</v>
      </c>
      <c r="M302" s="10">
        <f>ROUND(ABS('2. Demand History'!V302-IF($D302="Yes",'2. Demand History'!J302,AVERAGE('2. Demand History'!S302:U302)))/MAX('2. Demand History'!V302,1),3)</f>
        <v>9.8000000000000004E-2</v>
      </c>
      <c r="N302" s="10">
        <f>ROUND(ABS('2. Demand History'!W302-IF($D302="Yes",'2. Demand History'!K302,AVERAGE('2. Demand History'!T302:V302)))/MAX('2. Demand History'!W302,1),3)</f>
        <v>0.14899999999999999</v>
      </c>
      <c r="O302" s="10">
        <f>ROUND(ABS('2. Demand History'!X302-IF($D302="Yes",'2. Demand History'!L302,AVERAGE('2. Demand History'!U302:W302)))/MAX('2. Demand History'!X302,1),3)</f>
        <v>3.5000000000000003E-2</v>
      </c>
      <c r="P302" s="10">
        <f>ROUND(ABS('2. Demand History'!Y302-IF($D302="Yes",'2. Demand History'!M302,AVERAGE('2. Demand History'!V302:X302)))/MAX('2. Demand History'!Y302,1),3)</f>
        <v>0.155</v>
      </c>
      <c r="Q302" s="10">
        <f>ROUND(ABS('2. Demand History'!Z302-IF($D302="Yes",'2. Demand History'!N302,AVERAGE('2. Demand History'!W302:Y302)))/MAX('2. Demand History'!Z302,1),3)</f>
        <v>0.123</v>
      </c>
    </row>
    <row r="303" spans="1:17" ht="15" customHeight="1" x14ac:dyDescent="0.2">
      <c r="A303" s="3" t="str">
        <f>'2. Demand History'!A303</f>
        <v>NT10299</v>
      </c>
      <c r="B303" s="1" t="str">
        <f>'2. Demand History'!B303</f>
        <v>ProMouse G421</v>
      </c>
      <c r="C303" s="3" t="str">
        <f>'1. Master Data'!C303</f>
        <v>Gaming</v>
      </c>
      <c r="D303" s="3" t="s">
        <v>1111</v>
      </c>
      <c r="E303" s="3" t="str">
        <f t="shared" si="12"/>
        <v>Seasonal Naive</v>
      </c>
      <c r="F303" s="3">
        <f>ROUND(AVERAGE('2. Demand History'!O303:Z303),1)</f>
        <v>17.100000000000001</v>
      </c>
      <c r="G303" s="3">
        <f>ROUND(STDEV('2. Demand History'!O303:Z303),1)</f>
        <v>6.2</v>
      </c>
      <c r="H303" s="8">
        <f t="shared" si="13"/>
        <v>0.36</v>
      </c>
      <c r="I303" s="8">
        <f>ROUND(SUM('2. Demand History'!O303:Z303)/MAX(SUM('2. Demand History'!C303:N303),1),2)</f>
        <v>1.0900000000000001</v>
      </c>
      <c r="J303" s="5">
        <f>IF(D303="Yes",ROUND('2. Demand History'!O303*I303,0),ROUND(AVERAGE('2. Demand History'!X303:Z303),0))</f>
        <v>16</v>
      </c>
      <c r="K303" s="9">
        <f t="shared" si="14"/>
        <v>0.13200000000000001</v>
      </c>
      <c r="L303" s="10">
        <f>ROUND(ABS('2. Demand History'!U303-IF($D303="Yes",'2. Demand History'!I303,AVERAGE('2. Demand History'!R303:T303)))/MAX('2. Demand History'!U303,1),3)</f>
        <v>0.23499999999999999</v>
      </c>
      <c r="M303" s="10">
        <f>ROUND(ABS('2. Demand History'!V303-IF($D303="Yes",'2. Demand History'!J303,AVERAGE('2. Demand History'!S303:U303)))/MAX('2. Demand History'!V303,1),3)</f>
        <v>0.28599999999999998</v>
      </c>
      <c r="N303" s="10">
        <f>ROUND(ABS('2. Demand History'!W303-IF($D303="Yes",'2. Demand History'!K303,AVERAGE('2. Demand History'!T303:V303)))/MAX('2. Demand History'!W303,1),3)</f>
        <v>0</v>
      </c>
      <c r="O303" s="10">
        <f>ROUND(ABS('2. Demand History'!X303-IF($D303="Yes",'2. Demand History'!L303,AVERAGE('2. Demand History'!U303:W303)))/MAX('2. Demand History'!X303,1),3)</f>
        <v>0.14299999999999999</v>
      </c>
      <c r="P303" s="10">
        <f>ROUND(ABS('2. Demand History'!Y303-IF($D303="Yes",'2. Demand History'!M303,AVERAGE('2. Demand History'!V303:X303)))/MAX('2. Demand History'!Y303,1),3)</f>
        <v>0</v>
      </c>
      <c r="Q303" s="10">
        <f>ROUND(ABS('2. Demand History'!Z303-IF($D303="Yes",'2. Demand History'!N303,AVERAGE('2. Demand History'!W303:Y303)))/MAX('2. Demand History'!Z303,1),3)</f>
        <v>0.125</v>
      </c>
    </row>
    <row r="304" spans="1:17" ht="15" customHeight="1" x14ac:dyDescent="0.2">
      <c r="A304" s="3" t="str">
        <f>'2. Demand History'!A304</f>
        <v>NT10300</v>
      </c>
      <c r="B304" s="1" t="str">
        <f>'2. Demand History'!B304</f>
        <v>RGB Keyboard K610</v>
      </c>
      <c r="C304" s="3" t="str">
        <f>'1. Master Data'!C304</f>
        <v>Gaming</v>
      </c>
      <c r="D304" s="3" t="s">
        <v>1111</v>
      </c>
      <c r="E304" s="3" t="str">
        <f t="shared" si="12"/>
        <v>Seasonal Naive</v>
      </c>
      <c r="F304" s="3">
        <f>ROUND(AVERAGE('2. Demand History'!O304:Z304),1)</f>
        <v>19.7</v>
      </c>
      <c r="G304" s="3">
        <f>ROUND(STDEV('2. Demand History'!O304:Z304),1)</f>
        <v>18.600000000000001</v>
      </c>
      <c r="H304" s="8">
        <f t="shared" si="13"/>
        <v>0.94</v>
      </c>
      <c r="I304" s="8">
        <f>ROUND(SUM('2. Demand History'!O304:Z304)/MAX(SUM('2. Demand History'!C304:N304),1),2)</f>
        <v>0.85</v>
      </c>
      <c r="J304" s="5">
        <f>IF(D304="Yes",ROUND('2. Demand History'!O304*I304,0),ROUND(AVERAGE('2. Demand History'!X304:Z304),0))</f>
        <v>10</v>
      </c>
      <c r="K304" s="9">
        <f t="shared" si="14"/>
        <v>1.909</v>
      </c>
      <c r="L304" s="10">
        <f>ROUND(ABS('2. Demand History'!U304-IF($D304="Yes",'2. Demand History'!I304,AVERAGE('2. Demand History'!R304:T304)))/MAX('2. Demand History'!U304,1),3)</f>
        <v>0.375</v>
      </c>
      <c r="M304" s="10">
        <f>ROUND(ABS('2. Demand History'!V304-IF($D304="Yes",'2. Demand History'!J304,AVERAGE('2. Demand History'!S304:U304)))/MAX('2. Demand History'!V304,1),3)</f>
        <v>0.1</v>
      </c>
      <c r="N304" s="10">
        <f>ROUND(ABS('2. Demand History'!W304-IF($D304="Yes",'2. Demand History'!K304,AVERAGE('2. Demand History'!T304:V304)))/MAX('2. Demand History'!W304,1),3)</f>
        <v>0.58299999999999996</v>
      </c>
      <c r="O304" s="10">
        <f>ROUND(ABS('2. Demand History'!X304-IF($D304="Yes",'2. Demand History'!L304,AVERAGE('2. Demand History'!U304:W304)))/MAX('2. Demand History'!X304,1),3)</f>
        <v>9.8330000000000002</v>
      </c>
      <c r="P304" s="10">
        <f>ROUND(ABS('2. Demand History'!Y304-IF($D304="Yes",'2. Demand History'!M304,AVERAGE('2. Demand History'!V304:X304)))/MAX('2. Demand History'!Y304,1),3)</f>
        <v>0.56000000000000005</v>
      </c>
      <c r="Q304" s="10">
        <f>ROUND(ABS('2. Demand History'!Z304-IF($D304="Yes",'2. Demand History'!N304,AVERAGE('2. Demand History'!W304:Y304)))/MAX('2. Demand History'!Z304,1),3)</f>
        <v>0</v>
      </c>
    </row>
    <row r="305" spans="1:17" ht="15" customHeight="1" x14ac:dyDescent="0.2">
      <c r="A305" s="3" t="str">
        <f>'2. Demand History'!A305</f>
        <v>NT10301</v>
      </c>
      <c r="B305" s="1" t="str">
        <f>'2. Demand History'!B305</f>
        <v>LumiBulb 177 RGB</v>
      </c>
      <c r="C305" s="3" t="str">
        <f>'1. Master Data'!C305</f>
        <v>Smart Home</v>
      </c>
      <c r="D305" s="3" t="s">
        <v>1112</v>
      </c>
      <c r="E305" s="3" t="str">
        <f t="shared" si="12"/>
        <v>Moving Avg 3</v>
      </c>
      <c r="F305" s="3">
        <f>ROUND(AVERAGE('2. Demand History'!O305:Z305),1)</f>
        <v>268.5</v>
      </c>
      <c r="G305" s="3">
        <f>ROUND(STDEV('2. Demand History'!O305:Z305),1)</f>
        <v>19.3</v>
      </c>
      <c r="H305" s="8">
        <f t="shared" si="13"/>
        <v>7.0000000000000007E-2</v>
      </c>
      <c r="I305" s="8">
        <f>ROUND(SUM('2. Demand History'!O305:Z305)/MAX(SUM('2. Demand History'!C305:N305),1),2)</f>
        <v>1.02</v>
      </c>
      <c r="J305" s="5">
        <f>IF(D305="Yes",ROUND('2. Demand History'!O305*I305,0),ROUND(AVERAGE('2. Demand History'!X305:Z305),0))</f>
        <v>266</v>
      </c>
      <c r="K305" s="9">
        <f t="shared" si="14"/>
        <v>6.7000000000000004E-2</v>
      </c>
      <c r="L305" s="10">
        <f>ROUND(ABS('2. Demand History'!U305-IF($D305="Yes",'2. Demand History'!I305,AVERAGE('2. Demand History'!R305:T305)))/MAX('2. Demand History'!U305,1),3)</f>
        <v>4.1000000000000002E-2</v>
      </c>
      <c r="M305" s="10">
        <f>ROUND(ABS('2. Demand History'!V305-IF($D305="Yes",'2. Demand History'!J305,AVERAGE('2. Demand History'!S305:U305)))/MAX('2. Demand History'!V305,1),3)</f>
        <v>4.0000000000000001E-3</v>
      </c>
      <c r="N305" s="10">
        <f>ROUND(ABS('2. Demand History'!W305-IF($D305="Yes",'2. Demand History'!K305,AVERAGE('2. Demand History'!T305:V305)))/MAX('2. Demand History'!W305,1),3)</f>
        <v>3.6999999999999998E-2</v>
      </c>
      <c r="O305" s="10">
        <f>ROUND(ABS('2. Demand History'!X305-IF($D305="Yes",'2. Demand History'!L305,AVERAGE('2. Demand History'!U305:W305)))/MAX('2. Demand History'!X305,1),3)</f>
        <v>7.2999999999999995E-2</v>
      </c>
      <c r="P305" s="10">
        <f>ROUND(ABS('2. Demand History'!Y305-IF($D305="Yes",'2. Demand History'!M305,AVERAGE('2. Demand History'!V305:X305)))/MAX('2. Demand History'!Y305,1),3)</f>
        <v>0.19</v>
      </c>
      <c r="Q305" s="10">
        <f>ROUND(ABS('2. Demand History'!Z305-IF($D305="Yes",'2. Demand History'!N305,AVERAGE('2. Demand History'!W305:Y305)))/MAX('2. Demand History'!Z305,1),3)</f>
        <v>5.8000000000000003E-2</v>
      </c>
    </row>
    <row r="306" spans="1:17" ht="15" customHeight="1" x14ac:dyDescent="0.2">
      <c r="A306" s="3" t="str">
        <f>'2. Demand History'!A306</f>
        <v>NT10302</v>
      </c>
      <c r="B306" s="1" t="str">
        <f>'2. Demand History'!B306</f>
        <v>DoorSense 239</v>
      </c>
      <c r="C306" s="3" t="str">
        <f>'1. Master Data'!C306</f>
        <v>Smart Home</v>
      </c>
      <c r="D306" s="3" t="s">
        <v>1112</v>
      </c>
      <c r="E306" s="3" t="str">
        <f t="shared" si="12"/>
        <v>Moving Avg 3</v>
      </c>
      <c r="F306" s="3">
        <f>ROUND(AVERAGE('2. Demand History'!O306:Z306),1)</f>
        <v>33.700000000000003</v>
      </c>
      <c r="G306" s="3">
        <f>ROUND(STDEV('2. Demand History'!O306:Z306),1)</f>
        <v>3</v>
      </c>
      <c r="H306" s="8">
        <f t="shared" si="13"/>
        <v>0.09</v>
      </c>
      <c r="I306" s="8">
        <f>ROUND(SUM('2. Demand History'!O306:Z306)/MAX(SUM('2. Demand History'!C306:N306),1),2)</f>
        <v>1.0900000000000001</v>
      </c>
      <c r="J306" s="5">
        <f>IF(D306="Yes",ROUND('2. Demand History'!O306*I306,0),ROUND(AVERAGE('2. Demand History'!X306:Z306),0))</f>
        <v>35</v>
      </c>
      <c r="K306" s="9">
        <f t="shared" si="14"/>
        <v>5.8999999999999997E-2</v>
      </c>
      <c r="L306" s="10">
        <f>ROUND(ABS('2. Demand History'!U306-IF($D306="Yes",'2. Demand History'!I306,AVERAGE('2. Demand History'!R306:T306)))/MAX('2. Demand History'!U306,1),3)</f>
        <v>0.104</v>
      </c>
      <c r="M306" s="10">
        <f>ROUND(ABS('2. Demand History'!V306-IF($D306="Yes",'2. Demand History'!J306,AVERAGE('2. Demand History'!S306:U306)))/MAX('2. Demand History'!V306,1),3)</f>
        <v>0.01</v>
      </c>
      <c r="N306" s="10">
        <f>ROUND(ABS('2. Demand History'!W306-IF($D306="Yes",'2. Demand History'!K306,AVERAGE('2. Demand History'!T306:V306)))/MAX('2. Demand History'!W306,1),3)</f>
        <v>0.03</v>
      </c>
      <c r="O306" s="10">
        <f>ROUND(ABS('2. Demand History'!X306-IF($D306="Yes",'2. Demand History'!L306,AVERAGE('2. Demand History'!U306:W306)))/MAX('2. Demand History'!X306,1),3)</f>
        <v>3.1E-2</v>
      </c>
      <c r="P306" s="10">
        <f>ROUND(ABS('2. Demand History'!Y306-IF($D306="Yes",'2. Demand History'!M306,AVERAGE('2. Demand History'!V306:X306)))/MAX('2. Demand History'!Y306,1),3)</f>
        <v>5.7000000000000002E-2</v>
      </c>
      <c r="Q306" s="10">
        <f>ROUND(ABS('2. Demand History'!Z306-IF($D306="Yes",'2. Demand History'!N306,AVERAGE('2. Demand History'!W306:Y306)))/MAX('2. Demand History'!Z306,1),3)</f>
        <v>0.123</v>
      </c>
    </row>
    <row r="307" spans="1:17" ht="15" customHeight="1" x14ac:dyDescent="0.2">
      <c r="A307" s="3" t="str">
        <f>'2. Demand History'!A307</f>
        <v>NT10303</v>
      </c>
      <c r="B307" s="1" t="str">
        <f>'2. Demand History'!B307</f>
        <v>DoorSense 328</v>
      </c>
      <c r="C307" s="3" t="str">
        <f>'1. Master Data'!C307</f>
        <v>Smart Home</v>
      </c>
      <c r="D307" s="3" t="s">
        <v>1112</v>
      </c>
      <c r="E307" s="3" t="str">
        <f t="shared" si="12"/>
        <v>Moving Avg 3</v>
      </c>
      <c r="F307" s="3">
        <f>ROUND(AVERAGE('2. Demand History'!O307:Z307),1)</f>
        <v>306.3</v>
      </c>
      <c r="G307" s="3">
        <f>ROUND(STDEV('2. Demand History'!O307:Z307),1)</f>
        <v>24.5</v>
      </c>
      <c r="H307" s="8">
        <f t="shared" si="13"/>
        <v>0.08</v>
      </c>
      <c r="I307" s="8">
        <f>ROUND(SUM('2. Demand History'!O307:Z307)/MAX(SUM('2. Demand History'!C307:N307),1),2)</f>
        <v>1.06</v>
      </c>
      <c r="J307" s="5">
        <f>IF(D307="Yes",ROUND('2. Demand History'!O307*I307,0),ROUND(AVERAGE('2. Demand History'!X307:Z307),0))</f>
        <v>307</v>
      </c>
      <c r="K307" s="9">
        <f t="shared" si="14"/>
        <v>7.3999999999999996E-2</v>
      </c>
      <c r="L307" s="10">
        <f>ROUND(ABS('2. Demand History'!U307-IF($D307="Yes",'2. Demand History'!I307,AVERAGE('2. Demand History'!R307:T307)))/MAX('2. Demand History'!U307,1),3)</f>
        <v>0.104</v>
      </c>
      <c r="M307" s="10">
        <f>ROUND(ABS('2. Demand History'!V307-IF($D307="Yes",'2. Demand History'!J307,AVERAGE('2. Demand History'!S307:U307)))/MAX('2. Demand History'!V307,1),3)</f>
        <v>0.14199999999999999</v>
      </c>
      <c r="N307" s="10">
        <f>ROUND(ABS('2. Demand History'!W307-IF($D307="Yes",'2. Demand History'!K307,AVERAGE('2. Demand History'!T307:V307)))/MAX('2. Demand History'!W307,1),3)</f>
        <v>8.0000000000000002E-3</v>
      </c>
      <c r="O307" s="10">
        <f>ROUND(ABS('2. Demand History'!X307-IF($D307="Yes",'2. Demand History'!L307,AVERAGE('2. Demand History'!U307:W307)))/MAX('2. Demand History'!X307,1),3)</f>
        <v>5.3999999999999999E-2</v>
      </c>
      <c r="P307" s="10">
        <f>ROUND(ABS('2. Demand History'!Y307-IF($D307="Yes",'2. Demand History'!M307,AVERAGE('2. Demand History'!V307:X307)))/MAX('2. Demand History'!Y307,1),3)</f>
        <v>7.5999999999999998E-2</v>
      </c>
      <c r="Q307" s="10">
        <f>ROUND(ABS('2. Demand History'!Z307-IF($D307="Yes",'2. Demand History'!N307,AVERAGE('2. Demand History'!W307:Y307)))/MAX('2. Demand History'!Z307,1),3)</f>
        <v>5.8000000000000003E-2</v>
      </c>
    </row>
    <row r="308" spans="1:17" ht="15" customHeight="1" x14ac:dyDescent="0.2">
      <c r="A308" s="3" t="str">
        <f>'2. Demand History'!A308</f>
        <v>NT10304</v>
      </c>
      <c r="B308" s="1" t="str">
        <f>'2. Demand History'!B308</f>
        <v>SmartPlug Duo 407</v>
      </c>
      <c r="C308" s="3" t="str">
        <f>'1. Master Data'!C308</f>
        <v>Smart Home</v>
      </c>
      <c r="D308" s="3" t="s">
        <v>1112</v>
      </c>
      <c r="E308" s="3" t="str">
        <f t="shared" si="12"/>
        <v>Moving Avg 3</v>
      </c>
      <c r="F308" s="3">
        <f>ROUND(AVERAGE('2. Demand History'!O308:Z308),1)</f>
        <v>80.3</v>
      </c>
      <c r="G308" s="3">
        <f>ROUND(STDEV('2. Demand History'!O308:Z308),1)</f>
        <v>4</v>
      </c>
      <c r="H308" s="8">
        <f t="shared" si="13"/>
        <v>0.05</v>
      </c>
      <c r="I308" s="8">
        <f>ROUND(SUM('2. Demand History'!O308:Z308)/MAX(SUM('2. Demand History'!C308:N308),1),2)</f>
        <v>1.05</v>
      </c>
      <c r="J308" s="5">
        <f>IF(D308="Yes",ROUND('2. Demand History'!O308*I308,0),ROUND(AVERAGE('2. Demand History'!X308:Z308),0))</f>
        <v>79</v>
      </c>
      <c r="K308" s="9">
        <f t="shared" si="14"/>
        <v>4.9000000000000002E-2</v>
      </c>
      <c r="L308" s="10">
        <f>ROUND(ABS('2. Demand History'!U308-IF($D308="Yes",'2. Demand History'!I308,AVERAGE('2. Demand History'!R308:T308)))/MAX('2. Demand History'!U308,1),3)</f>
        <v>6.3E-2</v>
      </c>
      <c r="M308" s="10">
        <f>ROUND(ABS('2. Demand History'!V308-IF($D308="Yes",'2. Demand History'!J308,AVERAGE('2. Demand History'!S308:U308)))/MAX('2. Demand History'!V308,1),3)</f>
        <v>0.151</v>
      </c>
      <c r="N308" s="10">
        <f>ROUND(ABS('2. Demand History'!W308-IF($D308="Yes",'2. Demand History'!K308,AVERAGE('2. Demand History'!T308:V308)))/MAX('2. Demand History'!W308,1),3)</f>
        <v>8.0000000000000002E-3</v>
      </c>
      <c r="O308" s="10">
        <f>ROUND(ABS('2. Demand History'!X308-IF($D308="Yes",'2. Demand History'!L308,AVERAGE('2. Demand History'!U308:W308)))/MAX('2. Demand History'!X308,1),3)</f>
        <v>5.7000000000000002E-2</v>
      </c>
      <c r="P308" s="10">
        <f>ROUND(ABS('2. Demand History'!Y308-IF($D308="Yes",'2. Demand History'!M308,AVERAGE('2. Demand History'!V308:X308)))/MAX('2. Demand History'!Y308,1),3)</f>
        <v>1.2999999999999999E-2</v>
      </c>
      <c r="Q308" s="10">
        <f>ROUND(ABS('2. Demand History'!Z308-IF($D308="Yes",'2. Demand History'!N308,AVERAGE('2. Demand History'!W308:Y308)))/MAX('2. Demand History'!Z308,1),3)</f>
        <v>4.0000000000000001E-3</v>
      </c>
    </row>
    <row r="309" spans="1:17" ht="15" customHeight="1" x14ac:dyDescent="0.2">
      <c r="A309" s="3" t="str">
        <f>'2. Demand History'!A309</f>
        <v>NT10305</v>
      </c>
      <c r="B309" s="1" t="str">
        <f>'2. Demand History'!B309</f>
        <v>ThermoSmart 203</v>
      </c>
      <c r="C309" s="3" t="str">
        <f>'1. Master Data'!C309</f>
        <v>Smart Home</v>
      </c>
      <c r="D309" s="3" t="s">
        <v>1112</v>
      </c>
      <c r="E309" s="3" t="str">
        <f t="shared" si="12"/>
        <v>Moving Avg 3</v>
      </c>
      <c r="F309" s="3">
        <f>ROUND(AVERAGE('2. Demand History'!O309:Z309),1)</f>
        <v>268.3</v>
      </c>
      <c r="G309" s="3">
        <f>ROUND(STDEV('2. Demand History'!O309:Z309),1)</f>
        <v>21.5</v>
      </c>
      <c r="H309" s="8">
        <f t="shared" si="13"/>
        <v>0.08</v>
      </c>
      <c r="I309" s="8">
        <f>ROUND(SUM('2. Demand History'!O309:Z309)/MAX(SUM('2. Demand History'!C309:N309),1),2)</f>
        <v>1.04</v>
      </c>
      <c r="J309" s="5">
        <f>IF(D309="Yes",ROUND('2. Demand History'!O309*I309,0),ROUND(AVERAGE('2. Demand History'!X309:Z309),0))</f>
        <v>289</v>
      </c>
      <c r="K309" s="9">
        <f t="shared" si="14"/>
        <v>0.05</v>
      </c>
      <c r="L309" s="10">
        <f>ROUND(ABS('2. Demand History'!U309-IF($D309="Yes",'2. Demand History'!I309,AVERAGE('2. Demand History'!R309:T309)))/MAX('2. Demand History'!U309,1),3)</f>
        <v>4.1000000000000002E-2</v>
      </c>
      <c r="M309" s="10">
        <f>ROUND(ABS('2. Demand History'!V309-IF($D309="Yes",'2. Demand History'!J309,AVERAGE('2. Demand History'!S309:U309)))/MAX('2. Demand History'!V309,1),3)</f>
        <v>4.2000000000000003E-2</v>
      </c>
      <c r="N309" s="10">
        <f>ROUND(ABS('2. Demand History'!W309-IF($D309="Yes",'2. Demand History'!K309,AVERAGE('2. Demand History'!T309:V309)))/MAX('2. Demand History'!W309,1),3)</f>
        <v>1.9E-2</v>
      </c>
      <c r="O309" s="10">
        <f>ROUND(ABS('2. Demand History'!X309-IF($D309="Yes",'2. Demand History'!L309,AVERAGE('2. Demand History'!U309:W309)))/MAX('2. Demand History'!X309,1),3)</f>
        <v>1.7000000000000001E-2</v>
      </c>
      <c r="P309" s="10">
        <f>ROUND(ABS('2. Demand History'!Y309-IF($D309="Yes",'2. Demand History'!M309,AVERAGE('2. Demand History'!V309:X309)))/MAX('2. Demand History'!Y309,1),3)</f>
        <v>3.2000000000000001E-2</v>
      </c>
      <c r="Q309" s="10">
        <f>ROUND(ABS('2. Demand History'!Z309-IF($D309="Yes",'2. Demand History'!N309,AVERAGE('2. Demand History'!W309:Y309)))/MAX('2. Demand History'!Z309,1),3)</f>
        <v>0.14799999999999999</v>
      </c>
    </row>
    <row r="310" spans="1:17" ht="15" customHeight="1" x14ac:dyDescent="0.2">
      <c r="A310" s="3" t="str">
        <f>'2. Demand History'!A310</f>
        <v>NT10306</v>
      </c>
      <c r="B310" s="1" t="str">
        <f>'2. Demand History'!B310</f>
        <v>SmartPlug Duo 900</v>
      </c>
      <c r="C310" s="3" t="str">
        <f>'1. Master Data'!C310</f>
        <v>Smart Home</v>
      </c>
      <c r="D310" s="3" t="s">
        <v>1112</v>
      </c>
      <c r="E310" s="3" t="str">
        <f t="shared" si="12"/>
        <v>Moving Avg 3</v>
      </c>
      <c r="F310" s="3">
        <f>ROUND(AVERAGE('2. Demand History'!O310:Z310),1)</f>
        <v>59.3</v>
      </c>
      <c r="G310" s="3">
        <f>ROUND(STDEV('2. Demand History'!O310:Z310),1)</f>
        <v>3.5</v>
      </c>
      <c r="H310" s="8">
        <f t="shared" si="13"/>
        <v>0.06</v>
      </c>
      <c r="I310" s="8">
        <f>ROUND(SUM('2. Demand History'!O310:Z310)/MAX(SUM('2. Demand History'!C310:N310),1),2)</f>
        <v>1.07</v>
      </c>
      <c r="J310" s="5">
        <f>IF(D310="Yes",ROUND('2. Demand History'!O310*I310,0),ROUND(AVERAGE('2. Demand History'!X310:Z310),0))</f>
        <v>61</v>
      </c>
      <c r="K310" s="9">
        <f t="shared" si="14"/>
        <v>7.8E-2</v>
      </c>
      <c r="L310" s="10">
        <f>ROUND(ABS('2. Demand History'!U310-IF($D310="Yes",'2. Demand History'!I310,AVERAGE('2. Demand History'!R310:T310)))/MAX('2. Demand History'!U310,1),3)</f>
        <v>0.19</v>
      </c>
      <c r="M310" s="10">
        <f>ROUND(ABS('2. Demand History'!V310-IF($D310="Yes",'2. Demand History'!J310,AVERAGE('2. Demand History'!S310:U310)))/MAX('2. Demand History'!V310,1),3)</f>
        <v>8.1000000000000003E-2</v>
      </c>
      <c r="N310" s="10">
        <f>ROUND(ABS('2. Demand History'!W310-IF($D310="Yes",'2. Demand History'!K310,AVERAGE('2. Demand History'!T310:V310)))/MAX('2. Demand History'!W310,1),3)</f>
        <v>5.5E-2</v>
      </c>
      <c r="O310" s="10">
        <f>ROUND(ABS('2. Demand History'!X310-IF($D310="Yes",'2. Demand History'!L310,AVERAGE('2. Demand History'!U310:W310)))/MAX('2. Demand History'!X310,1),3)</f>
        <v>7.9000000000000001E-2</v>
      </c>
      <c r="P310" s="10">
        <f>ROUND(ABS('2. Demand History'!Y310-IF($D310="Yes",'2. Demand History'!M310,AVERAGE('2. Demand History'!V310:X310)))/MAX('2. Demand History'!Y310,1),3)</f>
        <v>1.6E-2</v>
      </c>
      <c r="Q310" s="10">
        <f>ROUND(ABS('2. Demand History'!Z310-IF($D310="Yes",'2. Demand History'!N310,AVERAGE('2. Demand History'!W310:Y310)))/MAX('2. Demand History'!Z310,1),3)</f>
        <v>4.4999999999999998E-2</v>
      </c>
    </row>
    <row r="311" spans="1:17" ht="15" customHeight="1" x14ac:dyDescent="0.2">
      <c r="A311" s="3" t="str">
        <f>'2. Demand History'!A311</f>
        <v>NT10307</v>
      </c>
      <c r="B311" s="1" t="str">
        <f>'2. Demand History'!B311</f>
        <v>DoorSense 809</v>
      </c>
      <c r="C311" s="3" t="str">
        <f>'1. Master Data'!C311</f>
        <v>Smart Home</v>
      </c>
      <c r="D311" s="3" t="s">
        <v>1112</v>
      </c>
      <c r="E311" s="3" t="str">
        <f t="shared" si="12"/>
        <v>Moving Avg 3</v>
      </c>
      <c r="F311" s="3">
        <f>ROUND(AVERAGE('2. Demand History'!O311:Z311),1)</f>
        <v>255.7</v>
      </c>
      <c r="G311" s="3">
        <f>ROUND(STDEV('2. Demand History'!O311:Z311),1)</f>
        <v>8.8000000000000007</v>
      </c>
      <c r="H311" s="8">
        <f t="shared" si="13"/>
        <v>0.03</v>
      </c>
      <c r="I311" s="8">
        <f>ROUND(SUM('2. Demand History'!O311:Z311)/MAX(SUM('2. Demand History'!C311:N311),1),2)</f>
        <v>1.07</v>
      </c>
      <c r="J311" s="5">
        <f>IF(D311="Yes",ROUND('2. Demand History'!O311*I311,0),ROUND(AVERAGE('2. Demand History'!X311:Z311),0))</f>
        <v>261</v>
      </c>
      <c r="K311" s="9">
        <f t="shared" si="14"/>
        <v>4.2999999999999997E-2</v>
      </c>
      <c r="L311" s="10">
        <f>ROUND(ABS('2. Demand History'!U311-IF($D311="Yes",'2. Demand History'!I311,AVERAGE('2. Demand History'!R311:T311)))/MAX('2. Demand History'!U311,1),3)</f>
        <v>3.9E-2</v>
      </c>
      <c r="M311" s="10">
        <f>ROUND(ABS('2. Demand History'!V311-IF($D311="Yes",'2. Demand History'!J311,AVERAGE('2. Demand History'!S311:U311)))/MAX('2. Demand History'!V311,1),3)</f>
        <v>7.4999999999999997E-2</v>
      </c>
      <c r="N311" s="10">
        <f>ROUND(ABS('2. Demand History'!W311-IF($D311="Yes",'2. Demand History'!K311,AVERAGE('2. Demand History'!T311:V311)))/MAX('2. Demand History'!W311,1),3)</f>
        <v>4.8000000000000001E-2</v>
      </c>
      <c r="O311" s="10">
        <f>ROUND(ABS('2. Demand History'!X311-IF($D311="Yes",'2. Demand History'!L311,AVERAGE('2. Demand History'!U311:W311)))/MAX('2. Demand History'!X311,1),3)</f>
        <v>3.5999999999999997E-2</v>
      </c>
      <c r="P311" s="10">
        <f>ROUND(ABS('2. Demand History'!Y311-IF($D311="Yes",'2. Demand History'!M311,AVERAGE('2. Demand History'!V311:X311)))/MAX('2. Demand History'!Y311,1),3)</f>
        <v>1.7000000000000001E-2</v>
      </c>
      <c r="Q311" s="10">
        <f>ROUND(ABS('2. Demand History'!Z311-IF($D311="Yes",'2. Demand History'!N311,AVERAGE('2. Demand History'!W311:Y311)))/MAX('2. Demand History'!Z311,1),3)</f>
        <v>4.1000000000000002E-2</v>
      </c>
    </row>
    <row r="312" spans="1:17" ht="15" customHeight="1" x14ac:dyDescent="0.2">
      <c r="A312" s="3" t="str">
        <f>'2. Demand History'!A312</f>
        <v>NT10308</v>
      </c>
      <c r="B312" s="1" t="str">
        <f>'2. Demand History'!B312</f>
        <v>LumiBulb 477 RGB</v>
      </c>
      <c r="C312" s="3" t="str">
        <f>'1. Master Data'!C312</f>
        <v>Smart Home</v>
      </c>
      <c r="D312" s="3" t="s">
        <v>1112</v>
      </c>
      <c r="E312" s="3" t="str">
        <f t="shared" si="12"/>
        <v>Moving Avg 3</v>
      </c>
      <c r="F312" s="3">
        <f>ROUND(AVERAGE('2. Demand History'!O312:Z312),1)</f>
        <v>108.6</v>
      </c>
      <c r="G312" s="3">
        <f>ROUND(STDEV('2. Demand History'!O312:Z312),1)</f>
        <v>4.8</v>
      </c>
      <c r="H312" s="8">
        <f t="shared" si="13"/>
        <v>0.04</v>
      </c>
      <c r="I312" s="8">
        <f>ROUND(SUM('2. Demand History'!O312:Z312)/MAX(SUM('2. Demand History'!C312:N312),1),2)</f>
        <v>1.04</v>
      </c>
      <c r="J312" s="5">
        <f>IF(D312="Yes",ROUND('2. Demand History'!O312*I312,0),ROUND(AVERAGE('2. Demand History'!X312:Z312),0))</f>
        <v>109</v>
      </c>
      <c r="K312" s="9">
        <f t="shared" si="14"/>
        <v>4.8000000000000001E-2</v>
      </c>
      <c r="L312" s="10">
        <f>ROUND(ABS('2. Demand History'!U312-IF($D312="Yes",'2. Demand History'!I312,AVERAGE('2. Demand History'!R312:T312)))/MAX('2. Demand History'!U312,1),3)</f>
        <v>5.7000000000000002E-2</v>
      </c>
      <c r="M312" s="10">
        <f>ROUND(ABS('2. Demand History'!V312-IF($D312="Yes",'2. Demand History'!J312,AVERAGE('2. Demand History'!S312:U312)))/MAX('2. Demand History'!V312,1),3)</f>
        <v>7.9000000000000001E-2</v>
      </c>
      <c r="N312" s="10">
        <f>ROUND(ABS('2. Demand History'!W312-IF($D312="Yes",'2. Demand History'!K312,AVERAGE('2. Demand History'!T312:V312)))/MAX('2. Demand History'!W312,1),3)</f>
        <v>1.7999999999999999E-2</v>
      </c>
      <c r="O312" s="10">
        <f>ROUND(ABS('2. Demand History'!X312-IF($D312="Yes",'2. Demand History'!L312,AVERAGE('2. Demand History'!U312:W312)))/MAX('2. Demand History'!X312,1),3)</f>
        <v>6.0000000000000001E-3</v>
      </c>
      <c r="P312" s="10">
        <f>ROUND(ABS('2. Demand History'!Y312-IF($D312="Yes",'2. Demand History'!M312,AVERAGE('2. Demand History'!V312:X312)))/MAX('2. Demand History'!Y312,1),3)</f>
        <v>0.107</v>
      </c>
      <c r="Q312" s="10">
        <f>ROUND(ABS('2. Demand History'!Z312-IF($D312="Yes",'2. Demand History'!N312,AVERAGE('2. Demand History'!W312:Y312)))/MAX('2. Demand History'!Z312,1),3)</f>
        <v>1.7999999999999999E-2</v>
      </c>
    </row>
    <row r="313" spans="1:17" ht="15" customHeight="1" x14ac:dyDescent="0.2">
      <c r="A313" s="3" t="str">
        <f>'2. Demand History'!A313</f>
        <v>NT10309</v>
      </c>
      <c r="B313" s="1" t="str">
        <f>'2. Demand History'!B313</f>
        <v>LumiBulb 939 RGB</v>
      </c>
      <c r="C313" s="3" t="str">
        <f>'1. Master Data'!C313</f>
        <v>Smart Home</v>
      </c>
      <c r="D313" s="3" t="s">
        <v>1112</v>
      </c>
      <c r="E313" s="3" t="str">
        <f t="shared" si="12"/>
        <v>Moving Avg 3</v>
      </c>
      <c r="F313" s="3">
        <f>ROUND(AVERAGE('2. Demand History'!O313:Z313),1)</f>
        <v>62.5</v>
      </c>
      <c r="G313" s="3">
        <f>ROUND(STDEV('2. Demand History'!O313:Z313),1)</f>
        <v>5.4</v>
      </c>
      <c r="H313" s="8">
        <f t="shared" si="13"/>
        <v>0.09</v>
      </c>
      <c r="I313" s="8">
        <f>ROUND(SUM('2. Demand History'!O313:Z313)/MAX(SUM('2. Demand History'!C313:N313),1),2)</f>
        <v>1.01</v>
      </c>
      <c r="J313" s="5">
        <f>IF(D313="Yes",ROUND('2. Demand History'!O313*I313,0),ROUND(AVERAGE('2. Demand History'!X313:Z313),0))</f>
        <v>63</v>
      </c>
      <c r="K313" s="9">
        <f t="shared" si="14"/>
        <v>6.0999999999999999E-2</v>
      </c>
      <c r="L313" s="10">
        <f>ROUND(ABS('2. Demand History'!U313-IF($D313="Yes",'2. Demand History'!I313,AVERAGE('2. Demand History'!R313:T313)))/MAX('2. Demand History'!U313,1),3)</f>
        <v>0</v>
      </c>
      <c r="M313" s="10">
        <f>ROUND(ABS('2. Demand History'!V313-IF($D313="Yes",'2. Demand History'!J313,AVERAGE('2. Demand History'!S313:U313)))/MAX('2. Demand History'!V313,1),3)</f>
        <v>6.0000000000000001E-3</v>
      </c>
      <c r="N313" s="10">
        <f>ROUND(ABS('2. Demand History'!W313-IF($D313="Yes",'2. Demand History'!K313,AVERAGE('2. Demand History'!T313:V313)))/MAX('2. Demand History'!W313,1),3)</f>
        <v>6.9000000000000006E-2</v>
      </c>
      <c r="O313" s="10">
        <f>ROUND(ABS('2. Demand History'!X313-IF($D313="Yes",'2. Demand History'!L313,AVERAGE('2. Demand History'!U313:W313)))/MAX('2. Demand History'!X313,1),3)</f>
        <v>2.7E-2</v>
      </c>
      <c r="P313" s="10">
        <f>ROUND(ABS('2. Demand History'!Y313-IF($D313="Yes",'2. Demand History'!M313,AVERAGE('2. Demand History'!V313:X313)))/MAX('2. Demand History'!Y313,1),3)</f>
        <v>0.109</v>
      </c>
      <c r="Q313" s="10">
        <f>ROUND(ABS('2. Demand History'!Z313-IF($D313="Yes",'2. Demand History'!N313,AVERAGE('2. Demand History'!W313:Y313)))/MAX('2. Demand History'!Z313,1),3)</f>
        <v>0.155</v>
      </c>
    </row>
    <row r="314" spans="1:17" ht="15" customHeight="1" x14ac:dyDescent="0.2">
      <c r="A314" s="3" t="str">
        <f>'2. Demand History'!A314</f>
        <v>NT10310</v>
      </c>
      <c r="B314" s="1" t="str">
        <f>'2. Demand History'!B314</f>
        <v>HomeCam 583 1080p</v>
      </c>
      <c r="C314" s="3" t="str">
        <f>'1. Master Data'!C314</f>
        <v>Smart Home</v>
      </c>
      <c r="D314" s="3" t="s">
        <v>1112</v>
      </c>
      <c r="E314" s="3" t="str">
        <f t="shared" si="12"/>
        <v>Moving Avg 3</v>
      </c>
      <c r="F314" s="3">
        <f>ROUND(AVERAGE('2. Demand History'!O314:Z314),1)</f>
        <v>154.1</v>
      </c>
      <c r="G314" s="3">
        <f>ROUND(STDEV('2. Demand History'!O314:Z314),1)</f>
        <v>7.6</v>
      </c>
      <c r="H314" s="8">
        <f t="shared" si="13"/>
        <v>0.05</v>
      </c>
      <c r="I314" s="8">
        <f>ROUND(SUM('2. Demand History'!O314:Z314)/MAX(SUM('2. Demand History'!C314:N314),1),2)</f>
        <v>1.05</v>
      </c>
      <c r="J314" s="5">
        <f>IF(D314="Yes",ROUND('2. Demand History'!O314*I314,0),ROUND(AVERAGE('2. Demand History'!X314:Z314),0))</f>
        <v>152</v>
      </c>
      <c r="K314" s="9">
        <f t="shared" si="14"/>
        <v>4.2999999999999997E-2</v>
      </c>
      <c r="L314" s="10">
        <f>ROUND(ABS('2. Demand History'!U314-IF($D314="Yes",'2. Demand History'!I314,AVERAGE('2. Demand History'!R314:T314)))/MAX('2. Demand History'!U314,1),3)</f>
        <v>6.0999999999999999E-2</v>
      </c>
      <c r="M314" s="10">
        <f>ROUND(ABS('2. Demand History'!V314-IF($D314="Yes",'2. Demand History'!J314,AVERAGE('2. Demand History'!S314:U314)))/MAX('2. Demand History'!V314,1),3)</f>
        <v>3.9E-2</v>
      </c>
      <c r="N314" s="10">
        <f>ROUND(ABS('2. Demand History'!W314-IF($D314="Yes",'2. Demand History'!K314,AVERAGE('2. Demand History'!T314:V314)))/MAX('2. Demand History'!W314,1),3)</f>
        <v>0.04</v>
      </c>
      <c r="O314" s="10">
        <f>ROUND(ABS('2. Demand History'!X314-IF($D314="Yes",'2. Demand History'!L314,AVERAGE('2. Demand History'!U314:W314)))/MAX('2. Demand History'!X314,1),3)</f>
        <v>3.5999999999999997E-2</v>
      </c>
      <c r="P314" s="10">
        <f>ROUND(ABS('2. Demand History'!Y314-IF($D314="Yes",'2. Demand History'!M314,AVERAGE('2. Demand History'!V314:X314)))/MAX('2. Demand History'!Y314,1),3)</f>
        <v>4.8000000000000001E-2</v>
      </c>
      <c r="Q314" s="10">
        <f>ROUND(ABS('2. Demand History'!Z314-IF($D314="Yes",'2. Demand History'!N314,AVERAGE('2. Demand History'!W314:Y314)))/MAX('2. Demand History'!Z314,1),3)</f>
        <v>3.2000000000000001E-2</v>
      </c>
    </row>
    <row r="315" spans="1:17" ht="15" customHeight="1" x14ac:dyDescent="0.2">
      <c r="A315" s="3" t="str">
        <f>'2. Demand History'!A315</f>
        <v>NT10311</v>
      </c>
      <c r="B315" s="1" t="str">
        <f>'2. Demand History'!B315</f>
        <v>DoorSense 858</v>
      </c>
      <c r="C315" s="3" t="str">
        <f>'1. Master Data'!C315</f>
        <v>Smart Home</v>
      </c>
      <c r="D315" s="3" t="s">
        <v>1112</v>
      </c>
      <c r="E315" s="3" t="str">
        <f t="shared" si="12"/>
        <v>Moving Avg 3</v>
      </c>
      <c r="F315" s="3">
        <f>ROUND(AVERAGE('2. Demand History'!O315:Z315),1)</f>
        <v>404.8</v>
      </c>
      <c r="G315" s="3">
        <f>ROUND(STDEV('2. Demand History'!O315:Z315),1)</f>
        <v>25.5</v>
      </c>
      <c r="H315" s="8">
        <f t="shared" si="13"/>
        <v>0.06</v>
      </c>
      <c r="I315" s="8">
        <f>ROUND(SUM('2. Demand History'!O315:Z315)/MAX(SUM('2. Demand History'!C315:N315),1),2)</f>
        <v>1.08</v>
      </c>
      <c r="J315" s="5">
        <f>IF(D315="Yes",ROUND('2. Demand History'!O315*I315,0),ROUND(AVERAGE('2. Demand History'!X315:Z315),0))</f>
        <v>424</v>
      </c>
      <c r="K315" s="9">
        <f t="shared" si="14"/>
        <v>6.7000000000000004E-2</v>
      </c>
      <c r="L315" s="10">
        <f>ROUND(ABS('2. Demand History'!U315-IF($D315="Yes",'2. Demand History'!I315,AVERAGE('2. Demand History'!R315:T315)))/MAX('2. Demand History'!U315,1),3)</f>
        <v>5.0999999999999997E-2</v>
      </c>
      <c r="M315" s="10">
        <f>ROUND(ABS('2. Demand History'!V315-IF($D315="Yes",'2. Demand History'!J315,AVERAGE('2. Demand History'!S315:U315)))/MAX('2. Demand History'!V315,1),3)</f>
        <v>7.4999999999999997E-2</v>
      </c>
      <c r="N315" s="10">
        <f>ROUND(ABS('2. Demand History'!W315-IF($D315="Yes",'2. Demand History'!K315,AVERAGE('2. Demand History'!T315:V315)))/MAX('2. Demand History'!W315,1),3)</f>
        <v>5.0999999999999997E-2</v>
      </c>
      <c r="O315" s="10">
        <f>ROUND(ABS('2. Demand History'!X315-IF($D315="Yes",'2. Demand History'!L315,AVERAGE('2. Demand History'!U315:W315)))/MAX('2. Demand History'!X315,1),3)</f>
        <v>3.6999999999999998E-2</v>
      </c>
      <c r="P315" s="10">
        <f>ROUND(ABS('2. Demand History'!Y315-IF($D315="Yes",'2. Demand History'!M315,AVERAGE('2. Demand History'!V315:X315)))/MAX('2. Demand History'!Y315,1),3)</f>
        <v>0.10100000000000001</v>
      </c>
      <c r="Q315" s="10">
        <f>ROUND(ABS('2. Demand History'!Z315-IF($D315="Yes",'2. Demand History'!N315,AVERAGE('2. Demand History'!W315:Y315)))/MAX('2. Demand History'!Z315,1),3)</f>
        <v>8.8999999999999996E-2</v>
      </c>
    </row>
    <row r="316" spans="1:17" ht="15" customHeight="1" x14ac:dyDescent="0.2">
      <c r="A316" s="3" t="str">
        <f>'2. Demand History'!A316</f>
        <v>NT10312</v>
      </c>
      <c r="B316" s="1" t="str">
        <f>'2. Demand History'!B316</f>
        <v>HomeCam 152 1080p</v>
      </c>
      <c r="C316" s="3" t="str">
        <f>'1. Master Data'!C316</f>
        <v>Smart Home</v>
      </c>
      <c r="D316" s="3" t="s">
        <v>1112</v>
      </c>
      <c r="E316" s="3" t="str">
        <f t="shared" si="12"/>
        <v>Moving Avg 3</v>
      </c>
      <c r="F316" s="3">
        <f>ROUND(AVERAGE('2. Demand History'!O316:Z316),1)</f>
        <v>179.3</v>
      </c>
      <c r="G316" s="3">
        <f>ROUND(STDEV('2. Demand History'!O316:Z316),1)</f>
        <v>12.1</v>
      </c>
      <c r="H316" s="8">
        <f t="shared" si="13"/>
        <v>7.0000000000000007E-2</v>
      </c>
      <c r="I316" s="8">
        <f>ROUND(SUM('2. Demand History'!O316:Z316)/MAX(SUM('2. Demand History'!C316:N316),1),2)</f>
        <v>1.03</v>
      </c>
      <c r="J316" s="5">
        <f>IF(D316="Yes",ROUND('2. Demand History'!O316*I316,0),ROUND(AVERAGE('2. Demand History'!X316:Z316),0))</f>
        <v>190</v>
      </c>
      <c r="K316" s="9">
        <f t="shared" si="14"/>
        <v>8.2000000000000003E-2</v>
      </c>
      <c r="L316" s="10">
        <f>ROUND(ABS('2. Demand History'!U316-IF($D316="Yes",'2. Demand History'!I316,AVERAGE('2. Demand History'!R316:T316)))/MAX('2. Demand History'!U316,1),3)</f>
        <v>5.5E-2</v>
      </c>
      <c r="M316" s="10">
        <f>ROUND(ABS('2. Demand History'!V316-IF($D316="Yes",'2. Demand History'!J316,AVERAGE('2. Demand History'!S316:U316)))/MAX('2. Demand History'!V316,1),3)</f>
        <v>0.16900000000000001</v>
      </c>
      <c r="N316" s="10">
        <f>ROUND(ABS('2. Demand History'!W316-IF($D316="Yes",'2. Demand History'!K316,AVERAGE('2. Demand History'!T316:V316)))/MAX('2. Demand History'!W316,1),3)</f>
        <v>0.01</v>
      </c>
      <c r="O316" s="10">
        <f>ROUND(ABS('2. Demand History'!X316-IF($D316="Yes",'2. Demand History'!L316,AVERAGE('2. Demand History'!U316:W316)))/MAX('2. Demand History'!X316,1),3)</f>
        <v>8.3000000000000004E-2</v>
      </c>
      <c r="P316" s="10">
        <f>ROUND(ABS('2. Demand History'!Y316-IF($D316="Yes",'2. Demand History'!M316,AVERAGE('2. Demand History'!V316:X316)))/MAX('2. Demand History'!Y316,1),3)</f>
        <v>7.3999999999999996E-2</v>
      </c>
      <c r="Q316" s="10">
        <f>ROUND(ABS('2. Demand History'!Z316-IF($D316="Yes",'2. Demand History'!N316,AVERAGE('2. Demand History'!W316:Y316)))/MAX('2. Demand History'!Z316,1),3)</f>
        <v>9.8000000000000004E-2</v>
      </c>
    </row>
    <row r="317" spans="1:17" ht="15" customHeight="1" x14ac:dyDescent="0.2">
      <c r="A317" s="3" t="str">
        <f>'2. Demand History'!A317</f>
        <v>NT10313</v>
      </c>
      <c r="B317" s="1" t="str">
        <f>'2. Demand History'!B317</f>
        <v>DoorSense 989</v>
      </c>
      <c r="C317" s="3" t="str">
        <f>'1. Master Data'!C317</f>
        <v>Smart Home</v>
      </c>
      <c r="D317" s="3" t="s">
        <v>1112</v>
      </c>
      <c r="E317" s="3" t="str">
        <f t="shared" si="12"/>
        <v>Moving Avg 3</v>
      </c>
      <c r="F317" s="3">
        <f>ROUND(AVERAGE('2. Demand History'!O317:Z317),1)</f>
        <v>266.3</v>
      </c>
      <c r="G317" s="3">
        <f>ROUND(STDEV('2. Demand History'!O317:Z317),1)</f>
        <v>18.7</v>
      </c>
      <c r="H317" s="8">
        <f t="shared" si="13"/>
        <v>7.0000000000000007E-2</v>
      </c>
      <c r="I317" s="8">
        <f>ROUND(SUM('2. Demand History'!O317:Z317)/MAX(SUM('2. Demand History'!C317:N317),1),2)</f>
        <v>1.07</v>
      </c>
      <c r="J317" s="5">
        <f>IF(D317="Yes",ROUND('2. Demand History'!O317*I317,0),ROUND(AVERAGE('2. Demand History'!X317:Z317),0))</f>
        <v>280</v>
      </c>
      <c r="K317" s="9">
        <f t="shared" si="14"/>
        <v>8.8999999999999996E-2</v>
      </c>
      <c r="L317" s="10">
        <f>ROUND(ABS('2. Demand History'!U317-IF($D317="Yes",'2. Demand History'!I317,AVERAGE('2. Demand History'!R317:T317)))/MAX('2. Demand History'!U317,1),3)</f>
        <v>0.112</v>
      </c>
      <c r="M317" s="10">
        <f>ROUND(ABS('2. Demand History'!V317-IF($D317="Yes",'2. Demand History'!J317,AVERAGE('2. Demand History'!S317:U317)))/MAX('2. Demand History'!V317,1),3)</f>
        <v>0.10299999999999999</v>
      </c>
      <c r="N317" s="10">
        <f>ROUND(ABS('2. Demand History'!W317-IF($D317="Yes",'2. Demand History'!K317,AVERAGE('2. Demand History'!T317:V317)))/MAX('2. Demand History'!W317,1),3)</f>
        <v>3.5999999999999997E-2</v>
      </c>
      <c r="O317" s="10">
        <f>ROUND(ABS('2. Demand History'!X317-IF($D317="Yes",'2. Demand History'!L317,AVERAGE('2. Demand History'!U317:W317)))/MAX('2. Demand History'!X317,1),3)</f>
        <v>0.188</v>
      </c>
      <c r="P317" s="10">
        <f>ROUND(ABS('2. Demand History'!Y317-IF($D317="Yes",'2. Demand History'!M317,AVERAGE('2. Demand History'!V317:X317)))/MAX('2. Demand History'!Y317,1),3)</f>
        <v>6.2E-2</v>
      </c>
      <c r="Q317" s="10">
        <f>ROUND(ABS('2. Demand History'!Z317-IF($D317="Yes",'2. Demand History'!N317,AVERAGE('2. Demand History'!W317:Y317)))/MAX('2. Demand History'!Z317,1),3)</f>
        <v>3.3000000000000002E-2</v>
      </c>
    </row>
    <row r="318" spans="1:17" ht="15" customHeight="1" x14ac:dyDescent="0.2">
      <c r="A318" s="3" t="str">
        <f>'2. Demand History'!A318</f>
        <v>NT10314</v>
      </c>
      <c r="B318" s="1" t="str">
        <f>'2. Demand History'!B318</f>
        <v>DoorSense 634</v>
      </c>
      <c r="C318" s="3" t="str">
        <f>'1. Master Data'!C318</f>
        <v>Smart Home</v>
      </c>
      <c r="D318" s="3" t="s">
        <v>1112</v>
      </c>
      <c r="E318" s="3" t="str">
        <f t="shared" si="12"/>
        <v>Moving Avg 3</v>
      </c>
      <c r="F318" s="3">
        <f>ROUND(AVERAGE('2. Demand History'!O318:Z318),1)</f>
        <v>99.8</v>
      </c>
      <c r="G318" s="3">
        <f>ROUND(STDEV('2. Demand History'!O318:Z318),1)</f>
        <v>5</v>
      </c>
      <c r="H318" s="8">
        <f t="shared" si="13"/>
        <v>0.05</v>
      </c>
      <c r="I318" s="8">
        <f>ROUND(SUM('2. Demand History'!O318:Z318)/MAX(SUM('2. Demand History'!C318:N318),1),2)</f>
        <v>1.04</v>
      </c>
      <c r="J318" s="5">
        <f>IF(D318="Yes",ROUND('2. Demand History'!O318*I318,0),ROUND(AVERAGE('2. Demand History'!X318:Z318),0))</f>
        <v>103</v>
      </c>
      <c r="K318" s="9">
        <f t="shared" si="14"/>
        <v>5.8999999999999997E-2</v>
      </c>
      <c r="L318" s="10">
        <f>ROUND(ABS('2. Demand History'!U318-IF($D318="Yes",'2. Demand History'!I318,AVERAGE('2. Demand History'!R318:T318)))/MAX('2. Demand History'!U318,1),3)</f>
        <v>8.1000000000000003E-2</v>
      </c>
      <c r="M318" s="10">
        <f>ROUND(ABS('2. Demand History'!V318-IF($D318="Yes",'2. Demand History'!J318,AVERAGE('2. Demand History'!S318:U318)))/MAX('2. Demand History'!V318,1),3)</f>
        <v>8.1000000000000003E-2</v>
      </c>
      <c r="N318" s="10">
        <f>ROUND(ABS('2. Demand History'!W318-IF($D318="Yes",'2. Demand History'!K318,AVERAGE('2. Demand History'!T318:V318)))/MAX('2. Demand History'!W318,1),3)</f>
        <v>7.0000000000000001E-3</v>
      </c>
      <c r="O318" s="10">
        <f>ROUND(ABS('2. Demand History'!X318-IF($D318="Yes",'2. Demand History'!L318,AVERAGE('2. Demand History'!U318:W318)))/MAX('2. Demand History'!X318,1),3)</f>
        <v>6.3E-2</v>
      </c>
      <c r="P318" s="10">
        <f>ROUND(ABS('2. Demand History'!Y318-IF($D318="Yes",'2. Demand History'!M318,AVERAGE('2. Demand History'!V318:X318)))/MAX('2. Demand History'!Y318,1),3)</f>
        <v>0.109</v>
      </c>
      <c r="Q318" s="10">
        <f>ROUND(ABS('2. Demand History'!Z318-IF($D318="Yes",'2. Demand History'!N318,AVERAGE('2. Demand History'!W318:Y318)))/MAX('2. Demand History'!Z318,1),3)</f>
        <v>1.2999999999999999E-2</v>
      </c>
    </row>
    <row r="319" spans="1:17" ht="15" customHeight="1" x14ac:dyDescent="0.2">
      <c r="A319" s="3" t="str">
        <f>'2. Demand History'!A319</f>
        <v>NT10315</v>
      </c>
      <c r="B319" s="1" t="str">
        <f>'2. Demand History'!B319</f>
        <v>DoorSense 727</v>
      </c>
      <c r="C319" s="3" t="str">
        <f>'1. Master Data'!C319</f>
        <v>Smart Home</v>
      </c>
      <c r="D319" s="3" t="s">
        <v>1112</v>
      </c>
      <c r="E319" s="3" t="str">
        <f t="shared" si="12"/>
        <v>Moving Avg 3</v>
      </c>
      <c r="F319" s="3">
        <f>ROUND(AVERAGE('2. Demand History'!O319:Z319),1)</f>
        <v>445.3</v>
      </c>
      <c r="G319" s="3">
        <f>ROUND(STDEV('2. Demand History'!O319:Z319),1)</f>
        <v>15.3</v>
      </c>
      <c r="H319" s="8">
        <f t="shared" si="13"/>
        <v>0.03</v>
      </c>
      <c r="I319" s="8">
        <f>ROUND(SUM('2. Demand History'!O319:Z319)/MAX(SUM('2. Demand History'!C319:N319),1),2)</f>
        <v>1.07</v>
      </c>
      <c r="J319" s="5">
        <f>IF(D319="Yes",ROUND('2. Demand History'!O319*I319,0),ROUND(AVERAGE('2. Demand History'!X319:Z319),0))</f>
        <v>455</v>
      </c>
      <c r="K319" s="9">
        <f t="shared" si="14"/>
        <v>3.9E-2</v>
      </c>
      <c r="L319" s="10">
        <f>ROUND(ABS('2. Demand History'!U319-IF($D319="Yes",'2. Demand History'!I319,AVERAGE('2. Demand History'!R319:T319)))/MAX('2. Demand History'!U319,1),3)</f>
        <v>1.4999999999999999E-2</v>
      </c>
      <c r="M319" s="10">
        <f>ROUND(ABS('2. Demand History'!V319-IF($D319="Yes",'2. Demand History'!J319,AVERAGE('2. Demand History'!S319:U319)))/MAX('2. Demand History'!V319,1),3)</f>
        <v>6.5000000000000002E-2</v>
      </c>
      <c r="N319" s="10">
        <f>ROUND(ABS('2. Demand History'!W319-IF($D319="Yes",'2. Demand History'!K319,AVERAGE('2. Demand History'!T319:V319)))/MAX('2. Demand History'!W319,1),3)</f>
        <v>1.7999999999999999E-2</v>
      </c>
      <c r="O319" s="10">
        <f>ROUND(ABS('2. Demand History'!X319-IF($D319="Yes",'2. Demand History'!L319,AVERAGE('2. Demand History'!U319:W319)))/MAX('2. Demand History'!X319,1),3)</f>
        <v>5.2999999999999999E-2</v>
      </c>
      <c r="P319" s="10">
        <f>ROUND(ABS('2. Demand History'!Y319-IF($D319="Yes",'2. Demand History'!M319,AVERAGE('2. Demand History'!V319:X319)))/MAX('2. Demand History'!Y319,1),3)</f>
        <v>0.03</v>
      </c>
      <c r="Q319" s="10">
        <f>ROUND(ABS('2. Demand History'!Z319-IF($D319="Yes",'2. Demand History'!N319,AVERAGE('2. Demand History'!W319:Y319)))/MAX('2. Demand History'!Z319,1),3)</f>
        <v>5.1999999999999998E-2</v>
      </c>
    </row>
    <row r="320" spans="1:17" ht="15" customHeight="1" x14ac:dyDescent="0.2">
      <c r="A320" s="3" t="str">
        <f>'2. Demand History'!A320</f>
        <v>NT10316</v>
      </c>
      <c r="B320" s="1" t="str">
        <f>'2. Demand History'!B320</f>
        <v>HomeCam 100 1080p</v>
      </c>
      <c r="C320" s="3" t="str">
        <f>'1. Master Data'!C320</f>
        <v>Smart Home</v>
      </c>
      <c r="D320" s="3" t="s">
        <v>1112</v>
      </c>
      <c r="E320" s="3" t="str">
        <f t="shared" si="12"/>
        <v>Moving Avg 3</v>
      </c>
      <c r="F320" s="3">
        <f>ROUND(AVERAGE('2. Demand History'!O320:Z320),1)</f>
        <v>268</v>
      </c>
      <c r="G320" s="3">
        <f>ROUND(STDEV('2. Demand History'!O320:Z320),1)</f>
        <v>19.100000000000001</v>
      </c>
      <c r="H320" s="8">
        <f t="shared" si="13"/>
        <v>7.0000000000000007E-2</v>
      </c>
      <c r="I320" s="8">
        <f>ROUND(SUM('2. Demand History'!O320:Z320)/MAX(SUM('2. Demand History'!C320:N320),1),2)</f>
        <v>1.07</v>
      </c>
      <c r="J320" s="5">
        <f>IF(D320="Yes",ROUND('2. Demand History'!O320*I320,0),ROUND(AVERAGE('2. Demand History'!X320:Z320),0))</f>
        <v>287</v>
      </c>
      <c r="K320" s="9">
        <f t="shared" si="14"/>
        <v>5.2999999999999999E-2</v>
      </c>
      <c r="L320" s="10">
        <f>ROUND(ABS('2. Demand History'!U320-IF($D320="Yes",'2. Demand History'!I320,AVERAGE('2. Demand History'!R320:T320)))/MAX('2. Demand History'!U320,1),3)</f>
        <v>3.4000000000000002E-2</v>
      </c>
      <c r="M320" s="10">
        <f>ROUND(ABS('2. Demand History'!V320-IF($D320="Yes",'2. Demand History'!J320,AVERAGE('2. Demand History'!S320:U320)))/MAX('2. Demand History'!V320,1),3)</f>
        <v>5.5E-2</v>
      </c>
      <c r="N320" s="10">
        <f>ROUND(ABS('2. Demand History'!W320-IF($D320="Yes",'2. Demand History'!K320,AVERAGE('2. Demand History'!T320:V320)))/MAX('2. Demand History'!W320,1),3)</f>
        <v>5.0000000000000001E-3</v>
      </c>
      <c r="O320" s="10">
        <f>ROUND(ABS('2. Demand History'!X320-IF($D320="Yes",'2. Demand History'!L320,AVERAGE('2. Demand History'!U320:W320)))/MAX('2. Demand History'!X320,1),3)</f>
        <v>6.8000000000000005E-2</v>
      </c>
      <c r="P320" s="10">
        <f>ROUND(ABS('2. Demand History'!Y320-IF($D320="Yes",'2. Demand History'!M320,AVERAGE('2. Demand History'!V320:X320)))/MAX('2. Demand History'!Y320,1),3)</f>
        <v>8.4000000000000005E-2</v>
      </c>
      <c r="Q320" s="10">
        <f>ROUND(ABS('2. Demand History'!Z320-IF($D320="Yes",'2. Demand History'!N320,AVERAGE('2. Demand History'!W320:Y320)))/MAX('2. Demand History'!Z320,1),3)</f>
        <v>6.9000000000000006E-2</v>
      </c>
    </row>
    <row r="321" spans="1:17" ht="15" customHeight="1" x14ac:dyDescent="0.2">
      <c r="A321" s="3" t="str">
        <f>'2. Demand History'!A321</f>
        <v>NT10317</v>
      </c>
      <c r="B321" s="1" t="str">
        <f>'2. Demand History'!B321</f>
        <v>ThermoSmart 230</v>
      </c>
      <c r="C321" s="3" t="str">
        <f>'1. Master Data'!C321</f>
        <v>Smart Home</v>
      </c>
      <c r="D321" s="3" t="s">
        <v>1112</v>
      </c>
      <c r="E321" s="3" t="str">
        <f t="shared" si="12"/>
        <v>Moving Avg 3</v>
      </c>
      <c r="F321" s="3">
        <f>ROUND(AVERAGE('2. Demand History'!O321:Z321),1)</f>
        <v>44.5</v>
      </c>
      <c r="G321" s="3">
        <f>ROUND(STDEV('2. Demand History'!O321:Z321),1)</f>
        <v>3</v>
      </c>
      <c r="H321" s="8">
        <f t="shared" si="13"/>
        <v>7.0000000000000007E-2</v>
      </c>
      <c r="I321" s="8">
        <f>ROUND(SUM('2. Demand History'!O321:Z321)/MAX(SUM('2. Demand History'!C321:N321),1),2)</f>
        <v>1.08</v>
      </c>
      <c r="J321" s="5">
        <f>IF(D321="Yes",ROUND('2. Demand History'!O321*I321,0),ROUND(AVERAGE('2. Demand History'!X321:Z321),0))</f>
        <v>48</v>
      </c>
      <c r="K321" s="9">
        <f t="shared" si="14"/>
        <v>5.7000000000000002E-2</v>
      </c>
      <c r="L321" s="10">
        <f>ROUND(ABS('2. Demand History'!U321-IF($D321="Yes",'2. Demand History'!I321,AVERAGE('2. Demand History'!R321:T321)))/MAX('2. Demand History'!U321,1),3)</f>
        <v>0</v>
      </c>
      <c r="M321" s="10">
        <f>ROUND(ABS('2. Demand History'!V321-IF($D321="Yes",'2. Demand History'!J321,AVERAGE('2. Demand History'!S321:U321)))/MAX('2. Demand History'!V321,1),3)</f>
        <v>2.9000000000000001E-2</v>
      </c>
      <c r="N321" s="10">
        <f>ROUND(ABS('2. Demand History'!W321-IF($D321="Yes",'2. Demand History'!K321,AVERAGE('2. Demand History'!T321:V321)))/MAX('2. Demand History'!W321,1),3)</f>
        <v>0.114</v>
      </c>
      <c r="O321" s="10">
        <f>ROUND(ABS('2. Demand History'!X321-IF($D321="Yes",'2. Demand History'!L321,AVERAGE('2. Demand History'!U321:W321)))/MAX('2. Demand History'!X321,1),3)</f>
        <v>2.1999999999999999E-2</v>
      </c>
      <c r="P321" s="10">
        <f>ROUND(ABS('2. Demand History'!Y321-IF($D321="Yes",'2. Demand History'!M321,AVERAGE('2. Demand History'!V321:X321)))/MAX('2. Demand History'!Y321,1),3)</f>
        <v>0.12</v>
      </c>
      <c r="Q321" s="10">
        <f>ROUND(ABS('2. Demand History'!Z321-IF($D321="Yes",'2. Demand History'!N321,AVERAGE('2. Demand History'!W321:Y321)))/MAX('2. Demand History'!Z321,1),3)</f>
        <v>5.6000000000000001E-2</v>
      </c>
    </row>
    <row r="322" spans="1:17" ht="15" customHeight="1" x14ac:dyDescent="0.2">
      <c r="A322" s="3" t="str">
        <f>'2. Demand History'!A322</f>
        <v>NT10318</v>
      </c>
      <c r="B322" s="1" t="str">
        <f>'2. Demand History'!B322</f>
        <v>DoorSense 390</v>
      </c>
      <c r="C322" s="3" t="str">
        <f>'1. Master Data'!C322</f>
        <v>Smart Home</v>
      </c>
      <c r="D322" s="3" t="s">
        <v>1112</v>
      </c>
      <c r="E322" s="3" t="str">
        <f t="shared" si="12"/>
        <v>Moving Avg 3</v>
      </c>
      <c r="F322" s="3">
        <f>ROUND(AVERAGE('2. Demand History'!O322:Z322),1)</f>
        <v>694.4</v>
      </c>
      <c r="G322" s="3">
        <f>ROUND(STDEV('2. Demand History'!O322:Z322),1)</f>
        <v>41</v>
      </c>
      <c r="H322" s="8">
        <f t="shared" si="13"/>
        <v>0.06</v>
      </c>
      <c r="I322" s="8">
        <f>ROUND(SUM('2. Demand History'!O322:Z322)/MAX(SUM('2. Demand History'!C322:N322),1),2)</f>
        <v>1.08</v>
      </c>
      <c r="J322" s="5">
        <f>IF(D322="Yes",ROUND('2. Demand History'!O322*I322,0),ROUND(AVERAGE('2. Demand History'!X322:Z322),0))</f>
        <v>732</v>
      </c>
      <c r="K322" s="9">
        <f t="shared" si="14"/>
        <v>0.05</v>
      </c>
      <c r="L322" s="10">
        <f>ROUND(ABS('2. Demand History'!U322-IF($D322="Yes",'2. Demand History'!I322,AVERAGE('2. Demand History'!R322:T322)))/MAX('2. Demand History'!U322,1),3)</f>
        <v>2.1000000000000001E-2</v>
      </c>
      <c r="M322" s="10">
        <f>ROUND(ABS('2. Demand History'!V322-IF($D322="Yes",'2. Demand History'!J322,AVERAGE('2. Demand History'!S322:U322)))/MAX('2. Demand History'!V322,1),3)</f>
        <v>0</v>
      </c>
      <c r="N322" s="10">
        <f>ROUND(ABS('2. Demand History'!W322-IF($D322="Yes",'2. Demand History'!K322,AVERAGE('2. Demand History'!T322:V322)))/MAX('2. Demand History'!W322,1),3)</f>
        <v>0.10199999999999999</v>
      </c>
      <c r="O322" s="10">
        <f>ROUND(ABS('2. Demand History'!X322-IF($D322="Yes",'2. Demand History'!L322,AVERAGE('2. Demand History'!U322:W322)))/MAX('2. Demand History'!X322,1),3)</f>
        <v>2.7E-2</v>
      </c>
      <c r="P322" s="10">
        <f>ROUND(ABS('2. Demand History'!Y322-IF($D322="Yes",'2. Demand History'!M322,AVERAGE('2. Demand History'!V322:X322)))/MAX('2. Demand History'!Y322,1),3)</f>
        <v>6.5000000000000002E-2</v>
      </c>
      <c r="Q322" s="10">
        <f>ROUND(ABS('2. Demand History'!Z322-IF($D322="Yes",'2. Demand History'!N322,AVERAGE('2. Demand History'!W322:Y322)))/MAX('2. Demand History'!Z322,1),3)</f>
        <v>8.5000000000000006E-2</v>
      </c>
    </row>
    <row r="323" spans="1:17" ht="15" customHeight="1" x14ac:dyDescent="0.2">
      <c r="A323" s="3" t="str">
        <f>'2. Demand History'!A323</f>
        <v>NT10319</v>
      </c>
      <c r="B323" s="1" t="str">
        <f>'2. Demand History'!B323</f>
        <v>DoorSense 924</v>
      </c>
      <c r="C323" s="3" t="str">
        <f>'1. Master Data'!C323</f>
        <v>Smart Home</v>
      </c>
      <c r="D323" s="3" t="s">
        <v>1112</v>
      </c>
      <c r="E323" s="3" t="str">
        <f t="shared" si="12"/>
        <v>Moving Avg 3</v>
      </c>
      <c r="F323" s="3">
        <f>ROUND(AVERAGE('2. Demand History'!O323:Z323),1)</f>
        <v>106.8</v>
      </c>
      <c r="G323" s="3">
        <f>ROUND(STDEV('2. Demand History'!O323:Z323),1)</f>
        <v>5.8</v>
      </c>
      <c r="H323" s="8">
        <f t="shared" si="13"/>
        <v>0.05</v>
      </c>
      <c r="I323" s="8">
        <f>ROUND(SUM('2. Demand History'!O323:Z323)/MAX(SUM('2. Demand History'!C323:N323),1),2)</f>
        <v>1.04</v>
      </c>
      <c r="J323" s="5">
        <f>IF(D323="Yes",ROUND('2. Demand History'!O323*I323,0),ROUND(AVERAGE('2. Demand History'!X323:Z323),0))</f>
        <v>110</v>
      </c>
      <c r="K323" s="9">
        <f t="shared" si="14"/>
        <v>4.7E-2</v>
      </c>
      <c r="L323" s="10">
        <f>ROUND(ABS('2. Demand History'!U323-IF($D323="Yes",'2. Demand History'!I323,AVERAGE('2. Demand History'!R323:T323)))/MAX('2. Demand History'!U323,1),3)</f>
        <v>0.13500000000000001</v>
      </c>
      <c r="M323" s="10">
        <f>ROUND(ABS('2. Demand History'!V323-IF($D323="Yes",'2. Demand History'!J323,AVERAGE('2. Demand History'!S323:U323)))/MAX('2. Demand History'!V323,1),3)</f>
        <v>8.7999999999999995E-2</v>
      </c>
      <c r="N323" s="10">
        <f>ROUND(ABS('2. Demand History'!W323-IF($D323="Yes",'2. Demand History'!K323,AVERAGE('2. Demand History'!T323:V323)))/MAX('2. Demand History'!W323,1),3)</f>
        <v>6.0000000000000001E-3</v>
      </c>
      <c r="O323" s="10">
        <f>ROUND(ABS('2. Demand History'!X323-IF($D323="Yes",'2. Demand History'!L323,AVERAGE('2. Demand History'!U323:W323)))/MAX('2. Demand History'!X323,1),3)</f>
        <v>3.0000000000000001E-3</v>
      </c>
      <c r="P323" s="10">
        <f>ROUND(ABS('2. Demand History'!Y323-IF($D323="Yes",'2. Demand History'!M323,AVERAGE('2. Demand History'!V323:X323)))/MAX('2. Demand History'!Y323,1),3)</f>
        <v>0.05</v>
      </c>
      <c r="Q323" s="10">
        <f>ROUND(ABS('2. Demand History'!Z323-IF($D323="Yes",'2. Demand History'!N323,AVERAGE('2. Demand History'!W323:Y323)))/MAX('2. Demand History'!Z323,1),3)</f>
        <v>0</v>
      </c>
    </row>
    <row r="324" spans="1:17" ht="15" customHeight="1" x14ac:dyDescent="0.2">
      <c r="A324" s="3" t="str">
        <f>'2. Demand History'!A324</f>
        <v>NT10320</v>
      </c>
      <c r="B324" s="1" t="str">
        <f>'2. Demand History'!B324</f>
        <v>ThermoSmart 653</v>
      </c>
      <c r="C324" s="3" t="str">
        <f>'1. Master Data'!C324</f>
        <v>Smart Home</v>
      </c>
      <c r="D324" s="3" t="s">
        <v>1112</v>
      </c>
      <c r="E324" s="3" t="str">
        <f t="shared" si="12"/>
        <v>Moving Avg 3</v>
      </c>
      <c r="F324" s="3">
        <f>ROUND(AVERAGE('2. Demand History'!O324:Z324),1)</f>
        <v>578</v>
      </c>
      <c r="G324" s="3">
        <f>ROUND(STDEV('2. Demand History'!O324:Z324),1)</f>
        <v>24.9</v>
      </c>
      <c r="H324" s="8">
        <f t="shared" si="13"/>
        <v>0.04</v>
      </c>
      <c r="I324" s="8">
        <f>ROUND(SUM('2. Demand History'!O324:Z324)/MAX(SUM('2. Demand History'!C324:N324),1),2)</f>
        <v>1.0900000000000001</v>
      </c>
      <c r="J324" s="5">
        <f>IF(D324="Yes",ROUND('2. Demand History'!O324*I324,0),ROUND(AVERAGE('2. Demand History'!X324:Z324),0))</f>
        <v>597</v>
      </c>
      <c r="K324" s="9">
        <f t="shared" si="14"/>
        <v>2.7E-2</v>
      </c>
      <c r="L324" s="10">
        <f>ROUND(ABS('2. Demand History'!U324-IF($D324="Yes",'2. Demand History'!I324,AVERAGE('2. Demand History'!R324:T324)))/MAX('2. Demand History'!U324,1),3)</f>
        <v>4.2000000000000003E-2</v>
      </c>
      <c r="M324" s="10">
        <f>ROUND(ABS('2. Demand History'!V324-IF($D324="Yes",'2. Demand History'!J324,AVERAGE('2. Demand History'!S324:U324)))/MAX('2. Demand History'!V324,1),3)</f>
        <v>2.3E-2</v>
      </c>
      <c r="N324" s="10">
        <f>ROUND(ABS('2. Demand History'!W324-IF($D324="Yes",'2. Demand History'!K324,AVERAGE('2. Demand History'!T324:V324)))/MAX('2. Demand History'!W324,1),3)</f>
        <v>1.4999999999999999E-2</v>
      </c>
      <c r="O324" s="10">
        <f>ROUND(ABS('2. Demand History'!X324-IF($D324="Yes",'2. Demand History'!L324,AVERAGE('2. Demand History'!U324:W324)))/MAX('2. Demand History'!X324,1),3)</f>
        <v>8.0000000000000002E-3</v>
      </c>
      <c r="P324" s="10">
        <f>ROUND(ABS('2. Demand History'!Y324-IF($D324="Yes",'2. Demand History'!M324,AVERAGE('2. Demand History'!V324:X324)))/MAX('2. Demand History'!Y324,1),3)</f>
        <v>2.8000000000000001E-2</v>
      </c>
      <c r="Q324" s="10">
        <f>ROUND(ABS('2. Demand History'!Z324-IF($D324="Yes",'2. Demand History'!N324,AVERAGE('2. Demand History'!W324:Y324)))/MAX('2. Demand History'!Z324,1),3)</f>
        <v>4.5999999999999999E-2</v>
      </c>
    </row>
    <row r="325" spans="1:17" ht="15" customHeight="1" x14ac:dyDescent="0.2">
      <c r="A325" s="3" t="str">
        <f>'2. Demand History'!A325</f>
        <v>NT10321</v>
      </c>
      <c r="B325" s="1" t="str">
        <f>'2. Demand History'!B325</f>
        <v>HomeCam 807 1080p</v>
      </c>
      <c r="C325" s="3" t="str">
        <f>'1. Master Data'!C325</f>
        <v>Smart Home</v>
      </c>
      <c r="D325" s="3" t="s">
        <v>1112</v>
      </c>
      <c r="E325" s="3" t="str">
        <f t="shared" ref="E325:E388" si="15">IF(D325="Yes","Seasonal Naive","Moving Avg 3")</f>
        <v>Moving Avg 3</v>
      </c>
      <c r="F325" s="3">
        <f>ROUND(AVERAGE('2. Demand History'!O325:Z325),1)</f>
        <v>226</v>
      </c>
      <c r="G325" s="3">
        <f>ROUND(STDEV('2. Demand History'!O325:Z325),1)</f>
        <v>27.1</v>
      </c>
      <c r="H325" s="8">
        <f t="shared" ref="H325:H388" si="16">IF(F325=0,0,ROUND(G325/F325,2))</f>
        <v>0.12</v>
      </c>
      <c r="I325" s="8">
        <f>ROUND(SUM('2. Demand History'!O325:Z325)/MAX(SUM('2. Demand History'!C325:N325),1),2)</f>
        <v>1.01</v>
      </c>
      <c r="J325" s="5">
        <f>IF(D325="Yes",ROUND('2. Demand History'!O325*I325,0),ROUND(AVERAGE('2. Demand History'!X325:Z325),0))</f>
        <v>243</v>
      </c>
      <c r="K325" s="9">
        <f t="shared" ref="K325:K388" si="17">ROUND(AVERAGE(L325:Q325),3)</f>
        <v>0.14099999999999999</v>
      </c>
      <c r="L325" s="10">
        <f>ROUND(ABS('2. Demand History'!U325-IF($D325="Yes",'2. Demand History'!I325,AVERAGE('2. Demand History'!R325:T325)))/MAX('2. Demand History'!U325,1),3)</f>
        <v>0.17299999999999999</v>
      </c>
      <c r="M325" s="10">
        <f>ROUND(ABS('2. Demand History'!V325-IF($D325="Yes",'2. Demand History'!J325,AVERAGE('2. Demand History'!S325:U325)))/MAX('2. Demand History'!V325,1),3)</f>
        <v>5.6000000000000001E-2</v>
      </c>
      <c r="N325" s="10">
        <f>ROUND(ABS('2. Demand History'!W325-IF($D325="Yes",'2. Demand History'!K325,AVERAGE('2. Demand History'!T325:V325)))/MAX('2. Demand History'!W325,1),3)</f>
        <v>0.16700000000000001</v>
      </c>
      <c r="O325" s="10">
        <f>ROUND(ABS('2. Demand History'!X325-IF($D325="Yes",'2. Demand History'!L325,AVERAGE('2. Demand History'!U325:W325)))/MAX('2. Demand History'!X325,1),3)</f>
        <v>0.184</v>
      </c>
      <c r="P325" s="10">
        <f>ROUND(ABS('2. Demand History'!Y325-IF($D325="Yes",'2. Demand History'!M325,AVERAGE('2. Demand History'!V325:X325)))/MAX('2. Demand History'!Y325,1),3)</f>
        <v>0.14699999999999999</v>
      </c>
      <c r="Q325" s="10">
        <f>ROUND(ABS('2. Demand History'!Z325-IF($D325="Yes",'2. Demand History'!N325,AVERAGE('2. Demand History'!W325:Y325)))/MAX('2. Demand History'!Z325,1),3)</f>
        <v>0.11700000000000001</v>
      </c>
    </row>
    <row r="326" spans="1:17" ht="15" customHeight="1" x14ac:dyDescent="0.2">
      <c r="A326" s="3" t="str">
        <f>'2. Demand History'!A326</f>
        <v>NT10322</v>
      </c>
      <c r="B326" s="1" t="str">
        <f>'2. Demand History'!B326</f>
        <v>LumiBulb 622 RGB</v>
      </c>
      <c r="C326" s="3" t="str">
        <f>'1. Master Data'!C326</f>
        <v>Smart Home</v>
      </c>
      <c r="D326" s="3" t="s">
        <v>1112</v>
      </c>
      <c r="E326" s="3" t="str">
        <f t="shared" si="15"/>
        <v>Moving Avg 3</v>
      </c>
      <c r="F326" s="3">
        <f>ROUND(AVERAGE('2. Demand History'!O326:Z326),1)</f>
        <v>57.5</v>
      </c>
      <c r="G326" s="3">
        <f>ROUND(STDEV('2. Demand History'!O326:Z326),1)</f>
        <v>51.5</v>
      </c>
      <c r="H326" s="8">
        <f t="shared" si="16"/>
        <v>0.9</v>
      </c>
      <c r="I326" s="8">
        <f>ROUND(SUM('2. Demand History'!O326:Z326)/MAX(SUM('2. Demand History'!C326:N326),1),2)</f>
        <v>0.65</v>
      </c>
      <c r="J326" s="5">
        <f>IF(D326="Yes",ROUND('2. Demand History'!O326*I326,0),ROUND(AVERAGE('2. Demand History'!X326:Z326),0))</f>
        <v>43</v>
      </c>
      <c r="K326" s="9">
        <f t="shared" si="17"/>
        <v>0.52100000000000002</v>
      </c>
      <c r="L326" s="10">
        <f>ROUND(ABS('2. Demand History'!U326-IF($D326="Yes",'2. Demand History'!I326,AVERAGE('2. Demand History'!R326:T326)))/MAX('2. Demand History'!U326,1),3)</f>
        <v>1.071</v>
      </c>
      <c r="M326" s="10">
        <f>ROUND(ABS('2. Demand History'!V326-IF($D326="Yes",'2. Demand History'!J326,AVERAGE('2. Demand History'!S326:U326)))/MAX('2. Demand History'!V326,1),3)</f>
        <v>0.90100000000000002</v>
      </c>
      <c r="N326" s="10">
        <f>ROUND(ABS('2. Demand History'!W326-IF($D326="Yes",'2. Demand History'!K326,AVERAGE('2. Demand History'!T326:V326)))/MAX('2. Demand History'!W326,1),3)</f>
        <v>0.02</v>
      </c>
      <c r="O326" s="10">
        <f>ROUND(ABS('2. Demand History'!X326-IF($D326="Yes",'2. Demand History'!L326,AVERAGE('2. Demand History'!U326:W326)))/MAX('2. Demand History'!X326,1),3)</f>
        <v>0.111</v>
      </c>
      <c r="P326" s="10">
        <f>ROUND(ABS('2. Demand History'!Y326-IF($D326="Yes",'2. Demand History'!M326,AVERAGE('2. Demand History'!V326:X326)))/MAX('2. Demand History'!Y326,1),3)</f>
        <v>0.76200000000000001</v>
      </c>
      <c r="Q326" s="10">
        <f>ROUND(ABS('2. Demand History'!Z326-IF($D326="Yes",'2. Demand History'!N326,AVERAGE('2. Demand History'!W326:Y326)))/MAX('2. Demand History'!Z326,1),3)</f>
        <v>0.26100000000000001</v>
      </c>
    </row>
    <row r="327" spans="1:17" ht="15" customHeight="1" x14ac:dyDescent="0.2">
      <c r="A327" s="3" t="str">
        <f>'2. Demand History'!A327</f>
        <v>NT10323</v>
      </c>
      <c r="B327" s="1" t="str">
        <f>'2. Demand History'!B327</f>
        <v>SmartPlug Duo 798</v>
      </c>
      <c r="C327" s="3" t="str">
        <f>'1. Master Data'!C327</f>
        <v>Smart Home</v>
      </c>
      <c r="D327" s="3" t="s">
        <v>1112</v>
      </c>
      <c r="E327" s="3" t="str">
        <f t="shared" si="15"/>
        <v>Moving Avg 3</v>
      </c>
      <c r="F327" s="3">
        <f>ROUND(AVERAGE('2. Demand History'!O327:Z327),1)</f>
        <v>315.7</v>
      </c>
      <c r="G327" s="3">
        <f>ROUND(STDEV('2. Demand History'!O327:Z327),1)</f>
        <v>13.4</v>
      </c>
      <c r="H327" s="8">
        <f t="shared" si="16"/>
        <v>0.04</v>
      </c>
      <c r="I327" s="8">
        <f>ROUND(SUM('2. Demand History'!O327:Z327)/MAX(SUM('2. Demand History'!C327:N327),1),2)</f>
        <v>1.07</v>
      </c>
      <c r="J327" s="5">
        <f>IF(D327="Yes",ROUND('2. Demand History'!O327*I327,0),ROUND(AVERAGE('2. Demand History'!X327:Z327),0))</f>
        <v>324</v>
      </c>
      <c r="K327" s="9">
        <f t="shared" si="17"/>
        <v>4.2999999999999997E-2</v>
      </c>
      <c r="L327" s="10">
        <f>ROUND(ABS('2. Demand History'!U327-IF($D327="Yes",'2. Demand History'!I327,AVERAGE('2. Demand History'!R327:T327)))/MAX('2. Demand History'!U327,1),3)</f>
        <v>0.04</v>
      </c>
      <c r="M327" s="10">
        <f>ROUND(ABS('2. Demand History'!V327-IF($D327="Yes",'2. Demand History'!J327,AVERAGE('2. Demand History'!S327:U327)))/MAX('2. Demand History'!V327,1),3)</f>
        <v>4.5999999999999999E-2</v>
      </c>
      <c r="N327" s="10">
        <f>ROUND(ABS('2. Demand History'!W327-IF($D327="Yes",'2. Demand History'!K327,AVERAGE('2. Demand History'!T327:V327)))/MAX('2. Demand History'!W327,1),3)</f>
        <v>7.2999999999999995E-2</v>
      </c>
      <c r="O327" s="10">
        <f>ROUND(ABS('2. Demand History'!X327-IF($D327="Yes",'2. Demand History'!L327,AVERAGE('2. Demand History'!U327:W327)))/MAX('2. Demand History'!X327,1),3)</f>
        <v>1.2999999999999999E-2</v>
      </c>
      <c r="P327" s="10">
        <f>ROUND(ABS('2. Demand History'!Y327-IF($D327="Yes",'2. Demand History'!M327,AVERAGE('2. Demand History'!V327:X327)))/MAX('2. Demand History'!Y327,1),3)</f>
        <v>7.4999999999999997E-2</v>
      </c>
      <c r="Q327" s="10">
        <f>ROUND(ABS('2. Demand History'!Z327-IF($D327="Yes",'2. Demand History'!N327,AVERAGE('2. Demand History'!W327:Y327)))/MAX('2. Demand History'!Z327,1),3)</f>
        <v>1.0999999999999999E-2</v>
      </c>
    </row>
    <row r="328" spans="1:17" ht="15" customHeight="1" x14ac:dyDescent="0.2">
      <c r="A328" s="3" t="str">
        <f>'2. Demand History'!A328</f>
        <v>NT10324</v>
      </c>
      <c r="B328" s="1" t="str">
        <f>'2. Demand History'!B328</f>
        <v>HomeCam 916 1080p</v>
      </c>
      <c r="C328" s="3" t="str">
        <f>'1. Master Data'!C328</f>
        <v>Smart Home</v>
      </c>
      <c r="D328" s="3" t="s">
        <v>1112</v>
      </c>
      <c r="E328" s="3" t="str">
        <f t="shared" si="15"/>
        <v>Moving Avg 3</v>
      </c>
      <c r="F328" s="3">
        <f>ROUND(AVERAGE('2. Demand History'!O328:Z328),1)</f>
        <v>245</v>
      </c>
      <c r="G328" s="3">
        <f>ROUND(STDEV('2. Demand History'!O328:Z328),1)</f>
        <v>8</v>
      </c>
      <c r="H328" s="8">
        <f t="shared" si="16"/>
        <v>0.03</v>
      </c>
      <c r="I328" s="8">
        <f>ROUND(SUM('2. Demand History'!O328:Z328)/MAX(SUM('2. Demand History'!C328:N328),1),2)</f>
        <v>1.04</v>
      </c>
      <c r="J328" s="5">
        <f>IF(D328="Yes",ROUND('2. Demand History'!O328*I328,0),ROUND(AVERAGE('2. Demand History'!X328:Z328),0))</f>
        <v>251</v>
      </c>
      <c r="K328" s="9">
        <f t="shared" si="17"/>
        <v>3.3000000000000002E-2</v>
      </c>
      <c r="L328" s="10">
        <f>ROUND(ABS('2. Demand History'!U328-IF($D328="Yes",'2. Demand History'!I328,AVERAGE('2. Demand History'!R328:T328)))/MAX('2. Demand History'!U328,1),3)</f>
        <v>6.6000000000000003E-2</v>
      </c>
      <c r="M328" s="10">
        <f>ROUND(ABS('2. Demand History'!V328-IF($D328="Yes",'2. Demand History'!J328,AVERAGE('2. Demand History'!S328:U328)))/MAX('2. Demand History'!V328,1),3)</f>
        <v>2.9000000000000001E-2</v>
      </c>
      <c r="N328" s="10">
        <f>ROUND(ABS('2. Demand History'!W328-IF($D328="Yes",'2. Demand History'!K328,AVERAGE('2. Demand History'!T328:V328)))/MAX('2. Demand History'!W328,1),3)</f>
        <v>0.04</v>
      </c>
      <c r="O328" s="10">
        <f>ROUND(ABS('2. Demand History'!X328-IF($D328="Yes",'2. Demand History'!L328,AVERAGE('2. Demand History'!U328:W328)))/MAX('2. Demand History'!X328,1),3)</f>
        <v>1.4999999999999999E-2</v>
      </c>
      <c r="P328" s="10">
        <f>ROUND(ABS('2. Demand History'!Y328-IF($D328="Yes",'2. Demand History'!M328,AVERAGE('2. Demand History'!V328:X328)))/MAX('2. Demand History'!Y328,1),3)</f>
        <v>4.2999999999999997E-2</v>
      </c>
      <c r="Q328" s="10">
        <f>ROUND(ABS('2. Demand History'!Z328-IF($D328="Yes",'2. Demand History'!N328,AVERAGE('2. Demand History'!W328:Y328)))/MAX('2. Demand History'!Z328,1),3)</f>
        <v>3.0000000000000001E-3</v>
      </c>
    </row>
    <row r="329" spans="1:17" ht="15" customHeight="1" x14ac:dyDescent="0.2">
      <c r="A329" s="3" t="str">
        <f>'2. Demand History'!A329</f>
        <v>NT10325</v>
      </c>
      <c r="B329" s="1" t="str">
        <f>'2. Demand History'!B329</f>
        <v>LumiBulb 296 RGB</v>
      </c>
      <c r="C329" s="3" t="str">
        <f>'1. Master Data'!C329</f>
        <v>Smart Home</v>
      </c>
      <c r="D329" s="3" t="s">
        <v>1112</v>
      </c>
      <c r="E329" s="3" t="str">
        <f t="shared" si="15"/>
        <v>Moving Avg 3</v>
      </c>
      <c r="F329" s="3">
        <f>ROUND(AVERAGE('2. Demand History'!O329:Z329),1)</f>
        <v>208.8</v>
      </c>
      <c r="G329" s="3">
        <f>ROUND(STDEV('2. Demand History'!O329:Z329),1)</f>
        <v>8.4</v>
      </c>
      <c r="H329" s="8">
        <f t="shared" si="16"/>
        <v>0.04</v>
      </c>
      <c r="I329" s="8">
        <f>ROUND(SUM('2. Demand History'!O329:Z329)/MAX(SUM('2. Demand History'!C329:N329),1),2)</f>
        <v>1.07</v>
      </c>
      <c r="J329" s="5">
        <f>IF(D329="Yes",ROUND('2. Demand History'!O329*I329,0),ROUND(AVERAGE('2. Demand History'!X329:Z329),0))</f>
        <v>209</v>
      </c>
      <c r="K329" s="9">
        <f t="shared" si="17"/>
        <v>5.0999999999999997E-2</v>
      </c>
      <c r="L329" s="10">
        <f>ROUND(ABS('2. Demand History'!U329-IF($D329="Yes",'2. Demand History'!I329,AVERAGE('2. Demand History'!R329:T329)))/MAX('2. Demand History'!U329,1),3)</f>
        <v>0.05</v>
      </c>
      <c r="M329" s="10">
        <f>ROUND(ABS('2. Demand History'!V329-IF($D329="Yes",'2. Demand History'!J329,AVERAGE('2. Demand History'!S329:U329)))/MAX('2. Demand History'!V329,1),3)</f>
        <v>5.2999999999999999E-2</v>
      </c>
      <c r="N329" s="10">
        <f>ROUND(ABS('2. Demand History'!W329-IF($D329="Yes",'2. Demand History'!K329,AVERAGE('2. Demand History'!T329:V329)))/MAX('2. Demand History'!W329,1),3)</f>
        <v>6.8000000000000005E-2</v>
      </c>
      <c r="O329" s="10">
        <f>ROUND(ABS('2. Demand History'!X329-IF($D329="Yes",'2. Demand History'!L329,AVERAGE('2. Demand History'!U329:W329)))/MAX('2. Demand History'!X329,1),3)</f>
        <v>4.1000000000000002E-2</v>
      </c>
      <c r="P329" s="10">
        <f>ROUND(ABS('2. Demand History'!Y329-IF($D329="Yes",'2. Demand History'!M329,AVERAGE('2. Demand History'!V329:X329)))/MAX('2. Demand History'!Y329,1),3)</f>
        <v>3.7999999999999999E-2</v>
      </c>
      <c r="Q329" s="10">
        <f>ROUND(ABS('2. Demand History'!Z329-IF($D329="Yes",'2. Demand History'!N329,AVERAGE('2. Demand History'!W329:Y329)))/MAX('2. Demand History'!Z329,1),3)</f>
        <v>5.5E-2</v>
      </c>
    </row>
    <row r="330" spans="1:17" ht="15" customHeight="1" x14ac:dyDescent="0.2">
      <c r="A330" s="3" t="str">
        <f>'2. Demand History'!A330</f>
        <v>NT10326</v>
      </c>
      <c r="B330" s="1" t="str">
        <f>'2. Demand History'!B330</f>
        <v>LumiBulb 578 RGB</v>
      </c>
      <c r="C330" s="3" t="str">
        <f>'1. Master Data'!C330</f>
        <v>Smart Home</v>
      </c>
      <c r="D330" s="3" t="s">
        <v>1112</v>
      </c>
      <c r="E330" s="3" t="str">
        <f t="shared" si="15"/>
        <v>Moving Avg 3</v>
      </c>
      <c r="F330" s="3">
        <f>ROUND(AVERAGE('2. Demand History'!O330:Z330),1)</f>
        <v>132.30000000000001</v>
      </c>
      <c r="G330" s="3">
        <f>ROUND(STDEV('2. Demand History'!O330:Z330),1)</f>
        <v>7.9</v>
      </c>
      <c r="H330" s="8">
        <f t="shared" si="16"/>
        <v>0.06</v>
      </c>
      <c r="I330" s="8">
        <f>ROUND(SUM('2. Demand History'!O330:Z330)/MAX(SUM('2. Demand History'!C330:N330),1),2)</f>
        <v>1.07</v>
      </c>
      <c r="J330" s="5">
        <f>IF(D330="Yes",ROUND('2. Demand History'!O330*I330,0),ROUND(AVERAGE('2. Demand History'!X330:Z330),0))</f>
        <v>134</v>
      </c>
      <c r="K330" s="9">
        <f t="shared" si="17"/>
        <v>0.06</v>
      </c>
      <c r="L330" s="10">
        <f>ROUND(ABS('2. Demand History'!U330-IF($D330="Yes",'2. Demand History'!I330,AVERAGE('2. Demand History'!R330:T330)))/MAX('2. Demand History'!U330,1),3)</f>
        <v>2.5000000000000001E-2</v>
      </c>
      <c r="M330" s="10">
        <f>ROUND(ABS('2. Demand History'!V330-IF($D330="Yes",'2. Demand History'!J330,AVERAGE('2. Demand History'!S330:U330)))/MAX('2. Demand History'!V330,1),3)</f>
        <v>3.6999999999999998E-2</v>
      </c>
      <c r="N330" s="10">
        <f>ROUND(ABS('2. Demand History'!W330-IF($D330="Yes",'2. Demand History'!K330,AVERAGE('2. Demand History'!T330:V330)))/MAX('2. Demand History'!W330,1),3)</f>
        <v>0.10199999999999999</v>
      </c>
      <c r="O330" s="10">
        <f>ROUND(ABS('2. Demand History'!X330-IF($D330="Yes",'2. Demand History'!L330,AVERAGE('2. Demand History'!U330:W330)))/MAX('2. Demand History'!X330,1),3)</f>
        <v>6.3E-2</v>
      </c>
      <c r="P330" s="10">
        <f>ROUND(ABS('2. Demand History'!Y330-IF($D330="Yes",'2. Demand History'!M330,AVERAGE('2. Demand History'!V330:X330)))/MAX('2. Demand History'!Y330,1),3)</f>
        <v>2E-3</v>
      </c>
      <c r="Q330" s="10">
        <f>ROUND(ABS('2. Demand History'!Z330-IF($D330="Yes",'2. Demand History'!N330,AVERAGE('2. Demand History'!W330:Y330)))/MAX('2. Demand History'!Z330,1),3)</f>
        <v>0.13300000000000001</v>
      </c>
    </row>
    <row r="331" spans="1:17" ht="15" customHeight="1" x14ac:dyDescent="0.2">
      <c r="A331" s="3" t="str">
        <f>'2. Demand History'!A331</f>
        <v>NT10327</v>
      </c>
      <c r="B331" s="1" t="str">
        <f>'2. Demand History'!B331</f>
        <v>LumiBulb 401 RGB</v>
      </c>
      <c r="C331" s="3" t="str">
        <f>'1. Master Data'!C331</f>
        <v>Smart Home</v>
      </c>
      <c r="D331" s="3" t="s">
        <v>1112</v>
      </c>
      <c r="E331" s="3" t="str">
        <f t="shared" si="15"/>
        <v>Moving Avg 3</v>
      </c>
      <c r="F331" s="3">
        <f>ROUND(AVERAGE('2. Demand History'!O331:Z331),1)</f>
        <v>904.2</v>
      </c>
      <c r="G331" s="3">
        <f>ROUND(STDEV('2. Demand History'!O331:Z331),1)</f>
        <v>38.1</v>
      </c>
      <c r="H331" s="8">
        <f t="shared" si="16"/>
        <v>0.04</v>
      </c>
      <c r="I331" s="8">
        <f>ROUND(SUM('2. Demand History'!O331:Z331)/MAX(SUM('2. Demand History'!C331:N331),1),2)</f>
        <v>1.06</v>
      </c>
      <c r="J331" s="5">
        <f>IF(D331="Yes",ROUND('2. Demand History'!O331*I331,0),ROUND(AVERAGE('2. Demand History'!X331:Z331),0))</f>
        <v>920</v>
      </c>
      <c r="K331" s="9">
        <f t="shared" si="17"/>
        <v>3.7999999999999999E-2</v>
      </c>
      <c r="L331" s="10">
        <f>ROUND(ABS('2. Demand History'!U331-IF($D331="Yes",'2. Demand History'!I331,AVERAGE('2. Demand History'!R331:T331)))/MAX('2. Demand History'!U331,1),3)</f>
        <v>0.04</v>
      </c>
      <c r="M331" s="10">
        <f>ROUND(ABS('2. Demand History'!V331-IF($D331="Yes",'2. Demand History'!J331,AVERAGE('2. Demand History'!S331:U331)))/MAX('2. Demand History'!V331,1),3)</f>
        <v>0.04</v>
      </c>
      <c r="N331" s="10">
        <f>ROUND(ABS('2. Demand History'!W331-IF($D331="Yes",'2. Demand History'!K331,AVERAGE('2. Demand History'!T331:V331)))/MAX('2. Demand History'!W331,1),3)</f>
        <v>5.1999999999999998E-2</v>
      </c>
      <c r="O331" s="10">
        <f>ROUND(ABS('2. Demand History'!X331-IF($D331="Yes",'2. Demand History'!L331,AVERAGE('2. Demand History'!U331:W331)))/MAX('2. Demand History'!X331,1),3)</f>
        <v>5.0999999999999997E-2</v>
      </c>
      <c r="P331" s="10">
        <f>ROUND(ABS('2. Demand History'!Y331-IF($D331="Yes",'2. Demand History'!M331,AVERAGE('2. Demand History'!V331:X331)))/MAX('2. Demand History'!Y331,1),3)</f>
        <v>4.1000000000000002E-2</v>
      </c>
      <c r="Q331" s="10">
        <f>ROUND(ABS('2. Demand History'!Z331-IF($D331="Yes",'2. Demand History'!N331,AVERAGE('2. Demand History'!W331:Y331)))/MAX('2. Demand History'!Z331,1),3)</f>
        <v>1E-3</v>
      </c>
    </row>
    <row r="332" spans="1:17" ht="15" customHeight="1" x14ac:dyDescent="0.2">
      <c r="A332" s="3" t="str">
        <f>'2. Demand History'!A332</f>
        <v>NT10328</v>
      </c>
      <c r="B332" s="1" t="str">
        <f>'2. Demand History'!B332</f>
        <v>DoorSense 810</v>
      </c>
      <c r="C332" s="3" t="str">
        <f>'1. Master Data'!C332</f>
        <v>Smart Home</v>
      </c>
      <c r="D332" s="3" t="s">
        <v>1112</v>
      </c>
      <c r="E332" s="3" t="str">
        <f t="shared" si="15"/>
        <v>Moving Avg 3</v>
      </c>
      <c r="F332" s="3">
        <f>ROUND(AVERAGE('2. Demand History'!O332:Z332),1)</f>
        <v>54.1</v>
      </c>
      <c r="G332" s="3">
        <f>ROUND(STDEV('2. Demand History'!O332:Z332),1)</f>
        <v>51.9</v>
      </c>
      <c r="H332" s="8">
        <f t="shared" si="16"/>
        <v>0.96</v>
      </c>
      <c r="I332" s="8">
        <f>ROUND(SUM('2. Demand History'!O332:Z332)/MAX(SUM('2. Demand History'!C332:N332),1),2)</f>
        <v>1.1200000000000001</v>
      </c>
      <c r="J332" s="5">
        <f>IF(D332="Yes",ROUND('2. Demand History'!O332*I332,0),ROUND(AVERAGE('2. Demand History'!X332:Z332),0))</f>
        <v>98</v>
      </c>
      <c r="K332" s="9">
        <f t="shared" si="17"/>
        <v>0.42399999999999999</v>
      </c>
      <c r="L332" s="10">
        <f>ROUND(ABS('2. Demand History'!U332-IF($D332="Yes",'2. Demand History'!I332,AVERAGE('2. Demand History'!R332:T332)))/MAX('2. Demand History'!U332,1),3)</f>
        <v>0.10199999999999999</v>
      </c>
      <c r="M332" s="10">
        <f>ROUND(ABS('2. Demand History'!V332-IF($D332="Yes",'2. Demand History'!J332,AVERAGE('2. Demand History'!S332:U332)))/MAX('2. Demand History'!V332,1),3)</f>
        <v>1.014</v>
      </c>
      <c r="N332" s="10">
        <f>ROUND(ABS('2. Demand History'!W332-IF($D332="Yes",'2. Demand History'!K332,AVERAGE('2. Demand History'!T332:V332)))/MAX('2. Demand History'!W332,1),3)</f>
        <v>0.16300000000000001</v>
      </c>
      <c r="O332" s="10">
        <f>ROUND(ABS('2. Demand History'!X332-IF($D332="Yes",'2. Demand History'!L332,AVERAGE('2. Demand History'!U332:W332)))/MAX('2. Demand History'!X332,1),3)</f>
        <v>0.156</v>
      </c>
      <c r="P332" s="10">
        <f>ROUND(ABS('2. Demand History'!Y332-IF($D332="Yes",'2. Demand History'!M332,AVERAGE('2. Demand History'!V332:X332)))/MAX('2. Demand History'!Y332,1),3)</f>
        <v>0.3</v>
      </c>
      <c r="Q332" s="10">
        <f>ROUND(ABS('2. Demand History'!Z332-IF($D332="Yes",'2. Demand History'!N332,AVERAGE('2. Demand History'!W332:Y332)))/MAX('2. Demand History'!Z332,1),3)</f>
        <v>0.81</v>
      </c>
    </row>
    <row r="333" spans="1:17" ht="15" customHeight="1" x14ac:dyDescent="0.2">
      <c r="A333" s="3" t="str">
        <f>'2. Demand History'!A333</f>
        <v>NT10329</v>
      </c>
      <c r="B333" s="1" t="str">
        <f>'2. Demand History'!B333</f>
        <v>HomeCam 272 1080p</v>
      </c>
      <c r="C333" s="3" t="str">
        <f>'1. Master Data'!C333</f>
        <v>Smart Home</v>
      </c>
      <c r="D333" s="3" t="s">
        <v>1112</v>
      </c>
      <c r="E333" s="3" t="str">
        <f t="shared" si="15"/>
        <v>Moving Avg 3</v>
      </c>
      <c r="F333" s="3">
        <f>ROUND(AVERAGE('2. Demand History'!O333:Z333),1)</f>
        <v>291</v>
      </c>
      <c r="G333" s="3">
        <f>ROUND(STDEV('2. Demand History'!O333:Z333),1)</f>
        <v>27.8</v>
      </c>
      <c r="H333" s="8">
        <f t="shared" si="16"/>
        <v>0.1</v>
      </c>
      <c r="I333" s="8">
        <f>ROUND(SUM('2. Demand History'!O333:Z333)/MAX(SUM('2. Demand History'!C333:N333),1),2)</f>
        <v>1.04</v>
      </c>
      <c r="J333" s="5">
        <f>IF(D333="Yes",ROUND('2. Demand History'!O333*I333,0),ROUND(AVERAGE('2. Demand History'!X333:Z333),0))</f>
        <v>299</v>
      </c>
      <c r="K333" s="9">
        <f t="shared" si="17"/>
        <v>9.8000000000000004E-2</v>
      </c>
      <c r="L333" s="10">
        <f>ROUND(ABS('2. Demand History'!U333-IF($D333="Yes",'2. Demand History'!I333,AVERAGE('2. Demand History'!R333:T333)))/MAX('2. Demand History'!U333,1),3)</f>
        <v>0.13500000000000001</v>
      </c>
      <c r="M333" s="10">
        <f>ROUND(ABS('2. Demand History'!V333-IF($D333="Yes",'2. Demand History'!J333,AVERAGE('2. Demand History'!S333:U333)))/MAX('2. Demand History'!V333,1),3)</f>
        <v>7.8E-2</v>
      </c>
      <c r="N333" s="10">
        <f>ROUND(ABS('2. Demand History'!W333-IF($D333="Yes",'2. Demand History'!K333,AVERAGE('2. Demand History'!T333:V333)))/MAX('2. Demand History'!W333,1),3)</f>
        <v>0.19900000000000001</v>
      </c>
      <c r="O333" s="10">
        <f>ROUND(ABS('2. Demand History'!X333-IF($D333="Yes",'2. Demand History'!L333,AVERAGE('2. Demand History'!U333:W333)))/MAX('2. Demand History'!X333,1),3)</f>
        <v>3.3000000000000002E-2</v>
      </c>
      <c r="P333" s="10">
        <f>ROUND(ABS('2. Demand History'!Y333-IF($D333="Yes",'2. Demand History'!M333,AVERAGE('2. Demand History'!V333:X333)))/MAX('2. Demand History'!Y333,1),3)</f>
        <v>0.127</v>
      </c>
      <c r="Q333" s="10">
        <f>ROUND(ABS('2. Demand History'!Z333-IF($D333="Yes",'2. Demand History'!N333,AVERAGE('2. Demand History'!W333:Y333)))/MAX('2. Demand History'!Z333,1),3)</f>
        <v>1.4999999999999999E-2</v>
      </c>
    </row>
    <row r="334" spans="1:17" ht="15" customHeight="1" x14ac:dyDescent="0.2">
      <c r="A334" s="3" t="str">
        <f>'2. Demand History'!A334</f>
        <v>NT10330</v>
      </c>
      <c r="B334" s="1" t="str">
        <f>'2. Demand History'!B334</f>
        <v>LumiBulb 508 RGB</v>
      </c>
      <c r="C334" s="3" t="str">
        <f>'1. Master Data'!C334</f>
        <v>Smart Home</v>
      </c>
      <c r="D334" s="3" t="s">
        <v>1112</v>
      </c>
      <c r="E334" s="3" t="str">
        <f t="shared" si="15"/>
        <v>Moving Avg 3</v>
      </c>
      <c r="F334" s="3">
        <f>ROUND(AVERAGE('2. Demand History'!O334:Z334),1)</f>
        <v>678.8</v>
      </c>
      <c r="G334" s="3">
        <f>ROUND(STDEV('2. Demand History'!O334:Z334),1)</f>
        <v>35</v>
      </c>
      <c r="H334" s="8">
        <f t="shared" si="16"/>
        <v>0.05</v>
      </c>
      <c r="I334" s="8">
        <f>ROUND(SUM('2. Demand History'!O334:Z334)/MAX(SUM('2. Demand History'!C334:N334),1),2)</f>
        <v>1.06</v>
      </c>
      <c r="J334" s="5">
        <f>IF(D334="Yes",ROUND('2. Demand History'!O334*I334,0),ROUND(AVERAGE('2. Demand History'!X334:Z334),0))</f>
        <v>678</v>
      </c>
      <c r="K334" s="9">
        <f t="shared" si="17"/>
        <v>4.1000000000000002E-2</v>
      </c>
      <c r="L334" s="10">
        <f>ROUND(ABS('2. Demand History'!U334-IF($D334="Yes",'2. Demand History'!I334,AVERAGE('2. Demand History'!R334:T334)))/MAX('2. Demand History'!U334,1),3)</f>
        <v>6.8000000000000005E-2</v>
      </c>
      <c r="M334" s="10">
        <f>ROUND(ABS('2. Demand History'!V334-IF($D334="Yes",'2. Demand History'!J334,AVERAGE('2. Demand History'!S334:U334)))/MAX('2. Demand History'!V334,1),3)</f>
        <v>0.10299999999999999</v>
      </c>
      <c r="N334" s="10">
        <f>ROUND(ABS('2. Demand History'!W334-IF($D334="Yes",'2. Demand History'!K334,AVERAGE('2. Demand History'!T334:V334)))/MAX('2. Demand History'!W334,1),3)</f>
        <v>2E-3</v>
      </c>
      <c r="O334" s="10">
        <f>ROUND(ABS('2. Demand History'!X334-IF($D334="Yes",'2. Demand History'!L334,AVERAGE('2. Demand History'!U334:W334)))/MAX('2. Demand History'!X334,1),3)</f>
        <v>4.5999999999999999E-2</v>
      </c>
      <c r="P334" s="10">
        <f>ROUND(ABS('2. Demand History'!Y334-IF($D334="Yes",'2. Demand History'!M334,AVERAGE('2. Demand History'!V334:X334)))/MAX('2. Demand History'!Y334,1),3)</f>
        <v>2.1000000000000001E-2</v>
      </c>
      <c r="Q334" s="10">
        <f>ROUND(ABS('2. Demand History'!Z334-IF($D334="Yes",'2. Demand History'!N334,AVERAGE('2. Demand History'!W334:Y334)))/MAX('2. Demand History'!Z334,1),3)</f>
        <v>6.0000000000000001E-3</v>
      </c>
    </row>
    <row r="335" spans="1:17" ht="15" customHeight="1" x14ac:dyDescent="0.2">
      <c r="A335" s="3" t="str">
        <f>'2. Demand History'!A335</f>
        <v>NT10331</v>
      </c>
      <c r="B335" s="1" t="str">
        <f>'2. Demand History'!B335</f>
        <v>ThermoSmart 793</v>
      </c>
      <c r="C335" s="3" t="str">
        <f>'1. Master Data'!C335</f>
        <v>Smart Home</v>
      </c>
      <c r="D335" s="3" t="s">
        <v>1112</v>
      </c>
      <c r="E335" s="3" t="str">
        <f t="shared" si="15"/>
        <v>Moving Avg 3</v>
      </c>
      <c r="F335" s="3">
        <f>ROUND(AVERAGE('2. Demand History'!O335:Z335),1)</f>
        <v>254.4</v>
      </c>
      <c r="G335" s="3">
        <f>ROUND(STDEV('2. Demand History'!O335:Z335),1)</f>
        <v>25.9</v>
      </c>
      <c r="H335" s="8">
        <f t="shared" si="16"/>
        <v>0.1</v>
      </c>
      <c r="I335" s="8">
        <f>ROUND(SUM('2. Demand History'!O335:Z335)/MAX(SUM('2. Demand History'!C335:N335),1),2)</f>
        <v>1.05</v>
      </c>
      <c r="J335" s="5">
        <f>IF(D335="Yes",ROUND('2. Demand History'!O335*I335,0),ROUND(AVERAGE('2. Demand History'!X335:Z335),0))</f>
        <v>252</v>
      </c>
      <c r="K335" s="9">
        <f t="shared" si="17"/>
        <v>9.0999999999999998E-2</v>
      </c>
      <c r="L335" s="10">
        <f>ROUND(ABS('2. Demand History'!U335-IF($D335="Yes",'2. Demand History'!I335,AVERAGE('2. Demand History'!R335:T335)))/MAX('2. Demand History'!U335,1),3)</f>
        <v>0.14599999999999999</v>
      </c>
      <c r="M335" s="10">
        <f>ROUND(ABS('2. Demand History'!V335-IF($D335="Yes",'2. Demand History'!J335,AVERAGE('2. Demand History'!S335:U335)))/MAX('2. Demand History'!V335,1),3)</f>
        <v>3.5000000000000003E-2</v>
      </c>
      <c r="N335" s="10">
        <f>ROUND(ABS('2. Demand History'!W335-IF($D335="Yes",'2. Demand History'!K335,AVERAGE('2. Demand History'!T335:V335)))/MAX('2. Demand History'!W335,1),3)</f>
        <v>9.9000000000000005E-2</v>
      </c>
      <c r="O335" s="10">
        <f>ROUND(ABS('2. Demand History'!X335-IF($D335="Yes",'2. Demand History'!L335,AVERAGE('2. Demand History'!U335:W335)))/MAX('2. Demand History'!X335,1),3)</f>
        <v>0.02</v>
      </c>
      <c r="P335" s="10">
        <f>ROUND(ABS('2. Demand History'!Y335-IF($D335="Yes",'2. Demand History'!M335,AVERAGE('2. Demand History'!V335:X335)))/MAX('2. Demand History'!Y335,1),3)</f>
        <v>0.20899999999999999</v>
      </c>
      <c r="Q335" s="10">
        <f>ROUND(ABS('2. Demand History'!Z335-IF($D335="Yes",'2. Demand History'!N335,AVERAGE('2. Demand History'!W335:Y335)))/MAX('2. Demand History'!Z335,1),3)</f>
        <v>3.5999999999999997E-2</v>
      </c>
    </row>
    <row r="336" spans="1:17" ht="15" customHeight="1" x14ac:dyDescent="0.2">
      <c r="A336" s="3" t="str">
        <f>'2. Demand History'!A336</f>
        <v>NT10332</v>
      </c>
      <c r="B336" s="1" t="str">
        <f>'2. Demand History'!B336</f>
        <v>HomeCam 631 1080p</v>
      </c>
      <c r="C336" s="3" t="str">
        <f>'1. Master Data'!C336</f>
        <v>Smart Home</v>
      </c>
      <c r="D336" s="3" t="s">
        <v>1112</v>
      </c>
      <c r="E336" s="3" t="str">
        <f t="shared" si="15"/>
        <v>Moving Avg 3</v>
      </c>
      <c r="F336" s="3">
        <f>ROUND(AVERAGE('2. Demand History'!O336:Z336),1)</f>
        <v>1675.2</v>
      </c>
      <c r="G336" s="3">
        <f>ROUND(STDEV('2. Demand History'!O336:Z336),1)</f>
        <v>101.1</v>
      </c>
      <c r="H336" s="8">
        <f t="shared" si="16"/>
        <v>0.06</v>
      </c>
      <c r="I336" s="8">
        <f>ROUND(SUM('2. Demand History'!O336:Z336)/MAX(SUM('2. Demand History'!C336:N336),1),2)</f>
        <v>1.03</v>
      </c>
      <c r="J336" s="5">
        <f>IF(D336="Yes",ROUND('2. Demand History'!O336*I336,0),ROUND(AVERAGE('2. Demand History'!X336:Z336),0))</f>
        <v>1692</v>
      </c>
      <c r="K336" s="9">
        <f t="shared" si="17"/>
        <v>6.4000000000000001E-2</v>
      </c>
      <c r="L336" s="10">
        <f>ROUND(ABS('2. Demand History'!U336-IF($D336="Yes",'2. Demand History'!I336,AVERAGE('2. Demand History'!R336:T336)))/MAX('2. Demand History'!U336,1),3)</f>
        <v>7.2999999999999995E-2</v>
      </c>
      <c r="M336" s="10">
        <f>ROUND(ABS('2. Demand History'!V336-IF($D336="Yes",'2. Demand History'!J336,AVERAGE('2. Demand History'!S336:U336)))/MAX('2. Demand History'!V336,1),3)</f>
        <v>3.1E-2</v>
      </c>
      <c r="N336" s="10">
        <f>ROUND(ABS('2. Demand History'!W336-IF($D336="Yes",'2. Demand History'!K336,AVERAGE('2. Demand History'!T336:V336)))/MAX('2. Demand History'!W336,1),3)</f>
        <v>0.16800000000000001</v>
      </c>
      <c r="O336" s="10">
        <f>ROUND(ABS('2. Demand History'!X336-IF($D336="Yes",'2. Demand History'!L336,AVERAGE('2. Demand History'!U336:W336)))/MAX('2. Demand History'!X336,1),3)</f>
        <v>3.4000000000000002E-2</v>
      </c>
      <c r="P336" s="10">
        <f>ROUND(ABS('2. Demand History'!Y336-IF($D336="Yes",'2. Demand History'!M336,AVERAGE('2. Demand History'!V336:X336)))/MAX('2. Demand History'!Y336,1),3)</f>
        <v>7.0999999999999994E-2</v>
      </c>
      <c r="Q336" s="10">
        <f>ROUND(ABS('2. Demand History'!Z336-IF($D336="Yes",'2. Demand History'!N336,AVERAGE('2. Demand History'!W336:Y336)))/MAX('2. Demand History'!Z336,1),3)</f>
        <v>4.0000000000000001E-3</v>
      </c>
    </row>
    <row r="337" spans="1:17" ht="15" customHeight="1" x14ac:dyDescent="0.2">
      <c r="A337" s="3" t="str">
        <f>'2. Demand History'!A337</f>
        <v>NT10333</v>
      </c>
      <c r="B337" s="1" t="str">
        <f>'2. Demand History'!B337</f>
        <v>SmartPlug Duo 717</v>
      </c>
      <c r="C337" s="3" t="str">
        <f>'1. Master Data'!C337</f>
        <v>Smart Home</v>
      </c>
      <c r="D337" s="3" t="s">
        <v>1112</v>
      </c>
      <c r="E337" s="3" t="str">
        <f t="shared" si="15"/>
        <v>Moving Avg 3</v>
      </c>
      <c r="F337" s="3">
        <f>ROUND(AVERAGE('2. Demand History'!O337:Z337),1)</f>
        <v>178.8</v>
      </c>
      <c r="G337" s="3">
        <f>ROUND(STDEV('2. Demand History'!O337:Z337),1)</f>
        <v>15.1</v>
      </c>
      <c r="H337" s="8">
        <f t="shared" si="16"/>
        <v>0.08</v>
      </c>
      <c r="I337" s="8">
        <f>ROUND(SUM('2. Demand History'!O337:Z337)/MAX(SUM('2. Demand History'!C337:N337),1),2)</f>
        <v>1.08</v>
      </c>
      <c r="J337" s="5">
        <f>IF(D337="Yes",ROUND('2. Demand History'!O337*I337,0),ROUND(AVERAGE('2. Demand History'!X337:Z337),0))</f>
        <v>184</v>
      </c>
      <c r="K337" s="9">
        <f t="shared" si="17"/>
        <v>6.8000000000000005E-2</v>
      </c>
      <c r="L337" s="10">
        <f>ROUND(ABS('2. Demand History'!U337-IF($D337="Yes",'2. Demand History'!I337,AVERAGE('2. Demand History'!R337:T337)))/MAX('2. Demand History'!U337,1),3)</f>
        <v>5.7000000000000002E-2</v>
      </c>
      <c r="M337" s="10">
        <f>ROUND(ABS('2. Demand History'!V337-IF($D337="Yes",'2. Demand History'!J337,AVERAGE('2. Demand History'!S337:U337)))/MAX('2. Demand History'!V337,1),3)</f>
        <v>0.152</v>
      </c>
      <c r="N337" s="10">
        <f>ROUND(ABS('2. Demand History'!W337-IF($D337="Yes",'2. Demand History'!K337,AVERAGE('2. Demand History'!T337:V337)))/MAX('2. Demand History'!W337,1),3)</f>
        <v>8.3000000000000004E-2</v>
      </c>
      <c r="O337" s="10">
        <f>ROUND(ABS('2. Demand History'!X337-IF($D337="Yes",'2. Demand History'!L337,AVERAGE('2. Demand History'!U337:W337)))/MAX('2. Demand History'!X337,1),3)</f>
        <v>1.2999999999999999E-2</v>
      </c>
      <c r="P337" s="10">
        <f>ROUND(ABS('2. Demand History'!Y337-IF($D337="Yes",'2. Demand History'!M337,AVERAGE('2. Demand History'!V337:X337)))/MAX('2. Demand History'!Y337,1),3)</f>
        <v>2.9000000000000001E-2</v>
      </c>
      <c r="Q337" s="10">
        <f>ROUND(ABS('2. Demand History'!Z337-IF($D337="Yes",'2. Demand History'!N337,AVERAGE('2. Demand History'!W337:Y337)))/MAX('2. Demand History'!Z337,1),3)</f>
        <v>7.2999999999999995E-2</v>
      </c>
    </row>
    <row r="338" spans="1:17" ht="15" customHeight="1" x14ac:dyDescent="0.2">
      <c r="A338" s="3" t="str">
        <f>'2. Demand History'!A338</f>
        <v>NT10334</v>
      </c>
      <c r="B338" s="1" t="str">
        <f>'2. Demand History'!B338</f>
        <v>SmartPlug Duo 222</v>
      </c>
      <c r="C338" s="3" t="str">
        <f>'1. Master Data'!C338</f>
        <v>Smart Home</v>
      </c>
      <c r="D338" s="3" t="s">
        <v>1112</v>
      </c>
      <c r="E338" s="3" t="str">
        <f t="shared" si="15"/>
        <v>Moving Avg 3</v>
      </c>
      <c r="F338" s="3">
        <f>ROUND(AVERAGE('2. Demand History'!O338:Z338),1)</f>
        <v>90.2</v>
      </c>
      <c r="G338" s="3">
        <f>ROUND(STDEV('2. Demand History'!O338:Z338),1)</f>
        <v>6.3</v>
      </c>
      <c r="H338" s="8">
        <f t="shared" si="16"/>
        <v>7.0000000000000007E-2</v>
      </c>
      <c r="I338" s="8">
        <f>ROUND(SUM('2. Demand History'!O338:Z338)/MAX(SUM('2. Demand History'!C338:N338),1),2)</f>
        <v>1.07</v>
      </c>
      <c r="J338" s="5">
        <f>IF(D338="Yes",ROUND('2. Demand History'!O338*I338,0),ROUND(AVERAGE('2. Demand History'!X338:Z338),0))</f>
        <v>98</v>
      </c>
      <c r="K338" s="9">
        <f t="shared" si="17"/>
        <v>5.1999999999999998E-2</v>
      </c>
      <c r="L338" s="10">
        <f>ROUND(ABS('2. Demand History'!U338-IF($D338="Yes",'2. Demand History'!I338,AVERAGE('2. Demand History'!R338:T338)))/MAX('2. Demand History'!U338,1),3)</f>
        <v>2.4E-2</v>
      </c>
      <c r="M338" s="10">
        <f>ROUND(ABS('2. Demand History'!V338-IF($D338="Yes",'2. Demand History'!J338,AVERAGE('2. Demand History'!S338:U338)))/MAX('2. Demand History'!V338,1),3)</f>
        <v>9.7000000000000003E-2</v>
      </c>
      <c r="N338" s="10">
        <f>ROUND(ABS('2. Demand History'!W338-IF($D338="Yes",'2. Demand History'!K338,AVERAGE('2. Demand History'!T338:V338)))/MAX('2. Demand History'!W338,1),3)</f>
        <v>1.9E-2</v>
      </c>
      <c r="O338" s="10">
        <f>ROUND(ABS('2. Demand History'!X338-IF($D338="Yes",'2. Demand History'!L338,AVERAGE('2. Demand History'!U338:W338)))/MAX('2. Demand History'!X338,1),3)</f>
        <v>4.5999999999999999E-2</v>
      </c>
      <c r="P338" s="10">
        <f>ROUND(ABS('2. Demand History'!Y338-IF($D338="Yes",'2. Demand History'!M338,AVERAGE('2. Demand History'!V338:X338)))/MAX('2. Demand History'!Y338,1),3)</f>
        <v>0.11700000000000001</v>
      </c>
      <c r="Q338" s="10">
        <f>ROUND(ABS('2. Demand History'!Z338-IF($D338="Yes",'2. Demand History'!N338,AVERAGE('2. Demand History'!W338:Y338)))/MAX('2. Demand History'!Z338,1),3)</f>
        <v>7.0000000000000001E-3</v>
      </c>
    </row>
    <row r="339" spans="1:17" ht="15" customHeight="1" x14ac:dyDescent="0.2">
      <c r="A339" s="3" t="str">
        <f>'2. Demand History'!A339</f>
        <v>NT10335</v>
      </c>
      <c r="B339" s="1" t="str">
        <f>'2. Demand History'!B339</f>
        <v>LumiBulb 708 RGB</v>
      </c>
      <c r="C339" s="3" t="str">
        <f>'1. Master Data'!C339</f>
        <v>Smart Home</v>
      </c>
      <c r="D339" s="3" t="s">
        <v>1112</v>
      </c>
      <c r="E339" s="3" t="str">
        <f t="shared" si="15"/>
        <v>Moving Avg 3</v>
      </c>
      <c r="F339" s="3">
        <f>ROUND(AVERAGE('2. Demand History'!O339:Z339),1)</f>
        <v>188.5</v>
      </c>
      <c r="G339" s="3">
        <f>ROUND(STDEV('2. Demand History'!O339:Z339),1)</f>
        <v>10.199999999999999</v>
      </c>
      <c r="H339" s="8">
        <f t="shared" si="16"/>
        <v>0.05</v>
      </c>
      <c r="I339" s="8">
        <f>ROUND(SUM('2. Demand History'!O339:Z339)/MAX(SUM('2. Demand History'!C339:N339),1),2)</f>
        <v>1.05</v>
      </c>
      <c r="J339" s="5">
        <f>IF(D339="Yes",ROUND('2. Demand History'!O339*I339,0),ROUND(AVERAGE('2. Demand History'!X339:Z339),0))</f>
        <v>197</v>
      </c>
      <c r="K339" s="9">
        <f t="shared" si="17"/>
        <v>4.7E-2</v>
      </c>
      <c r="L339" s="10">
        <f>ROUND(ABS('2. Demand History'!U339-IF($D339="Yes",'2. Demand History'!I339,AVERAGE('2. Demand History'!R339:T339)))/MAX('2. Demand History'!U339,1),3)</f>
        <v>2.1999999999999999E-2</v>
      </c>
      <c r="M339" s="10">
        <f>ROUND(ABS('2. Demand History'!V339-IF($D339="Yes",'2. Demand History'!J339,AVERAGE('2. Demand History'!S339:U339)))/MAX('2. Demand History'!V339,1),3)</f>
        <v>2E-3</v>
      </c>
      <c r="N339" s="10">
        <f>ROUND(ABS('2. Demand History'!W339-IF($D339="Yes",'2. Demand History'!K339,AVERAGE('2. Demand History'!T339:V339)))/MAX('2. Demand History'!W339,1),3)</f>
        <v>4.7E-2</v>
      </c>
      <c r="O339" s="10">
        <f>ROUND(ABS('2. Demand History'!X339-IF($D339="Yes",'2. Demand History'!L339,AVERAGE('2. Demand History'!U339:W339)))/MAX('2. Demand History'!X339,1),3)</f>
        <v>5.8000000000000003E-2</v>
      </c>
      <c r="P339" s="10">
        <f>ROUND(ABS('2. Demand History'!Y339-IF($D339="Yes",'2. Demand History'!M339,AVERAGE('2. Demand History'!V339:X339)))/MAX('2. Demand History'!Y339,1),3)</f>
        <v>6.5000000000000002E-2</v>
      </c>
      <c r="Q339" s="10">
        <f>ROUND(ABS('2. Demand History'!Z339-IF($D339="Yes",'2. Demand History'!N339,AVERAGE('2. Demand History'!W339:Y339)))/MAX('2. Demand History'!Z339,1),3)</f>
        <v>0.09</v>
      </c>
    </row>
    <row r="340" spans="1:17" ht="15" customHeight="1" x14ac:dyDescent="0.2">
      <c r="A340" s="3" t="str">
        <f>'2. Demand History'!A340</f>
        <v>NT10336</v>
      </c>
      <c r="B340" s="1" t="str">
        <f>'2. Demand History'!B340</f>
        <v>SmartPlug Duo 577</v>
      </c>
      <c r="C340" s="3" t="str">
        <f>'1. Master Data'!C340</f>
        <v>Smart Home</v>
      </c>
      <c r="D340" s="3" t="s">
        <v>1112</v>
      </c>
      <c r="E340" s="3" t="str">
        <f t="shared" si="15"/>
        <v>Moving Avg 3</v>
      </c>
      <c r="F340" s="3">
        <f>ROUND(AVERAGE('2. Demand History'!O340:Z340),1)</f>
        <v>35.9</v>
      </c>
      <c r="G340" s="3">
        <f>ROUND(STDEV('2. Demand History'!O340:Z340),1)</f>
        <v>2.5</v>
      </c>
      <c r="H340" s="8">
        <f t="shared" si="16"/>
        <v>7.0000000000000007E-2</v>
      </c>
      <c r="I340" s="8">
        <f>ROUND(SUM('2. Demand History'!O340:Z340)/MAX(SUM('2. Demand History'!C340:N340),1),2)</f>
        <v>1.03</v>
      </c>
      <c r="J340" s="5">
        <f>IF(D340="Yes",ROUND('2. Demand History'!O340*I340,0),ROUND(AVERAGE('2. Demand History'!X340:Z340),0))</f>
        <v>34</v>
      </c>
      <c r="K340" s="9">
        <f t="shared" si="17"/>
        <v>2.8000000000000001E-2</v>
      </c>
      <c r="L340" s="10">
        <f>ROUND(ABS('2. Demand History'!U340-IF($D340="Yes",'2. Demand History'!I340,AVERAGE('2. Demand History'!R340:T340)))/MAX('2. Demand History'!U340,1),3)</f>
        <v>8.9999999999999993E-3</v>
      </c>
      <c r="M340" s="10">
        <f>ROUND(ABS('2. Demand History'!V340-IF($D340="Yes",'2. Demand History'!J340,AVERAGE('2. Demand History'!S340:U340)))/MAX('2. Demand History'!V340,1),3)</f>
        <v>2.8000000000000001E-2</v>
      </c>
      <c r="N340" s="10">
        <f>ROUND(ABS('2. Demand History'!W340-IF($D340="Yes",'2. Demand History'!K340,AVERAGE('2. Demand History'!T340:V340)))/MAX('2. Demand History'!W340,1),3)</f>
        <v>0</v>
      </c>
      <c r="O340" s="10">
        <f>ROUND(ABS('2. Demand History'!X340-IF($D340="Yes",'2. Demand History'!L340,AVERAGE('2. Demand History'!U340:W340)))/MAX('2. Demand History'!X340,1),3)</f>
        <v>8.9999999999999993E-3</v>
      </c>
      <c r="P340" s="10">
        <f>ROUND(ABS('2. Demand History'!Y340-IF($D340="Yes",'2. Demand History'!M340,AVERAGE('2. Demand History'!V340:X340)))/MAX('2. Demand History'!Y340,1),3)</f>
        <v>9.0999999999999998E-2</v>
      </c>
      <c r="Q340" s="10">
        <f>ROUND(ABS('2. Demand History'!Z340-IF($D340="Yes",'2. Demand History'!N340,AVERAGE('2. Demand History'!W340:Y340)))/MAX('2. Demand History'!Z340,1),3)</f>
        <v>2.9000000000000001E-2</v>
      </c>
    </row>
    <row r="341" spans="1:17" ht="15" customHeight="1" x14ac:dyDescent="0.2">
      <c r="A341" s="3" t="str">
        <f>'2. Demand History'!A341</f>
        <v>NT10337</v>
      </c>
      <c r="B341" s="1" t="str">
        <f>'2. Demand History'!B341</f>
        <v>LumiBulb 421 RGB</v>
      </c>
      <c r="C341" s="3" t="str">
        <f>'1. Master Data'!C341</f>
        <v>Smart Home</v>
      </c>
      <c r="D341" s="3" t="s">
        <v>1112</v>
      </c>
      <c r="E341" s="3" t="str">
        <f t="shared" si="15"/>
        <v>Moving Avg 3</v>
      </c>
      <c r="F341" s="3">
        <f>ROUND(AVERAGE('2. Demand History'!O341:Z341),1)</f>
        <v>55.9</v>
      </c>
      <c r="G341" s="3">
        <f>ROUND(STDEV('2. Demand History'!O341:Z341),1)</f>
        <v>59.1</v>
      </c>
      <c r="H341" s="8">
        <f t="shared" si="16"/>
        <v>1.06</v>
      </c>
      <c r="I341" s="8">
        <f>ROUND(SUM('2. Demand History'!O341:Z341)/MAX(SUM('2. Demand History'!C341:N341),1),2)</f>
        <v>2.1</v>
      </c>
      <c r="J341" s="5">
        <f>IF(D341="Yes",ROUND('2. Demand History'!O341*I341,0),ROUND(AVERAGE('2. Demand History'!X341:Z341),0))</f>
        <v>66</v>
      </c>
      <c r="K341" s="9">
        <f t="shared" si="17"/>
        <v>1.921</v>
      </c>
      <c r="L341" s="10">
        <f>ROUND(ABS('2. Demand History'!U341-IF($D341="Yes",'2. Demand History'!I341,AVERAGE('2. Demand History'!R341:T341)))/MAX('2. Demand History'!U341,1),3)</f>
        <v>0.315</v>
      </c>
      <c r="M341" s="10">
        <f>ROUND(ABS('2. Demand History'!V341-IF($D341="Yes",'2. Demand History'!J341,AVERAGE('2. Demand History'!S341:U341)))/MAX('2. Demand History'!V341,1),3)</f>
        <v>2.786</v>
      </c>
      <c r="N341" s="10">
        <f>ROUND(ABS('2. Demand History'!W341-IF($D341="Yes",'2. Demand History'!K341,AVERAGE('2. Demand History'!T341:V341)))/MAX('2. Demand History'!W341,1),3)</f>
        <v>1.347</v>
      </c>
      <c r="O341" s="10">
        <f>ROUND(ABS('2. Demand History'!X341-IF($D341="Yes",'2. Demand History'!L341,AVERAGE('2. Demand History'!U341:W341)))/MAX('2. Demand History'!X341,1),3)</f>
        <v>0.67300000000000004</v>
      </c>
      <c r="P341" s="10">
        <f>ROUND(ABS('2. Demand History'!Y341-IF($D341="Yes",'2. Demand History'!M341,AVERAGE('2. Demand History'!V341:X341)))/MAX('2. Demand History'!Y341,1),3)</f>
        <v>2.4289999999999998</v>
      </c>
      <c r="Q341" s="10">
        <f>ROUND(ABS('2. Demand History'!Z341-IF($D341="Yes",'2. Demand History'!N341,AVERAGE('2. Demand History'!W341:Y341)))/MAX('2. Demand History'!Z341,1),3)</f>
        <v>3.976</v>
      </c>
    </row>
    <row r="342" spans="1:17" ht="15" customHeight="1" x14ac:dyDescent="0.2">
      <c r="A342" s="3" t="str">
        <f>'2. Demand History'!A342</f>
        <v>NT10338</v>
      </c>
      <c r="B342" s="1" t="str">
        <f>'2. Demand History'!B342</f>
        <v>LumiBulb 442 RGB</v>
      </c>
      <c r="C342" s="3" t="str">
        <f>'1. Master Data'!C342</f>
        <v>Smart Home</v>
      </c>
      <c r="D342" s="3" t="s">
        <v>1112</v>
      </c>
      <c r="E342" s="3" t="str">
        <f t="shared" si="15"/>
        <v>Moving Avg 3</v>
      </c>
      <c r="F342" s="3">
        <f>ROUND(AVERAGE('2. Demand History'!O342:Z342),1)</f>
        <v>30.5</v>
      </c>
      <c r="G342" s="3">
        <f>ROUND(STDEV('2. Demand History'!O342:Z342),1)</f>
        <v>1.1000000000000001</v>
      </c>
      <c r="H342" s="8">
        <f t="shared" si="16"/>
        <v>0.04</v>
      </c>
      <c r="I342" s="8">
        <f>ROUND(SUM('2. Demand History'!O342:Z342)/MAX(SUM('2. Demand History'!C342:N342),1),2)</f>
        <v>1.1000000000000001</v>
      </c>
      <c r="J342" s="5">
        <f>IF(D342="Yes",ROUND('2. Demand History'!O342*I342,0),ROUND(AVERAGE('2. Demand History'!X342:Z342),0))</f>
        <v>31</v>
      </c>
      <c r="K342" s="9">
        <f t="shared" si="17"/>
        <v>1.6E-2</v>
      </c>
      <c r="L342" s="10">
        <f>ROUND(ABS('2. Demand History'!U342-IF($D342="Yes",'2. Demand History'!I342,AVERAGE('2. Demand History'!R342:T342)))/MAX('2. Demand History'!U342,1),3)</f>
        <v>2.1999999999999999E-2</v>
      </c>
      <c r="M342" s="10">
        <f>ROUND(ABS('2. Demand History'!V342-IF($D342="Yes",'2. Demand History'!J342,AVERAGE('2. Demand History'!S342:U342)))/MAX('2. Demand History'!V342,1),3)</f>
        <v>0</v>
      </c>
      <c r="N342" s="10">
        <f>ROUND(ABS('2. Demand History'!W342-IF($D342="Yes",'2. Demand History'!K342,AVERAGE('2. Demand History'!T342:V342)))/MAX('2. Demand History'!W342,1),3)</f>
        <v>0</v>
      </c>
      <c r="O342" s="10">
        <f>ROUND(ABS('2. Demand History'!X342-IF($D342="Yes",'2. Demand History'!L342,AVERAGE('2. Demand History'!U342:W342)))/MAX('2. Demand History'!X342,1),3)</f>
        <v>3.3000000000000002E-2</v>
      </c>
      <c r="P342" s="10">
        <f>ROUND(ABS('2. Demand History'!Y342-IF($D342="Yes",'2. Demand History'!M342,AVERAGE('2. Demand History'!V342:X342)))/MAX('2. Demand History'!Y342,1),3)</f>
        <v>4.2000000000000003E-2</v>
      </c>
      <c r="Q342" s="10">
        <f>ROUND(ABS('2. Demand History'!Z342-IF($D342="Yes",'2. Demand History'!N342,AVERAGE('2. Demand History'!W342:Y342)))/MAX('2. Demand History'!Z342,1),3)</f>
        <v>0</v>
      </c>
    </row>
    <row r="343" spans="1:17" ht="15" customHeight="1" x14ac:dyDescent="0.2">
      <c r="A343" s="3" t="str">
        <f>'2. Demand History'!A343</f>
        <v>NT10339</v>
      </c>
      <c r="B343" s="1" t="str">
        <f>'2. Demand History'!B343</f>
        <v>HomeCam 323 1080p</v>
      </c>
      <c r="C343" s="3" t="str">
        <f>'1. Master Data'!C343</f>
        <v>Smart Home</v>
      </c>
      <c r="D343" s="3" t="s">
        <v>1112</v>
      </c>
      <c r="E343" s="3" t="str">
        <f t="shared" si="15"/>
        <v>Moving Avg 3</v>
      </c>
      <c r="F343" s="3">
        <f>ROUND(AVERAGE('2. Demand History'!O343:Z343),1)</f>
        <v>92.8</v>
      </c>
      <c r="G343" s="3">
        <f>ROUND(STDEV('2. Demand History'!O343:Z343),1)</f>
        <v>6.4</v>
      </c>
      <c r="H343" s="8">
        <f t="shared" si="16"/>
        <v>7.0000000000000007E-2</v>
      </c>
      <c r="I343" s="8">
        <f>ROUND(SUM('2. Demand History'!O343:Z343)/MAX(SUM('2. Demand History'!C343:N343),1),2)</f>
        <v>1.05</v>
      </c>
      <c r="J343" s="5">
        <f>IF(D343="Yes",ROUND('2. Demand History'!O343*I343,0),ROUND(AVERAGE('2. Demand History'!X343:Z343),0))</f>
        <v>93</v>
      </c>
      <c r="K343" s="9">
        <f t="shared" si="17"/>
        <v>6.7000000000000004E-2</v>
      </c>
      <c r="L343" s="10">
        <f>ROUND(ABS('2. Demand History'!U343-IF($D343="Yes",'2. Demand History'!I343,AVERAGE('2. Demand History'!R343:T343)))/MAX('2. Demand History'!U343,1),3)</f>
        <v>7.4999999999999997E-2</v>
      </c>
      <c r="M343" s="10">
        <f>ROUND(ABS('2. Demand History'!V343-IF($D343="Yes",'2. Demand History'!J343,AVERAGE('2. Demand History'!S343:U343)))/MAX('2. Demand History'!V343,1),3)</f>
        <v>8.8999999999999996E-2</v>
      </c>
      <c r="N343" s="10">
        <f>ROUND(ABS('2. Demand History'!W343-IF($D343="Yes",'2. Demand History'!K343,AVERAGE('2. Demand History'!T343:V343)))/MAX('2. Demand History'!W343,1),3)</f>
        <v>6.6000000000000003E-2</v>
      </c>
      <c r="O343" s="10">
        <f>ROUND(ABS('2. Demand History'!X343-IF($D343="Yes",'2. Demand History'!L343,AVERAGE('2. Demand History'!U343:W343)))/MAX('2. Demand History'!X343,1),3)</f>
        <v>4.8000000000000001E-2</v>
      </c>
      <c r="P343" s="10">
        <f>ROUND(ABS('2. Demand History'!Y343-IF($D343="Yes",'2. Demand History'!M343,AVERAGE('2. Demand History'!V343:X343)))/MAX('2. Demand History'!Y343,1),3)</f>
        <v>1.4999999999999999E-2</v>
      </c>
      <c r="Q343" s="10">
        <f>ROUND(ABS('2. Demand History'!Z343-IF($D343="Yes",'2. Demand History'!N343,AVERAGE('2. Demand History'!W343:Y343)))/MAX('2. Demand History'!Z343,1),3)</f>
        <v>0.109</v>
      </c>
    </row>
    <row r="344" spans="1:17" ht="15" customHeight="1" x14ac:dyDescent="0.2">
      <c r="A344" s="3" t="str">
        <f>'2. Demand History'!A344</f>
        <v>NT10340</v>
      </c>
      <c r="B344" s="1" t="str">
        <f>'2. Demand History'!B344</f>
        <v>LumiBulb 802 RGB</v>
      </c>
      <c r="C344" s="3" t="str">
        <f>'1. Master Data'!C344</f>
        <v>Smart Home</v>
      </c>
      <c r="D344" s="3" t="s">
        <v>1112</v>
      </c>
      <c r="E344" s="3" t="str">
        <f t="shared" si="15"/>
        <v>Moving Avg 3</v>
      </c>
      <c r="F344" s="3">
        <f>ROUND(AVERAGE('2. Demand History'!O344:Z344),1)</f>
        <v>135.4</v>
      </c>
      <c r="G344" s="3">
        <f>ROUND(STDEV('2. Demand History'!O344:Z344),1)</f>
        <v>141.30000000000001</v>
      </c>
      <c r="H344" s="8">
        <f t="shared" si="16"/>
        <v>1.04</v>
      </c>
      <c r="I344" s="8">
        <f>ROUND(SUM('2. Demand History'!O344:Z344)/MAX(SUM('2. Demand History'!C344:N344),1),2)</f>
        <v>0.77</v>
      </c>
      <c r="J344" s="5">
        <f>IF(D344="Yes",ROUND('2. Demand History'!O344*I344,0),ROUND(AVERAGE('2. Demand History'!X344:Z344),0))</f>
        <v>315</v>
      </c>
      <c r="K344" s="9">
        <f t="shared" si="17"/>
        <v>0.74099999999999999</v>
      </c>
      <c r="L344" s="10">
        <f>ROUND(ABS('2. Demand History'!U344-IF($D344="Yes",'2. Demand History'!I344,AVERAGE('2. Demand History'!R344:T344)))/MAX('2. Demand History'!U344,1),3)</f>
        <v>0.14799999999999999</v>
      </c>
      <c r="M344" s="10">
        <f>ROUND(ABS('2. Demand History'!V344-IF($D344="Yes",'2. Demand History'!J344,AVERAGE('2. Demand History'!S344:U344)))/MAX('2. Demand History'!V344,1),3)</f>
        <v>0.113</v>
      </c>
      <c r="N344" s="10">
        <f>ROUND(ABS('2. Demand History'!W344-IF($D344="Yes",'2. Demand History'!K344,AVERAGE('2. Demand History'!T344:V344)))/MAX('2. Demand History'!W344,1),3)</f>
        <v>0.108</v>
      </c>
      <c r="O344" s="10">
        <f>ROUND(ABS('2. Demand History'!X344-IF($D344="Yes",'2. Demand History'!L344,AVERAGE('2. Demand History'!U344:W344)))/MAX('2. Demand History'!X344,1),3)</f>
        <v>0.82699999999999996</v>
      </c>
      <c r="P344" s="10">
        <f>ROUND(ABS('2. Demand History'!Y344-IF($D344="Yes",'2. Demand History'!M344,AVERAGE('2. Demand History'!V344:X344)))/MAX('2. Demand History'!Y344,1),3)</f>
        <v>0.63200000000000001</v>
      </c>
      <c r="Q344" s="10">
        <f>ROUND(ABS('2. Demand History'!Z344-IF($D344="Yes",'2. Demand History'!N344,AVERAGE('2. Demand History'!W344:Y344)))/MAX('2. Demand History'!Z344,1),3)</f>
        <v>2.6160000000000001</v>
      </c>
    </row>
    <row r="345" spans="1:17" ht="15" customHeight="1" x14ac:dyDescent="0.2">
      <c r="A345" s="3" t="str">
        <f>'2. Demand History'!A345</f>
        <v>NT10341</v>
      </c>
      <c r="B345" s="1" t="str">
        <f>'2. Demand History'!B345</f>
        <v>ThermoSmart 194</v>
      </c>
      <c r="C345" s="3" t="str">
        <f>'1. Master Data'!C345</f>
        <v>Smart Home</v>
      </c>
      <c r="D345" s="3" t="s">
        <v>1112</v>
      </c>
      <c r="E345" s="3" t="str">
        <f t="shared" si="15"/>
        <v>Moving Avg 3</v>
      </c>
      <c r="F345" s="3">
        <f>ROUND(AVERAGE('2. Demand History'!O345:Z345),1)</f>
        <v>632</v>
      </c>
      <c r="G345" s="3">
        <f>ROUND(STDEV('2. Demand History'!O345:Z345),1)</f>
        <v>31.1</v>
      </c>
      <c r="H345" s="8">
        <f t="shared" si="16"/>
        <v>0.05</v>
      </c>
      <c r="I345" s="8">
        <f>ROUND(SUM('2. Demand History'!O345:Z345)/MAX(SUM('2. Demand History'!C345:N345),1),2)</f>
        <v>1.04</v>
      </c>
      <c r="J345" s="5">
        <f>IF(D345="Yes",ROUND('2. Demand History'!O345*I345,0),ROUND(AVERAGE('2. Demand History'!X345:Z345),0))</f>
        <v>632</v>
      </c>
      <c r="K345" s="9">
        <f t="shared" si="17"/>
        <v>4.8000000000000001E-2</v>
      </c>
      <c r="L345" s="10">
        <f>ROUND(ABS('2. Demand History'!U345-IF($D345="Yes",'2. Demand History'!I345,AVERAGE('2. Demand History'!R345:T345)))/MAX('2. Demand History'!U345,1),3)</f>
        <v>2E-3</v>
      </c>
      <c r="M345" s="10">
        <f>ROUND(ABS('2. Demand History'!V345-IF($D345="Yes",'2. Demand History'!J345,AVERAGE('2. Demand History'!S345:U345)))/MAX('2. Demand History'!V345,1),3)</f>
        <v>0.11700000000000001</v>
      </c>
      <c r="N345" s="10">
        <f>ROUND(ABS('2. Demand History'!W345-IF($D345="Yes",'2. Demand History'!K345,AVERAGE('2. Demand History'!T345:V345)))/MAX('2. Demand History'!W345,1),3)</f>
        <v>0.10100000000000001</v>
      </c>
      <c r="O345" s="10">
        <f>ROUND(ABS('2. Demand History'!X345-IF($D345="Yes",'2. Demand History'!L345,AVERAGE('2. Demand History'!U345:W345)))/MAX('2. Demand History'!X345,1),3)</f>
        <v>6.0000000000000001E-3</v>
      </c>
      <c r="P345" s="10">
        <f>ROUND(ABS('2. Demand History'!Y345-IF($D345="Yes",'2. Demand History'!M345,AVERAGE('2. Demand History'!V345:X345)))/MAX('2. Demand History'!Y345,1),3)</f>
        <v>0.01</v>
      </c>
      <c r="Q345" s="10">
        <f>ROUND(ABS('2. Demand History'!Z345-IF($D345="Yes",'2. Demand History'!N345,AVERAGE('2. Demand History'!W345:Y345)))/MAX('2. Demand History'!Z345,1),3)</f>
        <v>4.9000000000000002E-2</v>
      </c>
    </row>
    <row r="346" spans="1:17" ht="15" customHeight="1" x14ac:dyDescent="0.2">
      <c r="A346" s="3" t="str">
        <f>'2. Demand History'!A346</f>
        <v>NT10342</v>
      </c>
      <c r="B346" s="1" t="str">
        <f>'2. Demand History'!B346</f>
        <v>SmartPlug Duo 426</v>
      </c>
      <c r="C346" s="3" t="str">
        <f>'1. Master Data'!C346</f>
        <v>Smart Home</v>
      </c>
      <c r="D346" s="3" t="s">
        <v>1112</v>
      </c>
      <c r="E346" s="3" t="str">
        <f t="shared" si="15"/>
        <v>Moving Avg 3</v>
      </c>
      <c r="F346" s="3">
        <f>ROUND(AVERAGE('2. Demand History'!O346:Z346),1)</f>
        <v>259.3</v>
      </c>
      <c r="G346" s="3">
        <f>ROUND(STDEV('2. Demand History'!O346:Z346),1)</f>
        <v>13.4</v>
      </c>
      <c r="H346" s="8">
        <f t="shared" si="16"/>
        <v>0.05</v>
      </c>
      <c r="I346" s="8">
        <f>ROUND(SUM('2. Demand History'!O346:Z346)/MAX(SUM('2. Demand History'!C346:N346),1),2)</f>
        <v>1.07</v>
      </c>
      <c r="J346" s="5">
        <f>IF(D346="Yes",ROUND('2. Demand History'!O346*I346,0),ROUND(AVERAGE('2. Demand History'!X346:Z346),0))</f>
        <v>261</v>
      </c>
      <c r="K346" s="9">
        <f t="shared" si="17"/>
        <v>3.2000000000000001E-2</v>
      </c>
      <c r="L346" s="10">
        <f>ROUND(ABS('2. Demand History'!U346-IF($D346="Yes",'2. Demand History'!I346,AVERAGE('2. Demand History'!R346:T346)))/MAX('2. Demand History'!U346,1),3)</f>
        <v>3.1E-2</v>
      </c>
      <c r="M346" s="10">
        <f>ROUND(ABS('2. Demand History'!V346-IF($D346="Yes",'2. Demand History'!J346,AVERAGE('2. Demand History'!S346:U346)))/MAX('2. Demand History'!V346,1),3)</f>
        <v>0.05</v>
      </c>
      <c r="N346" s="10">
        <f>ROUND(ABS('2. Demand History'!W346-IF($D346="Yes",'2. Demand History'!K346,AVERAGE('2. Demand History'!T346:V346)))/MAX('2. Demand History'!W346,1),3)</f>
        <v>1E-3</v>
      </c>
      <c r="O346" s="10">
        <f>ROUND(ABS('2. Demand History'!X346-IF($D346="Yes",'2. Demand History'!L346,AVERAGE('2. Demand History'!U346:W346)))/MAX('2. Demand History'!X346,1),3)</f>
        <v>0.01</v>
      </c>
      <c r="P346" s="10">
        <f>ROUND(ABS('2. Demand History'!Y346-IF($D346="Yes",'2. Demand History'!M346,AVERAGE('2. Demand History'!V346:X346)))/MAX('2. Demand History'!Y346,1),3)</f>
        <v>3.3000000000000002E-2</v>
      </c>
      <c r="Q346" s="10">
        <f>ROUND(ABS('2. Demand History'!Z346-IF($D346="Yes",'2. Demand History'!N346,AVERAGE('2. Demand History'!W346:Y346)))/MAX('2. Demand History'!Z346,1),3)</f>
        <v>6.7000000000000004E-2</v>
      </c>
    </row>
    <row r="347" spans="1:17" ht="15" customHeight="1" x14ac:dyDescent="0.2">
      <c r="A347" s="3" t="str">
        <f>'2. Demand History'!A347</f>
        <v>NT10343</v>
      </c>
      <c r="B347" s="1" t="str">
        <f>'2. Demand History'!B347</f>
        <v>SmartPlug Duo 481</v>
      </c>
      <c r="C347" s="3" t="str">
        <f>'1. Master Data'!C347</f>
        <v>Smart Home</v>
      </c>
      <c r="D347" s="3" t="s">
        <v>1112</v>
      </c>
      <c r="E347" s="3" t="str">
        <f t="shared" si="15"/>
        <v>Moving Avg 3</v>
      </c>
      <c r="F347" s="3">
        <f>ROUND(AVERAGE('2. Demand History'!O347:Z347),1)</f>
        <v>163.1</v>
      </c>
      <c r="G347" s="3">
        <f>ROUND(STDEV('2. Demand History'!O347:Z347),1)</f>
        <v>9.8000000000000007</v>
      </c>
      <c r="H347" s="8">
        <f t="shared" si="16"/>
        <v>0.06</v>
      </c>
      <c r="I347" s="8">
        <f>ROUND(SUM('2. Demand History'!O347:Z347)/MAX(SUM('2. Demand History'!C347:N347),1),2)</f>
        <v>1.03</v>
      </c>
      <c r="J347" s="5">
        <f>IF(D347="Yes",ROUND('2. Demand History'!O347*I347,0),ROUND(AVERAGE('2. Demand History'!X347:Z347),0))</f>
        <v>168</v>
      </c>
      <c r="K347" s="9">
        <f t="shared" si="17"/>
        <v>5.8999999999999997E-2</v>
      </c>
      <c r="L347" s="10">
        <f>ROUND(ABS('2. Demand History'!U347-IF($D347="Yes",'2. Demand History'!I347,AVERAGE('2. Demand History'!R347:T347)))/MAX('2. Demand History'!U347,1),3)</f>
        <v>1.9E-2</v>
      </c>
      <c r="M347" s="10">
        <f>ROUND(ABS('2. Demand History'!V347-IF($D347="Yes",'2. Demand History'!J347,AVERAGE('2. Demand History'!S347:U347)))/MAX('2. Demand History'!V347,1),3)</f>
        <v>5.1999999999999998E-2</v>
      </c>
      <c r="N347" s="10">
        <f>ROUND(ABS('2. Demand History'!W347-IF($D347="Yes",'2. Demand History'!K347,AVERAGE('2. Demand History'!T347:V347)))/MAX('2. Demand History'!W347,1),3)</f>
        <v>0.05</v>
      </c>
      <c r="O347" s="10">
        <f>ROUND(ABS('2. Demand History'!X347-IF($D347="Yes",'2. Demand History'!L347,AVERAGE('2. Demand History'!U347:W347)))/MAX('2. Demand History'!X347,1),3)</f>
        <v>7.3999999999999996E-2</v>
      </c>
      <c r="P347" s="10">
        <f>ROUND(ABS('2. Demand History'!Y347-IF($D347="Yes",'2. Demand History'!M347,AVERAGE('2. Demand History'!V347:X347)))/MAX('2. Demand History'!Y347,1),3)</f>
        <v>2.4E-2</v>
      </c>
      <c r="Q347" s="10">
        <f>ROUND(ABS('2. Demand History'!Z347-IF($D347="Yes",'2. Demand History'!N347,AVERAGE('2. Demand History'!W347:Y347)))/MAX('2. Demand History'!Z347,1),3)</f>
        <v>0.13400000000000001</v>
      </c>
    </row>
    <row r="348" spans="1:17" ht="15" customHeight="1" x14ac:dyDescent="0.2">
      <c r="A348" s="3" t="str">
        <f>'2. Demand History'!A348</f>
        <v>NT10344</v>
      </c>
      <c r="B348" s="1" t="str">
        <f>'2. Demand History'!B348</f>
        <v>LumiBulb 614 RGB</v>
      </c>
      <c r="C348" s="3" t="str">
        <f>'1. Master Data'!C348</f>
        <v>Smart Home</v>
      </c>
      <c r="D348" s="3" t="s">
        <v>1112</v>
      </c>
      <c r="E348" s="3" t="str">
        <f t="shared" si="15"/>
        <v>Moving Avg 3</v>
      </c>
      <c r="F348" s="3">
        <f>ROUND(AVERAGE('2. Demand History'!O348:Z348),1)</f>
        <v>860.9</v>
      </c>
      <c r="G348" s="3">
        <f>ROUND(STDEV('2. Demand History'!O348:Z348),1)</f>
        <v>57.8</v>
      </c>
      <c r="H348" s="8">
        <f t="shared" si="16"/>
        <v>7.0000000000000007E-2</v>
      </c>
      <c r="I348" s="8">
        <f>ROUND(SUM('2. Demand History'!O348:Z348)/MAX(SUM('2. Demand History'!C348:N348),1),2)</f>
        <v>1.04</v>
      </c>
      <c r="J348" s="5">
        <f>IF(D348="Yes",ROUND('2. Demand History'!O348*I348,0),ROUND(AVERAGE('2. Demand History'!X348:Z348),0))</f>
        <v>883</v>
      </c>
      <c r="K348" s="9">
        <f t="shared" si="17"/>
        <v>7.3999999999999996E-2</v>
      </c>
      <c r="L348" s="10">
        <f>ROUND(ABS('2. Demand History'!U348-IF($D348="Yes",'2. Demand History'!I348,AVERAGE('2. Demand History'!R348:T348)))/MAX('2. Demand History'!U348,1),3)</f>
        <v>0.03</v>
      </c>
      <c r="M348" s="10">
        <f>ROUND(ABS('2. Demand History'!V348-IF($D348="Yes",'2. Demand History'!J348,AVERAGE('2. Demand History'!S348:U348)))/MAX('2. Demand History'!V348,1),3)</f>
        <v>0.17100000000000001</v>
      </c>
      <c r="N348" s="10">
        <f>ROUND(ABS('2. Demand History'!W348-IF($D348="Yes",'2. Demand History'!K348,AVERAGE('2. Demand History'!T348:V348)))/MAX('2. Demand History'!W348,1),3)</f>
        <v>6.7000000000000004E-2</v>
      </c>
      <c r="O348" s="10">
        <f>ROUND(ABS('2. Demand History'!X348-IF($D348="Yes",'2. Demand History'!L348,AVERAGE('2. Demand History'!U348:W348)))/MAX('2. Demand History'!X348,1),3)</f>
        <v>5.3999999999999999E-2</v>
      </c>
      <c r="P348" s="10">
        <f>ROUND(ABS('2. Demand History'!Y348-IF($D348="Yes",'2. Demand History'!M348,AVERAGE('2. Demand History'!V348:X348)))/MAX('2. Demand History'!Y348,1),3)</f>
        <v>8.5000000000000006E-2</v>
      </c>
      <c r="Q348" s="10">
        <f>ROUND(ABS('2. Demand History'!Z348-IF($D348="Yes",'2. Demand History'!N348,AVERAGE('2. Demand History'!W348:Y348)))/MAX('2. Demand History'!Z348,1),3)</f>
        <v>3.5000000000000003E-2</v>
      </c>
    </row>
    <row r="349" spans="1:17" ht="15" customHeight="1" x14ac:dyDescent="0.2">
      <c r="A349" s="3" t="str">
        <f>'2. Demand History'!A349</f>
        <v>NT10345</v>
      </c>
      <c r="B349" s="1" t="str">
        <f>'2. Demand History'!B349</f>
        <v>SmartPlug Duo 565</v>
      </c>
      <c r="C349" s="3" t="str">
        <f>'1. Master Data'!C349</f>
        <v>Smart Home</v>
      </c>
      <c r="D349" s="3" t="s">
        <v>1112</v>
      </c>
      <c r="E349" s="3" t="str">
        <f t="shared" si="15"/>
        <v>Moving Avg 3</v>
      </c>
      <c r="F349" s="3">
        <f>ROUND(AVERAGE('2. Demand History'!O349:Z349),1)</f>
        <v>344.7</v>
      </c>
      <c r="G349" s="3">
        <f>ROUND(STDEV('2. Demand History'!O349:Z349),1)</f>
        <v>20</v>
      </c>
      <c r="H349" s="8">
        <f t="shared" si="16"/>
        <v>0.06</v>
      </c>
      <c r="I349" s="8">
        <f>ROUND(SUM('2. Demand History'!O349:Z349)/MAX(SUM('2. Demand History'!C349:N349),1),2)</f>
        <v>1.08</v>
      </c>
      <c r="J349" s="5">
        <f>IF(D349="Yes",ROUND('2. Demand History'!O349*I349,0),ROUND(AVERAGE('2. Demand History'!X349:Z349),0))</f>
        <v>352</v>
      </c>
      <c r="K349" s="9">
        <f t="shared" si="17"/>
        <v>6.6000000000000003E-2</v>
      </c>
      <c r="L349" s="10">
        <f>ROUND(ABS('2. Demand History'!U349-IF($D349="Yes",'2. Demand History'!I349,AVERAGE('2. Demand History'!R349:T349)))/MAX('2. Demand History'!U349,1),3)</f>
        <v>5.7000000000000002E-2</v>
      </c>
      <c r="M349" s="10">
        <f>ROUND(ABS('2. Demand History'!V349-IF($D349="Yes",'2. Demand History'!J349,AVERAGE('2. Demand History'!S349:U349)))/MAX('2. Demand History'!V349,1),3)</f>
        <v>4.7E-2</v>
      </c>
      <c r="N349" s="10">
        <f>ROUND(ABS('2. Demand History'!W349-IF($D349="Yes",'2. Demand History'!K349,AVERAGE('2. Demand History'!T349:V349)))/MAX('2. Demand History'!W349,1),3)</f>
        <v>3.2000000000000001E-2</v>
      </c>
      <c r="O349" s="10">
        <f>ROUND(ABS('2. Demand History'!X349-IF($D349="Yes",'2. Demand History'!L349,AVERAGE('2. Demand History'!U349:W349)))/MAX('2. Demand History'!X349,1),3)</f>
        <v>7.4999999999999997E-2</v>
      </c>
      <c r="P349" s="10">
        <f>ROUND(ABS('2. Demand History'!Y349-IF($D349="Yes",'2. Demand History'!M349,AVERAGE('2. Demand History'!V349:X349)))/MAX('2. Demand History'!Y349,1),3)</f>
        <v>7.3999999999999996E-2</v>
      </c>
      <c r="Q349" s="10">
        <f>ROUND(ABS('2. Demand History'!Z349-IF($D349="Yes",'2. Demand History'!N349,AVERAGE('2. Demand History'!W349:Y349)))/MAX('2. Demand History'!Z349,1),3)</f>
        <v>0.112</v>
      </c>
    </row>
    <row r="350" spans="1:17" ht="15" customHeight="1" x14ac:dyDescent="0.2">
      <c r="A350" s="3" t="str">
        <f>'2. Demand History'!A350</f>
        <v>NT10346</v>
      </c>
      <c r="B350" s="1" t="str">
        <f>'2. Demand History'!B350</f>
        <v>HomeCam 482 1080p</v>
      </c>
      <c r="C350" s="3" t="str">
        <f>'1. Master Data'!C350</f>
        <v>Smart Home</v>
      </c>
      <c r="D350" s="3" t="s">
        <v>1112</v>
      </c>
      <c r="E350" s="3" t="str">
        <f t="shared" si="15"/>
        <v>Moving Avg 3</v>
      </c>
      <c r="F350" s="3">
        <f>ROUND(AVERAGE('2. Demand History'!O350:Z350),1)</f>
        <v>256.2</v>
      </c>
      <c r="G350" s="3">
        <f>ROUND(STDEV('2. Demand History'!O350:Z350),1)</f>
        <v>18.2</v>
      </c>
      <c r="H350" s="8">
        <f t="shared" si="16"/>
        <v>7.0000000000000007E-2</v>
      </c>
      <c r="I350" s="8">
        <f>ROUND(SUM('2. Demand History'!O350:Z350)/MAX(SUM('2. Demand History'!C350:N350),1),2)</f>
        <v>1.05</v>
      </c>
      <c r="J350" s="5">
        <f>IF(D350="Yes",ROUND('2. Demand History'!O350*I350,0),ROUND(AVERAGE('2. Demand History'!X350:Z350),0))</f>
        <v>252</v>
      </c>
      <c r="K350" s="9">
        <f t="shared" si="17"/>
        <v>0.08</v>
      </c>
      <c r="L350" s="10">
        <f>ROUND(ABS('2. Demand History'!U350-IF($D350="Yes",'2. Demand History'!I350,AVERAGE('2. Demand History'!R350:T350)))/MAX('2. Demand History'!U350,1),3)</f>
        <v>3.5000000000000003E-2</v>
      </c>
      <c r="M350" s="10">
        <f>ROUND(ABS('2. Demand History'!V350-IF($D350="Yes",'2. Demand History'!J350,AVERAGE('2. Demand History'!S350:U350)))/MAX('2. Demand History'!V350,1),3)</f>
        <v>0.17100000000000001</v>
      </c>
      <c r="N350" s="10">
        <f>ROUND(ABS('2. Demand History'!W350-IF($D350="Yes",'2. Demand History'!K350,AVERAGE('2. Demand History'!T350:V350)))/MAX('2. Demand History'!W350,1),3)</f>
        <v>8.4000000000000005E-2</v>
      </c>
      <c r="O350" s="10">
        <f>ROUND(ABS('2. Demand History'!X350-IF($D350="Yes",'2. Demand History'!L350,AVERAGE('2. Demand History'!U350:W350)))/MAX('2. Demand History'!X350,1),3)</f>
        <v>1.4999999999999999E-2</v>
      </c>
      <c r="P350" s="10">
        <f>ROUND(ABS('2. Demand History'!Y350-IF($D350="Yes",'2. Demand History'!M350,AVERAGE('2. Demand History'!V350:X350)))/MAX('2. Demand History'!Y350,1),3)</f>
        <v>0.17299999999999999</v>
      </c>
      <c r="Q350" s="10">
        <f>ROUND(ABS('2. Demand History'!Z350-IF($D350="Yes",'2. Demand History'!N350,AVERAGE('2. Demand History'!W350:Y350)))/MAX('2. Demand History'!Z350,1),3)</f>
        <v>1E-3</v>
      </c>
    </row>
    <row r="351" spans="1:17" ht="15" customHeight="1" x14ac:dyDescent="0.2">
      <c r="A351" s="3" t="str">
        <f>'2. Demand History'!A351</f>
        <v>NT10347</v>
      </c>
      <c r="B351" s="1" t="str">
        <f>'2. Demand History'!B351</f>
        <v>SmartPlug Duo 550</v>
      </c>
      <c r="C351" s="3" t="str">
        <f>'1. Master Data'!C351</f>
        <v>Smart Home</v>
      </c>
      <c r="D351" s="3" t="s">
        <v>1112</v>
      </c>
      <c r="E351" s="3" t="str">
        <f t="shared" si="15"/>
        <v>Moving Avg 3</v>
      </c>
      <c r="F351" s="3">
        <f>ROUND(AVERAGE('2. Demand History'!O351:Z351),1)</f>
        <v>54.6</v>
      </c>
      <c r="G351" s="3">
        <f>ROUND(STDEV('2. Demand History'!O351:Z351),1)</f>
        <v>3.5</v>
      </c>
      <c r="H351" s="8">
        <f t="shared" si="16"/>
        <v>0.06</v>
      </c>
      <c r="I351" s="8">
        <f>ROUND(SUM('2. Demand History'!O351:Z351)/MAX(SUM('2. Demand History'!C351:N351),1),2)</f>
        <v>1.05</v>
      </c>
      <c r="J351" s="5">
        <f>IF(D351="Yes",ROUND('2. Demand History'!O351*I351,0),ROUND(AVERAGE('2. Demand History'!X351:Z351),0))</f>
        <v>53</v>
      </c>
      <c r="K351" s="9">
        <f t="shared" si="17"/>
        <v>7.5999999999999998E-2</v>
      </c>
      <c r="L351" s="10">
        <f>ROUND(ABS('2. Demand History'!U351-IF($D351="Yes",'2. Demand History'!I351,AVERAGE('2. Demand History'!R351:T351)))/MAX('2. Demand History'!U351,1),3)</f>
        <v>0.10199999999999999</v>
      </c>
      <c r="M351" s="10">
        <f>ROUND(ABS('2. Demand History'!V351-IF($D351="Yes",'2. Demand History'!J351,AVERAGE('2. Demand History'!S351:U351)))/MAX('2. Demand History'!V351,1),3)</f>
        <v>5.2999999999999999E-2</v>
      </c>
      <c r="N351" s="10">
        <f>ROUND(ABS('2. Demand History'!W351-IF($D351="Yes",'2. Demand History'!K351,AVERAGE('2. Demand History'!T351:V351)))/MAX('2. Demand History'!W351,1),3)</f>
        <v>4.4999999999999998E-2</v>
      </c>
      <c r="O351" s="10">
        <f>ROUND(ABS('2. Demand History'!X351-IF($D351="Yes",'2. Demand History'!L351,AVERAGE('2. Demand History'!U351:W351)))/MAX('2. Demand History'!X351,1),3)</f>
        <v>0.122</v>
      </c>
      <c r="P351" s="10">
        <f>ROUND(ABS('2. Demand History'!Y351-IF($D351="Yes",'2. Demand History'!M351,AVERAGE('2. Demand History'!V351:X351)))/MAX('2. Demand History'!Y351,1),3)</f>
        <v>9.8000000000000004E-2</v>
      </c>
      <c r="Q351" s="10">
        <f>ROUND(ABS('2. Demand History'!Z351-IF($D351="Yes",'2. Demand History'!N351,AVERAGE('2. Demand History'!W351:Y351)))/MAX('2. Demand History'!Z351,1),3)</f>
        <v>3.5999999999999997E-2</v>
      </c>
    </row>
    <row r="352" spans="1:17" ht="15" customHeight="1" x14ac:dyDescent="0.2">
      <c r="A352" s="3" t="str">
        <f>'2. Demand History'!A352</f>
        <v>NT10348</v>
      </c>
      <c r="B352" s="1" t="str">
        <f>'2. Demand History'!B352</f>
        <v>HomeCam 160 1080p</v>
      </c>
      <c r="C352" s="3" t="str">
        <f>'1. Master Data'!C352</f>
        <v>Smart Home</v>
      </c>
      <c r="D352" s="3" t="s">
        <v>1112</v>
      </c>
      <c r="E352" s="3" t="str">
        <f t="shared" si="15"/>
        <v>Moving Avg 3</v>
      </c>
      <c r="F352" s="3">
        <f>ROUND(AVERAGE('2. Demand History'!O352:Z352),1)</f>
        <v>312.60000000000002</v>
      </c>
      <c r="G352" s="3">
        <f>ROUND(STDEV('2. Demand History'!O352:Z352),1)</f>
        <v>18.5</v>
      </c>
      <c r="H352" s="8">
        <f t="shared" si="16"/>
        <v>0.06</v>
      </c>
      <c r="I352" s="8">
        <f>ROUND(SUM('2. Demand History'!O352:Z352)/MAX(SUM('2. Demand History'!C352:N352),1),2)</f>
        <v>1.04</v>
      </c>
      <c r="J352" s="5">
        <f>IF(D352="Yes",ROUND('2. Demand History'!O352*I352,0),ROUND(AVERAGE('2. Demand History'!X352:Z352),0))</f>
        <v>328</v>
      </c>
      <c r="K352" s="9">
        <f t="shared" si="17"/>
        <v>0.06</v>
      </c>
      <c r="L352" s="10">
        <f>ROUND(ABS('2. Demand History'!U352-IF($D352="Yes",'2. Demand History'!I352,AVERAGE('2. Demand History'!R352:T352)))/MAX('2. Demand History'!U352,1),3)</f>
        <v>7.8E-2</v>
      </c>
      <c r="M352" s="10">
        <f>ROUND(ABS('2. Demand History'!V352-IF($D352="Yes",'2. Demand History'!J352,AVERAGE('2. Demand History'!S352:U352)))/MAX('2. Demand History'!V352,1),3)</f>
        <v>6.4000000000000001E-2</v>
      </c>
      <c r="N352" s="10">
        <f>ROUND(ABS('2. Demand History'!W352-IF($D352="Yes",'2. Demand History'!K352,AVERAGE('2. Demand History'!T352:V352)))/MAX('2. Demand History'!W352,1),3)</f>
        <v>8.1000000000000003E-2</v>
      </c>
      <c r="O352" s="10">
        <f>ROUND(ABS('2. Demand History'!X352-IF($D352="Yes",'2. Demand History'!L352,AVERAGE('2. Demand History'!U352:W352)))/MAX('2. Demand History'!X352,1),3)</f>
        <v>5.7000000000000002E-2</v>
      </c>
      <c r="P352" s="10">
        <f>ROUND(ABS('2. Demand History'!Y352-IF($D352="Yes",'2. Demand History'!M352,AVERAGE('2. Demand History'!V352:X352)))/MAX('2. Demand History'!Y352,1),3)</f>
        <v>4.3999999999999997E-2</v>
      </c>
      <c r="Q352" s="10">
        <f>ROUND(ABS('2. Demand History'!Z352-IF($D352="Yes",'2. Demand History'!N352,AVERAGE('2. Demand History'!W352:Y352)))/MAX('2. Demand History'!Z352,1),3)</f>
        <v>3.5000000000000003E-2</v>
      </c>
    </row>
    <row r="353" spans="1:17" ht="15" customHeight="1" x14ac:dyDescent="0.2">
      <c r="A353" s="3" t="str">
        <f>'2. Demand History'!A353</f>
        <v>NT10349</v>
      </c>
      <c r="B353" s="1" t="str">
        <f>'2. Demand History'!B353</f>
        <v>HomeCam 528 1080p</v>
      </c>
      <c r="C353" s="3" t="str">
        <f>'1. Master Data'!C353</f>
        <v>Smart Home</v>
      </c>
      <c r="D353" s="3" t="s">
        <v>1112</v>
      </c>
      <c r="E353" s="3" t="str">
        <f t="shared" si="15"/>
        <v>Moving Avg 3</v>
      </c>
      <c r="F353" s="3">
        <f>ROUND(AVERAGE('2. Demand History'!O353:Z353),1)</f>
        <v>160.5</v>
      </c>
      <c r="G353" s="3">
        <f>ROUND(STDEV('2. Demand History'!O353:Z353),1)</f>
        <v>8.1</v>
      </c>
      <c r="H353" s="8">
        <f t="shared" si="16"/>
        <v>0.05</v>
      </c>
      <c r="I353" s="8">
        <f>ROUND(SUM('2. Demand History'!O353:Z353)/MAX(SUM('2. Demand History'!C353:N353),1),2)</f>
        <v>1.06</v>
      </c>
      <c r="J353" s="5">
        <f>IF(D353="Yes",ROUND('2. Demand History'!O353*I353,0),ROUND(AVERAGE('2. Demand History'!X353:Z353),0))</f>
        <v>157</v>
      </c>
      <c r="K353" s="9">
        <f t="shared" si="17"/>
        <v>3.2000000000000001E-2</v>
      </c>
      <c r="L353" s="10">
        <f>ROUND(ABS('2. Demand History'!U353-IF($D353="Yes",'2. Demand History'!I353,AVERAGE('2. Demand History'!R353:T353)))/MAX('2. Demand History'!U353,1),3)</f>
        <v>6.0000000000000001E-3</v>
      </c>
      <c r="M353" s="10">
        <f>ROUND(ABS('2. Demand History'!V353-IF($D353="Yes",'2. Demand History'!J353,AVERAGE('2. Demand History'!S353:U353)))/MAX('2. Demand History'!V353,1),3)</f>
        <v>5.1999999999999998E-2</v>
      </c>
      <c r="N353" s="10">
        <f>ROUND(ABS('2. Demand History'!W353-IF($D353="Yes",'2. Demand History'!K353,AVERAGE('2. Demand History'!T353:V353)))/MAX('2. Demand History'!W353,1),3)</f>
        <v>6.0000000000000001E-3</v>
      </c>
      <c r="O353" s="10">
        <f>ROUND(ABS('2. Demand History'!X353-IF($D353="Yes",'2. Demand History'!L353,AVERAGE('2. Demand History'!U353:W353)))/MAX('2. Demand History'!X353,1),3)</f>
        <v>2.8000000000000001E-2</v>
      </c>
      <c r="P353" s="10">
        <f>ROUND(ABS('2. Demand History'!Y353-IF($D353="Yes",'2. Demand History'!M353,AVERAGE('2. Demand History'!V353:X353)))/MAX('2. Demand History'!Y353,1),3)</f>
        <v>0.04</v>
      </c>
      <c r="Q353" s="10">
        <f>ROUND(ABS('2. Demand History'!Z353-IF($D353="Yes",'2. Demand History'!N353,AVERAGE('2. Demand History'!W353:Y353)))/MAX('2. Demand History'!Z353,1),3)</f>
        <v>6.2E-2</v>
      </c>
    </row>
    <row r="354" spans="1:17" ht="15" customHeight="1" x14ac:dyDescent="0.2">
      <c r="A354" s="3" t="str">
        <f>'2. Demand History'!A354</f>
        <v>NT10350</v>
      </c>
      <c r="B354" s="1" t="str">
        <f>'2. Demand History'!B354</f>
        <v>SmartPlug Duo 486</v>
      </c>
      <c r="C354" s="3" t="str">
        <f>'1. Master Data'!C354</f>
        <v>Smart Home</v>
      </c>
      <c r="D354" s="3" t="s">
        <v>1112</v>
      </c>
      <c r="E354" s="3" t="str">
        <f t="shared" si="15"/>
        <v>Moving Avg 3</v>
      </c>
      <c r="F354" s="3">
        <f>ROUND(AVERAGE('2. Demand History'!O354:Z354),1)</f>
        <v>170.1</v>
      </c>
      <c r="G354" s="3">
        <f>ROUND(STDEV('2. Demand History'!O354:Z354),1)</f>
        <v>16.8</v>
      </c>
      <c r="H354" s="8">
        <f t="shared" si="16"/>
        <v>0.1</v>
      </c>
      <c r="I354" s="8">
        <f>ROUND(SUM('2. Demand History'!O354:Z354)/MAX(SUM('2. Demand History'!C354:N354),1),2)</f>
        <v>1.1200000000000001</v>
      </c>
      <c r="J354" s="5">
        <f>IF(D354="Yes",ROUND('2. Demand History'!O354*I354,0),ROUND(AVERAGE('2. Demand History'!X354:Z354),0))</f>
        <v>172</v>
      </c>
      <c r="K354" s="9">
        <f t="shared" si="17"/>
        <v>0.124</v>
      </c>
      <c r="L354" s="10">
        <f>ROUND(ABS('2. Demand History'!U354-IF($D354="Yes",'2. Demand History'!I354,AVERAGE('2. Demand History'!R354:T354)))/MAX('2. Demand History'!U354,1),3)</f>
        <v>0.16500000000000001</v>
      </c>
      <c r="M354" s="10">
        <f>ROUND(ABS('2. Demand History'!V354-IF($D354="Yes",'2. Demand History'!J354,AVERAGE('2. Demand History'!S354:U354)))/MAX('2. Demand History'!V354,1),3)</f>
        <v>0.23200000000000001</v>
      </c>
      <c r="N354" s="10">
        <f>ROUND(ABS('2. Demand History'!W354-IF($D354="Yes",'2. Demand History'!K354,AVERAGE('2. Demand History'!T354:V354)))/MAX('2. Demand History'!W354,1),3)</f>
        <v>0.14699999999999999</v>
      </c>
      <c r="O354" s="10">
        <f>ROUND(ABS('2. Demand History'!X354-IF($D354="Yes",'2. Demand History'!L354,AVERAGE('2. Demand History'!U354:W354)))/MAX('2. Demand History'!X354,1),3)</f>
        <v>6.9000000000000006E-2</v>
      </c>
      <c r="P354" s="10">
        <f>ROUND(ABS('2. Demand History'!Y354-IF($D354="Yes",'2. Demand History'!M354,AVERAGE('2. Demand History'!V354:X354)))/MAX('2. Demand History'!Y354,1),3)</f>
        <v>2.3E-2</v>
      </c>
      <c r="Q354" s="10">
        <f>ROUND(ABS('2. Demand History'!Z354-IF($D354="Yes",'2. Demand History'!N354,AVERAGE('2. Demand History'!W354:Y354)))/MAX('2. Demand History'!Z354,1),3)</f>
        <v>0.108</v>
      </c>
    </row>
    <row r="355" spans="1:17" ht="15" customHeight="1" x14ac:dyDescent="0.2">
      <c r="A355" s="3" t="str">
        <f>'2. Demand History'!A355</f>
        <v>NT10351</v>
      </c>
      <c r="B355" s="1" t="str">
        <f>'2. Demand History'!B355</f>
        <v>MirrorlessM 131</v>
      </c>
      <c r="C355" s="3" t="str">
        <f>'1. Master Data'!C355</f>
        <v>Cameras</v>
      </c>
      <c r="D355" s="3" t="s">
        <v>1111</v>
      </c>
      <c r="E355" s="3" t="str">
        <f t="shared" si="15"/>
        <v>Seasonal Naive</v>
      </c>
      <c r="F355" s="3">
        <f>ROUND(AVERAGE('2. Demand History'!O355:Z355),1)</f>
        <v>12.8</v>
      </c>
      <c r="G355" s="3">
        <f>ROUND(STDEV('2. Demand History'!O355:Z355),1)</f>
        <v>4</v>
      </c>
      <c r="H355" s="8">
        <f t="shared" si="16"/>
        <v>0.31</v>
      </c>
      <c r="I355" s="8">
        <f>ROUND(SUM('2. Demand History'!O355:Z355)/MAX(SUM('2. Demand History'!C355:N355),1),2)</f>
        <v>1.08</v>
      </c>
      <c r="J355" s="5">
        <f>IF(D355="Yes",ROUND('2. Demand History'!O355*I355,0),ROUND(AVERAGE('2. Demand History'!X355:Z355),0))</f>
        <v>12</v>
      </c>
      <c r="K355" s="9">
        <f t="shared" si="17"/>
        <v>0.112</v>
      </c>
      <c r="L355" s="10">
        <f>ROUND(ABS('2. Demand History'!U355-IF($D355="Yes",'2. Demand History'!I355,AVERAGE('2. Demand History'!R355:T355)))/MAX('2. Demand History'!U355,1),3)</f>
        <v>0.13</v>
      </c>
      <c r="M355" s="10">
        <f>ROUND(ABS('2. Demand History'!V355-IF($D355="Yes",'2. Demand History'!J355,AVERAGE('2. Demand History'!S355:U355)))/MAX('2. Demand History'!V355,1),3)</f>
        <v>0.111</v>
      </c>
      <c r="N355" s="10">
        <f>ROUND(ABS('2. Demand History'!W355-IF($D355="Yes",'2. Demand History'!K355,AVERAGE('2. Demand History'!T355:V355)))/MAX('2. Demand History'!W355,1),3)</f>
        <v>0.182</v>
      </c>
      <c r="O355" s="10">
        <f>ROUND(ABS('2. Demand History'!X355-IF($D355="Yes",'2. Demand History'!L355,AVERAGE('2. Demand History'!U355:W355)))/MAX('2. Demand History'!X355,1),3)</f>
        <v>9.0999999999999998E-2</v>
      </c>
      <c r="P355" s="10">
        <f>ROUND(ABS('2. Demand History'!Y355-IF($D355="Yes",'2. Demand History'!M355,AVERAGE('2. Demand History'!V355:X355)))/MAX('2. Demand History'!Y355,1),3)</f>
        <v>7.6999999999999999E-2</v>
      </c>
      <c r="Q355" s="10">
        <f>ROUND(ABS('2. Demand History'!Z355-IF($D355="Yes",'2. Demand History'!N355,AVERAGE('2. Demand History'!W355:Y355)))/MAX('2. Demand History'!Z355,1),3)</f>
        <v>8.3000000000000004E-2</v>
      </c>
    </row>
    <row r="356" spans="1:17" ht="15" customHeight="1" x14ac:dyDescent="0.2">
      <c r="A356" s="3" t="str">
        <f>'2. Demand History'!A356</f>
        <v>NT10352</v>
      </c>
      <c r="B356" s="1" t="str">
        <f>'2. Demand History'!B356</f>
        <v>TravelShot 264 Compact</v>
      </c>
      <c r="C356" s="3" t="str">
        <f>'1. Master Data'!C356</f>
        <v>Cameras</v>
      </c>
      <c r="D356" s="3" t="s">
        <v>1111</v>
      </c>
      <c r="E356" s="3" t="str">
        <f t="shared" si="15"/>
        <v>Seasonal Naive</v>
      </c>
      <c r="F356" s="3">
        <f>ROUND(AVERAGE('2. Demand History'!O356:Z356),1)</f>
        <v>2.4</v>
      </c>
      <c r="G356" s="3">
        <f>ROUND(STDEV('2. Demand History'!O356:Z356),1)</f>
        <v>1.5</v>
      </c>
      <c r="H356" s="8">
        <f t="shared" si="16"/>
        <v>0.63</v>
      </c>
      <c r="I356" s="8">
        <f>ROUND(SUM('2. Demand History'!O356:Z356)/MAX(SUM('2. Demand History'!C356:N356),1),2)</f>
        <v>0.28000000000000003</v>
      </c>
      <c r="J356" s="5">
        <f>IF(D356="Yes",ROUND('2. Demand History'!O356*I356,0),ROUND(AVERAGE('2. Demand History'!X356:Z356),0))</f>
        <v>2</v>
      </c>
      <c r="K356" s="9">
        <f t="shared" si="17"/>
        <v>4.5830000000000002</v>
      </c>
      <c r="L356" s="10">
        <f>ROUND(ABS('2. Demand History'!U356-IF($D356="Yes",'2. Demand History'!I356,AVERAGE('2. Demand History'!R356:T356)))/MAX('2. Demand History'!U356,1),3)</f>
        <v>3.5</v>
      </c>
      <c r="M356" s="10">
        <f>ROUND(ABS('2. Demand History'!V356-IF($D356="Yes",'2. Demand History'!J356,AVERAGE('2. Demand History'!S356:U356)))/MAX('2. Demand History'!V356,1),3)</f>
        <v>2</v>
      </c>
      <c r="N356" s="10">
        <f>ROUND(ABS('2. Demand History'!W356-IF($D356="Yes",'2. Demand History'!K356,AVERAGE('2. Demand History'!T356:V356)))/MAX('2. Demand History'!W356,1),3)</f>
        <v>5</v>
      </c>
      <c r="O356" s="10">
        <f>ROUND(ABS('2. Demand History'!X356-IF($D356="Yes",'2. Demand History'!L356,AVERAGE('2. Demand History'!U356:W356)))/MAX('2. Demand History'!X356,1),3)</f>
        <v>6</v>
      </c>
      <c r="P356" s="10">
        <f>ROUND(ABS('2. Demand History'!Y356-IF($D356="Yes",'2. Demand History'!M356,AVERAGE('2. Demand History'!V356:X356)))/MAX('2. Demand History'!Y356,1),3)</f>
        <v>5</v>
      </c>
      <c r="Q356" s="10">
        <f>ROUND(ABS('2. Demand History'!Z356-IF($D356="Yes",'2. Demand History'!N356,AVERAGE('2. Demand History'!W356:Y356)))/MAX('2. Demand History'!Z356,1),3)</f>
        <v>6</v>
      </c>
    </row>
    <row r="357" spans="1:17" ht="15" customHeight="1" x14ac:dyDescent="0.2">
      <c r="A357" s="3" t="str">
        <f>'2. Demand History'!A357</f>
        <v>NT10353</v>
      </c>
      <c r="B357" s="1" t="str">
        <f>'2. Demand History'!B357</f>
        <v>MirrorlessM 556</v>
      </c>
      <c r="C357" s="3" t="str">
        <f>'1. Master Data'!C357</f>
        <v>Cameras</v>
      </c>
      <c r="D357" s="3" t="s">
        <v>1111</v>
      </c>
      <c r="E357" s="3" t="str">
        <f t="shared" si="15"/>
        <v>Seasonal Naive</v>
      </c>
      <c r="F357" s="3">
        <f>ROUND(AVERAGE('2. Demand History'!O357:Z357),1)</f>
        <v>11.3</v>
      </c>
      <c r="G357" s="3">
        <f>ROUND(STDEV('2. Demand History'!O357:Z357),1)</f>
        <v>3</v>
      </c>
      <c r="H357" s="8">
        <f t="shared" si="16"/>
        <v>0.27</v>
      </c>
      <c r="I357" s="8">
        <f>ROUND(SUM('2. Demand History'!O357:Z357)/MAX(SUM('2. Demand History'!C357:N357),1),2)</f>
        <v>0.98</v>
      </c>
      <c r="J357" s="5">
        <f>IF(D357="Yes",ROUND('2. Demand History'!O357*I357,0),ROUND(AVERAGE('2. Demand History'!X357:Z357),0))</f>
        <v>10</v>
      </c>
      <c r="K357" s="9">
        <f t="shared" si="17"/>
        <v>5.6000000000000001E-2</v>
      </c>
      <c r="L357" s="10">
        <f>ROUND(ABS('2. Demand History'!U357-IF($D357="Yes",'2. Demand History'!I357,AVERAGE('2. Demand History'!R357:T357)))/MAX('2. Demand History'!U357,1),3)</f>
        <v>0.222</v>
      </c>
      <c r="M357" s="10">
        <f>ROUND(ABS('2. Demand History'!V357-IF($D357="Yes",'2. Demand History'!J357,AVERAGE('2. Demand History'!S357:U357)))/MAX('2. Demand History'!V357,1),3)</f>
        <v>0</v>
      </c>
      <c r="N357" s="10">
        <f>ROUND(ABS('2. Demand History'!W357-IF($D357="Yes",'2. Demand History'!K357,AVERAGE('2. Demand History'!T357:V357)))/MAX('2. Demand History'!W357,1),3)</f>
        <v>0.111</v>
      </c>
      <c r="O357" s="10">
        <f>ROUND(ABS('2. Demand History'!X357-IF($D357="Yes",'2. Demand History'!L357,AVERAGE('2. Demand History'!U357:W357)))/MAX('2. Demand History'!X357,1),3)</f>
        <v>0</v>
      </c>
      <c r="P357" s="10">
        <f>ROUND(ABS('2. Demand History'!Y357-IF($D357="Yes",'2. Demand History'!M357,AVERAGE('2. Demand History'!V357:X357)))/MAX('2. Demand History'!Y357,1),3)</f>
        <v>0</v>
      </c>
      <c r="Q357" s="10">
        <f>ROUND(ABS('2. Demand History'!Z357-IF($D357="Yes",'2. Demand History'!N357,AVERAGE('2. Demand History'!W357:Y357)))/MAX('2. Demand History'!Z357,1),3)</f>
        <v>0</v>
      </c>
    </row>
    <row r="358" spans="1:17" ht="15" customHeight="1" x14ac:dyDescent="0.2">
      <c r="A358" s="3" t="str">
        <f>'2. Demand History'!A358</f>
        <v>NT10354</v>
      </c>
      <c r="B358" s="1" t="str">
        <f>'2. Demand History'!B358</f>
        <v>ActionCam 521 4K</v>
      </c>
      <c r="C358" s="3" t="str">
        <f>'1. Master Data'!C358</f>
        <v>Cameras</v>
      </c>
      <c r="D358" s="3" t="s">
        <v>1111</v>
      </c>
      <c r="E358" s="3" t="str">
        <f t="shared" si="15"/>
        <v>Seasonal Naive</v>
      </c>
      <c r="F358" s="3">
        <f>ROUND(AVERAGE('2. Demand History'!O358:Z358),1)</f>
        <v>16.399999999999999</v>
      </c>
      <c r="G358" s="3">
        <f>ROUND(STDEV('2. Demand History'!O358:Z358),1)</f>
        <v>4.3</v>
      </c>
      <c r="H358" s="8">
        <f t="shared" si="16"/>
        <v>0.26</v>
      </c>
      <c r="I358" s="8">
        <f>ROUND(SUM('2. Demand History'!O358:Z358)/MAX(SUM('2. Demand History'!C358:N358),1),2)</f>
        <v>1.05</v>
      </c>
      <c r="J358" s="5">
        <f>IF(D358="Yes",ROUND('2. Demand History'!O358*I358,0),ROUND(AVERAGE('2. Demand History'!X358:Z358),0))</f>
        <v>16</v>
      </c>
      <c r="K358" s="9">
        <f t="shared" si="17"/>
        <v>0.114</v>
      </c>
      <c r="L358" s="10">
        <f>ROUND(ABS('2. Demand History'!U358-IF($D358="Yes",'2. Demand History'!I358,AVERAGE('2. Demand History'!R358:T358)))/MAX('2. Demand History'!U358,1),3)</f>
        <v>7.6999999999999999E-2</v>
      </c>
      <c r="M358" s="10">
        <f>ROUND(ABS('2. Demand History'!V358-IF($D358="Yes",'2. Demand History'!J358,AVERAGE('2. Demand History'!S358:U358)))/MAX('2. Demand History'!V358,1),3)</f>
        <v>8.3000000000000004E-2</v>
      </c>
      <c r="N358" s="10">
        <f>ROUND(ABS('2. Demand History'!W358-IF($D358="Yes",'2. Demand History'!K358,AVERAGE('2. Demand History'!T358:V358)))/MAX('2. Demand History'!W358,1),3)</f>
        <v>0.154</v>
      </c>
      <c r="O358" s="10">
        <f>ROUND(ABS('2. Demand History'!X358-IF($D358="Yes",'2. Demand History'!L358,AVERAGE('2. Demand History'!U358:W358)))/MAX('2. Demand History'!X358,1),3)</f>
        <v>8.3000000000000004E-2</v>
      </c>
      <c r="P358" s="10">
        <f>ROUND(ABS('2. Demand History'!Y358-IF($D358="Yes",'2. Demand History'!M358,AVERAGE('2. Demand History'!V358:X358)))/MAX('2. Demand History'!Y358,1),3)</f>
        <v>0.222</v>
      </c>
      <c r="Q358" s="10">
        <f>ROUND(ABS('2. Demand History'!Z358-IF($D358="Yes",'2. Demand History'!N358,AVERAGE('2. Demand History'!W358:Y358)))/MAX('2. Demand History'!Z358,1),3)</f>
        <v>6.3E-2</v>
      </c>
    </row>
    <row r="359" spans="1:17" ht="15" customHeight="1" x14ac:dyDescent="0.2">
      <c r="A359" s="3" t="str">
        <f>'2. Demand History'!A359</f>
        <v>NT10355</v>
      </c>
      <c r="B359" s="1" t="str">
        <f>'2. Demand History'!B359</f>
        <v>MirrorlessM 404</v>
      </c>
      <c r="C359" s="3" t="str">
        <f>'1. Master Data'!C359</f>
        <v>Cameras</v>
      </c>
      <c r="D359" s="3" t="s">
        <v>1111</v>
      </c>
      <c r="E359" s="3" t="str">
        <f t="shared" si="15"/>
        <v>Seasonal Naive</v>
      </c>
      <c r="F359" s="3">
        <f>ROUND(AVERAGE('2. Demand History'!O359:Z359),1)</f>
        <v>12.4</v>
      </c>
      <c r="G359" s="3">
        <f>ROUND(STDEV('2. Demand History'!O359:Z359),1)</f>
        <v>4</v>
      </c>
      <c r="H359" s="8">
        <f t="shared" si="16"/>
        <v>0.32</v>
      </c>
      <c r="I359" s="8">
        <f>ROUND(SUM('2. Demand History'!O359:Z359)/MAX(SUM('2. Demand History'!C359:N359),1),2)</f>
        <v>1.06</v>
      </c>
      <c r="J359" s="5">
        <f>IF(D359="Yes",ROUND('2. Demand History'!O359*I359,0),ROUND(AVERAGE('2. Demand History'!X359:Z359),0))</f>
        <v>13</v>
      </c>
      <c r="K359" s="9">
        <f t="shared" si="17"/>
        <v>0.10100000000000001</v>
      </c>
      <c r="L359" s="10">
        <f>ROUND(ABS('2. Demand History'!U359-IF($D359="Yes",'2. Demand History'!I359,AVERAGE('2. Demand History'!R359:T359)))/MAX('2. Demand History'!U359,1),3)</f>
        <v>0.1</v>
      </c>
      <c r="M359" s="10">
        <f>ROUND(ABS('2. Demand History'!V359-IF($D359="Yes",'2. Demand History'!J359,AVERAGE('2. Demand History'!S359:U359)))/MAX('2. Demand History'!V359,1),3)</f>
        <v>0</v>
      </c>
      <c r="N359" s="10">
        <f>ROUND(ABS('2. Demand History'!W359-IF($D359="Yes",'2. Demand History'!K359,AVERAGE('2. Demand History'!T359:V359)))/MAX('2. Demand History'!W359,1),3)</f>
        <v>0.25</v>
      </c>
      <c r="O359" s="10">
        <f>ROUND(ABS('2. Demand History'!X359-IF($D359="Yes",'2. Demand History'!L359,AVERAGE('2. Demand History'!U359:W359)))/MAX('2. Demand History'!X359,1),3)</f>
        <v>9.0999999999999998E-2</v>
      </c>
      <c r="P359" s="10">
        <f>ROUND(ABS('2. Demand History'!Y359-IF($D359="Yes",'2. Demand History'!M359,AVERAGE('2. Demand History'!V359:X359)))/MAX('2. Demand History'!Y359,1),3)</f>
        <v>8.3000000000000004E-2</v>
      </c>
      <c r="Q359" s="10">
        <f>ROUND(ABS('2. Demand History'!Z359-IF($D359="Yes",'2. Demand History'!N359,AVERAGE('2. Demand History'!W359:Y359)))/MAX('2. Demand History'!Z359,1),3)</f>
        <v>8.3000000000000004E-2</v>
      </c>
    </row>
    <row r="360" spans="1:17" ht="15" customHeight="1" x14ac:dyDescent="0.2">
      <c r="A360" s="3" t="str">
        <f>'2. Demand History'!A360</f>
        <v>NT10356</v>
      </c>
      <c r="B360" s="1" t="str">
        <f>'2. Demand History'!B360</f>
        <v>TravelShot 546 Compact</v>
      </c>
      <c r="C360" s="3" t="str">
        <f>'1. Master Data'!C360</f>
        <v>Cameras</v>
      </c>
      <c r="D360" s="3" t="s">
        <v>1111</v>
      </c>
      <c r="E360" s="3" t="str">
        <f t="shared" si="15"/>
        <v>Seasonal Naive</v>
      </c>
      <c r="F360" s="3">
        <f>ROUND(AVERAGE('2. Demand History'!O360:Z360),1)</f>
        <v>16.899999999999999</v>
      </c>
      <c r="G360" s="3">
        <f>ROUND(STDEV('2. Demand History'!O360:Z360),1)</f>
        <v>4.9000000000000004</v>
      </c>
      <c r="H360" s="8">
        <f t="shared" si="16"/>
        <v>0.28999999999999998</v>
      </c>
      <c r="I360" s="8">
        <f>ROUND(SUM('2. Demand History'!O360:Z360)/MAX(SUM('2. Demand History'!C360:N360),1),2)</f>
        <v>1.03</v>
      </c>
      <c r="J360" s="5">
        <f>IF(D360="Yes",ROUND('2. Demand History'!O360*I360,0),ROUND(AVERAGE('2. Demand History'!X360:Z360),0))</f>
        <v>14</v>
      </c>
      <c r="K360" s="9">
        <f t="shared" si="17"/>
        <v>0.112</v>
      </c>
      <c r="L360" s="10">
        <f>ROUND(ABS('2. Demand History'!U360-IF($D360="Yes",'2. Demand History'!I360,AVERAGE('2. Demand History'!R360:T360)))/MAX('2. Demand History'!U360,1),3)</f>
        <v>3.3000000000000002E-2</v>
      </c>
      <c r="M360" s="10">
        <f>ROUND(ABS('2. Demand History'!V360-IF($D360="Yes",'2. Demand History'!J360,AVERAGE('2. Demand History'!S360:U360)))/MAX('2. Demand History'!V360,1),3)</f>
        <v>9.0999999999999998E-2</v>
      </c>
      <c r="N360" s="10">
        <f>ROUND(ABS('2. Demand History'!W360-IF($D360="Yes",'2. Demand History'!K360,AVERAGE('2. Demand History'!T360:V360)))/MAX('2. Demand History'!W360,1),3)</f>
        <v>0</v>
      </c>
      <c r="O360" s="10">
        <f>ROUND(ABS('2. Demand History'!X360-IF($D360="Yes",'2. Demand History'!L360,AVERAGE('2. Demand History'!U360:W360)))/MAX('2. Demand History'!X360,1),3)</f>
        <v>0</v>
      </c>
      <c r="P360" s="10">
        <f>ROUND(ABS('2. Demand History'!Y360-IF($D360="Yes",'2. Demand History'!M360,AVERAGE('2. Demand History'!V360:X360)))/MAX('2. Demand History'!Y360,1),3)</f>
        <v>0.26300000000000001</v>
      </c>
      <c r="Q360" s="10">
        <f>ROUND(ABS('2. Demand History'!Z360-IF($D360="Yes",'2. Demand History'!N360,AVERAGE('2. Demand History'!W360:Y360)))/MAX('2. Demand History'!Z360,1),3)</f>
        <v>0.28599999999999998</v>
      </c>
    </row>
    <row r="361" spans="1:17" ht="15" customHeight="1" x14ac:dyDescent="0.2">
      <c r="A361" s="3" t="str">
        <f>'2. Demand History'!A361</f>
        <v>NT10357</v>
      </c>
      <c r="B361" s="1" t="str">
        <f>'2. Demand History'!B361</f>
        <v>OptiZoom 396 DSLR</v>
      </c>
      <c r="C361" s="3" t="str">
        <f>'1. Master Data'!C361</f>
        <v>Cameras</v>
      </c>
      <c r="D361" s="3" t="s">
        <v>1111</v>
      </c>
      <c r="E361" s="3" t="str">
        <f t="shared" si="15"/>
        <v>Seasonal Naive</v>
      </c>
      <c r="F361" s="3">
        <f>ROUND(AVERAGE('2. Demand History'!O361:Z361),1)</f>
        <v>1.5</v>
      </c>
      <c r="G361" s="3">
        <f>ROUND(STDEV('2. Demand History'!O361:Z361),1)</f>
        <v>0.7</v>
      </c>
      <c r="H361" s="8">
        <f t="shared" si="16"/>
        <v>0.47</v>
      </c>
      <c r="I361" s="8">
        <f>ROUND(SUM('2. Demand History'!O361:Z361)/MAX(SUM('2. Demand History'!C361:N361),1),2)</f>
        <v>0.34</v>
      </c>
      <c r="J361" s="5">
        <f>IF(D361="Yes",ROUND('2. Demand History'!O361*I361,0),ROUND(AVERAGE('2. Demand History'!X361:Z361),0))</f>
        <v>1</v>
      </c>
      <c r="K361" s="9">
        <f t="shared" si="17"/>
        <v>2.5</v>
      </c>
      <c r="L361" s="10">
        <f>ROUND(ABS('2. Demand History'!U361-IF($D361="Yes",'2. Demand History'!I361,AVERAGE('2. Demand History'!R361:T361)))/MAX('2. Demand History'!U361,1),3)</f>
        <v>2</v>
      </c>
      <c r="M361" s="10">
        <f>ROUND(ABS('2. Demand History'!V361-IF($D361="Yes",'2. Demand History'!J361,AVERAGE('2. Demand History'!S361:U361)))/MAX('2. Demand History'!V361,1),3)</f>
        <v>3</v>
      </c>
      <c r="N361" s="10">
        <f>ROUND(ABS('2. Demand History'!W361-IF($D361="Yes",'2. Demand History'!K361,AVERAGE('2. Demand History'!T361:V361)))/MAX('2. Demand History'!W361,1),3)</f>
        <v>3</v>
      </c>
      <c r="O361" s="10">
        <f>ROUND(ABS('2. Demand History'!X361-IF($D361="Yes",'2. Demand History'!L361,AVERAGE('2. Demand History'!U361:W361)))/MAX('2. Demand History'!X361,1),3)</f>
        <v>3</v>
      </c>
      <c r="P361" s="10">
        <f>ROUND(ABS('2. Demand History'!Y361-IF($D361="Yes",'2. Demand History'!M361,AVERAGE('2. Demand History'!V361:X361)))/MAX('2. Demand History'!Y361,1),3)</f>
        <v>2</v>
      </c>
      <c r="Q361" s="10">
        <f>ROUND(ABS('2. Demand History'!Z361-IF($D361="Yes",'2. Demand History'!N361,AVERAGE('2. Demand History'!W361:Y361)))/MAX('2. Demand History'!Z361,1),3)</f>
        <v>2</v>
      </c>
    </row>
    <row r="362" spans="1:17" ht="15" customHeight="1" x14ac:dyDescent="0.2">
      <c r="A362" s="3" t="str">
        <f>'2. Demand History'!A362</f>
        <v>NT10358</v>
      </c>
      <c r="B362" s="1" t="str">
        <f>'2. Demand History'!B362</f>
        <v>MirrorlessM 145</v>
      </c>
      <c r="C362" s="3" t="str">
        <f>'1. Master Data'!C362</f>
        <v>Cameras</v>
      </c>
      <c r="D362" s="3" t="s">
        <v>1111</v>
      </c>
      <c r="E362" s="3" t="str">
        <f t="shared" si="15"/>
        <v>Seasonal Naive</v>
      </c>
      <c r="F362" s="3">
        <f>ROUND(AVERAGE('2. Demand History'!O362:Z362),1)</f>
        <v>32.299999999999997</v>
      </c>
      <c r="G362" s="3">
        <f>ROUND(STDEV('2. Demand History'!O362:Z362),1)</f>
        <v>10.1</v>
      </c>
      <c r="H362" s="8">
        <f t="shared" si="16"/>
        <v>0.31</v>
      </c>
      <c r="I362" s="8">
        <f>ROUND(SUM('2. Demand History'!O362:Z362)/MAX(SUM('2. Demand History'!C362:N362),1),2)</f>
        <v>1.1499999999999999</v>
      </c>
      <c r="J362" s="5">
        <f>IF(D362="Yes",ROUND('2. Demand History'!O362*I362,0),ROUND(AVERAGE('2. Demand History'!X362:Z362),0))</f>
        <v>29</v>
      </c>
      <c r="K362" s="9">
        <f t="shared" si="17"/>
        <v>0.09</v>
      </c>
      <c r="L362" s="10">
        <f>ROUND(ABS('2. Demand History'!U362-IF($D362="Yes",'2. Demand History'!I362,AVERAGE('2. Demand History'!R362:T362)))/MAX('2. Demand History'!U362,1),3)</f>
        <v>9.6000000000000002E-2</v>
      </c>
      <c r="M362" s="10">
        <f>ROUND(ABS('2. Demand History'!V362-IF($D362="Yes",'2. Demand History'!J362,AVERAGE('2. Demand History'!S362:U362)))/MAX('2. Demand History'!V362,1),3)</f>
        <v>9.0999999999999998E-2</v>
      </c>
      <c r="N362" s="10">
        <f>ROUND(ABS('2. Demand History'!W362-IF($D362="Yes",'2. Demand History'!K362,AVERAGE('2. Demand History'!T362:V362)))/MAX('2. Demand History'!W362,1),3)</f>
        <v>4.2000000000000003E-2</v>
      </c>
      <c r="O362" s="10">
        <f>ROUND(ABS('2. Demand History'!X362-IF($D362="Yes",'2. Demand History'!L362,AVERAGE('2. Demand History'!U362:W362)))/MAX('2. Demand History'!X362,1),3)</f>
        <v>0.107</v>
      </c>
      <c r="P362" s="10">
        <f>ROUND(ABS('2. Demand History'!Y362-IF($D362="Yes",'2. Demand History'!M362,AVERAGE('2. Demand History'!V362:X362)))/MAX('2. Demand History'!Y362,1),3)</f>
        <v>0</v>
      </c>
      <c r="Q362" s="10">
        <f>ROUND(ABS('2. Demand History'!Z362-IF($D362="Yes",'2. Demand History'!N362,AVERAGE('2. Demand History'!W362:Y362)))/MAX('2. Demand History'!Z362,1),3)</f>
        <v>0.20599999999999999</v>
      </c>
    </row>
    <row r="363" spans="1:17" ht="15" customHeight="1" x14ac:dyDescent="0.2">
      <c r="A363" s="3" t="str">
        <f>'2. Demand History'!A363</f>
        <v>NT10359</v>
      </c>
      <c r="B363" s="1" t="str">
        <f>'2. Demand History'!B363</f>
        <v>ActionCam 776 4K</v>
      </c>
      <c r="C363" s="3" t="str">
        <f>'1. Master Data'!C363</f>
        <v>Cameras</v>
      </c>
      <c r="D363" s="3" t="s">
        <v>1111</v>
      </c>
      <c r="E363" s="3" t="str">
        <f t="shared" si="15"/>
        <v>Seasonal Naive</v>
      </c>
      <c r="F363" s="3">
        <f>ROUND(AVERAGE('2. Demand History'!O363:Z363),1)</f>
        <v>40.6</v>
      </c>
      <c r="G363" s="3">
        <f>ROUND(STDEV('2. Demand History'!O363:Z363),1)</f>
        <v>14.3</v>
      </c>
      <c r="H363" s="8">
        <f t="shared" si="16"/>
        <v>0.35</v>
      </c>
      <c r="I363" s="8">
        <f>ROUND(SUM('2. Demand History'!O363:Z363)/MAX(SUM('2. Demand History'!C363:N363),1),2)</f>
        <v>1.05</v>
      </c>
      <c r="J363" s="5">
        <f>IF(D363="Yes",ROUND('2. Demand History'!O363*I363,0),ROUND(AVERAGE('2. Demand History'!X363:Z363),0))</f>
        <v>36</v>
      </c>
      <c r="K363" s="9">
        <f t="shared" si="17"/>
        <v>0.13900000000000001</v>
      </c>
      <c r="L363" s="10">
        <f>ROUND(ABS('2. Demand History'!U363-IF($D363="Yes",'2. Demand History'!I363,AVERAGE('2. Demand History'!R363:T363)))/MAX('2. Demand History'!U363,1),3)</f>
        <v>0.17299999999999999</v>
      </c>
      <c r="M363" s="10">
        <f>ROUND(ABS('2. Demand History'!V363-IF($D363="Yes",'2. Demand History'!J363,AVERAGE('2. Demand History'!S363:U363)))/MAX('2. Demand History'!V363,1),3)</f>
        <v>0.25</v>
      </c>
      <c r="N363" s="10">
        <f>ROUND(ABS('2. Demand History'!W363-IF($D363="Yes",'2. Demand History'!K363,AVERAGE('2. Demand History'!T363:V363)))/MAX('2. Demand History'!W363,1),3)</f>
        <v>0.03</v>
      </c>
      <c r="O363" s="10">
        <f>ROUND(ABS('2. Demand History'!X363-IF($D363="Yes",'2. Demand History'!L363,AVERAGE('2. Demand History'!U363:W363)))/MAX('2. Demand History'!X363,1),3)</f>
        <v>0.13900000000000001</v>
      </c>
      <c r="P363" s="10">
        <f>ROUND(ABS('2. Demand History'!Y363-IF($D363="Yes",'2. Demand History'!M363,AVERAGE('2. Demand History'!V363:X363)))/MAX('2. Demand History'!Y363,1),3)</f>
        <v>7.0000000000000007E-2</v>
      </c>
      <c r="Q363" s="10">
        <f>ROUND(ABS('2. Demand History'!Z363-IF($D363="Yes",'2. Demand History'!N363,AVERAGE('2. Demand History'!W363:Y363)))/MAX('2. Demand History'!Z363,1),3)</f>
        <v>0.17100000000000001</v>
      </c>
    </row>
    <row r="364" spans="1:17" ht="15" customHeight="1" x14ac:dyDescent="0.2">
      <c r="A364" s="3" t="str">
        <f>'2. Demand History'!A364</f>
        <v>NT10360</v>
      </c>
      <c r="B364" s="1" t="str">
        <f>'2. Demand History'!B364</f>
        <v>OptiZoom 562 DSLR</v>
      </c>
      <c r="C364" s="3" t="str">
        <f>'1. Master Data'!C364</f>
        <v>Cameras</v>
      </c>
      <c r="D364" s="3" t="s">
        <v>1111</v>
      </c>
      <c r="E364" s="3" t="str">
        <f t="shared" si="15"/>
        <v>Seasonal Naive</v>
      </c>
      <c r="F364" s="3">
        <f>ROUND(AVERAGE('2. Demand History'!O364:Z364),1)</f>
        <v>2.2999999999999998</v>
      </c>
      <c r="G364" s="3">
        <f>ROUND(STDEV('2. Demand History'!O364:Z364),1)</f>
        <v>1.2</v>
      </c>
      <c r="H364" s="8">
        <f t="shared" si="16"/>
        <v>0.52</v>
      </c>
      <c r="I364" s="8">
        <f>ROUND(SUM('2. Demand History'!O364:Z364)/MAX(SUM('2. Demand History'!C364:N364),1),2)</f>
        <v>0.3</v>
      </c>
      <c r="J364" s="5">
        <f>IF(D364="Yes",ROUND('2. Demand History'!O364*I364,0),ROUND(AVERAGE('2. Demand History'!X364:Z364),0))</f>
        <v>1</v>
      </c>
      <c r="K364" s="9">
        <f t="shared" si="17"/>
        <v>4.0830000000000002</v>
      </c>
      <c r="L364" s="10">
        <f>ROUND(ABS('2. Demand History'!U364-IF($D364="Yes",'2. Demand History'!I364,AVERAGE('2. Demand History'!R364:T364)))/MAX('2. Demand History'!U364,1),3)</f>
        <v>2.5</v>
      </c>
      <c r="M364" s="10">
        <f>ROUND(ABS('2. Demand History'!V364-IF($D364="Yes",'2. Demand History'!J364,AVERAGE('2. Demand History'!S364:U364)))/MAX('2. Demand History'!V364,1),3)</f>
        <v>3</v>
      </c>
      <c r="N364" s="10">
        <f>ROUND(ABS('2. Demand History'!W364-IF($D364="Yes",'2. Demand History'!K364,AVERAGE('2. Demand History'!T364:V364)))/MAX('2. Demand History'!W364,1),3)</f>
        <v>4</v>
      </c>
      <c r="O364" s="10">
        <f>ROUND(ABS('2. Demand History'!X364-IF($D364="Yes",'2. Demand History'!L364,AVERAGE('2. Demand History'!U364:W364)))/MAX('2. Demand History'!X364,1),3)</f>
        <v>6</v>
      </c>
      <c r="P364" s="10">
        <f>ROUND(ABS('2. Demand History'!Y364-IF($D364="Yes",'2. Demand History'!M364,AVERAGE('2. Demand History'!V364:X364)))/MAX('2. Demand History'!Y364,1),3)</f>
        <v>4</v>
      </c>
      <c r="Q364" s="10">
        <f>ROUND(ABS('2. Demand History'!Z364-IF($D364="Yes",'2. Demand History'!N364,AVERAGE('2. Demand History'!W364:Y364)))/MAX('2. Demand History'!Z364,1),3)</f>
        <v>5</v>
      </c>
    </row>
    <row r="365" spans="1:17" ht="15" customHeight="1" x14ac:dyDescent="0.2">
      <c r="A365" s="3" t="str">
        <f>'2. Demand History'!A365</f>
        <v>NT10361</v>
      </c>
      <c r="B365" s="1" t="str">
        <f>'2. Demand History'!B365</f>
        <v>MirrorlessM 811</v>
      </c>
      <c r="C365" s="3" t="str">
        <f>'1. Master Data'!C365</f>
        <v>Cameras</v>
      </c>
      <c r="D365" s="3" t="s">
        <v>1111</v>
      </c>
      <c r="E365" s="3" t="str">
        <f t="shared" si="15"/>
        <v>Seasonal Naive</v>
      </c>
      <c r="F365" s="3">
        <f>ROUND(AVERAGE('2. Demand History'!O365:Z365),1)</f>
        <v>12.3</v>
      </c>
      <c r="G365" s="3">
        <f>ROUND(STDEV('2. Demand History'!O365:Z365),1)</f>
        <v>3.9</v>
      </c>
      <c r="H365" s="8">
        <f t="shared" si="16"/>
        <v>0.32</v>
      </c>
      <c r="I365" s="8">
        <f>ROUND(SUM('2. Demand History'!O365:Z365)/MAX(SUM('2. Demand History'!C365:N365),1),2)</f>
        <v>1.07</v>
      </c>
      <c r="J365" s="5">
        <f>IF(D365="Yes",ROUND('2. Demand History'!O365*I365,0),ROUND(AVERAGE('2. Demand History'!X365:Z365),0))</f>
        <v>12</v>
      </c>
      <c r="K365" s="9">
        <f t="shared" si="17"/>
        <v>0.125</v>
      </c>
      <c r="L365" s="10">
        <f>ROUND(ABS('2. Demand History'!U365-IF($D365="Yes",'2. Demand History'!I365,AVERAGE('2. Demand History'!R365:T365)))/MAX('2. Demand History'!U365,1),3)</f>
        <v>4.4999999999999998E-2</v>
      </c>
      <c r="M365" s="10">
        <f>ROUND(ABS('2. Demand History'!V365-IF($D365="Yes",'2. Demand History'!J365,AVERAGE('2. Demand History'!S365:U365)))/MAX('2. Demand History'!V365,1),3)</f>
        <v>0.14299999999999999</v>
      </c>
      <c r="N365" s="10">
        <f>ROUND(ABS('2. Demand History'!W365-IF($D365="Yes",'2. Demand History'!K365,AVERAGE('2. Demand History'!T365:V365)))/MAX('2. Demand History'!W365,1),3)</f>
        <v>9.0999999999999998E-2</v>
      </c>
      <c r="O365" s="10">
        <f>ROUND(ABS('2. Demand History'!X365-IF($D365="Yes",'2. Demand History'!L365,AVERAGE('2. Demand History'!U365:W365)))/MAX('2. Demand History'!X365,1),3)</f>
        <v>9.0999999999999998E-2</v>
      </c>
      <c r="P365" s="10">
        <f>ROUND(ABS('2. Demand History'!Y365-IF($D365="Yes",'2. Demand History'!M365,AVERAGE('2. Demand History'!V365:X365)))/MAX('2. Demand History'!Y365,1),3)</f>
        <v>0.16700000000000001</v>
      </c>
      <c r="Q365" s="10">
        <f>ROUND(ABS('2. Demand History'!Z365-IF($D365="Yes",'2. Demand History'!N365,AVERAGE('2. Demand History'!W365:Y365)))/MAX('2. Demand History'!Z365,1),3)</f>
        <v>0.214</v>
      </c>
    </row>
    <row r="366" spans="1:17" ht="15" customHeight="1" x14ac:dyDescent="0.2">
      <c r="A366" s="3" t="str">
        <f>'2. Demand History'!A366</f>
        <v>NT10362</v>
      </c>
      <c r="B366" s="1" t="str">
        <f>'2. Demand History'!B366</f>
        <v>MirrorlessM 337</v>
      </c>
      <c r="C366" s="3" t="str">
        <f>'1. Master Data'!C366</f>
        <v>Cameras</v>
      </c>
      <c r="D366" s="3" t="s">
        <v>1111</v>
      </c>
      <c r="E366" s="3" t="str">
        <f t="shared" si="15"/>
        <v>Seasonal Naive</v>
      </c>
      <c r="F366" s="3">
        <f>ROUND(AVERAGE('2. Demand History'!O366:Z366),1)</f>
        <v>88</v>
      </c>
      <c r="G366" s="3">
        <f>ROUND(STDEV('2. Demand History'!O366:Z366),1)</f>
        <v>22.5</v>
      </c>
      <c r="H366" s="8">
        <f t="shared" si="16"/>
        <v>0.26</v>
      </c>
      <c r="I366" s="8">
        <f>ROUND(SUM('2. Demand History'!O366:Z366)/MAX(SUM('2. Demand History'!C366:N366),1),2)</f>
        <v>1.02</v>
      </c>
      <c r="J366" s="5">
        <f>IF(D366="Yes",ROUND('2. Demand History'!O366*I366,0),ROUND(AVERAGE('2. Demand History'!X366:Z366),0))</f>
        <v>86</v>
      </c>
      <c r="K366" s="9">
        <f t="shared" si="17"/>
        <v>0.186</v>
      </c>
      <c r="L366" s="10">
        <f>ROUND(ABS('2. Demand History'!U366-IF($D366="Yes",'2. Demand History'!I366,AVERAGE('2. Demand History'!R366:T366)))/MAX('2. Demand History'!U366,1),3)</f>
        <v>0.29499999999999998</v>
      </c>
      <c r="M366" s="10">
        <f>ROUND(ABS('2. Demand History'!V366-IF($D366="Yes",'2. Demand History'!J366,AVERAGE('2. Demand History'!S366:U366)))/MAX('2. Demand History'!V366,1),3)</f>
        <v>0.2</v>
      </c>
      <c r="N366" s="10">
        <f>ROUND(ABS('2. Demand History'!W366-IF($D366="Yes",'2. Demand History'!K366,AVERAGE('2. Demand History'!T366:V366)))/MAX('2. Demand History'!W366,1),3)</f>
        <v>0.122</v>
      </c>
      <c r="O366" s="10">
        <f>ROUND(ABS('2. Demand History'!X366-IF($D366="Yes",'2. Demand History'!L366,AVERAGE('2. Demand History'!U366:W366)))/MAX('2. Demand History'!X366,1),3)</f>
        <v>4.2000000000000003E-2</v>
      </c>
      <c r="P366" s="10">
        <f>ROUND(ABS('2. Demand History'!Y366-IF($D366="Yes",'2. Demand History'!M366,AVERAGE('2. Demand History'!V366:X366)))/MAX('2. Demand History'!Y366,1),3)</f>
        <v>0.26400000000000001</v>
      </c>
      <c r="Q366" s="10">
        <f>ROUND(ABS('2. Demand History'!Z366-IF($D366="Yes",'2. Demand History'!N366,AVERAGE('2. Demand History'!W366:Y366)))/MAX('2. Demand History'!Z366,1),3)</f>
        <v>0.19400000000000001</v>
      </c>
    </row>
    <row r="367" spans="1:17" ht="15" customHeight="1" x14ac:dyDescent="0.2">
      <c r="A367" s="3" t="str">
        <f>'2. Demand History'!A367</f>
        <v>NT10363</v>
      </c>
      <c r="B367" s="1" t="str">
        <f>'2. Demand History'!B367</f>
        <v>OptiZoom 931 DSLR</v>
      </c>
      <c r="C367" s="3" t="str">
        <f>'1. Master Data'!C367</f>
        <v>Cameras</v>
      </c>
      <c r="D367" s="3" t="s">
        <v>1111</v>
      </c>
      <c r="E367" s="3" t="str">
        <f t="shared" si="15"/>
        <v>Seasonal Naive</v>
      </c>
      <c r="F367" s="3">
        <f>ROUND(AVERAGE('2. Demand History'!O367:Z367),1)</f>
        <v>20.6</v>
      </c>
      <c r="G367" s="3">
        <f>ROUND(STDEV('2. Demand History'!O367:Z367),1)</f>
        <v>6.6</v>
      </c>
      <c r="H367" s="8">
        <f t="shared" si="16"/>
        <v>0.32</v>
      </c>
      <c r="I367" s="8">
        <f>ROUND(SUM('2. Demand History'!O367:Z367)/MAX(SUM('2. Demand History'!C367:N367),1),2)</f>
        <v>1.05</v>
      </c>
      <c r="J367" s="5">
        <f>IF(D367="Yes",ROUND('2. Demand History'!O367*I367,0),ROUND(AVERAGE('2. Demand History'!X367:Z367),0))</f>
        <v>17</v>
      </c>
      <c r="K367" s="9">
        <f t="shared" si="17"/>
        <v>0.10299999999999999</v>
      </c>
      <c r="L367" s="10">
        <f>ROUND(ABS('2. Demand History'!U367-IF($D367="Yes",'2. Demand History'!I367,AVERAGE('2. Demand History'!R367:T367)))/MAX('2. Demand History'!U367,1),3)</f>
        <v>0.16200000000000001</v>
      </c>
      <c r="M367" s="10">
        <f>ROUND(ABS('2. Demand History'!V367-IF($D367="Yes",'2. Demand History'!J367,AVERAGE('2. Demand History'!S367:U367)))/MAX('2. Demand History'!V367,1),3)</f>
        <v>0.125</v>
      </c>
      <c r="N367" s="10">
        <f>ROUND(ABS('2. Demand History'!W367-IF($D367="Yes",'2. Demand History'!K367,AVERAGE('2. Demand History'!T367:V367)))/MAX('2. Demand History'!W367,1),3)</f>
        <v>6.7000000000000004E-2</v>
      </c>
      <c r="O367" s="10">
        <f>ROUND(ABS('2. Demand History'!X367-IF($D367="Yes",'2. Demand History'!L367,AVERAGE('2. Demand History'!U367:W367)))/MAX('2. Demand History'!X367,1),3)</f>
        <v>6.3E-2</v>
      </c>
      <c r="P367" s="10">
        <f>ROUND(ABS('2. Demand History'!Y367-IF($D367="Yes",'2. Demand History'!M367,AVERAGE('2. Demand History'!V367:X367)))/MAX('2. Demand History'!Y367,1),3)</f>
        <v>0.05</v>
      </c>
      <c r="Q367" s="10">
        <f>ROUND(ABS('2. Demand History'!Z367-IF($D367="Yes",'2. Demand History'!N367,AVERAGE('2. Demand History'!W367:Y367)))/MAX('2. Demand History'!Z367,1),3)</f>
        <v>0.15</v>
      </c>
    </row>
    <row r="368" spans="1:17" ht="15" customHeight="1" x14ac:dyDescent="0.2">
      <c r="A368" s="3" t="str">
        <f>'2. Demand History'!A368</f>
        <v>NT10364</v>
      </c>
      <c r="B368" s="1" t="str">
        <f>'2. Demand History'!B368</f>
        <v>MirrorlessM 494</v>
      </c>
      <c r="C368" s="3" t="str">
        <f>'1. Master Data'!C368</f>
        <v>Cameras</v>
      </c>
      <c r="D368" s="3" t="s">
        <v>1111</v>
      </c>
      <c r="E368" s="3" t="str">
        <f t="shared" si="15"/>
        <v>Seasonal Naive</v>
      </c>
      <c r="F368" s="3">
        <f>ROUND(AVERAGE('2. Demand History'!O368:Z368),1)</f>
        <v>64.2</v>
      </c>
      <c r="G368" s="3">
        <f>ROUND(STDEV('2. Demand History'!O368:Z368),1)</f>
        <v>20.399999999999999</v>
      </c>
      <c r="H368" s="8">
        <f t="shared" si="16"/>
        <v>0.32</v>
      </c>
      <c r="I368" s="8">
        <f>ROUND(SUM('2. Demand History'!O368:Z368)/MAX(SUM('2. Demand History'!C368:N368),1),2)</f>
        <v>1.04</v>
      </c>
      <c r="J368" s="5">
        <f>IF(D368="Yes",ROUND('2. Demand History'!O368*I368,0),ROUND(AVERAGE('2. Demand History'!X368:Z368),0))</f>
        <v>61</v>
      </c>
      <c r="K368" s="9">
        <f t="shared" si="17"/>
        <v>9.7000000000000003E-2</v>
      </c>
      <c r="L368" s="10">
        <f>ROUND(ABS('2. Demand History'!U368-IF($D368="Yes",'2. Demand History'!I368,AVERAGE('2. Demand History'!R368:T368)))/MAX('2. Demand History'!U368,1),3)</f>
        <v>2.7E-2</v>
      </c>
      <c r="M368" s="10">
        <f>ROUND(ABS('2. Demand History'!V368-IF($D368="Yes",'2. Demand History'!J368,AVERAGE('2. Demand History'!S368:U368)))/MAX('2. Demand History'!V368,1),3)</f>
        <v>0.13200000000000001</v>
      </c>
      <c r="N368" s="10">
        <f>ROUND(ABS('2. Demand History'!W368-IF($D368="Yes",'2. Demand History'!K368,AVERAGE('2. Demand History'!T368:V368)))/MAX('2. Demand History'!W368,1),3)</f>
        <v>2.1000000000000001E-2</v>
      </c>
      <c r="O368" s="10">
        <f>ROUND(ABS('2. Demand History'!X368-IF($D368="Yes",'2. Demand History'!L368,AVERAGE('2. Demand History'!U368:W368)))/MAX('2. Demand History'!X368,1),3)</f>
        <v>0</v>
      </c>
      <c r="P368" s="10">
        <f>ROUND(ABS('2. Demand History'!Y368-IF($D368="Yes",'2. Demand History'!M368,AVERAGE('2. Demand History'!V368:X368)))/MAX('2. Demand History'!Y368,1),3)</f>
        <v>6.3E-2</v>
      </c>
      <c r="Q368" s="10">
        <f>ROUND(ABS('2. Demand History'!Z368-IF($D368="Yes",'2. Demand History'!N368,AVERAGE('2. Demand History'!W368:Y368)))/MAX('2. Demand History'!Z368,1),3)</f>
        <v>0.34</v>
      </c>
    </row>
    <row r="369" spans="1:17" ht="15" customHeight="1" x14ac:dyDescent="0.2">
      <c r="A369" s="3" t="str">
        <f>'2. Demand History'!A369</f>
        <v>NT10365</v>
      </c>
      <c r="B369" s="1" t="str">
        <f>'2. Demand History'!B369</f>
        <v>OptiZoom 157 DSLR</v>
      </c>
      <c r="C369" s="3" t="str">
        <f>'1. Master Data'!C369</f>
        <v>Cameras</v>
      </c>
      <c r="D369" s="3" t="s">
        <v>1111</v>
      </c>
      <c r="E369" s="3" t="str">
        <f t="shared" si="15"/>
        <v>Seasonal Naive</v>
      </c>
      <c r="F369" s="3">
        <f>ROUND(AVERAGE('2. Demand History'!O369:Z369),1)</f>
        <v>15.9</v>
      </c>
      <c r="G369" s="3">
        <f>ROUND(STDEV('2. Demand History'!O369:Z369),1)</f>
        <v>5.8</v>
      </c>
      <c r="H369" s="8">
        <f t="shared" si="16"/>
        <v>0.36</v>
      </c>
      <c r="I369" s="8">
        <f>ROUND(SUM('2. Demand History'!O369:Z369)/MAX(SUM('2. Demand History'!C369:N369),1),2)</f>
        <v>1.04</v>
      </c>
      <c r="J369" s="5">
        <f>IF(D369="Yes",ROUND('2. Demand History'!O369*I369,0),ROUND(AVERAGE('2. Demand History'!X369:Z369),0))</f>
        <v>15</v>
      </c>
      <c r="K369" s="9">
        <f t="shared" si="17"/>
        <v>0.123</v>
      </c>
      <c r="L369" s="10">
        <f>ROUND(ABS('2. Demand History'!U369-IF($D369="Yes",'2. Demand History'!I369,AVERAGE('2. Demand History'!R369:T369)))/MAX('2. Demand History'!U369,1),3)</f>
        <v>0.19400000000000001</v>
      </c>
      <c r="M369" s="10">
        <f>ROUND(ABS('2. Demand History'!V369-IF($D369="Yes",'2. Demand History'!J369,AVERAGE('2. Demand History'!S369:U369)))/MAX('2. Demand History'!V369,1),3)</f>
        <v>9.0999999999999998E-2</v>
      </c>
      <c r="N369" s="10">
        <f>ROUND(ABS('2. Demand History'!W369-IF($D369="Yes",'2. Demand History'!K369,AVERAGE('2. Demand History'!T369:V369)))/MAX('2. Demand History'!W369,1),3)</f>
        <v>8.3000000000000004E-2</v>
      </c>
      <c r="O369" s="10">
        <f>ROUND(ABS('2. Demand History'!X369-IF($D369="Yes",'2. Demand History'!L369,AVERAGE('2. Demand History'!U369:W369)))/MAX('2. Demand History'!X369,1),3)</f>
        <v>0.154</v>
      </c>
      <c r="P369" s="10">
        <f>ROUND(ABS('2. Demand History'!Y369-IF($D369="Yes",'2. Demand History'!M369,AVERAGE('2. Demand History'!V369:X369)))/MAX('2. Demand History'!Y369,1),3)</f>
        <v>6.3E-2</v>
      </c>
      <c r="Q369" s="10">
        <f>ROUND(ABS('2. Demand History'!Z369-IF($D369="Yes",'2. Demand History'!N369,AVERAGE('2. Demand History'!W369:Y369)))/MAX('2. Demand History'!Z369,1),3)</f>
        <v>0.154</v>
      </c>
    </row>
    <row r="370" spans="1:17" ht="15" customHeight="1" x14ac:dyDescent="0.2">
      <c r="A370" s="3" t="str">
        <f>'2. Demand History'!A370</f>
        <v>NT10366</v>
      </c>
      <c r="B370" s="1" t="str">
        <f>'2. Demand History'!B370</f>
        <v>ActionCam 138 4K</v>
      </c>
      <c r="C370" s="3" t="str">
        <f>'1. Master Data'!C370</f>
        <v>Cameras</v>
      </c>
      <c r="D370" s="3" t="s">
        <v>1111</v>
      </c>
      <c r="E370" s="3" t="str">
        <f t="shared" si="15"/>
        <v>Seasonal Naive</v>
      </c>
      <c r="F370" s="3">
        <f>ROUND(AVERAGE('2. Demand History'!O370:Z370),1)</f>
        <v>12.7</v>
      </c>
      <c r="G370" s="3">
        <f>ROUND(STDEV('2. Demand History'!O370:Z370),1)</f>
        <v>4.2</v>
      </c>
      <c r="H370" s="8">
        <f t="shared" si="16"/>
        <v>0.33</v>
      </c>
      <c r="I370" s="8">
        <f>ROUND(SUM('2. Demand History'!O370:Z370)/MAX(SUM('2. Demand History'!C370:N370),1),2)</f>
        <v>1.02</v>
      </c>
      <c r="J370" s="5">
        <f>IF(D370="Yes",ROUND('2. Demand History'!O370*I370,0),ROUND(AVERAGE('2. Demand History'!X370:Z370),0))</f>
        <v>10</v>
      </c>
      <c r="K370" s="9">
        <f t="shared" si="17"/>
        <v>7.6999999999999999E-2</v>
      </c>
      <c r="L370" s="10">
        <f>ROUND(ABS('2. Demand History'!U370-IF($D370="Yes",'2. Demand History'!I370,AVERAGE('2. Demand History'!R370:T370)))/MAX('2. Demand History'!U370,1),3)</f>
        <v>9.0999999999999998E-2</v>
      </c>
      <c r="M370" s="10">
        <f>ROUND(ABS('2. Demand History'!V370-IF($D370="Yes",'2. Demand History'!J370,AVERAGE('2. Demand History'!S370:U370)))/MAX('2. Demand History'!V370,1),3)</f>
        <v>0.125</v>
      </c>
      <c r="N370" s="10">
        <f>ROUND(ABS('2. Demand History'!W370-IF($D370="Yes",'2. Demand History'!K370,AVERAGE('2. Demand History'!T370:V370)))/MAX('2. Demand History'!W370,1),3)</f>
        <v>0</v>
      </c>
      <c r="O370" s="10">
        <f>ROUND(ABS('2. Demand History'!X370-IF($D370="Yes",'2. Demand History'!L370,AVERAGE('2. Demand History'!U370:W370)))/MAX('2. Demand History'!X370,1),3)</f>
        <v>0.16700000000000001</v>
      </c>
      <c r="P370" s="10">
        <f>ROUND(ABS('2. Demand History'!Y370-IF($D370="Yes",'2. Demand History'!M370,AVERAGE('2. Demand History'!V370:X370)))/MAX('2. Demand History'!Y370,1),3)</f>
        <v>0</v>
      </c>
      <c r="Q370" s="10">
        <f>ROUND(ABS('2. Demand History'!Z370-IF($D370="Yes",'2. Demand History'!N370,AVERAGE('2. Demand History'!W370:Y370)))/MAX('2. Demand History'!Z370,1),3)</f>
        <v>7.6999999999999999E-2</v>
      </c>
    </row>
    <row r="371" spans="1:17" ht="15" customHeight="1" x14ac:dyDescent="0.2">
      <c r="A371" s="3" t="str">
        <f>'2. Demand History'!A371</f>
        <v>NT10367</v>
      </c>
      <c r="B371" s="1" t="str">
        <f>'2. Demand History'!B371</f>
        <v>TravelShot 480 Compact</v>
      </c>
      <c r="C371" s="3" t="str">
        <f>'1. Master Data'!C371</f>
        <v>Cameras</v>
      </c>
      <c r="D371" s="3" t="s">
        <v>1111</v>
      </c>
      <c r="E371" s="3" t="str">
        <f t="shared" si="15"/>
        <v>Seasonal Naive</v>
      </c>
      <c r="F371" s="3">
        <f>ROUND(AVERAGE('2. Demand History'!O371:Z371),1)</f>
        <v>7.3</v>
      </c>
      <c r="G371" s="3">
        <f>ROUND(STDEV('2. Demand History'!O371:Z371),1)</f>
        <v>6</v>
      </c>
      <c r="H371" s="8">
        <f t="shared" si="16"/>
        <v>0.82</v>
      </c>
      <c r="I371" s="8">
        <f>ROUND(SUM('2. Demand History'!O371:Z371)/MAX(SUM('2. Demand History'!C371:N371),1),2)</f>
        <v>0.86</v>
      </c>
      <c r="J371" s="5">
        <f>IF(D371="Yes",ROUND('2. Demand History'!O371*I371,0),ROUND(AVERAGE('2. Demand History'!X371:Z371),0))</f>
        <v>4</v>
      </c>
      <c r="K371" s="9">
        <f t="shared" si="17"/>
        <v>0.80400000000000005</v>
      </c>
      <c r="L371" s="10">
        <f>ROUND(ABS('2. Demand History'!U371-IF($D371="Yes",'2. Demand History'!I371,AVERAGE('2. Demand History'!R371:T371)))/MAX('2. Demand History'!U371,1),3)</f>
        <v>0.16700000000000001</v>
      </c>
      <c r="M371" s="10">
        <f>ROUND(ABS('2. Demand History'!V371-IF($D371="Yes",'2. Demand History'!J371,AVERAGE('2. Demand History'!S371:U371)))/MAX('2. Demand History'!V371,1),3)</f>
        <v>0.14299999999999999</v>
      </c>
      <c r="N371" s="10">
        <f>ROUND(ABS('2. Demand History'!W371-IF($D371="Yes",'2. Demand History'!K371,AVERAGE('2. Demand History'!T371:V371)))/MAX('2. Demand History'!W371,1),3)</f>
        <v>0.16700000000000001</v>
      </c>
      <c r="O371" s="10">
        <f>ROUND(ABS('2. Demand History'!X371-IF($D371="Yes",'2. Demand History'!L371,AVERAGE('2. Demand History'!U371:W371)))/MAX('2. Demand History'!X371,1),3)</f>
        <v>1</v>
      </c>
      <c r="P371" s="10">
        <f>ROUND(ABS('2. Demand History'!Y371-IF($D371="Yes",'2. Demand History'!M371,AVERAGE('2. Demand History'!V371:X371)))/MAX('2. Demand History'!Y371,1),3)</f>
        <v>0.84599999999999997</v>
      </c>
      <c r="Q371" s="10">
        <f>ROUND(ABS('2. Demand History'!Z371-IF($D371="Yes",'2. Demand History'!N371,AVERAGE('2. Demand History'!W371:Y371)))/MAX('2. Demand History'!Z371,1),3)</f>
        <v>2.5</v>
      </c>
    </row>
    <row r="372" spans="1:17" ht="15" customHeight="1" x14ac:dyDescent="0.2">
      <c r="A372" s="3" t="str">
        <f>'2. Demand History'!A372</f>
        <v>NT10368</v>
      </c>
      <c r="B372" s="1" t="str">
        <f>'2. Demand History'!B372</f>
        <v>OptiZoom 113 DSLR</v>
      </c>
      <c r="C372" s="3" t="str">
        <f>'1. Master Data'!C372</f>
        <v>Cameras</v>
      </c>
      <c r="D372" s="3" t="s">
        <v>1111</v>
      </c>
      <c r="E372" s="3" t="str">
        <f t="shared" si="15"/>
        <v>Seasonal Naive</v>
      </c>
      <c r="F372" s="3">
        <f>ROUND(AVERAGE('2. Demand History'!O372:Z372),1)</f>
        <v>100.3</v>
      </c>
      <c r="G372" s="3">
        <f>ROUND(STDEV('2. Demand History'!O372:Z372),1)</f>
        <v>22.9</v>
      </c>
      <c r="H372" s="8">
        <f t="shared" si="16"/>
        <v>0.23</v>
      </c>
      <c r="I372" s="8">
        <f>ROUND(SUM('2. Demand History'!O372:Z372)/MAX(SUM('2. Demand History'!C372:N372),1),2)</f>
        <v>1.1100000000000001</v>
      </c>
      <c r="J372" s="5">
        <f>IF(D372="Yes",ROUND('2. Demand History'!O372*I372,0),ROUND(AVERAGE('2. Demand History'!X372:Z372),0))</f>
        <v>98</v>
      </c>
      <c r="K372" s="9">
        <f t="shared" si="17"/>
        <v>0.1</v>
      </c>
      <c r="L372" s="10">
        <f>ROUND(ABS('2. Demand History'!U372-IF($D372="Yes",'2. Demand History'!I372,AVERAGE('2. Demand History'!R372:T372)))/MAX('2. Demand History'!U372,1),3)</f>
        <v>2.5999999999999999E-2</v>
      </c>
      <c r="M372" s="10">
        <f>ROUND(ABS('2. Demand History'!V372-IF($D372="Yes",'2. Demand History'!J372,AVERAGE('2. Demand History'!S372:U372)))/MAX('2. Demand History'!V372,1),3)</f>
        <v>0.13500000000000001</v>
      </c>
      <c r="N372" s="10">
        <f>ROUND(ABS('2. Demand History'!W372-IF($D372="Yes",'2. Demand History'!K372,AVERAGE('2. Demand History'!T372:V372)))/MAX('2. Demand History'!W372,1),3)</f>
        <v>8.3000000000000004E-2</v>
      </c>
      <c r="O372" s="10">
        <f>ROUND(ABS('2. Demand History'!X372-IF($D372="Yes",'2. Demand History'!L372,AVERAGE('2. Demand History'!U372:W372)))/MAX('2. Demand History'!X372,1),3)</f>
        <v>0.11799999999999999</v>
      </c>
      <c r="P372" s="10">
        <f>ROUND(ABS('2. Demand History'!Y372-IF($D372="Yes",'2. Demand History'!M372,AVERAGE('2. Demand History'!V372:X372)))/MAX('2. Demand History'!Y372,1),3)</f>
        <v>2.3E-2</v>
      </c>
      <c r="Q372" s="10">
        <f>ROUND(ABS('2. Demand History'!Z372-IF($D372="Yes",'2. Demand History'!N372,AVERAGE('2. Demand History'!W372:Y372)))/MAX('2. Demand History'!Z372,1),3)</f>
        <v>0.216</v>
      </c>
    </row>
    <row r="373" spans="1:17" ht="15" customHeight="1" x14ac:dyDescent="0.2">
      <c r="A373" s="3" t="str">
        <f>'2. Demand History'!A373</f>
        <v>NT10369</v>
      </c>
      <c r="B373" s="1" t="str">
        <f>'2. Demand History'!B373</f>
        <v>ActionCam 161 4K</v>
      </c>
      <c r="C373" s="3" t="str">
        <f>'1. Master Data'!C373</f>
        <v>Cameras</v>
      </c>
      <c r="D373" s="3" t="s">
        <v>1111</v>
      </c>
      <c r="E373" s="3" t="str">
        <f t="shared" si="15"/>
        <v>Seasonal Naive</v>
      </c>
      <c r="F373" s="3">
        <f>ROUND(AVERAGE('2. Demand History'!O373:Z373),1)</f>
        <v>39.1</v>
      </c>
      <c r="G373" s="3">
        <f>ROUND(STDEV('2. Demand History'!O373:Z373),1)</f>
        <v>12.1</v>
      </c>
      <c r="H373" s="8">
        <f t="shared" si="16"/>
        <v>0.31</v>
      </c>
      <c r="I373" s="8">
        <f>ROUND(SUM('2. Demand History'!O373:Z373)/MAX(SUM('2. Demand History'!C373:N373),1),2)</f>
        <v>0.99</v>
      </c>
      <c r="J373" s="5">
        <f>IF(D373="Yes",ROUND('2. Demand History'!O373*I373,0),ROUND(AVERAGE('2. Demand History'!X373:Z373),0))</f>
        <v>36</v>
      </c>
      <c r="K373" s="9">
        <f t="shared" si="17"/>
        <v>0.114</v>
      </c>
      <c r="L373" s="10">
        <f>ROUND(ABS('2. Demand History'!U373-IF($D373="Yes",'2. Demand History'!I373,AVERAGE('2. Demand History'!R373:T373)))/MAX('2. Demand History'!U373,1),3)</f>
        <v>8.5999999999999993E-2</v>
      </c>
      <c r="M373" s="10">
        <f>ROUND(ABS('2. Demand History'!V373-IF($D373="Yes",'2. Demand History'!J373,AVERAGE('2. Demand History'!S373:U373)))/MAX('2. Demand History'!V373,1),3)</f>
        <v>0.13</v>
      </c>
      <c r="N373" s="10">
        <f>ROUND(ABS('2. Demand History'!W373-IF($D373="Yes",'2. Demand History'!K373,AVERAGE('2. Demand History'!T373:V373)))/MAX('2. Demand History'!W373,1),3)</f>
        <v>6.0999999999999999E-2</v>
      </c>
      <c r="O373" s="10">
        <f>ROUND(ABS('2. Demand History'!X373-IF($D373="Yes",'2. Demand History'!L373,AVERAGE('2. Demand History'!U373:W373)))/MAX('2. Demand History'!X373,1),3)</f>
        <v>0.108</v>
      </c>
      <c r="P373" s="10">
        <f>ROUND(ABS('2. Demand History'!Y373-IF($D373="Yes",'2. Demand History'!M373,AVERAGE('2. Demand History'!V373:X373)))/MAX('2. Demand History'!Y373,1),3)</f>
        <v>0.154</v>
      </c>
      <c r="Q373" s="10">
        <f>ROUND(ABS('2. Demand History'!Z373-IF($D373="Yes",'2. Demand History'!N373,AVERAGE('2. Demand History'!W373:Y373)))/MAX('2. Demand History'!Z373,1),3)</f>
        <v>0.14299999999999999</v>
      </c>
    </row>
    <row r="374" spans="1:17" ht="15" customHeight="1" x14ac:dyDescent="0.2">
      <c r="A374" s="3" t="str">
        <f>'2. Demand History'!A374</f>
        <v>NT10370</v>
      </c>
      <c r="B374" s="1" t="str">
        <f>'2. Demand History'!B374</f>
        <v>OptiZoom 229 DSLR</v>
      </c>
      <c r="C374" s="3" t="str">
        <f>'1. Master Data'!C374</f>
        <v>Cameras</v>
      </c>
      <c r="D374" s="3" t="s">
        <v>1111</v>
      </c>
      <c r="E374" s="3" t="str">
        <f t="shared" si="15"/>
        <v>Seasonal Naive</v>
      </c>
      <c r="F374" s="3">
        <f>ROUND(AVERAGE('2. Demand History'!O374:Z374),1)</f>
        <v>4.5999999999999996</v>
      </c>
      <c r="G374" s="3">
        <f>ROUND(STDEV('2. Demand History'!O374:Z374),1)</f>
        <v>1.3</v>
      </c>
      <c r="H374" s="8">
        <f t="shared" si="16"/>
        <v>0.28000000000000003</v>
      </c>
      <c r="I374" s="8">
        <f>ROUND(SUM('2. Demand History'!O374:Z374)/MAX(SUM('2. Demand History'!C374:N374),1),2)</f>
        <v>1.1200000000000001</v>
      </c>
      <c r="J374" s="5">
        <f>IF(D374="Yes",ROUND('2. Demand History'!O374*I374,0),ROUND(AVERAGE('2. Demand History'!X374:Z374),0))</f>
        <v>4</v>
      </c>
      <c r="K374" s="9">
        <f t="shared" si="17"/>
        <v>0.104</v>
      </c>
      <c r="L374" s="10">
        <f>ROUND(ABS('2. Demand History'!U374-IF($D374="Yes",'2. Demand History'!I374,AVERAGE('2. Demand History'!R374:T374)))/MAX('2. Demand History'!U374,1),3)</f>
        <v>0.125</v>
      </c>
      <c r="M374" s="10">
        <f>ROUND(ABS('2. Demand History'!V374-IF($D374="Yes",'2. Demand History'!J374,AVERAGE('2. Demand History'!S374:U374)))/MAX('2. Demand History'!V374,1),3)</f>
        <v>0</v>
      </c>
      <c r="N374" s="10">
        <f>ROUND(ABS('2. Demand History'!W374-IF($D374="Yes",'2. Demand History'!K374,AVERAGE('2. Demand History'!T374:V374)))/MAX('2. Demand History'!W374,1),3)</f>
        <v>0.25</v>
      </c>
      <c r="O374" s="10">
        <f>ROUND(ABS('2. Demand History'!X374-IF($D374="Yes",'2. Demand History'!L374,AVERAGE('2. Demand History'!U374:W374)))/MAX('2. Demand History'!X374,1),3)</f>
        <v>0.25</v>
      </c>
      <c r="P374" s="10">
        <f>ROUND(ABS('2. Demand History'!Y374-IF($D374="Yes",'2. Demand History'!M374,AVERAGE('2. Demand History'!V374:X374)))/MAX('2. Demand History'!Y374,1),3)</f>
        <v>0</v>
      </c>
      <c r="Q374" s="10">
        <f>ROUND(ABS('2. Demand History'!Z374-IF($D374="Yes",'2. Demand History'!N374,AVERAGE('2. Demand History'!W374:Y374)))/MAX('2. Demand History'!Z374,1),3)</f>
        <v>0</v>
      </c>
    </row>
    <row r="375" spans="1:17" ht="15" customHeight="1" x14ac:dyDescent="0.2">
      <c r="A375" s="3" t="str">
        <f>'2. Demand History'!A375</f>
        <v>NT10371</v>
      </c>
      <c r="B375" s="1" t="str">
        <f>'2. Demand History'!B375</f>
        <v>ActionCam 137 4K</v>
      </c>
      <c r="C375" s="3" t="str">
        <f>'1. Master Data'!C375</f>
        <v>Cameras</v>
      </c>
      <c r="D375" s="3" t="s">
        <v>1111</v>
      </c>
      <c r="E375" s="3" t="str">
        <f t="shared" si="15"/>
        <v>Seasonal Naive</v>
      </c>
      <c r="F375" s="3">
        <f>ROUND(AVERAGE('2. Demand History'!O375:Z375),1)</f>
        <v>4.3</v>
      </c>
      <c r="G375" s="3">
        <f>ROUND(STDEV('2. Demand History'!O375:Z375),1)</f>
        <v>1.1000000000000001</v>
      </c>
      <c r="H375" s="8">
        <f t="shared" si="16"/>
        <v>0.26</v>
      </c>
      <c r="I375" s="8">
        <f>ROUND(SUM('2. Demand History'!O375:Z375)/MAX(SUM('2. Demand History'!C375:N375),1),2)</f>
        <v>1.06</v>
      </c>
      <c r="J375" s="5">
        <f>IF(D375="Yes",ROUND('2. Demand History'!O375*I375,0),ROUND(AVERAGE('2. Demand History'!X375:Z375),0))</f>
        <v>4</v>
      </c>
      <c r="K375" s="9">
        <f t="shared" si="17"/>
        <v>0.17199999999999999</v>
      </c>
      <c r="L375" s="10">
        <f>ROUND(ABS('2. Demand History'!U375-IF($D375="Yes",'2. Demand History'!I375,AVERAGE('2. Demand History'!R375:T375)))/MAX('2. Demand History'!U375,1),3)</f>
        <v>0.16700000000000001</v>
      </c>
      <c r="M375" s="10">
        <f>ROUND(ABS('2. Demand History'!V375-IF($D375="Yes",'2. Demand History'!J375,AVERAGE('2. Demand History'!S375:U375)))/MAX('2. Demand History'!V375,1),3)</f>
        <v>0.33300000000000002</v>
      </c>
      <c r="N375" s="10">
        <f>ROUND(ABS('2. Demand History'!W375-IF($D375="Yes",'2. Demand History'!K375,AVERAGE('2. Demand History'!T375:V375)))/MAX('2. Demand History'!W375,1),3)</f>
        <v>0.33300000000000002</v>
      </c>
      <c r="O375" s="10">
        <f>ROUND(ABS('2. Demand History'!X375-IF($D375="Yes",'2. Demand History'!L375,AVERAGE('2. Demand History'!U375:W375)))/MAX('2. Demand History'!X375,1),3)</f>
        <v>0</v>
      </c>
      <c r="P375" s="10">
        <f>ROUND(ABS('2. Demand History'!Y375-IF($D375="Yes",'2. Demand History'!M375,AVERAGE('2. Demand History'!V375:X375)))/MAX('2. Demand History'!Y375,1),3)</f>
        <v>0</v>
      </c>
      <c r="Q375" s="10">
        <f>ROUND(ABS('2. Demand History'!Z375-IF($D375="Yes",'2. Demand History'!N375,AVERAGE('2. Demand History'!W375:Y375)))/MAX('2. Demand History'!Z375,1),3)</f>
        <v>0.2</v>
      </c>
    </row>
    <row r="376" spans="1:17" ht="15" customHeight="1" x14ac:dyDescent="0.2">
      <c r="A376" s="3" t="str">
        <f>'2. Demand History'!A376</f>
        <v>NT10372</v>
      </c>
      <c r="B376" s="1" t="str">
        <f>'2. Demand History'!B376</f>
        <v>OptiZoom 369 DSLR</v>
      </c>
      <c r="C376" s="3" t="str">
        <f>'1. Master Data'!C376</f>
        <v>Cameras</v>
      </c>
      <c r="D376" s="3" t="s">
        <v>1111</v>
      </c>
      <c r="E376" s="3" t="str">
        <f t="shared" si="15"/>
        <v>Seasonal Naive</v>
      </c>
      <c r="F376" s="3">
        <f>ROUND(AVERAGE('2. Demand History'!O376:Z376),1)</f>
        <v>4.4000000000000004</v>
      </c>
      <c r="G376" s="3">
        <f>ROUND(STDEV('2. Demand History'!O376:Z376),1)</f>
        <v>1.1000000000000001</v>
      </c>
      <c r="H376" s="8">
        <f t="shared" si="16"/>
        <v>0.25</v>
      </c>
      <c r="I376" s="8">
        <f>ROUND(SUM('2. Demand History'!O376:Z376)/MAX(SUM('2. Demand History'!C376:N376),1),2)</f>
        <v>1.04</v>
      </c>
      <c r="J376" s="5">
        <f>IF(D376="Yes",ROUND('2. Demand History'!O376*I376,0),ROUND(AVERAGE('2. Demand History'!X376:Z376),0))</f>
        <v>4</v>
      </c>
      <c r="K376" s="9">
        <f t="shared" si="17"/>
        <v>0.107</v>
      </c>
      <c r="L376" s="10">
        <f>ROUND(ABS('2. Demand History'!U376-IF($D376="Yes",'2. Demand History'!I376,AVERAGE('2. Demand History'!R376:T376)))/MAX('2. Demand History'!U376,1),3)</f>
        <v>0.14299999999999999</v>
      </c>
      <c r="M376" s="10">
        <f>ROUND(ABS('2. Demand History'!V376-IF($D376="Yes",'2. Demand History'!J376,AVERAGE('2. Demand History'!S376:U376)))/MAX('2. Demand History'!V376,1),3)</f>
        <v>0</v>
      </c>
      <c r="N376" s="10">
        <f>ROUND(ABS('2. Demand History'!W376-IF($D376="Yes",'2. Demand History'!K376,AVERAGE('2. Demand History'!T376:V376)))/MAX('2. Demand History'!W376,1),3)</f>
        <v>0.25</v>
      </c>
      <c r="O376" s="10">
        <f>ROUND(ABS('2. Demand History'!X376-IF($D376="Yes",'2. Demand History'!L376,AVERAGE('2. Demand History'!U376:W376)))/MAX('2. Demand History'!X376,1),3)</f>
        <v>0</v>
      </c>
      <c r="P376" s="10">
        <f>ROUND(ABS('2. Demand History'!Y376-IF($D376="Yes",'2. Demand History'!M376,AVERAGE('2. Demand History'!V376:X376)))/MAX('2. Demand History'!Y376,1),3)</f>
        <v>0.25</v>
      </c>
      <c r="Q376" s="10">
        <f>ROUND(ABS('2. Demand History'!Z376-IF($D376="Yes",'2. Demand History'!N376,AVERAGE('2. Demand History'!W376:Y376)))/MAX('2. Demand History'!Z376,1),3)</f>
        <v>0</v>
      </c>
    </row>
    <row r="377" spans="1:17" ht="15" customHeight="1" x14ac:dyDescent="0.2">
      <c r="A377" s="3" t="str">
        <f>'2. Demand History'!A377</f>
        <v>NT10373</v>
      </c>
      <c r="B377" s="1" t="str">
        <f>'2. Demand History'!B377</f>
        <v>ActionCam 184 4K</v>
      </c>
      <c r="C377" s="3" t="str">
        <f>'1. Master Data'!C377</f>
        <v>Cameras</v>
      </c>
      <c r="D377" s="3" t="s">
        <v>1111</v>
      </c>
      <c r="E377" s="3" t="str">
        <f t="shared" si="15"/>
        <v>Seasonal Naive</v>
      </c>
      <c r="F377" s="3">
        <f>ROUND(AVERAGE('2. Demand History'!O377:Z377),1)</f>
        <v>30.7</v>
      </c>
      <c r="G377" s="3">
        <f>ROUND(STDEV('2. Demand History'!O377:Z377),1)</f>
        <v>8.6</v>
      </c>
      <c r="H377" s="8">
        <f t="shared" si="16"/>
        <v>0.28000000000000003</v>
      </c>
      <c r="I377" s="8">
        <f>ROUND(SUM('2. Demand History'!O377:Z377)/MAX(SUM('2. Demand History'!C377:N377),1),2)</f>
        <v>1.07</v>
      </c>
      <c r="J377" s="5">
        <f>IF(D377="Yes",ROUND('2. Demand History'!O377*I377,0),ROUND(AVERAGE('2. Demand History'!X377:Z377),0))</f>
        <v>26</v>
      </c>
      <c r="K377" s="9">
        <f t="shared" si="17"/>
        <v>0.10199999999999999</v>
      </c>
      <c r="L377" s="10">
        <f>ROUND(ABS('2. Demand History'!U377-IF($D377="Yes",'2. Demand History'!I377,AVERAGE('2. Demand History'!R377:T377)))/MAX('2. Demand History'!U377,1),3)</f>
        <v>0.115</v>
      </c>
      <c r="M377" s="10">
        <f>ROUND(ABS('2. Demand History'!V377-IF($D377="Yes",'2. Demand History'!J377,AVERAGE('2. Demand History'!S377:U377)))/MAX('2. Demand History'!V377,1),3)</f>
        <v>5.2999999999999999E-2</v>
      </c>
      <c r="N377" s="10">
        <f>ROUND(ABS('2. Demand History'!W377-IF($D377="Yes",'2. Demand History'!K377,AVERAGE('2. Demand History'!T377:V377)))/MAX('2. Demand History'!W377,1),3)</f>
        <v>4.2000000000000003E-2</v>
      </c>
      <c r="O377" s="10">
        <f>ROUND(ABS('2. Demand History'!X377-IF($D377="Yes",'2. Demand History'!L377,AVERAGE('2. Demand History'!U377:W377)))/MAX('2. Demand History'!X377,1),3)</f>
        <v>0.25</v>
      </c>
      <c r="P377" s="10">
        <f>ROUND(ABS('2. Demand History'!Y377-IF($D377="Yes",'2. Demand History'!M377,AVERAGE('2. Demand History'!V377:X377)))/MAX('2. Demand History'!Y377,1),3)</f>
        <v>6.5000000000000002E-2</v>
      </c>
      <c r="Q377" s="10">
        <f>ROUND(ABS('2. Demand History'!Z377-IF($D377="Yes",'2. Demand History'!N377,AVERAGE('2. Demand History'!W377:Y377)))/MAX('2. Demand History'!Z377,1),3)</f>
        <v>8.5999999999999993E-2</v>
      </c>
    </row>
    <row r="378" spans="1:17" ht="15" customHeight="1" x14ac:dyDescent="0.2">
      <c r="A378" s="3" t="str">
        <f>'2. Demand History'!A378</f>
        <v>NT10374</v>
      </c>
      <c r="B378" s="1" t="str">
        <f>'2. Demand History'!B378</f>
        <v>OptiZoom 250 DSLR</v>
      </c>
      <c r="C378" s="3" t="str">
        <f>'1. Master Data'!C378</f>
        <v>Cameras</v>
      </c>
      <c r="D378" s="3" t="s">
        <v>1111</v>
      </c>
      <c r="E378" s="3" t="str">
        <f t="shared" si="15"/>
        <v>Seasonal Naive</v>
      </c>
      <c r="F378" s="3">
        <f>ROUND(AVERAGE('2. Demand History'!O378:Z378),1)</f>
        <v>16.899999999999999</v>
      </c>
      <c r="G378" s="3">
        <f>ROUND(STDEV('2. Demand History'!O378:Z378),1)</f>
        <v>3.5</v>
      </c>
      <c r="H378" s="8">
        <f t="shared" si="16"/>
        <v>0.21</v>
      </c>
      <c r="I378" s="8">
        <f>ROUND(SUM('2. Demand History'!O378:Z378)/MAX(SUM('2. Demand History'!C378:N378),1),2)</f>
        <v>1.0900000000000001</v>
      </c>
      <c r="J378" s="5">
        <f>IF(D378="Yes",ROUND('2. Demand History'!O378*I378,0),ROUND(AVERAGE('2. Demand History'!X378:Z378),0))</f>
        <v>16</v>
      </c>
      <c r="K378" s="9">
        <f t="shared" si="17"/>
        <v>0.17599999999999999</v>
      </c>
      <c r="L378" s="10">
        <f>ROUND(ABS('2. Demand History'!U378-IF($D378="Yes",'2. Demand History'!I378,AVERAGE('2. Demand History'!R378:T378)))/MAX('2. Demand History'!U378,1),3)</f>
        <v>0.13</v>
      </c>
      <c r="M378" s="10">
        <f>ROUND(ABS('2. Demand History'!V378-IF($D378="Yes",'2. Demand History'!J378,AVERAGE('2. Demand History'!S378:U378)))/MAX('2. Demand History'!V378,1),3)</f>
        <v>9.0999999999999998E-2</v>
      </c>
      <c r="N378" s="10">
        <f>ROUND(ABS('2. Demand History'!W378-IF($D378="Yes",'2. Demand History'!K378,AVERAGE('2. Demand History'!T378:V378)))/MAX('2. Demand History'!W378,1),3)</f>
        <v>0.313</v>
      </c>
      <c r="O378" s="10">
        <f>ROUND(ABS('2. Demand History'!X378-IF($D378="Yes",'2. Demand History'!L378,AVERAGE('2. Demand History'!U378:W378)))/MAX('2. Demand History'!X378,1),3)</f>
        <v>0.14299999999999999</v>
      </c>
      <c r="P378" s="10">
        <f>ROUND(ABS('2. Demand History'!Y378-IF($D378="Yes",'2. Demand History'!M378,AVERAGE('2. Demand History'!V378:X378)))/MAX('2. Demand History'!Y378,1),3)</f>
        <v>0.222</v>
      </c>
      <c r="Q378" s="10">
        <f>ROUND(ABS('2. Demand History'!Z378-IF($D378="Yes",'2. Demand History'!N378,AVERAGE('2. Demand History'!W378:Y378)))/MAX('2. Demand History'!Z378,1),3)</f>
        <v>0.158</v>
      </c>
    </row>
    <row r="379" spans="1:17" ht="15" customHeight="1" x14ac:dyDescent="0.2">
      <c r="A379" s="3" t="str">
        <f>'2. Demand History'!A379</f>
        <v>NT10375</v>
      </c>
      <c r="B379" s="1" t="str">
        <f>'2. Demand History'!B379</f>
        <v>ActionCam 660 4K</v>
      </c>
      <c r="C379" s="3" t="str">
        <f>'1. Master Data'!C379</f>
        <v>Cameras</v>
      </c>
      <c r="D379" s="3" t="s">
        <v>1111</v>
      </c>
      <c r="E379" s="3" t="str">
        <f t="shared" si="15"/>
        <v>Seasonal Naive</v>
      </c>
      <c r="F379" s="3">
        <f>ROUND(AVERAGE('2. Demand History'!O379:Z379),1)</f>
        <v>5</v>
      </c>
      <c r="G379" s="3">
        <f>ROUND(STDEV('2. Demand History'!O379:Z379),1)</f>
        <v>1.5</v>
      </c>
      <c r="H379" s="8">
        <f t="shared" si="16"/>
        <v>0.3</v>
      </c>
      <c r="I379" s="8">
        <f>ROUND(SUM('2. Demand History'!O379:Z379)/MAX(SUM('2. Demand History'!C379:N379),1),2)</f>
        <v>1.05</v>
      </c>
      <c r="J379" s="5">
        <f>IF(D379="Yes",ROUND('2. Demand History'!O379*I379,0),ROUND(AVERAGE('2. Demand History'!X379:Z379),0))</f>
        <v>5</v>
      </c>
      <c r="K379" s="9">
        <f t="shared" si="17"/>
        <v>0.14899999999999999</v>
      </c>
      <c r="L379" s="10">
        <f>ROUND(ABS('2. Demand History'!U379-IF($D379="Yes",'2. Demand History'!I379,AVERAGE('2. Demand History'!R379:T379)))/MAX('2. Demand History'!U379,1),3)</f>
        <v>0.111</v>
      </c>
      <c r="M379" s="10">
        <f>ROUND(ABS('2. Demand History'!V379-IF($D379="Yes",'2. Demand History'!J379,AVERAGE('2. Demand History'!S379:U379)))/MAX('2. Demand History'!V379,1),3)</f>
        <v>0.33300000000000002</v>
      </c>
      <c r="N379" s="10">
        <f>ROUND(ABS('2. Demand History'!W379-IF($D379="Yes",'2. Demand History'!K379,AVERAGE('2. Demand History'!T379:V379)))/MAX('2. Demand History'!W379,1),3)</f>
        <v>0</v>
      </c>
      <c r="O379" s="10">
        <f>ROUND(ABS('2. Demand History'!X379-IF($D379="Yes",'2. Demand History'!L379,AVERAGE('2. Demand History'!U379:W379)))/MAX('2. Demand History'!X379,1),3)</f>
        <v>0.25</v>
      </c>
      <c r="P379" s="10">
        <f>ROUND(ABS('2. Demand History'!Y379-IF($D379="Yes",'2. Demand History'!M379,AVERAGE('2. Demand History'!V379:X379)))/MAX('2. Demand History'!Y379,1),3)</f>
        <v>0.2</v>
      </c>
      <c r="Q379" s="10">
        <f>ROUND(ABS('2. Demand History'!Z379-IF($D379="Yes",'2. Demand History'!N379,AVERAGE('2. Demand History'!W379:Y379)))/MAX('2. Demand History'!Z379,1),3)</f>
        <v>0</v>
      </c>
    </row>
    <row r="380" spans="1:17" ht="15" customHeight="1" x14ac:dyDescent="0.2">
      <c r="A380" s="3" t="str">
        <f>'2. Demand History'!A380</f>
        <v>NT10376</v>
      </c>
      <c r="B380" s="1" t="str">
        <f>'2. Demand History'!B380</f>
        <v>TravelShot 472 Compact</v>
      </c>
      <c r="C380" s="3" t="str">
        <f>'1. Master Data'!C380</f>
        <v>Cameras</v>
      </c>
      <c r="D380" s="3" t="s">
        <v>1111</v>
      </c>
      <c r="E380" s="3" t="str">
        <f t="shared" si="15"/>
        <v>Seasonal Naive</v>
      </c>
      <c r="F380" s="3">
        <f>ROUND(AVERAGE('2. Demand History'!O380:Z380),1)</f>
        <v>3.4</v>
      </c>
      <c r="G380" s="3">
        <f>ROUND(STDEV('2. Demand History'!O380:Z380),1)</f>
        <v>1.1000000000000001</v>
      </c>
      <c r="H380" s="8">
        <f t="shared" si="16"/>
        <v>0.32</v>
      </c>
      <c r="I380" s="8">
        <f>ROUND(SUM('2. Demand History'!O380:Z380)/MAX(SUM('2. Demand History'!C380:N380),1),2)</f>
        <v>1.05</v>
      </c>
      <c r="J380" s="5">
        <f>IF(D380="Yes",ROUND('2. Demand History'!O380*I380,0),ROUND(AVERAGE('2. Demand History'!X380:Z380),0))</f>
        <v>3</v>
      </c>
      <c r="K380" s="9">
        <f t="shared" si="17"/>
        <v>0.13900000000000001</v>
      </c>
      <c r="L380" s="10">
        <f>ROUND(ABS('2. Demand History'!U380-IF($D380="Yes",'2. Demand History'!I380,AVERAGE('2. Demand History'!R380:T380)))/MAX('2. Demand History'!U380,1),3)</f>
        <v>0.16700000000000001</v>
      </c>
      <c r="M380" s="10">
        <f>ROUND(ABS('2. Demand History'!V380-IF($D380="Yes",'2. Demand History'!J380,AVERAGE('2. Demand History'!S380:U380)))/MAX('2. Demand History'!V380,1),3)</f>
        <v>0</v>
      </c>
      <c r="N380" s="10">
        <f>ROUND(ABS('2. Demand History'!W380-IF($D380="Yes",'2. Demand History'!K380,AVERAGE('2. Demand History'!T380:V380)))/MAX('2. Demand History'!W380,1),3)</f>
        <v>0.33300000000000002</v>
      </c>
      <c r="O380" s="10">
        <f>ROUND(ABS('2. Demand History'!X380-IF($D380="Yes",'2. Demand History'!L380,AVERAGE('2. Demand History'!U380:W380)))/MAX('2. Demand History'!X380,1),3)</f>
        <v>0</v>
      </c>
      <c r="P380" s="10">
        <f>ROUND(ABS('2. Demand History'!Y380-IF($D380="Yes",'2. Demand History'!M380,AVERAGE('2. Demand History'!V380:X380)))/MAX('2. Demand History'!Y380,1),3)</f>
        <v>0.33300000000000002</v>
      </c>
      <c r="Q380" s="10">
        <f>ROUND(ABS('2. Demand History'!Z380-IF($D380="Yes",'2. Demand History'!N380,AVERAGE('2. Demand History'!W380:Y380)))/MAX('2. Demand History'!Z380,1),3)</f>
        <v>0</v>
      </c>
    </row>
    <row r="381" spans="1:17" ht="15" customHeight="1" x14ac:dyDescent="0.2">
      <c r="A381" s="3" t="str">
        <f>'2. Demand History'!A381</f>
        <v>NT10377</v>
      </c>
      <c r="B381" s="1" t="str">
        <f>'2. Demand History'!B381</f>
        <v>MirrorlessM 687</v>
      </c>
      <c r="C381" s="3" t="str">
        <f>'1. Master Data'!C381</f>
        <v>Cameras</v>
      </c>
      <c r="D381" s="3" t="s">
        <v>1111</v>
      </c>
      <c r="E381" s="3" t="str">
        <f t="shared" si="15"/>
        <v>Seasonal Naive</v>
      </c>
      <c r="F381" s="3">
        <f>ROUND(AVERAGE('2. Demand History'!O381:Z381),1)</f>
        <v>10.6</v>
      </c>
      <c r="G381" s="3">
        <f>ROUND(STDEV('2. Demand History'!O381:Z381),1)</f>
        <v>3.1</v>
      </c>
      <c r="H381" s="8">
        <f t="shared" si="16"/>
        <v>0.28999999999999998</v>
      </c>
      <c r="I381" s="8">
        <f>ROUND(SUM('2. Demand History'!O381:Z381)/MAX(SUM('2. Demand History'!C381:N381),1),2)</f>
        <v>1.1299999999999999</v>
      </c>
      <c r="J381" s="5">
        <f>IF(D381="Yes",ROUND('2. Demand History'!O381*I381,0),ROUND(AVERAGE('2. Demand History'!X381:Z381),0))</f>
        <v>8</v>
      </c>
      <c r="K381" s="9">
        <f t="shared" si="17"/>
        <v>0.16200000000000001</v>
      </c>
      <c r="L381" s="10">
        <f>ROUND(ABS('2. Demand History'!U381-IF($D381="Yes",'2. Demand History'!I381,AVERAGE('2. Demand History'!R381:T381)))/MAX('2. Demand History'!U381,1),3)</f>
        <v>0.222</v>
      </c>
      <c r="M381" s="10">
        <f>ROUND(ABS('2. Demand History'!V381-IF($D381="Yes",'2. Demand History'!J381,AVERAGE('2. Demand History'!S381:U381)))/MAX('2. Demand History'!V381,1),3)</f>
        <v>0.14299999999999999</v>
      </c>
      <c r="N381" s="10">
        <f>ROUND(ABS('2. Demand History'!W381-IF($D381="Yes",'2. Demand History'!K381,AVERAGE('2. Demand History'!T381:V381)))/MAX('2. Demand History'!W381,1),3)</f>
        <v>0.125</v>
      </c>
      <c r="O381" s="10">
        <f>ROUND(ABS('2. Demand History'!X381-IF($D381="Yes",'2. Demand History'!L381,AVERAGE('2. Demand History'!U381:W381)))/MAX('2. Demand History'!X381,1),3)</f>
        <v>0.111</v>
      </c>
      <c r="P381" s="10">
        <f>ROUND(ABS('2. Demand History'!Y381-IF($D381="Yes",'2. Demand History'!M381,AVERAGE('2. Demand History'!V381:X381)))/MAX('2. Demand History'!Y381,1),3)</f>
        <v>0.1</v>
      </c>
      <c r="Q381" s="10">
        <f>ROUND(ABS('2. Demand History'!Z381-IF($D381="Yes",'2. Demand History'!N381,AVERAGE('2. Demand History'!W381:Y381)))/MAX('2. Demand History'!Z381,1),3)</f>
        <v>0.27300000000000002</v>
      </c>
    </row>
    <row r="382" spans="1:17" ht="15" customHeight="1" x14ac:dyDescent="0.2">
      <c r="A382" s="3" t="str">
        <f>'2. Demand History'!A382</f>
        <v>NT10378</v>
      </c>
      <c r="B382" s="1" t="str">
        <f>'2. Demand History'!B382</f>
        <v>TravelShot 774 Compact</v>
      </c>
      <c r="C382" s="3" t="str">
        <f>'1. Master Data'!C382</f>
        <v>Cameras</v>
      </c>
      <c r="D382" s="3" t="s">
        <v>1111</v>
      </c>
      <c r="E382" s="3" t="str">
        <f t="shared" si="15"/>
        <v>Seasonal Naive</v>
      </c>
      <c r="F382" s="3">
        <f>ROUND(AVERAGE('2. Demand History'!O382:Z382),1)</f>
        <v>5.5</v>
      </c>
      <c r="G382" s="3">
        <f>ROUND(STDEV('2. Demand History'!O382:Z382),1)</f>
        <v>1.6</v>
      </c>
      <c r="H382" s="8">
        <f t="shared" si="16"/>
        <v>0.28999999999999998</v>
      </c>
      <c r="I382" s="8">
        <f>ROUND(SUM('2. Demand History'!O382:Z382)/MAX(SUM('2. Demand History'!C382:N382),1),2)</f>
        <v>1.03</v>
      </c>
      <c r="J382" s="5">
        <f>IF(D382="Yes",ROUND('2. Demand History'!O382*I382,0),ROUND(AVERAGE('2. Demand History'!X382:Z382),0))</f>
        <v>5</v>
      </c>
      <c r="K382" s="9">
        <f t="shared" si="17"/>
        <v>7.4999999999999997E-2</v>
      </c>
      <c r="L382" s="10">
        <f>ROUND(ABS('2. Demand History'!U382-IF($D382="Yes",'2. Demand History'!I382,AVERAGE('2. Demand History'!R382:T382)))/MAX('2. Demand History'!U382,1),3)</f>
        <v>0</v>
      </c>
      <c r="M382" s="10">
        <f>ROUND(ABS('2. Demand History'!V382-IF($D382="Yes",'2. Demand History'!J382,AVERAGE('2. Demand History'!S382:U382)))/MAX('2. Demand History'!V382,1),3)</f>
        <v>0.25</v>
      </c>
      <c r="N382" s="10">
        <f>ROUND(ABS('2. Demand History'!W382-IF($D382="Yes",'2. Demand History'!K382,AVERAGE('2. Demand History'!T382:V382)))/MAX('2. Demand History'!W382,1),3)</f>
        <v>0</v>
      </c>
      <c r="O382" s="10">
        <f>ROUND(ABS('2. Demand History'!X382-IF($D382="Yes",'2. Demand History'!L382,AVERAGE('2. Demand History'!U382:W382)))/MAX('2. Demand History'!X382,1),3)</f>
        <v>0.2</v>
      </c>
      <c r="P382" s="10">
        <f>ROUND(ABS('2. Demand History'!Y382-IF($D382="Yes",'2. Demand History'!M382,AVERAGE('2. Demand History'!V382:X382)))/MAX('2. Demand History'!Y382,1),3)</f>
        <v>0</v>
      </c>
      <c r="Q382" s="10">
        <f>ROUND(ABS('2. Demand History'!Z382-IF($D382="Yes",'2. Demand History'!N382,AVERAGE('2. Demand History'!W382:Y382)))/MAX('2. Demand History'!Z382,1),3)</f>
        <v>0</v>
      </c>
    </row>
    <row r="383" spans="1:17" ht="15" customHeight="1" x14ac:dyDescent="0.2">
      <c r="A383" s="3" t="str">
        <f>'2. Demand History'!A383</f>
        <v>NT10379</v>
      </c>
      <c r="B383" s="1" t="str">
        <f>'2. Demand History'!B383</f>
        <v>ActionCam 760 4K</v>
      </c>
      <c r="C383" s="3" t="str">
        <f>'1. Master Data'!C383</f>
        <v>Cameras</v>
      </c>
      <c r="D383" s="3" t="s">
        <v>1111</v>
      </c>
      <c r="E383" s="3" t="str">
        <f t="shared" si="15"/>
        <v>Seasonal Naive</v>
      </c>
      <c r="F383" s="3">
        <f>ROUND(AVERAGE('2. Demand History'!O383:Z383),1)</f>
        <v>8.9</v>
      </c>
      <c r="G383" s="3">
        <f>ROUND(STDEV('2. Demand History'!O383:Z383),1)</f>
        <v>2.4</v>
      </c>
      <c r="H383" s="8">
        <f t="shared" si="16"/>
        <v>0.27</v>
      </c>
      <c r="I383" s="8">
        <f>ROUND(SUM('2. Demand History'!O383:Z383)/MAX(SUM('2. Demand History'!C383:N383),1),2)</f>
        <v>1.05</v>
      </c>
      <c r="J383" s="5">
        <f>IF(D383="Yes",ROUND('2. Demand History'!O383*I383,0),ROUND(AVERAGE('2. Demand History'!X383:Z383),0))</f>
        <v>7</v>
      </c>
      <c r="K383" s="9">
        <f t="shared" si="17"/>
        <v>0.155</v>
      </c>
      <c r="L383" s="10">
        <f>ROUND(ABS('2. Demand History'!U383-IF($D383="Yes",'2. Demand History'!I383,AVERAGE('2. Demand History'!R383:T383)))/MAX('2. Demand History'!U383,1),3)</f>
        <v>7.0999999999999994E-2</v>
      </c>
      <c r="M383" s="10">
        <f>ROUND(ABS('2. Demand History'!V383-IF($D383="Yes",'2. Demand History'!J383,AVERAGE('2. Demand History'!S383:U383)))/MAX('2. Demand History'!V383,1),3)</f>
        <v>0.4</v>
      </c>
      <c r="N383" s="10">
        <f>ROUND(ABS('2. Demand History'!W383-IF($D383="Yes",'2. Demand History'!K383,AVERAGE('2. Demand History'!T383:V383)))/MAX('2. Demand History'!W383,1),3)</f>
        <v>0</v>
      </c>
      <c r="O383" s="10">
        <f>ROUND(ABS('2. Demand History'!X383-IF($D383="Yes",'2. Demand History'!L383,AVERAGE('2. Demand History'!U383:W383)))/MAX('2. Demand History'!X383,1),3)</f>
        <v>0.222</v>
      </c>
      <c r="P383" s="10">
        <f>ROUND(ABS('2. Demand History'!Y383-IF($D383="Yes",'2. Demand History'!M383,AVERAGE('2. Demand History'!V383:X383)))/MAX('2. Demand History'!Y383,1),3)</f>
        <v>0.125</v>
      </c>
      <c r="Q383" s="10">
        <f>ROUND(ABS('2. Demand History'!Z383-IF($D383="Yes",'2. Demand History'!N383,AVERAGE('2. Demand History'!W383:Y383)))/MAX('2. Demand History'!Z383,1),3)</f>
        <v>0.111</v>
      </c>
    </row>
    <row r="384" spans="1:17" ht="15" customHeight="1" x14ac:dyDescent="0.2">
      <c r="A384" s="3" t="str">
        <f>'2. Demand History'!A384</f>
        <v>NT10380</v>
      </c>
      <c r="B384" s="1" t="str">
        <f>'2. Demand History'!B384</f>
        <v>ActionCam 649 4K</v>
      </c>
      <c r="C384" s="3" t="str">
        <f>'1. Master Data'!C384</f>
        <v>Cameras</v>
      </c>
      <c r="D384" s="3" t="s">
        <v>1111</v>
      </c>
      <c r="E384" s="3" t="str">
        <f t="shared" si="15"/>
        <v>Seasonal Naive</v>
      </c>
      <c r="F384" s="3">
        <f>ROUND(AVERAGE('2. Demand History'!O384:Z384),1)</f>
        <v>82.1</v>
      </c>
      <c r="G384" s="3">
        <f>ROUND(STDEV('2. Demand History'!O384:Z384),1)</f>
        <v>24.3</v>
      </c>
      <c r="H384" s="8">
        <f t="shared" si="16"/>
        <v>0.3</v>
      </c>
      <c r="I384" s="8">
        <f>ROUND(SUM('2. Demand History'!O384:Z384)/MAX(SUM('2. Demand History'!C384:N384),1),2)</f>
        <v>1.1100000000000001</v>
      </c>
      <c r="J384" s="5">
        <f>IF(D384="Yes",ROUND('2. Demand History'!O384*I384,0),ROUND(AVERAGE('2. Demand History'!X384:Z384),0))</f>
        <v>80</v>
      </c>
      <c r="K384" s="9">
        <f t="shared" si="17"/>
        <v>0.113</v>
      </c>
      <c r="L384" s="10">
        <f>ROUND(ABS('2. Demand History'!U384-IF($D384="Yes",'2. Demand History'!I384,AVERAGE('2. Demand History'!R384:T384)))/MAX('2. Demand History'!U384,1),3)</f>
        <v>9.1999999999999998E-2</v>
      </c>
      <c r="M384" s="10">
        <f>ROUND(ABS('2. Demand History'!V384-IF($D384="Yes",'2. Demand History'!J384,AVERAGE('2. Demand History'!S384:U384)))/MAX('2. Demand History'!V384,1),3)</f>
        <v>8.3000000000000004E-2</v>
      </c>
      <c r="N384" s="10">
        <f>ROUND(ABS('2. Demand History'!W384-IF($D384="Yes",'2. Demand History'!K384,AVERAGE('2. Demand History'!T384:V384)))/MAX('2. Demand History'!W384,1),3)</f>
        <v>0.253</v>
      </c>
      <c r="O384" s="10">
        <f>ROUND(ABS('2. Demand History'!X384-IF($D384="Yes",'2. Demand History'!L384,AVERAGE('2. Demand History'!U384:W384)))/MAX('2. Demand History'!X384,1),3)</f>
        <v>7.4999999999999997E-2</v>
      </c>
      <c r="P384" s="10">
        <f>ROUND(ABS('2. Demand History'!Y384-IF($D384="Yes",'2. Demand History'!M384,AVERAGE('2. Demand History'!V384:X384)))/MAX('2. Demand History'!Y384,1),3)</f>
        <v>4.1000000000000002E-2</v>
      </c>
      <c r="Q384" s="10">
        <f>ROUND(ABS('2. Demand History'!Z384-IF($D384="Yes",'2. Demand History'!N384,AVERAGE('2. Demand History'!W384:Y384)))/MAX('2. Demand History'!Z384,1),3)</f>
        <v>0.13600000000000001</v>
      </c>
    </row>
    <row r="385" spans="1:17" ht="15" customHeight="1" x14ac:dyDescent="0.2">
      <c r="A385" s="3" t="str">
        <f>'2. Demand History'!A385</f>
        <v>NT10381</v>
      </c>
      <c r="B385" s="1" t="str">
        <f>'2. Demand History'!B385</f>
        <v>ActionCam 391 4K</v>
      </c>
      <c r="C385" s="3" t="str">
        <f>'1. Master Data'!C385</f>
        <v>Cameras</v>
      </c>
      <c r="D385" s="3" t="s">
        <v>1111</v>
      </c>
      <c r="E385" s="3" t="str">
        <f t="shared" si="15"/>
        <v>Seasonal Naive</v>
      </c>
      <c r="F385" s="3">
        <f>ROUND(AVERAGE('2. Demand History'!O385:Z385),1)</f>
        <v>102.5</v>
      </c>
      <c r="G385" s="3">
        <f>ROUND(STDEV('2. Demand History'!O385:Z385),1)</f>
        <v>23.9</v>
      </c>
      <c r="H385" s="8">
        <f t="shared" si="16"/>
        <v>0.23</v>
      </c>
      <c r="I385" s="8">
        <f>ROUND(SUM('2. Demand History'!O385:Z385)/MAX(SUM('2. Demand History'!C385:N385),1),2)</f>
        <v>1.07</v>
      </c>
      <c r="J385" s="5">
        <f>IF(D385="Yes",ROUND('2. Demand History'!O385*I385,0),ROUND(AVERAGE('2. Demand History'!X385:Z385),0))</f>
        <v>95</v>
      </c>
      <c r="K385" s="9">
        <f t="shared" si="17"/>
        <v>0.125</v>
      </c>
      <c r="L385" s="10">
        <f>ROUND(ABS('2. Demand History'!U385-IF($D385="Yes",'2. Demand History'!I385,AVERAGE('2. Demand History'!R385:T385)))/MAX('2. Demand History'!U385,1),3)</f>
        <v>2.5999999999999999E-2</v>
      </c>
      <c r="M385" s="10">
        <f>ROUND(ABS('2. Demand History'!V385-IF($D385="Yes",'2. Demand History'!J385,AVERAGE('2. Demand History'!S385:U385)))/MAX('2. Demand History'!V385,1),3)</f>
        <v>0</v>
      </c>
      <c r="N385" s="10">
        <f>ROUND(ABS('2. Demand History'!W385-IF($D385="Yes",'2. Demand History'!K385,AVERAGE('2. Demand History'!T385:V385)))/MAX('2. Demand History'!W385,1),3)</f>
        <v>0.26300000000000001</v>
      </c>
      <c r="O385" s="10">
        <f>ROUND(ABS('2. Demand History'!X385-IF($D385="Yes",'2. Demand History'!L385,AVERAGE('2. Demand History'!U385:W385)))/MAX('2. Demand History'!X385,1),3)</f>
        <v>0.14399999999999999</v>
      </c>
      <c r="P385" s="10">
        <f>ROUND(ABS('2. Demand History'!Y385-IF($D385="Yes",'2. Demand History'!M385,AVERAGE('2. Demand History'!V385:X385)))/MAX('2. Demand History'!Y385,1),3)</f>
        <v>0.18099999999999999</v>
      </c>
      <c r="Q385" s="10">
        <f>ROUND(ABS('2. Demand History'!Z385-IF($D385="Yes",'2. Demand History'!N385,AVERAGE('2. Demand History'!W385:Y385)))/MAX('2. Demand History'!Z385,1),3)</f>
        <v>0.13500000000000001</v>
      </c>
    </row>
    <row r="386" spans="1:17" ht="15" customHeight="1" x14ac:dyDescent="0.2">
      <c r="A386" s="3" t="str">
        <f>'2. Demand History'!A386</f>
        <v>NT10382</v>
      </c>
      <c r="B386" s="1" t="str">
        <f>'2. Demand History'!B386</f>
        <v>TravelShot 847 Compact</v>
      </c>
      <c r="C386" s="3" t="str">
        <f>'1. Master Data'!C386</f>
        <v>Cameras</v>
      </c>
      <c r="D386" s="3" t="s">
        <v>1111</v>
      </c>
      <c r="E386" s="3" t="str">
        <f t="shared" si="15"/>
        <v>Seasonal Naive</v>
      </c>
      <c r="F386" s="3">
        <f>ROUND(AVERAGE('2. Demand History'!O386:Z386),1)</f>
        <v>3.4</v>
      </c>
      <c r="G386" s="3">
        <f>ROUND(STDEV('2. Demand History'!O386:Z386),1)</f>
        <v>1</v>
      </c>
      <c r="H386" s="8">
        <f t="shared" si="16"/>
        <v>0.28999999999999998</v>
      </c>
      <c r="I386" s="8">
        <f>ROUND(SUM('2. Demand History'!O386:Z386)/MAX(SUM('2. Demand History'!C386:N386),1),2)</f>
        <v>1.05</v>
      </c>
      <c r="J386" s="5">
        <f>IF(D386="Yes",ROUND('2. Demand History'!O386*I386,0),ROUND(AVERAGE('2. Demand History'!X386:Z386),0))</f>
        <v>3</v>
      </c>
      <c r="K386" s="9">
        <f t="shared" si="17"/>
        <v>0.125</v>
      </c>
      <c r="L386" s="10">
        <f>ROUND(ABS('2. Demand History'!U386-IF($D386="Yes",'2. Demand History'!I386,AVERAGE('2. Demand History'!R386:T386)))/MAX('2. Demand History'!U386,1),3)</f>
        <v>0.16700000000000001</v>
      </c>
      <c r="M386" s="10">
        <f>ROUND(ABS('2. Demand History'!V386-IF($D386="Yes",'2. Demand History'!J386,AVERAGE('2. Demand History'!S386:U386)))/MAX('2. Demand History'!V386,1),3)</f>
        <v>0</v>
      </c>
      <c r="N386" s="10">
        <f>ROUND(ABS('2. Demand History'!W386-IF($D386="Yes",'2. Demand History'!K386,AVERAGE('2. Demand History'!T386:V386)))/MAX('2. Demand History'!W386,1),3)</f>
        <v>0.33300000000000002</v>
      </c>
      <c r="O386" s="10">
        <f>ROUND(ABS('2. Demand History'!X386-IF($D386="Yes",'2. Demand History'!L386,AVERAGE('2. Demand History'!U386:W386)))/MAX('2. Demand History'!X386,1),3)</f>
        <v>0</v>
      </c>
      <c r="P386" s="10">
        <f>ROUND(ABS('2. Demand History'!Y386-IF($D386="Yes",'2. Demand History'!M386,AVERAGE('2. Demand History'!V386:X386)))/MAX('2. Demand History'!Y386,1),3)</f>
        <v>0</v>
      </c>
      <c r="Q386" s="10">
        <f>ROUND(ABS('2. Demand History'!Z386-IF($D386="Yes",'2. Demand History'!N386,AVERAGE('2. Demand History'!W386:Y386)))/MAX('2. Demand History'!Z386,1),3)</f>
        <v>0.25</v>
      </c>
    </row>
    <row r="387" spans="1:17" ht="15" customHeight="1" x14ac:dyDescent="0.2">
      <c r="A387" s="3" t="str">
        <f>'2. Demand History'!A387</f>
        <v>NT10383</v>
      </c>
      <c r="B387" s="1" t="str">
        <f>'2. Demand History'!B387</f>
        <v>MirrorlessM 561</v>
      </c>
      <c r="C387" s="3" t="str">
        <f>'1. Master Data'!C387</f>
        <v>Cameras</v>
      </c>
      <c r="D387" s="3" t="s">
        <v>1111</v>
      </c>
      <c r="E387" s="3" t="str">
        <f t="shared" si="15"/>
        <v>Seasonal Naive</v>
      </c>
      <c r="F387" s="3">
        <f>ROUND(AVERAGE('2. Demand History'!O387:Z387),1)</f>
        <v>13</v>
      </c>
      <c r="G387" s="3">
        <f>ROUND(STDEV('2. Demand History'!O387:Z387),1)</f>
        <v>4</v>
      </c>
      <c r="H387" s="8">
        <f t="shared" si="16"/>
        <v>0.31</v>
      </c>
      <c r="I387" s="8">
        <f>ROUND(SUM('2. Demand History'!O387:Z387)/MAX(SUM('2. Demand History'!C387:N387),1),2)</f>
        <v>1.08</v>
      </c>
      <c r="J387" s="5">
        <f>IF(D387="Yes",ROUND('2. Demand History'!O387*I387,0),ROUND(AVERAGE('2. Demand History'!X387:Z387),0))</f>
        <v>12</v>
      </c>
      <c r="K387" s="9">
        <f t="shared" si="17"/>
        <v>7.2999999999999995E-2</v>
      </c>
      <c r="L387" s="10">
        <f>ROUND(ABS('2. Demand History'!U387-IF($D387="Yes",'2. Demand History'!I387,AVERAGE('2. Demand History'!R387:T387)))/MAX('2. Demand History'!U387,1),3)</f>
        <v>9.0999999999999998E-2</v>
      </c>
      <c r="M387" s="10">
        <f>ROUND(ABS('2. Demand History'!V387-IF($D387="Yes",'2. Demand History'!J387,AVERAGE('2. Demand History'!S387:U387)))/MAX('2. Demand History'!V387,1),3)</f>
        <v>0.111</v>
      </c>
      <c r="N387" s="10">
        <f>ROUND(ABS('2. Demand History'!W387-IF($D387="Yes",'2. Demand History'!K387,AVERAGE('2. Demand History'!T387:V387)))/MAX('2. Demand History'!W387,1),3)</f>
        <v>0</v>
      </c>
      <c r="O387" s="10">
        <f>ROUND(ABS('2. Demand History'!X387-IF($D387="Yes",'2. Demand History'!L387,AVERAGE('2. Demand History'!U387:W387)))/MAX('2. Demand History'!X387,1),3)</f>
        <v>0</v>
      </c>
      <c r="P387" s="10">
        <f>ROUND(ABS('2. Demand History'!Y387-IF($D387="Yes",'2. Demand History'!M387,AVERAGE('2. Demand History'!V387:X387)))/MAX('2. Demand History'!Y387,1),3)</f>
        <v>0.154</v>
      </c>
      <c r="Q387" s="10">
        <f>ROUND(ABS('2. Demand History'!Z387-IF($D387="Yes",'2. Demand History'!N387,AVERAGE('2. Demand History'!W387:Y387)))/MAX('2. Demand History'!Z387,1),3)</f>
        <v>8.3000000000000004E-2</v>
      </c>
    </row>
    <row r="388" spans="1:17" ht="15" customHeight="1" x14ac:dyDescent="0.2">
      <c r="A388" s="3" t="str">
        <f>'2. Demand History'!A388</f>
        <v>NT10384</v>
      </c>
      <c r="B388" s="1" t="str">
        <f>'2. Demand History'!B388</f>
        <v>MirrorlessM 246</v>
      </c>
      <c r="C388" s="3" t="str">
        <f>'1. Master Data'!C388</f>
        <v>Cameras</v>
      </c>
      <c r="D388" s="3" t="s">
        <v>1111</v>
      </c>
      <c r="E388" s="3" t="str">
        <f t="shared" si="15"/>
        <v>Seasonal Naive</v>
      </c>
      <c r="F388" s="3">
        <f>ROUND(AVERAGE('2. Demand History'!O388:Z388),1)</f>
        <v>11.3</v>
      </c>
      <c r="G388" s="3">
        <f>ROUND(STDEV('2. Demand History'!O388:Z388),1)</f>
        <v>3.3</v>
      </c>
      <c r="H388" s="8">
        <f t="shared" si="16"/>
        <v>0.28999999999999998</v>
      </c>
      <c r="I388" s="8">
        <f>ROUND(SUM('2. Demand History'!O388:Z388)/MAX(SUM('2. Demand History'!C388:N388),1),2)</f>
        <v>1.01</v>
      </c>
      <c r="J388" s="5">
        <f>IF(D388="Yes",ROUND('2. Demand History'!O388*I388,0),ROUND(AVERAGE('2. Demand History'!X388:Z388),0))</f>
        <v>11</v>
      </c>
      <c r="K388" s="9">
        <f t="shared" si="17"/>
        <v>0.12</v>
      </c>
      <c r="L388" s="10">
        <f>ROUND(ABS('2. Demand History'!U388-IF($D388="Yes",'2. Demand History'!I388,AVERAGE('2. Demand History'!R388:T388)))/MAX('2. Demand History'!U388,1),3)</f>
        <v>0.1</v>
      </c>
      <c r="M388" s="10">
        <f>ROUND(ABS('2. Demand History'!V388-IF($D388="Yes",'2. Demand History'!J388,AVERAGE('2. Demand History'!S388:U388)))/MAX('2. Demand History'!V388,1),3)</f>
        <v>0.125</v>
      </c>
      <c r="N388" s="10">
        <f>ROUND(ABS('2. Demand History'!W388-IF($D388="Yes",'2. Demand History'!K388,AVERAGE('2. Demand History'!T388:V388)))/MAX('2. Demand History'!W388,1),3)</f>
        <v>0.111</v>
      </c>
      <c r="O388" s="10">
        <f>ROUND(ABS('2. Demand History'!X388-IF($D388="Yes",'2. Demand History'!L388,AVERAGE('2. Demand History'!U388:W388)))/MAX('2. Demand History'!X388,1),3)</f>
        <v>0</v>
      </c>
      <c r="P388" s="10">
        <f>ROUND(ABS('2. Demand History'!Y388-IF($D388="Yes",'2. Demand History'!M388,AVERAGE('2. Demand History'!V388:X388)))/MAX('2. Demand History'!Y388,1),3)</f>
        <v>0.1</v>
      </c>
      <c r="Q388" s="10">
        <f>ROUND(ABS('2. Demand History'!Z388-IF($D388="Yes",'2. Demand History'!N388,AVERAGE('2. Demand History'!W388:Y388)))/MAX('2. Demand History'!Z388,1),3)</f>
        <v>0.28599999999999998</v>
      </c>
    </row>
    <row r="389" spans="1:17" ht="15" customHeight="1" x14ac:dyDescent="0.2">
      <c r="A389" s="3" t="str">
        <f>'2. Demand History'!A389</f>
        <v>NT10385</v>
      </c>
      <c r="B389" s="1" t="str">
        <f>'2. Demand History'!B389</f>
        <v>ActionCam 664 4K</v>
      </c>
      <c r="C389" s="3" t="str">
        <f>'1. Master Data'!C389</f>
        <v>Cameras</v>
      </c>
      <c r="D389" s="3" t="s">
        <v>1111</v>
      </c>
      <c r="E389" s="3" t="str">
        <f t="shared" ref="E389:E452" si="18">IF(D389="Yes","Seasonal Naive","Moving Avg 3")</f>
        <v>Seasonal Naive</v>
      </c>
      <c r="F389" s="3">
        <f>ROUND(AVERAGE('2. Demand History'!O389:Z389),1)</f>
        <v>10.199999999999999</v>
      </c>
      <c r="G389" s="3">
        <f>ROUND(STDEV('2. Demand History'!O389:Z389),1)</f>
        <v>3.2</v>
      </c>
      <c r="H389" s="8">
        <f t="shared" ref="H389:H452" si="19">IF(F389=0,0,ROUND(G389/F389,2))</f>
        <v>0.31</v>
      </c>
      <c r="I389" s="8">
        <f>ROUND(SUM('2. Demand History'!O389:Z389)/MAX(SUM('2. Demand History'!C389:N389),1),2)</f>
        <v>1.1000000000000001</v>
      </c>
      <c r="J389" s="5">
        <f>IF(D389="Yes",ROUND('2. Demand History'!O389*I389,0),ROUND(AVERAGE('2. Demand History'!X389:Z389),0))</f>
        <v>11</v>
      </c>
      <c r="K389" s="9">
        <f t="shared" ref="K389:K452" si="20">ROUND(AVERAGE(L389:Q389),3)</f>
        <v>0.16600000000000001</v>
      </c>
      <c r="L389" s="10">
        <f>ROUND(ABS('2. Demand History'!U389-IF($D389="Yes",'2. Demand History'!I389,AVERAGE('2. Demand History'!R389:T389)))/MAX('2. Demand History'!U389,1),3)</f>
        <v>0.17599999999999999</v>
      </c>
      <c r="M389" s="10">
        <f>ROUND(ABS('2. Demand History'!V389-IF($D389="Yes",'2. Demand History'!J389,AVERAGE('2. Demand History'!S389:U389)))/MAX('2. Demand History'!V389,1),3)</f>
        <v>0.2</v>
      </c>
      <c r="N389" s="10">
        <f>ROUND(ABS('2. Demand History'!W389-IF($D389="Yes",'2. Demand History'!K389,AVERAGE('2. Demand History'!T389:V389)))/MAX('2. Demand History'!W389,1),3)</f>
        <v>0.125</v>
      </c>
      <c r="O389" s="10">
        <f>ROUND(ABS('2. Demand History'!X389-IF($D389="Yes",'2. Demand History'!L389,AVERAGE('2. Demand History'!U389:W389)))/MAX('2. Demand History'!X389,1),3)</f>
        <v>0.111</v>
      </c>
      <c r="P389" s="10">
        <f>ROUND(ABS('2. Demand History'!Y389-IF($D389="Yes",'2. Demand History'!M389,AVERAGE('2. Demand History'!V389:X389)))/MAX('2. Demand History'!Y389,1),3)</f>
        <v>0.27300000000000002</v>
      </c>
      <c r="Q389" s="10">
        <f>ROUND(ABS('2. Demand History'!Z389-IF($D389="Yes",'2. Demand History'!N389,AVERAGE('2. Demand History'!W389:Y389)))/MAX('2. Demand History'!Z389,1),3)</f>
        <v>0.111</v>
      </c>
    </row>
    <row r="390" spans="1:17" ht="15" customHeight="1" x14ac:dyDescent="0.2">
      <c r="A390" s="3" t="str">
        <f>'2. Demand History'!A390</f>
        <v>NT10386</v>
      </c>
      <c r="B390" s="1" t="str">
        <f>'2. Demand History'!B390</f>
        <v>TravelShot 287 Compact</v>
      </c>
      <c r="C390" s="3" t="str">
        <f>'1. Master Data'!C390</f>
        <v>Cameras</v>
      </c>
      <c r="D390" s="3" t="s">
        <v>1111</v>
      </c>
      <c r="E390" s="3" t="str">
        <f t="shared" si="18"/>
        <v>Seasonal Naive</v>
      </c>
      <c r="F390" s="3">
        <f>ROUND(AVERAGE('2. Demand History'!O390:Z390),1)</f>
        <v>7.3</v>
      </c>
      <c r="G390" s="3">
        <f>ROUND(STDEV('2. Demand History'!O390:Z390),1)</f>
        <v>5.9</v>
      </c>
      <c r="H390" s="8">
        <f t="shared" si="19"/>
        <v>0.81</v>
      </c>
      <c r="I390" s="8">
        <f>ROUND(SUM('2. Demand History'!O390:Z390)/MAX(SUM('2. Demand History'!C390:N390),1),2)</f>
        <v>1.87</v>
      </c>
      <c r="J390" s="5">
        <f>IF(D390="Yes",ROUND('2. Demand History'!O390*I390,0),ROUND(AVERAGE('2. Demand History'!X390:Z390),0))</f>
        <v>17</v>
      </c>
      <c r="K390" s="9">
        <f t="shared" si="20"/>
        <v>0.84699999999999998</v>
      </c>
      <c r="L390" s="10">
        <f>ROUND(ABS('2. Demand History'!U390-IF($D390="Yes",'2. Demand History'!I390,AVERAGE('2. Demand History'!R390:T390)))/MAX('2. Demand History'!U390,1),3)</f>
        <v>0.66700000000000004</v>
      </c>
      <c r="M390" s="10">
        <f>ROUND(ABS('2. Demand History'!V390-IF($D390="Yes",'2. Demand History'!J390,AVERAGE('2. Demand History'!S390:U390)))/MAX('2. Demand History'!V390,1),3)</f>
        <v>0.5</v>
      </c>
      <c r="N390" s="10">
        <f>ROUND(ABS('2. Demand History'!W390-IF($D390="Yes",'2. Demand History'!K390,AVERAGE('2. Demand History'!T390:V390)))/MAX('2. Demand History'!W390,1),3)</f>
        <v>3.3330000000000002</v>
      </c>
      <c r="O390" s="10">
        <f>ROUND(ABS('2. Demand History'!X390-IF($D390="Yes",'2. Demand History'!L390,AVERAGE('2. Demand History'!U390:W390)))/MAX('2. Demand History'!X390,1),3)</f>
        <v>0.25</v>
      </c>
      <c r="P390" s="10">
        <f>ROUND(ABS('2. Demand History'!Y390-IF($D390="Yes",'2. Demand History'!M390,AVERAGE('2. Demand History'!V390:X390)))/MAX('2. Demand History'!Y390,1),3)</f>
        <v>0</v>
      </c>
      <c r="Q390" s="10">
        <f>ROUND(ABS('2. Demand History'!Z390-IF($D390="Yes",'2. Demand History'!N390,AVERAGE('2. Demand History'!W390:Y390)))/MAX('2. Demand History'!Z390,1),3)</f>
        <v>0.33300000000000002</v>
      </c>
    </row>
    <row r="391" spans="1:17" ht="15" customHeight="1" x14ac:dyDescent="0.2">
      <c r="A391" s="3" t="str">
        <f>'2. Demand History'!A391</f>
        <v>NT10387</v>
      </c>
      <c r="B391" s="1" t="str">
        <f>'2. Demand History'!B391</f>
        <v>OptiZoom 998 DSLR</v>
      </c>
      <c r="C391" s="3" t="str">
        <f>'1. Master Data'!C391</f>
        <v>Cameras</v>
      </c>
      <c r="D391" s="3" t="s">
        <v>1111</v>
      </c>
      <c r="E391" s="3" t="str">
        <f t="shared" si="18"/>
        <v>Seasonal Naive</v>
      </c>
      <c r="F391" s="3">
        <f>ROUND(AVERAGE('2. Demand History'!O391:Z391),1)</f>
        <v>1.3</v>
      </c>
      <c r="G391" s="3">
        <f>ROUND(STDEV('2. Demand History'!O391:Z391),1)</f>
        <v>0.8</v>
      </c>
      <c r="H391" s="8">
        <f t="shared" si="19"/>
        <v>0.62</v>
      </c>
      <c r="I391" s="8">
        <f>ROUND(SUM('2. Demand History'!O391:Z391)/MAX(SUM('2. Demand History'!C391:N391),1),2)</f>
        <v>0.34</v>
      </c>
      <c r="J391" s="5">
        <f>IF(D391="Yes",ROUND('2. Demand History'!O391*I391,0),ROUND(AVERAGE('2. Demand History'!X391:Z391),0))</f>
        <v>1</v>
      </c>
      <c r="K391" s="9">
        <f t="shared" si="20"/>
        <v>2.1669999999999998</v>
      </c>
      <c r="L391" s="10">
        <f>ROUND(ABS('2. Demand History'!U391-IF($D391="Yes",'2. Demand History'!I391,AVERAGE('2. Demand History'!R391:T391)))/MAX('2. Demand History'!U391,1),3)</f>
        <v>2</v>
      </c>
      <c r="M391" s="10">
        <f>ROUND(ABS('2. Demand History'!V391-IF($D391="Yes",'2. Demand History'!J391,AVERAGE('2. Demand History'!S391:U391)))/MAX('2. Demand History'!V391,1),3)</f>
        <v>3</v>
      </c>
      <c r="N391" s="10">
        <f>ROUND(ABS('2. Demand History'!W391-IF($D391="Yes",'2. Demand History'!K391,AVERAGE('2. Demand History'!T391:V391)))/MAX('2. Demand History'!W391,1),3)</f>
        <v>2</v>
      </c>
      <c r="O391" s="10">
        <f>ROUND(ABS('2. Demand History'!X391-IF($D391="Yes",'2. Demand History'!L391,AVERAGE('2. Demand History'!U391:W391)))/MAX('2. Demand History'!X391,1),3)</f>
        <v>2</v>
      </c>
      <c r="P391" s="10">
        <f>ROUND(ABS('2. Demand History'!Y391-IF($D391="Yes",'2. Demand History'!M391,AVERAGE('2. Demand History'!V391:X391)))/MAX('2. Demand History'!Y391,1),3)</f>
        <v>2</v>
      </c>
      <c r="Q391" s="10">
        <f>ROUND(ABS('2. Demand History'!Z391-IF($D391="Yes",'2. Demand History'!N391,AVERAGE('2. Demand History'!W391:Y391)))/MAX('2. Demand History'!Z391,1),3)</f>
        <v>2</v>
      </c>
    </row>
    <row r="392" spans="1:17" ht="15" customHeight="1" x14ac:dyDescent="0.2">
      <c r="A392" s="3" t="str">
        <f>'2. Demand History'!A392</f>
        <v>NT10388</v>
      </c>
      <c r="B392" s="1" t="str">
        <f>'2. Demand History'!B392</f>
        <v>MirrorlessM 748</v>
      </c>
      <c r="C392" s="3" t="str">
        <f>'1. Master Data'!C392</f>
        <v>Cameras</v>
      </c>
      <c r="D392" s="3" t="s">
        <v>1111</v>
      </c>
      <c r="E392" s="3" t="str">
        <f t="shared" si="18"/>
        <v>Seasonal Naive</v>
      </c>
      <c r="F392" s="3">
        <f>ROUND(AVERAGE('2. Demand History'!O392:Z392),1)</f>
        <v>23</v>
      </c>
      <c r="G392" s="3">
        <f>ROUND(STDEV('2. Demand History'!O392:Z392),1)</f>
        <v>5.6</v>
      </c>
      <c r="H392" s="8">
        <f t="shared" si="19"/>
        <v>0.24</v>
      </c>
      <c r="I392" s="8">
        <f>ROUND(SUM('2. Demand History'!O392:Z392)/MAX(SUM('2. Demand History'!C392:N392),1),2)</f>
        <v>1.06</v>
      </c>
      <c r="J392" s="5">
        <f>IF(D392="Yes",ROUND('2. Demand History'!O392*I392,0),ROUND(AVERAGE('2. Demand History'!X392:Z392),0))</f>
        <v>22</v>
      </c>
      <c r="K392" s="9">
        <f t="shared" si="20"/>
        <v>0.13800000000000001</v>
      </c>
      <c r="L392" s="10">
        <f>ROUND(ABS('2. Demand History'!U392-IF($D392="Yes",'2. Demand History'!I392,AVERAGE('2. Demand History'!R392:T392)))/MAX('2. Demand History'!U392,1),3)</f>
        <v>0.16700000000000001</v>
      </c>
      <c r="M392" s="10">
        <f>ROUND(ABS('2. Demand History'!V392-IF($D392="Yes",'2. Demand History'!J392,AVERAGE('2. Demand History'!S392:U392)))/MAX('2. Demand History'!V392,1),3)</f>
        <v>0.11799999999999999</v>
      </c>
      <c r="N392" s="10">
        <f>ROUND(ABS('2. Demand History'!W392-IF($D392="Yes",'2. Demand History'!K392,AVERAGE('2. Demand History'!T392:V392)))/MAX('2. Demand History'!W392,1),3)</f>
        <v>0.23799999999999999</v>
      </c>
      <c r="O392" s="10">
        <f>ROUND(ABS('2. Demand History'!X392-IF($D392="Yes",'2. Demand History'!L392,AVERAGE('2. Demand History'!U392:W392)))/MAX('2. Demand History'!X392,1),3)</f>
        <v>0.111</v>
      </c>
      <c r="P392" s="10">
        <f>ROUND(ABS('2. Demand History'!Y392-IF($D392="Yes",'2. Demand History'!M392,AVERAGE('2. Demand History'!V392:X392)))/MAX('2. Demand History'!Y392,1),3)</f>
        <v>0.15</v>
      </c>
      <c r="Q392" s="10">
        <f>ROUND(ABS('2. Demand History'!Z392-IF($D392="Yes",'2. Demand History'!N392,AVERAGE('2. Demand History'!W392:Y392)))/MAX('2. Demand History'!Z392,1),3)</f>
        <v>4.2999999999999997E-2</v>
      </c>
    </row>
    <row r="393" spans="1:17" ht="15" customHeight="1" x14ac:dyDescent="0.2">
      <c r="A393" s="3" t="str">
        <f>'2. Demand History'!A393</f>
        <v>NT10389</v>
      </c>
      <c r="B393" s="1" t="str">
        <f>'2. Demand History'!B393</f>
        <v>MirrorlessM 942</v>
      </c>
      <c r="C393" s="3" t="str">
        <f>'1. Master Data'!C393</f>
        <v>Cameras</v>
      </c>
      <c r="D393" s="3" t="s">
        <v>1111</v>
      </c>
      <c r="E393" s="3" t="str">
        <f t="shared" si="18"/>
        <v>Seasonal Naive</v>
      </c>
      <c r="F393" s="3">
        <f>ROUND(AVERAGE('2. Demand History'!O393:Z393),1)</f>
        <v>32.4</v>
      </c>
      <c r="G393" s="3">
        <f>ROUND(STDEV('2. Demand History'!O393:Z393),1)</f>
        <v>10.7</v>
      </c>
      <c r="H393" s="8">
        <f t="shared" si="19"/>
        <v>0.33</v>
      </c>
      <c r="I393" s="8">
        <f>ROUND(SUM('2. Demand History'!O393:Z393)/MAX(SUM('2. Demand History'!C393:N393),1),2)</f>
        <v>1.06</v>
      </c>
      <c r="J393" s="5">
        <f>IF(D393="Yes",ROUND('2. Demand History'!O393*I393,0),ROUND(AVERAGE('2. Demand History'!X393:Z393),0))</f>
        <v>30</v>
      </c>
      <c r="K393" s="9">
        <f t="shared" si="20"/>
        <v>9.8000000000000004E-2</v>
      </c>
      <c r="L393" s="10">
        <f>ROUND(ABS('2. Demand History'!U393-IF($D393="Yes",'2. Demand History'!I393,AVERAGE('2. Demand History'!R393:T393)))/MAX('2. Demand History'!U393,1),3)</f>
        <v>9.8000000000000004E-2</v>
      </c>
      <c r="M393" s="10">
        <f>ROUND(ABS('2. Demand History'!V393-IF($D393="Yes",'2. Demand History'!J393,AVERAGE('2. Demand History'!S393:U393)))/MAX('2. Demand History'!V393,1),3)</f>
        <v>0.13</v>
      </c>
      <c r="N393" s="10">
        <f>ROUND(ABS('2. Demand History'!W393-IF($D393="Yes",'2. Demand History'!K393,AVERAGE('2. Demand History'!T393:V393)))/MAX('2. Demand History'!W393,1),3)</f>
        <v>0.10299999999999999</v>
      </c>
      <c r="O393" s="10">
        <f>ROUND(ABS('2. Demand History'!X393-IF($D393="Yes",'2. Demand History'!L393,AVERAGE('2. Demand History'!U393:W393)))/MAX('2. Demand History'!X393,1),3)</f>
        <v>0.154</v>
      </c>
      <c r="P393" s="10">
        <f>ROUND(ABS('2. Demand History'!Y393-IF($D393="Yes",'2. Demand History'!M393,AVERAGE('2. Demand History'!V393:X393)))/MAX('2. Demand History'!Y393,1),3)</f>
        <v>0.04</v>
      </c>
      <c r="Q393" s="10">
        <f>ROUND(ABS('2. Demand History'!Z393-IF($D393="Yes",'2. Demand History'!N393,AVERAGE('2. Demand History'!W393:Y393)))/MAX('2. Demand History'!Z393,1),3)</f>
        <v>6.3E-2</v>
      </c>
    </row>
    <row r="394" spans="1:17" ht="15" customHeight="1" x14ac:dyDescent="0.2">
      <c r="A394" s="3" t="str">
        <f>'2. Demand History'!A394</f>
        <v>NT10390</v>
      </c>
      <c r="B394" s="1" t="str">
        <f>'2. Demand History'!B394</f>
        <v>ActionCam 753 4K</v>
      </c>
      <c r="C394" s="3" t="str">
        <f>'1. Master Data'!C394</f>
        <v>Cameras</v>
      </c>
      <c r="D394" s="3" t="s">
        <v>1111</v>
      </c>
      <c r="E394" s="3" t="str">
        <f t="shared" si="18"/>
        <v>Seasonal Naive</v>
      </c>
      <c r="F394" s="3">
        <f>ROUND(AVERAGE('2. Demand History'!O394:Z394),1)</f>
        <v>14.9</v>
      </c>
      <c r="G394" s="3">
        <f>ROUND(STDEV('2. Demand History'!O394:Z394),1)</f>
        <v>4.0999999999999996</v>
      </c>
      <c r="H394" s="8">
        <f t="shared" si="19"/>
        <v>0.28000000000000003</v>
      </c>
      <c r="I394" s="8">
        <f>ROUND(SUM('2. Demand History'!O394:Z394)/MAX(SUM('2. Demand History'!C394:N394),1),2)</f>
        <v>1.02</v>
      </c>
      <c r="J394" s="5">
        <f>IF(D394="Yes",ROUND('2. Demand History'!O394*I394,0),ROUND(AVERAGE('2. Demand History'!X394:Z394),0))</f>
        <v>14</v>
      </c>
      <c r="K394" s="9">
        <f t="shared" si="20"/>
        <v>7.3999999999999996E-2</v>
      </c>
      <c r="L394" s="10">
        <f>ROUND(ABS('2. Demand History'!U394-IF($D394="Yes",'2. Demand History'!I394,AVERAGE('2. Demand History'!R394:T394)))/MAX('2. Demand History'!U394,1),3)</f>
        <v>0</v>
      </c>
      <c r="M394" s="10">
        <f>ROUND(ABS('2. Demand History'!V394-IF($D394="Yes",'2. Demand History'!J394,AVERAGE('2. Demand History'!S394:U394)))/MAX('2. Demand History'!V394,1),3)</f>
        <v>0</v>
      </c>
      <c r="N394" s="10">
        <f>ROUND(ABS('2. Demand History'!W394-IF($D394="Yes",'2. Demand History'!K394,AVERAGE('2. Demand History'!T394:V394)))/MAX('2. Demand History'!W394,1),3)</f>
        <v>0</v>
      </c>
      <c r="O394" s="10">
        <f>ROUND(ABS('2. Demand History'!X394-IF($D394="Yes",'2. Demand History'!L394,AVERAGE('2. Demand History'!U394:W394)))/MAX('2. Demand History'!X394,1),3)</f>
        <v>0</v>
      </c>
      <c r="P394" s="10">
        <f>ROUND(ABS('2. Demand History'!Y394-IF($D394="Yes",'2. Demand History'!M394,AVERAGE('2. Demand History'!V394:X394)))/MAX('2. Demand History'!Y394,1),3)</f>
        <v>0.214</v>
      </c>
      <c r="Q394" s="10">
        <f>ROUND(ABS('2. Demand History'!Z394-IF($D394="Yes",'2. Demand History'!N394,AVERAGE('2. Demand History'!W394:Y394)))/MAX('2. Demand History'!Z394,1),3)</f>
        <v>0.23100000000000001</v>
      </c>
    </row>
    <row r="395" spans="1:17" ht="15" customHeight="1" x14ac:dyDescent="0.2">
      <c r="A395" s="3" t="str">
        <f>'2. Demand History'!A395</f>
        <v>NT10391</v>
      </c>
      <c r="B395" s="1" t="str">
        <f>'2. Demand History'!B395</f>
        <v>OptiZoom 169 DSLR</v>
      </c>
      <c r="C395" s="3" t="str">
        <f>'1. Master Data'!C395</f>
        <v>Cameras</v>
      </c>
      <c r="D395" s="3" t="s">
        <v>1111</v>
      </c>
      <c r="E395" s="3" t="str">
        <f t="shared" si="18"/>
        <v>Seasonal Naive</v>
      </c>
      <c r="F395" s="3">
        <f>ROUND(AVERAGE('2. Demand History'!O395:Z395),1)</f>
        <v>26.6</v>
      </c>
      <c r="G395" s="3">
        <f>ROUND(STDEV('2. Demand History'!O395:Z395),1)</f>
        <v>8.6</v>
      </c>
      <c r="H395" s="8">
        <f t="shared" si="19"/>
        <v>0.32</v>
      </c>
      <c r="I395" s="8">
        <f>ROUND(SUM('2. Demand History'!O395:Z395)/MAX(SUM('2. Demand History'!C395:N395),1),2)</f>
        <v>1.05</v>
      </c>
      <c r="J395" s="5">
        <f>IF(D395="Yes",ROUND('2. Demand History'!O395*I395,0),ROUND(AVERAGE('2. Demand History'!X395:Z395),0))</f>
        <v>20</v>
      </c>
      <c r="K395" s="9">
        <f t="shared" si="20"/>
        <v>9.6000000000000002E-2</v>
      </c>
      <c r="L395" s="10">
        <f>ROUND(ABS('2. Demand History'!U395-IF($D395="Yes",'2. Demand History'!I395,AVERAGE('2. Demand History'!R395:T395)))/MAX('2. Demand History'!U395,1),3)</f>
        <v>6.7000000000000004E-2</v>
      </c>
      <c r="M395" s="10">
        <f>ROUND(ABS('2. Demand History'!V395-IF($D395="Yes",'2. Demand History'!J395,AVERAGE('2. Demand History'!S395:U395)))/MAX('2. Demand History'!V395,1),3)</f>
        <v>6.3E-2</v>
      </c>
      <c r="N395" s="10">
        <f>ROUND(ABS('2. Demand History'!W395-IF($D395="Yes",'2. Demand History'!K395,AVERAGE('2. Demand History'!T395:V395)))/MAX('2. Demand History'!W395,1),3)</f>
        <v>0.14299999999999999</v>
      </c>
      <c r="O395" s="10">
        <f>ROUND(ABS('2. Demand History'!X395-IF($D395="Yes",'2. Demand History'!L395,AVERAGE('2. Demand History'!U395:W395)))/MAX('2. Demand History'!X395,1),3)</f>
        <v>0.214</v>
      </c>
      <c r="P395" s="10">
        <f>ROUND(ABS('2. Demand History'!Y395-IF($D395="Yes",'2. Demand History'!M395,AVERAGE('2. Demand History'!V395:X395)))/MAX('2. Demand History'!Y395,1),3)</f>
        <v>8.6999999999999994E-2</v>
      </c>
      <c r="Q395" s="10">
        <f>ROUND(ABS('2. Demand History'!Z395-IF($D395="Yes",'2. Demand History'!N395,AVERAGE('2. Demand History'!W395:Y395)))/MAX('2. Demand History'!Z395,1),3)</f>
        <v>0</v>
      </c>
    </row>
    <row r="396" spans="1:17" ht="15" customHeight="1" x14ac:dyDescent="0.2">
      <c r="A396" s="3" t="str">
        <f>'2. Demand History'!A396</f>
        <v>NT10392</v>
      </c>
      <c r="B396" s="1" t="str">
        <f>'2. Demand History'!B396</f>
        <v>OptiZoom 988 DSLR</v>
      </c>
      <c r="C396" s="3" t="str">
        <f>'1. Master Data'!C396</f>
        <v>Cameras</v>
      </c>
      <c r="D396" s="3" t="s">
        <v>1111</v>
      </c>
      <c r="E396" s="3" t="str">
        <f t="shared" si="18"/>
        <v>Seasonal Naive</v>
      </c>
      <c r="F396" s="3">
        <f>ROUND(AVERAGE('2. Demand History'!O396:Z396),1)</f>
        <v>31.3</v>
      </c>
      <c r="G396" s="3">
        <f>ROUND(STDEV('2. Demand History'!O396:Z396),1)</f>
        <v>8.4</v>
      </c>
      <c r="H396" s="8">
        <f t="shared" si="19"/>
        <v>0.27</v>
      </c>
      <c r="I396" s="8">
        <f>ROUND(SUM('2. Demand History'!O396:Z396)/MAX(SUM('2. Demand History'!C396:N396),1),2)</f>
        <v>1.07</v>
      </c>
      <c r="J396" s="5">
        <f>IF(D396="Yes",ROUND('2. Demand History'!O396*I396,0),ROUND(AVERAGE('2. Demand History'!X396:Z396),0))</f>
        <v>35</v>
      </c>
      <c r="K396" s="9">
        <f t="shared" si="20"/>
        <v>8.4000000000000005E-2</v>
      </c>
      <c r="L396" s="10">
        <f>ROUND(ABS('2. Demand History'!U396-IF($D396="Yes",'2. Demand History'!I396,AVERAGE('2. Demand History'!R396:T396)))/MAX('2. Demand History'!U396,1),3)</f>
        <v>0.13300000000000001</v>
      </c>
      <c r="M396" s="10">
        <f>ROUND(ABS('2. Demand History'!V396-IF($D396="Yes",'2. Demand History'!J396,AVERAGE('2. Demand History'!S396:U396)))/MAX('2. Demand History'!V396,1),3)</f>
        <v>0.11799999999999999</v>
      </c>
      <c r="N396" s="10">
        <f>ROUND(ABS('2. Demand History'!W396-IF($D396="Yes",'2. Demand History'!K396,AVERAGE('2. Demand History'!T396:V396)))/MAX('2. Demand History'!W396,1),3)</f>
        <v>0.08</v>
      </c>
      <c r="O396" s="10">
        <f>ROUND(ABS('2. Demand History'!X396-IF($D396="Yes",'2. Demand History'!L396,AVERAGE('2. Demand History'!U396:W396)))/MAX('2. Demand History'!X396,1),3)</f>
        <v>0.107</v>
      </c>
      <c r="P396" s="10">
        <f>ROUND(ABS('2. Demand History'!Y396-IF($D396="Yes",'2. Demand History'!M396,AVERAGE('2. Demand History'!V396:X396)))/MAX('2. Demand History'!Y396,1),3)</f>
        <v>6.7000000000000004E-2</v>
      </c>
      <c r="Q396" s="10">
        <f>ROUND(ABS('2. Demand History'!Z396-IF($D396="Yes",'2. Demand History'!N396,AVERAGE('2. Demand History'!W396:Y396)))/MAX('2. Demand History'!Z396,1),3)</f>
        <v>0</v>
      </c>
    </row>
    <row r="397" spans="1:17" ht="15" customHeight="1" x14ac:dyDescent="0.2">
      <c r="A397" s="3" t="str">
        <f>'2. Demand History'!A397</f>
        <v>NT10393</v>
      </c>
      <c r="B397" s="1" t="str">
        <f>'2. Demand History'!B397</f>
        <v>OptiZoom 452 DSLR</v>
      </c>
      <c r="C397" s="3" t="str">
        <f>'1. Master Data'!C397</f>
        <v>Cameras</v>
      </c>
      <c r="D397" s="3" t="s">
        <v>1111</v>
      </c>
      <c r="E397" s="3" t="str">
        <f t="shared" si="18"/>
        <v>Seasonal Naive</v>
      </c>
      <c r="F397" s="3">
        <f>ROUND(AVERAGE('2. Demand History'!O397:Z397),1)</f>
        <v>20.6</v>
      </c>
      <c r="G397" s="3">
        <f>ROUND(STDEV('2. Demand History'!O397:Z397),1)</f>
        <v>6.7</v>
      </c>
      <c r="H397" s="8">
        <f t="shared" si="19"/>
        <v>0.33</v>
      </c>
      <c r="I397" s="8">
        <f>ROUND(SUM('2. Demand History'!O397:Z397)/MAX(SUM('2. Demand History'!C397:N397),1),2)</f>
        <v>1.08</v>
      </c>
      <c r="J397" s="5">
        <f>IF(D397="Yes",ROUND('2. Demand History'!O397*I397,0),ROUND(AVERAGE('2. Demand History'!X397:Z397),0))</f>
        <v>19</v>
      </c>
      <c r="K397" s="9">
        <f t="shared" si="20"/>
        <v>5.7000000000000002E-2</v>
      </c>
      <c r="L397" s="10">
        <f>ROUND(ABS('2. Demand History'!U397-IF($D397="Yes",'2. Demand History'!I397,AVERAGE('2. Demand History'!R397:T397)))/MAX('2. Demand History'!U397,1),3)</f>
        <v>5.2999999999999999E-2</v>
      </c>
      <c r="M397" s="10">
        <f>ROUND(ABS('2. Demand History'!V397-IF($D397="Yes",'2. Demand History'!J397,AVERAGE('2. Demand History'!S397:U397)))/MAX('2. Demand History'!V397,1),3)</f>
        <v>0</v>
      </c>
      <c r="N397" s="10">
        <f>ROUND(ABS('2. Demand History'!W397-IF($D397="Yes",'2. Demand History'!K397,AVERAGE('2. Demand History'!T397:V397)))/MAX('2. Demand History'!W397,1),3)</f>
        <v>0.16700000000000001</v>
      </c>
      <c r="O397" s="10">
        <f>ROUND(ABS('2. Demand History'!X397-IF($D397="Yes",'2. Demand History'!L397,AVERAGE('2. Demand History'!U397:W397)))/MAX('2. Demand History'!X397,1),3)</f>
        <v>5.8999999999999997E-2</v>
      </c>
      <c r="P397" s="10">
        <f>ROUND(ABS('2. Demand History'!Y397-IF($D397="Yes",'2. Demand History'!M397,AVERAGE('2. Demand History'!V397:X397)))/MAX('2. Demand History'!Y397,1),3)</f>
        <v>6.3E-2</v>
      </c>
      <c r="Q397" s="10">
        <f>ROUND(ABS('2. Demand History'!Z397-IF($D397="Yes",'2. Demand History'!N397,AVERAGE('2. Demand History'!W397:Y397)))/MAX('2. Demand History'!Z397,1),3)</f>
        <v>0</v>
      </c>
    </row>
    <row r="398" spans="1:17" ht="15" customHeight="1" x14ac:dyDescent="0.2">
      <c r="A398" s="3" t="str">
        <f>'2. Demand History'!A398</f>
        <v>NT10394</v>
      </c>
      <c r="B398" s="1" t="str">
        <f>'2. Demand History'!B398</f>
        <v>MirrorlessM 247</v>
      </c>
      <c r="C398" s="3" t="str">
        <f>'1. Master Data'!C398</f>
        <v>Cameras</v>
      </c>
      <c r="D398" s="3" t="s">
        <v>1111</v>
      </c>
      <c r="E398" s="3" t="str">
        <f t="shared" si="18"/>
        <v>Seasonal Naive</v>
      </c>
      <c r="F398" s="3">
        <f>ROUND(AVERAGE('2. Demand History'!O398:Z398),1)</f>
        <v>28.3</v>
      </c>
      <c r="G398" s="3">
        <f>ROUND(STDEV('2. Demand History'!O398:Z398),1)</f>
        <v>10.1</v>
      </c>
      <c r="H398" s="8">
        <f t="shared" si="19"/>
        <v>0.36</v>
      </c>
      <c r="I398" s="8">
        <f>ROUND(SUM('2. Demand History'!O398:Z398)/MAX(SUM('2. Demand History'!C398:N398),1),2)</f>
        <v>1.04</v>
      </c>
      <c r="J398" s="5">
        <f>IF(D398="Yes",ROUND('2. Demand History'!O398*I398,0),ROUND(AVERAGE('2. Demand History'!X398:Z398),0))</f>
        <v>26</v>
      </c>
      <c r="K398" s="9">
        <f t="shared" si="20"/>
        <v>0.10100000000000001</v>
      </c>
      <c r="L398" s="10">
        <f>ROUND(ABS('2. Demand History'!U398-IF($D398="Yes",'2. Demand History'!I398,AVERAGE('2. Demand History'!R398:T398)))/MAX('2. Demand History'!U398,1),3)</f>
        <v>0.23599999999999999</v>
      </c>
      <c r="M398" s="10">
        <f>ROUND(ABS('2. Demand History'!V398-IF($D398="Yes",'2. Demand History'!J398,AVERAGE('2. Demand History'!S398:U398)))/MAX('2. Demand History'!V398,1),3)</f>
        <v>0.11799999999999999</v>
      </c>
      <c r="N398" s="10">
        <f>ROUND(ABS('2. Demand History'!W398-IF($D398="Yes",'2. Demand History'!K398,AVERAGE('2. Demand History'!T398:V398)))/MAX('2. Demand History'!W398,1),3)</f>
        <v>0.13</v>
      </c>
      <c r="O398" s="10">
        <f>ROUND(ABS('2. Demand History'!X398-IF($D398="Yes",'2. Demand History'!L398,AVERAGE('2. Demand History'!U398:W398)))/MAX('2. Demand History'!X398,1),3)</f>
        <v>0.08</v>
      </c>
      <c r="P398" s="10">
        <f>ROUND(ABS('2. Demand History'!Y398-IF($D398="Yes",'2. Demand History'!M398,AVERAGE('2. Demand History'!V398:X398)))/MAX('2. Demand History'!Y398,1),3)</f>
        <v>0</v>
      </c>
      <c r="Q398" s="10">
        <f>ROUND(ABS('2. Demand History'!Z398-IF($D398="Yes",'2. Demand History'!N398,AVERAGE('2. Demand History'!W398:Y398)))/MAX('2. Demand History'!Z398,1),3)</f>
        <v>4.2000000000000003E-2</v>
      </c>
    </row>
    <row r="399" spans="1:17" ht="15" customHeight="1" x14ac:dyDescent="0.2">
      <c r="A399" s="3" t="str">
        <f>'2. Demand History'!A399</f>
        <v>NT10395</v>
      </c>
      <c r="B399" s="1" t="str">
        <f>'2. Demand History'!B399</f>
        <v>ActionCam 102 4K</v>
      </c>
      <c r="C399" s="3" t="str">
        <f>'1. Master Data'!C399</f>
        <v>Cameras</v>
      </c>
      <c r="D399" s="3" t="s">
        <v>1111</v>
      </c>
      <c r="E399" s="3" t="str">
        <f t="shared" si="18"/>
        <v>Seasonal Naive</v>
      </c>
      <c r="F399" s="3">
        <f>ROUND(AVERAGE('2. Demand History'!O399:Z399),1)</f>
        <v>34.299999999999997</v>
      </c>
      <c r="G399" s="3">
        <f>ROUND(STDEV('2. Demand History'!O399:Z399),1)</f>
        <v>11.6</v>
      </c>
      <c r="H399" s="8">
        <f t="shared" si="19"/>
        <v>0.34</v>
      </c>
      <c r="I399" s="8">
        <f>ROUND(SUM('2. Demand History'!O399:Z399)/MAX(SUM('2. Demand History'!C399:N399),1),2)</f>
        <v>1.1200000000000001</v>
      </c>
      <c r="J399" s="5">
        <f>IF(D399="Yes",ROUND('2. Demand History'!O399*I399,0),ROUND(AVERAGE('2. Demand History'!X399:Z399),0))</f>
        <v>39</v>
      </c>
      <c r="K399" s="9">
        <f t="shared" si="20"/>
        <v>0.14899999999999999</v>
      </c>
      <c r="L399" s="10">
        <f>ROUND(ABS('2. Demand History'!U399-IF($D399="Yes",'2. Demand History'!I399,AVERAGE('2. Demand History'!R399:T399)))/MAX('2. Demand History'!U399,1),3)</f>
        <v>0.254</v>
      </c>
      <c r="M399" s="10">
        <f>ROUND(ABS('2. Demand History'!V399-IF($D399="Yes",'2. Demand History'!J399,AVERAGE('2. Demand History'!S399:U399)))/MAX('2. Demand History'!V399,1),3)</f>
        <v>4.2999999999999997E-2</v>
      </c>
      <c r="N399" s="10">
        <f>ROUND(ABS('2. Demand History'!W399-IF($D399="Yes",'2. Demand History'!K399,AVERAGE('2. Demand History'!T399:V399)))/MAX('2. Demand History'!W399,1),3)</f>
        <v>0.125</v>
      </c>
      <c r="O399" s="10">
        <f>ROUND(ABS('2. Demand History'!X399-IF($D399="Yes",'2. Demand History'!L399,AVERAGE('2. Demand History'!U399:W399)))/MAX('2. Demand History'!X399,1),3)</f>
        <v>0.314</v>
      </c>
      <c r="P399" s="10">
        <f>ROUND(ABS('2. Demand History'!Y399-IF($D399="Yes",'2. Demand History'!M399,AVERAGE('2. Demand History'!V399:X399)))/MAX('2. Demand History'!Y399,1),3)</f>
        <v>3.6999999999999998E-2</v>
      </c>
      <c r="Q399" s="10">
        <f>ROUND(ABS('2. Demand History'!Z399-IF($D399="Yes",'2. Demand History'!N399,AVERAGE('2. Demand History'!W399:Y399)))/MAX('2. Demand History'!Z399,1),3)</f>
        <v>0.11799999999999999</v>
      </c>
    </row>
    <row r="400" spans="1:17" ht="15" customHeight="1" x14ac:dyDescent="0.2">
      <c r="A400" s="3" t="str">
        <f>'2. Demand History'!A400</f>
        <v>NT10396</v>
      </c>
      <c r="B400" s="1" t="str">
        <f>'2. Demand History'!B400</f>
        <v>MirrorlessM 229</v>
      </c>
      <c r="C400" s="3" t="str">
        <f>'1. Master Data'!C400</f>
        <v>Cameras</v>
      </c>
      <c r="D400" s="3" t="s">
        <v>1111</v>
      </c>
      <c r="E400" s="3" t="str">
        <f t="shared" si="18"/>
        <v>Seasonal Naive</v>
      </c>
      <c r="F400" s="3">
        <f>ROUND(AVERAGE('2. Demand History'!O400:Z400),1)</f>
        <v>159.30000000000001</v>
      </c>
      <c r="G400" s="3">
        <f>ROUND(STDEV('2. Demand History'!O400:Z400),1)</f>
        <v>39.5</v>
      </c>
      <c r="H400" s="8">
        <f t="shared" si="19"/>
        <v>0.25</v>
      </c>
      <c r="I400" s="8">
        <f>ROUND(SUM('2. Demand History'!O400:Z400)/MAX(SUM('2. Demand History'!C400:N400),1),2)</f>
        <v>1.06</v>
      </c>
      <c r="J400" s="5">
        <f>IF(D400="Yes",ROUND('2. Demand History'!O400*I400,0),ROUND(AVERAGE('2. Demand History'!X400:Z400),0))</f>
        <v>158</v>
      </c>
      <c r="K400" s="9">
        <f t="shared" si="20"/>
        <v>0.10100000000000001</v>
      </c>
      <c r="L400" s="10">
        <f>ROUND(ABS('2. Demand History'!U400-IF($D400="Yes",'2. Demand History'!I400,AVERAGE('2. Demand History'!R400:T400)))/MAX('2. Demand History'!U400,1),3)</f>
        <v>0.11600000000000001</v>
      </c>
      <c r="M400" s="10">
        <f>ROUND(ABS('2. Demand History'!V400-IF($D400="Yes",'2. Demand History'!J400,AVERAGE('2. Demand History'!S400:U400)))/MAX('2. Demand History'!V400,1),3)</f>
        <v>2.5000000000000001E-2</v>
      </c>
      <c r="N400" s="10">
        <f>ROUND(ABS('2. Demand History'!W400-IF($D400="Yes",'2. Demand History'!K400,AVERAGE('2. Demand History'!T400:V400)))/MAX('2. Demand History'!W400,1),3)</f>
        <v>2.4E-2</v>
      </c>
      <c r="O400" s="10">
        <f>ROUND(ABS('2. Demand History'!X400-IF($D400="Yes",'2. Demand History'!L400,AVERAGE('2. Demand History'!U400:W400)))/MAX('2. Demand History'!X400,1),3)</f>
        <v>0.23499999999999999</v>
      </c>
      <c r="P400" s="10">
        <f>ROUND(ABS('2. Demand History'!Y400-IF($D400="Yes",'2. Demand History'!M400,AVERAGE('2. Demand History'!V400:X400)))/MAX('2. Demand History'!Y400,1),3)</f>
        <v>0.17100000000000001</v>
      </c>
      <c r="Q400" s="10">
        <f>ROUND(ABS('2. Demand History'!Z400-IF($D400="Yes",'2. Demand History'!N400,AVERAGE('2. Demand History'!W400:Y400)))/MAX('2. Demand History'!Z400,1),3)</f>
        <v>3.3000000000000002E-2</v>
      </c>
    </row>
    <row r="401" spans="1:17" ht="15" customHeight="1" x14ac:dyDescent="0.2">
      <c r="A401" s="3" t="str">
        <f>'2. Demand History'!A401</f>
        <v>NT10397</v>
      </c>
      <c r="B401" s="1" t="str">
        <f>'2. Demand History'!B401</f>
        <v>MirrorlessM 487</v>
      </c>
      <c r="C401" s="3" t="str">
        <f>'1. Master Data'!C401</f>
        <v>Cameras</v>
      </c>
      <c r="D401" s="3" t="s">
        <v>1111</v>
      </c>
      <c r="E401" s="3" t="str">
        <f t="shared" si="18"/>
        <v>Seasonal Naive</v>
      </c>
      <c r="F401" s="3">
        <f>ROUND(AVERAGE('2. Demand History'!O401:Z401),1)</f>
        <v>1.5</v>
      </c>
      <c r="G401" s="3">
        <f>ROUND(STDEV('2. Demand History'!O401:Z401),1)</f>
        <v>0.5</v>
      </c>
      <c r="H401" s="8">
        <f t="shared" si="19"/>
        <v>0.33</v>
      </c>
      <c r="I401" s="8">
        <f>ROUND(SUM('2. Demand History'!O401:Z401)/MAX(SUM('2. Demand History'!C401:N401),1),2)</f>
        <v>1.06</v>
      </c>
      <c r="J401" s="5">
        <f>IF(D401="Yes",ROUND('2. Demand History'!O401*I401,0),ROUND(AVERAGE('2. Demand History'!X401:Z401),0))</f>
        <v>1</v>
      </c>
      <c r="K401" s="9">
        <f t="shared" si="20"/>
        <v>0.16700000000000001</v>
      </c>
      <c r="L401" s="10">
        <f>ROUND(ABS('2. Demand History'!U401-IF($D401="Yes",'2. Demand History'!I401,AVERAGE('2. Demand History'!R401:T401)))/MAX('2. Demand History'!U401,1),3)</f>
        <v>0.5</v>
      </c>
      <c r="M401" s="10">
        <f>ROUND(ABS('2. Demand History'!V401-IF($D401="Yes",'2. Demand History'!J401,AVERAGE('2. Demand History'!S401:U401)))/MAX('2. Demand History'!V401,1),3)</f>
        <v>0</v>
      </c>
      <c r="N401" s="10">
        <f>ROUND(ABS('2. Demand History'!W401-IF($D401="Yes",'2. Demand History'!K401,AVERAGE('2. Demand History'!T401:V401)))/MAX('2. Demand History'!W401,1),3)</f>
        <v>0</v>
      </c>
      <c r="O401" s="10">
        <f>ROUND(ABS('2. Demand History'!X401-IF($D401="Yes",'2. Demand History'!L401,AVERAGE('2. Demand History'!U401:W401)))/MAX('2. Demand History'!X401,1),3)</f>
        <v>0.5</v>
      </c>
      <c r="P401" s="10">
        <f>ROUND(ABS('2. Demand History'!Y401-IF($D401="Yes",'2. Demand History'!M401,AVERAGE('2. Demand History'!V401:X401)))/MAX('2. Demand History'!Y401,1),3)</f>
        <v>0</v>
      </c>
      <c r="Q401" s="10">
        <f>ROUND(ABS('2. Demand History'!Z401-IF($D401="Yes",'2. Demand History'!N401,AVERAGE('2. Demand History'!W401:Y401)))/MAX('2. Demand History'!Z401,1),3)</f>
        <v>0</v>
      </c>
    </row>
    <row r="402" spans="1:17" ht="15" customHeight="1" x14ac:dyDescent="0.2">
      <c r="A402" s="3" t="str">
        <f>'2. Demand History'!A402</f>
        <v>NT10398</v>
      </c>
      <c r="B402" s="1" t="str">
        <f>'2. Demand History'!B402</f>
        <v>MirrorlessM 330</v>
      </c>
      <c r="C402" s="3" t="str">
        <f>'1. Master Data'!C402</f>
        <v>Cameras</v>
      </c>
      <c r="D402" s="3" t="s">
        <v>1111</v>
      </c>
      <c r="E402" s="3" t="str">
        <f t="shared" si="18"/>
        <v>Seasonal Naive</v>
      </c>
      <c r="F402" s="3">
        <f>ROUND(AVERAGE('2. Demand History'!O402:Z402),1)</f>
        <v>15</v>
      </c>
      <c r="G402" s="3">
        <f>ROUND(STDEV('2. Demand History'!O402:Z402),1)</f>
        <v>3.9</v>
      </c>
      <c r="H402" s="8">
        <f t="shared" si="19"/>
        <v>0.26</v>
      </c>
      <c r="I402" s="8">
        <f>ROUND(SUM('2. Demand History'!O402:Z402)/MAX(SUM('2. Demand History'!C402:N402),1),2)</f>
        <v>1.03</v>
      </c>
      <c r="J402" s="5">
        <f>IF(D402="Yes",ROUND('2. Demand History'!O402*I402,0),ROUND(AVERAGE('2. Demand History'!X402:Z402),0))</f>
        <v>13</v>
      </c>
      <c r="K402" s="9">
        <f t="shared" si="20"/>
        <v>0.11700000000000001</v>
      </c>
      <c r="L402" s="10">
        <f>ROUND(ABS('2. Demand History'!U402-IF($D402="Yes",'2. Demand History'!I402,AVERAGE('2. Demand History'!R402:T402)))/MAX('2. Demand History'!U402,1),3)</f>
        <v>0</v>
      </c>
      <c r="M402" s="10">
        <f>ROUND(ABS('2. Demand History'!V402-IF($D402="Yes",'2. Demand History'!J402,AVERAGE('2. Demand History'!S402:U402)))/MAX('2. Demand History'!V402,1),3)</f>
        <v>0.182</v>
      </c>
      <c r="N402" s="10">
        <f>ROUND(ABS('2. Demand History'!W402-IF($D402="Yes",'2. Demand History'!K402,AVERAGE('2. Demand History'!T402:V402)))/MAX('2. Demand History'!W402,1),3)</f>
        <v>0.154</v>
      </c>
      <c r="O402" s="10">
        <f>ROUND(ABS('2. Demand History'!X402-IF($D402="Yes",'2. Demand History'!L402,AVERAGE('2. Demand History'!U402:W402)))/MAX('2. Demand History'!X402,1),3)</f>
        <v>7.6999999999999999E-2</v>
      </c>
      <c r="P402" s="10">
        <f>ROUND(ABS('2. Demand History'!Y402-IF($D402="Yes",'2. Demand History'!M402,AVERAGE('2. Demand History'!V402:X402)))/MAX('2. Demand History'!Y402,1),3)</f>
        <v>0.14299999999999999</v>
      </c>
      <c r="Q402" s="10">
        <f>ROUND(ABS('2. Demand History'!Z402-IF($D402="Yes",'2. Demand History'!N402,AVERAGE('2. Demand History'!W402:Y402)))/MAX('2. Demand History'!Z402,1),3)</f>
        <v>0.14299999999999999</v>
      </c>
    </row>
    <row r="403" spans="1:17" ht="15" customHeight="1" x14ac:dyDescent="0.2">
      <c r="A403" s="3" t="str">
        <f>'2. Demand History'!A403</f>
        <v>NT10399</v>
      </c>
      <c r="B403" s="1" t="str">
        <f>'2. Demand History'!B403</f>
        <v>OptiZoom 452 DSLR</v>
      </c>
      <c r="C403" s="3" t="str">
        <f>'1. Master Data'!C403</f>
        <v>Cameras</v>
      </c>
      <c r="D403" s="3" t="s">
        <v>1111</v>
      </c>
      <c r="E403" s="3" t="str">
        <f t="shared" si="18"/>
        <v>Seasonal Naive</v>
      </c>
      <c r="F403" s="3">
        <f>ROUND(AVERAGE('2. Demand History'!O403:Z403),1)</f>
        <v>6.4</v>
      </c>
      <c r="G403" s="3">
        <f>ROUND(STDEV('2. Demand History'!O403:Z403),1)</f>
        <v>1.6</v>
      </c>
      <c r="H403" s="8">
        <f t="shared" si="19"/>
        <v>0.25</v>
      </c>
      <c r="I403" s="8">
        <f>ROUND(SUM('2. Demand History'!O403:Z403)/MAX(SUM('2. Demand History'!C403:N403),1),2)</f>
        <v>0.99</v>
      </c>
      <c r="J403" s="5">
        <f>IF(D403="Yes",ROUND('2. Demand History'!O403*I403,0),ROUND(AVERAGE('2. Demand History'!X403:Z403),0))</f>
        <v>6</v>
      </c>
      <c r="K403" s="9">
        <f t="shared" si="20"/>
        <v>0.16400000000000001</v>
      </c>
      <c r="L403" s="10">
        <f>ROUND(ABS('2. Demand History'!U403-IF($D403="Yes",'2. Demand History'!I403,AVERAGE('2. Demand History'!R403:T403)))/MAX('2. Demand History'!U403,1),3)</f>
        <v>0.1</v>
      </c>
      <c r="M403" s="10">
        <f>ROUND(ABS('2. Demand History'!V403-IF($D403="Yes",'2. Demand History'!J403,AVERAGE('2. Demand History'!S403:U403)))/MAX('2. Demand History'!V403,1),3)</f>
        <v>0.2</v>
      </c>
      <c r="N403" s="10">
        <f>ROUND(ABS('2. Demand History'!W403-IF($D403="Yes",'2. Demand History'!K403,AVERAGE('2. Demand History'!T403:V403)))/MAX('2. Demand History'!W403,1),3)</f>
        <v>0</v>
      </c>
      <c r="O403" s="10">
        <f>ROUND(ABS('2. Demand History'!X403-IF($D403="Yes",'2. Demand History'!L403,AVERAGE('2. Demand History'!U403:W403)))/MAX('2. Demand History'!X403,1),3)</f>
        <v>0</v>
      </c>
      <c r="P403" s="10">
        <f>ROUND(ABS('2. Demand History'!Y403-IF($D403="Yes",'2. Demand History'!M403,AVERAGE('2. Demand History'!V403:X403)))/MAX('2. Demand History'!Y403,1),3)</f>
        <v>0.28599999999999998</v>
      </c>
      <c r="Q403" s="10">
        <f>ROUND(ABS('2. Demand History'!Z403-IF($D403="Yes",'2. Demand History'!N403,AVERAGE('2. Demand History'!W403:Y403)))/MAX('2. Demand History'!Z403,1),3)</f>
        <v>0.4</v>
      </c>
    </row>
    <row r="404" spans="1:17" ht="15" customHeight="1" x14ac:dyDescent="0.2">
      <c r="A404" s="3" t="str">
        <f>'2. Demand History'!A404</f>
        <v>NT10400</v>
      </c>
      <c r="B404" s="1" t="str">
        <f>'2. Demand History'!B404</f>
        <v>OptiZoom 869 DSLR</v>
      </c>
      <c r="C404" s="3" t="str">
        <f>'1. Master Data'!C404</f>
        <v>Cameras</v>
      </c>
      <c r="D404" s="3" t="s">
        <v>1111</v>
      </c>
      <c r="E404" s="3" t="str">
        <f t="shared" si="18"/>
        <v>Seasonal Naive</v>
      </c>
      <c r="F404" s="3">
        <f>ROUND(AVERAGE('2. Demand History'!O404:Z404),1)</f>
        <v>17.100000000000001</v>
      </c>
      <c r="G404" s="3">
        <f>ROUND(STDEV('2. Demand History'!O404:Z404),1)</f>
        <v>5.6</v>
      </c>
      <c r="H404" s="8">
        <f t="shared" si="19"/>
        <v>0.33</v>
      </c>
      <c r="I404" s="8">
        <f>ROUND(SUM('2. Demand History'!O404:Z404)/MAX(SUM('2. Demand History'!C404:N404),1),2)</f>
        <v>1.02</v>
      </c>
      <c r="J404" s="5">
        <f>IF(D404="Yes",ROUND('2. Demand History'!O404*I404,0),ROUND(AVERAGE('2. Demand History'!X404:Z404),0))</f>
        <v>14</v>
      </c>
      <c r="K404" s="9">
        <f t="shared" si="20"/>
        <v>0.14899999999999999</v>
      </c>
      <c r="L404" s="10">
        <f>ROUND(ABS('2. Demand History'!U404-IF($D404="Yes",'2. Demand History'!I404,AVERAGE('2. Demand History'!R404:T404)))/MAX('2. Demand History'!U404,1),3)</f>
        <v>3.1E-2</v>
      </c>
      <c r="M404" s="10">
        <f>ROUND(ABS('2. Demand History'!V404-IF($D404="Yes",'2. Demand History'!J404,AVERAGE('2. Demand History'!S404:U404)))/MAX('2. Demand History'!V404,1),3)</f>
        <v>8.3000000000000004E-2</v>
      </c>
      <c r="N404" s="10">
        <f>ROUND(ABS('2. Demand History'!W404-IF($D404="Yes",'2. Demand History'!K404,AVERAGE('2. Demand History'!T404:V404)))/MAX('2. Demand History'!W404,1),3)</f>
        <v>7.0999999999999994E-2</v>
      </c>
      <c r="O404" s="10">
        <f>ROUND(ABS('2. Demand History'!X404-IF($D404="Yes",'2. Demand History'!L404,AVERAGE('2. Demand History'!U404:W404)))/MAX('2. Demand History'!X404,1),3)</f>
        <v>0.11799999999999999</v>
      </c>
      <c r="P404" s="10">
        <f>ROUND(ABS('2. Demand History'!Y404-IF($D404="Yes",'2. Demand History'!M404,AVERAGE('2. Demand History'!V404:X404)))/MAX('2. Demand History'!Y404,1),3)</f>
        <v>0.41699999999999998</v>
      </c>
      <c r="Q404" s="10">
        <f>ROUND(ABS('2. Demand History'!Z404-IF($D404="Yes",'2. Demand History'!N404,AVERAGE('2. Demand History'!W404:Y404)))/MAX('2. Demand History'!Z404,1),3)</f>
        <v>0.17599999999999999</v>
      </c>
    </row>
    <row r="405" spans="1:17" ht="15" customHeight="1" x14ac:dyDescent="0.2">
      <c r="A405" s="3" t="str">
        <f>'2. Demand History'!A405</f>
        <v>NT10401</v>
      </c>
      <c r="B405" s="1" t="str">
        <f>'2. Demand History'!B405</f>
        <v>DrawPad 390 12in</v>
      </c>
      <c r="C405" s="3" t="str">
        <f>'1. Master Data'!C405</f>
        <v>Tablets</v>
      </c>
      <c r="D405" s="3" t="s">
        <v>1111</v>
      </c>
      <c r="E405" s="3" t="str">
        <f t="shared" si="18"/>
        <v>Seasonal Naive</v>
      </c>
      <c r="F405" s="3">
        <f>ROUND(AVERAGE('2. Demand History'!O405:Z405),1)</f>
        <v>28.3</v>
      </c>
      <c r="G405" s="3">
        <f>ROUND(STDEV('2. Demand History'!O405:Z405),1)</f>
        <v>8.9</v>
      </c>
      <c r="H405" s="8">
        <f t="shared" si="19"/>
        <v>0.31</v>
      </c>
      <c r="I405" s="8">
        <f>ROUND(SUM('2. Demand History'!O405:Z405)/MAX(SUM('2. Demand History'!C405:N405),1),2)</f>
        <v>1.03</v>
      </c>
      <c r="J405" s="5">
        <f>IF(D405="Yes",ROUND('2. Demand History'!O405*I405,0),ROUND(AVERAGE('2. Demand History'!X405:Z405),0))</f>
        <v>28</v>
      </c>
      <c r="K405" s="9">
        <f t="shared" si="20"/>
        <v>0.113</v>
      </c>
      <c r="L405" s="10">
        <f>ROUND(ABS('2. Demand History'!U405-IF($D405="Yes",'2. Demand History'!I405,AVERAGE('2. Demand History'!R405:T405)))/MAX('2. Demand History'!U405,1),3)</f>
        <v>5.8999999999999997E-2</v>
      </c>
      <c r="M405" s="10">
        <f>ROUND(ABS('2. Demand History'!V405-IF($D405="Yes",'2. Demand History'!J405,AVERAGE('2. Demand History'!S405:U405)))/MAX('2. Demand History'!V405,1),3)</f>
        <v>5.2999999999999999E-2</v>
      </c>
      <c r="N405" s="10">
        <f>ROUND(ABS('2. Demand History'!W405-IF($D405="Yes",'2. Demand History'!K405,AVERAGE('2. Demand History'!T405:V405)))/MAX('2. Demand History'!W405,1),3)</f>
        <v>0.25</v>
      </c>
      <c r="O405" s="10">
        <f>ROUND(ABS('2. Demand History'!X405-IF($D405="Yes",'2. Demand History'!L405,AVERAGE('2. Demand History'!U405:W405)))/MAX('2. Demand History'!X405,1),3)</f>
        <v>0.12</v>
      </c>
      <c r="P405" s="10">
        <f>ROUND(ABS('2. Demand History'!Y405-IF($D405="Yes",'2. Demand History'!M405,AVERAGE('2. Demand History'!V405:X405)))/MAX('2. Demand History'!Y405,1),3)</f>
        <v>3.6999999999999998E-2</v>
      </c>
      <c r="Q405" s="10">
        <f>ROUND(ABS('2. Demand History'!Z405-IF($D405="Yes",'2. Demand History'!N405,AVERAGE('2. Demand History'!W405:Y405)))/MAX('2. Demand History'!Z405,1),3)</f>
        <v>0.16</v>
      </c>
    </row>
    <row r="406" spans="1:17" ht="15" customHeight="1" x14ac:dyDescent="0.2">
      <c r="A406" s="3" t="str">
        <f>'2. Demand History'!A406</f>
        <v>NT10402</v>
      </c>
      <c r="B406" s="1" t="str">
        <f>'2. Demand History'!B406</f>
        <v>NovaTab 904 10in</v>
      </c>
      <c r="C406" s="3" t="str">
        <f>'1. Master Data'!C406</f>
        <v>Tablets</v>
      </c>
      <c r="D406" s="3" t="s">
        <v>1111</v>
      </c>
      <c r="E406" s="3" t="str">
        <f t="shared" si="18"/>
        <v>Seasonal Naive</v>
      </c>
      <c r="F406" s="3">
        <f>ROUND(AVERAGE('2. Demand History'!O406:Z406),1)</f>
        <v>397.3</v>
      </c>
      <c r="G406" s="3">
        <f>ROUND(STDEV('2. Demand History'!O406:Z406),1)</f>
        <v>105.8</v>
      </c>
      <c r="H406" s="8">
        <f t="shared" si="19"/>
        <v>0.27</v>
      </c>
      <c r="I406" s="8">
        <f>ROUND(SUM('2. Demand History'!O406:Z406)/MAX(SUM('2. Demand History'!C406:N406),1),2)</f>
        <v>1.04</v>
      </c>
      <c r="J406" s="5">
        <f>IF(D406="Yes",ROUND('2. Demand History'!O406*I406,0),ROUND(AVERAGE('2. Demand History'!X406:Z406),0))</f>
        <v>333</v>
      </c>
      <c r="K406" s="9">
        <f t="shared" si="20"/>
        <v>0.158</v>
      </c>
      <c r="L406" s="10">
        <f>ROUND(ABS('2. Demand History'!U406-IF($D406="Yes",'2. Demand History'!I406,AVERAGE('2. Demand History'!R406:T406)))/MAX('2. Demand History'!U406,1),3)</f>
        <v>0.23400000000000001</v>
      </c>
      <c r="M406" s="10">
        <f>ROUND(ABS('2. Demand History'!V406-IF($D406="Yes",'2. Demand History'!J406,AVERAGE('2. Demand History'!S406:U406)))/MAX('2. Demand History'!V406,1),3)</f>
        <v>1.4E-2</v>
      </c>
      <c r="N406" s="10">
        <f>ROUND(ABS('2. Demand History'!W406-IF($D406="Yes",'2. Demand History'!K406,AVERAGE('2. Demand History'!T406:V406)))/MAX('2. Demand History'!W406,1),3)</f>
        <v>0.28699999999999998</v>
      </c>
      <c r="O406" s="10">
        <f>ROUND(ABS('2. Demand History'!X406-IF($D406="Yes",'2. Demand History'!L406,AVERAGE('2. Demand History'!U406:W406)))/MAX('2. Demand History'!X406,1),3)</f>
        <v>4.8000000000000001E-2</v>
      </c>
      <c r="P406" s="10">
        <f>ROUND(ABS('2. Demand History'!Y406-IF($D406="Yes",'2. Demand History'!M406,AVERAGE('2. Demand History'!V406:X406)))/MAX('2. Demand History'!Y406,1),3)</f>
        <v>0.27300000000000002</v>
      </c>
      <c r="Q406" s="10">
        <f>ROUND(ABS('2. Demand History'!Z406-IF($D406="Yes",'2. Demand History'!N406,AVERAGE('2. Demand History'!W406:Y406)))/MAX('2. Demand History'!Z406,1),3)</f>
        <v>9.1999999999999998E-2</v>
      </c>
    </row>
    <row r="407" spans="1:17" ht="15" customHeight="1" x14ac:dyDescent="0.2">
      <c r="A407" s="3" t="str">
        <f>'2. Demand History'!A407</f>
        <v>NT10403</v>
      </c>
      <c r="B407" s="1" t="str">
        <f>'2. Demand History'!B407</f>
        <v>NovaTab 537 10in</v>
      </c>
      <c r="C407" s="3" t="str">
        <f>'1. Master Data'!C407</f>
        <v>Tablets</v>
      </c>
      <c r="D407" s="3" t="s">
        <v>1111</v>
      </c>
      <c r="E407" s="3" t="str">
        <f t="shared" si="18"/>
        <v>Seasonal Naive</v>
      </c>
      <c r="F407" s="3">
        <f>ROUND(AVERAGE('2. Demand History'!O407:Z407),1)</f>
        <v>6.6</v>
      </c>
      <c r="G407" s="3">
        <f>ROUND(STDEV('2. Demand History'!O407:Z407),1)</f>
        <v>6.8</v>
      </c>
      <c r="H407" s="8">
        <f t="shared" si="19"/>
        <v>1.03</v>
      </c>
      <c r="I407" s="8">
        <f>ROUND(SUM('2. Demand History'!O407:Z407)/MAX(SUM('2. Demand History'!C407:N407),1),2)</f>
        <v>0.95</v>
      </c>
      <c r="J407" s="5">
        <f>IF(D407="Yes",ROUND('2. Demand History'!O407*I407,0),ROUND(AVERAGE('2. Demand History'!X407:Z407),0))</f>
        <v>6</v>
      </c>
      <c r="K407" s="9">
        <f t="shared" si="20"/>
        <v>0.59499999999999997</v>
      </c>
      <c r="L407" s="10">
        <f>ROUND(ABS('2. Demand History'!U407-IF($D407="Yes",'2. Demand History'!I407,AVERAGE('2. Demand History'!R407:T407)))/MAX('2. Demand History'!U407,1),3)</f>
        <v>2.5</v>
      </c>
      <c r="M407" s="10">
        <f>ROUND(ABS('2. Demand History'!V407-IF($D407="Yes",'2. Demand History'!J407,AVERAGE('2. Demand History'!S407:U407)))/MAX('2. Demand History'!V407,1),3)</f>
        <v>0.2</v>
      </c>
      <c r="N407" s="10">
        <f>ROUND(ABS('2. Demand History'!W407-IF($D407="Yes",'2. Demand History'!K407,AVERAGE('2. Demand History'!T407:V407)))/MAX('2. Demand History'!W407,1),3)</f>
        <v>0.25</v>
      </c>
      <c r="O407" s="10">
        <f>ROUND(ABS('2. Demand History'!X407-IF($D407="Yes",'2. Demand History'!L407,AVERAGE('2. Demand History'!U407:W407)))/MAX('2. Demand History'!X407,1),3)</f>
        <v>0.25</v>
      </c>
      <c r="P407" s="10">
        <f>ROUND(ABS('2. Demand History'!Y407-IF($D407="Yes",'2. Demand History'!M407,AVERAGE('2. Demand History'!V407:X407)))/MAX('2. Demand History'!Y407,1),3)</f>
        <v>0.2</v>
      </c>
      <c r="Q407" s="10">
        <f>ROUND(ABS('2. Demand History'!Z407-IF($D407="Yes",'2. Demand History'!N407,AVERAGE('2. Demand History'!W407:Y407)))/MAX('2. Demand History'!Z407,1),3)</f>
        <v>0.16700000000000001</v>
      </c>
    </row>
    <row r="408" spans="1:17" ht="15" customHeight="1" x14ac:dyDescent="0.2">
      <c r="A408" s="3" t="str">
        <f>'2. Demand History'!A408</f>
        <v>NT10404</v>
      </c>
      <c r="B408" s="1" t="str">
        <f>'2. Demand History'!B408</f>
        <v>NovaTab 716 Kids</v>
      </c>
      <c r="C408" s="3" t="str">
        <f>'1. Master Data'!C408</f>
        <v>Tablets</v>
      </c>
      <c r="D408" s="3" t="s">
        <v>1111</v>
      </c>
      <c r="E408" s="3" t="str">
        <f t="shared" si="18"/>
        <v>Seasonal Naive</v>
      </c>
      <c r="F408" s="3">
        <f>ROUND(AVERAGE('2. Demand History'!O408:Z408),1)</f>
        <v>23.4</v>
      </c>
      <c r="G408" s="3">
        <f>ROUND(STDEV('2. Demand History'!O408:Z408),1)</f>
        <v>6.6</v>
      </c>
      <c r="H408" s="8">
        <f t="shared" si="19"/>
        <v>0.28000000000000003</v>
      </c>
      <c r="I408" s="8">
        <f>ROUND(SUM('2. Demand History'!O408:Z408)/MAX(SUM('2. Demand History'!C408:N408),1),2)</f>
        <v>0.99</v>
      </c>
      <c r="J408" s="5">
        <f>IF(D408="Yes",ROUND('2. Demand History'!O408*I408,0),ROUND(AVERAGE('2. Demand History'!X408:Z408),0))</f>
        <v>19</v>
      </c>
      <c r="K408" s="9">
        <f t="shared" si="20"/>
        <v>0.16400000000000001</v>
      </c>
      <c r="L408" s="10">
        <f>ROUND(ABS('2. Demand History'!U408-IF($D408="Yes",'2. Demand History'!I408,AVERAGE('2. Demand History'!R408:T408)))/MAX('2. Demand History'!U408,1),3)</f>
        <v>0.10299999999999999</v>
      </c>
      <c r="M408" s="10">
        <f>ROUND(ABS('2. Demand History'!V408-IF($D408="Yes",'2. Demand History'!J408,AVERAGE('2. Demand History'!S408:U408)))/MAX('2. Demand History'!V408,1),3)</f>
        <v>0.111</v>
      </c>
      <c r="N408" s="10">
        <f>ROUND(ABS('2. Demand History'!W408-IF($D408="Yes",'2. Demand History'!K408,AVERAGE('2. Demand History'!T408:V408)))/MAX('2. Demand History'!W408,1),3)</f>
        <v>0.13600000000000001</v>
      </c>
      <c r="O408" s="10">
        <f>ROUND(ABS('2. Demand History'!X408-IF($D408="Yes",'2. Demand History'!L408,AVERAGE('2. Demand History'!U408:W408)))/MAX('2. Demand History'!X408,1),3)</f>
        <v>5.2999999999999999E-2</v>
      </c>
      <c r="P408" s="10">
        <f>ROUND(ABS('2. Demand History'!Y408-IF($D408="Yes",'2. Demand History'!M408,AVERAGE('2. Demand History'!V408:X408)))/MAX('2. Demand History'!Y408,1),3)</f>
        <v>0.29599999999999999</v>
      </c>
      <c r="Q408" s="10">
        <f>ROUND(ABS('2. Demand History'!Z408-IF($D408="Yes",'2. Demand History'!N408,AVERAGE('2. Demand History'!W408:Y408)))/MAX('2. Demand History'!Z408,1),3)</f>
        <v>0.28599999999999998</v>
      </c>
    </row>
    <row r="409" spans="1:17" ht="15" customHeight="1" x14ac:dyDescent="0.2">
      <c r="A409" s="3" t="str">
        <f>'2. Demand History'!A409</f>
        <v>NT10405</v>
      </c>
      <c r="B409" s="1" t="str">
        <f>'2. Demand History'!B409</f>
        <v>NovaTab 280 10in</v>
      </c>
      <c r="C409" s="3" t="str">
        <f>'1. Master Data'!C409</f>
        <v>Tablets</v>
      </c>
      <c r="D409" s="3" t="s">
        <v>1111</v>
      </c>
      <c r="E409" s="3" t="str">
        <f t="shared" si="18"/>
        <v>Seasonal Naive</v>
      </c>
      <c r="F409" s="3">
        <f>ROUND(AVERAGE('2. Demand History'!O409:Z409),1)</f>
        <v>89.7</v>
      </c>
      <c r="G409" s="3">
        <f>ROUND(STDEV('2. Demand History'!O409:Z409),1)</f>
        <v>22.8</v>
      </c>
      <c r="H409" s="8">
        <f t="shared" si="19"/>
        <v>0.25</v>
      </c>
      <c r="I409" s="8">
        <f>ROUND(SUM('2. Demand History'!O409:Z409)/MAX(SUM('2. Demand History'!C409:N409),1),2)</f>
        <v>1.06</v>
      </c>
      <c r="J409" s="5">
        <f>IF(D409="Yes",ROUND('2. Demand History'!O409*I409,0),ROUND(AVERAGE('2. Demand History'!X409:Z409),0))</f>
        <v>83</v>
      </c>
      <c r="K409" s="9">
        <f t="shared" si="20"/>
        <v>5.7000000000000002E-2</v>
      </c>
      <c r="L409" s="10">
        <f>ROUND(ABS('2. Demand History'!U409-IF($D409="Yes",'2. Demand History'!I409,AVERAGE('2. Demand History'!R409:T409)))/MAX('2. Demand History'!U409,1),3)</f>
        <v>4.2000000000000003E-2</v>
      </c>
      <c r="M409" s="10">
        <f>ROUND(ABS('2. Demand History'!V409-IF($D409="Yes",'2. Demand History'!J409,AVERAGE('2. Demand History'!S409:U409)))/MAX('2. Demand History'!V409,1),3)</f>
        <v>0</v>
      </c>
      <c r="N409" s="10">
        <f>ROUND(ABS('2. Demand History'!W409-IF($D409="Yes",'2. Demand History'!K409,AVERAGE('2. Demand History'!T409:V409)))/MAX('2. Demand History'!W409,1),3)</f>
        <v>3.7999999999999999E-2</v>
      </c>
      <c r="O409" s="10">
        <f>ROUND(ABS('2. Demand History'!X409-IF($D409="Yes",'2. Demand History'!L409,AVERAGE('2. Demand History'!U409:W409)))/MAX('2. Demand History'!X409,1),3)</f>
        <v>6.5000000000000002E-2</v>
      </c>
      <c r="P409" s="10">
        <f>ROUND(ABS('2. Demand History'!Y409-IF($D409="Yes",'2. Demand History'!M409,AVERAGE('2. Demand History'!V409:X409)))/MAX('2. Demand History'!Y409,1),3)</f>
        <v>0.14799999999999999</v>
      </c>
      <c r="Q409" s="10">
        <f>ROUND(ABS('2. Demand History'!Z409-IF($D409="Yes",'2. Demand History'!N409,AVERAGE('2. Demand History'!W409:Y409)))/MAX('2. Demand History'!Z409,1),3)</f>
        <v>4.8000000000000001E-2</v>
      </c>
    </row>
    <row r="410" spans="1:17" ht="15" customHeight="1" x14ac:dyDescent="0.2">
      <c r="A410" s="3" t="str">
        <f>'2. Demand History'!A410</f>
        <v>NT10406</v>
      </c>
      <c r="B410" s="1" t="str">
        <f>'2. Demand History'!B410</f>
        <v>DrawPad 936 12in</v>
      </c>
      <c r="C410" s="3" t="str">
        <f>'1. Master Data'!C410</f>
        <v>Tablets</v>
      </c>
      <c r="D410" s="3" t="s">
        <v>1111</v>
      </c>
      <c r="E410" s="3" t="str">
        <f t="shared" si="18"/>
        <v>Seasonal Naive</v>
      </c>
      <c r="F410" s="3">
        <f>ROUND(AVERAGE('2. Demand History'!O410:Z410),1)</f>
        <v>71.400000000000006</v>
      </c>
      <c r="G410" s="3">
        <f>ROUND(STDEV('2. Demand History'!O410:Z410),1)</f>
        <v>26.5</v>
      </c>
      <c r="H410" s="8">
        <f t="shared" si="19"/>
        <v>0.37</v>
      </c>
      <c r="I410" s="8">
        <f>ROUND(SUM('2. Demand History'!O410:Z410)/MAX(SUM('2. Demand History'!C410:N410),1),2)</f>
        <v>1.07</v>
      </c>
      <c r="J410" s="5">
        <f>IF(D410="Yes",ROUND('2. Demand History'!O410*I410,0),ROUND(AVERAGE('2. Demand History'!X410:Z410),0))</f>
        <v>75</v>
      </c>
      <c r="K410" s="9">
        <f t="shared" si="20"/>
        <v>0.11600000000000001</v>
      </c>
      <c r="L410" s="10">
        <f>ROUND(ABS('2. Demand History'!U410-IF($D410="Yes",'2. Demand History'!I410,AVERAGE('2. Demand History'!R410:T410)))/MAX('2. Demand History'!U410,1),3)</f>
        <v>0.16200000000000001</v>
      </c>
      <c r="M410" s="10">
        <f>ROUND(ABS('2. Demand History'!V410-IF($D410="Yes",'2. Demand History'!J410,AVERAGE('2. Demand History'!S410:U410)))/MAX('2. Demand History'!V410,1),3)</f>
        <v>0</v>
      </c>
      <c r="N410" s="10">
        <f>ROUND(ABS('2. Demand History'!W410-IF($D410="Yes",'2. Demand History'!K410,AVERAGE('2. Demand History'!T410:V410)))/MAX('2. Demand History'!W410,1),3)</f>
        <v>0.10199999999999999</v>
      </c>
      <c r="O410" s="10">
        <f>ROUND(ABS('2. Demand History'!X410-IF($D410="Yes",'2. Demand History'!L410,AVERAGE('2. Demand History'!U410:W410)))/MAX('2. Demand History'!X410,1),3)</f>
        <v>6.8000000000000005E-2</v>
      </c>
      <c r="P410" s="10">
        <f>ROUND(ABS('2. Demand History'!Y410-IF($D410="Yes",'2. Demand History'!M410,AVERAGE('2. Demand History'!V410:X410)))/MAX('2. Demand History'!Y410,1),3)</f>
        <v>0.20300000000000001</v>
      </c>
      <c r="Q410" s="10">
        <f>ROUND(ABS('2. Demand History'!Z410-IF($D410="Yes",'2. Demand History'!N410,AVERAGE('2. Demand History'!W410:Y410)))/MAX('2. Demand History'!Z410,1),3)</f>
        <v>0.16</v>
      </c>
    </row>
    <row r="411" spans="1:17" ht="15" customHeight="1" x14ac:dyDescent="0.2">
      <c r="A411" s="3" t="str">
        <f>'2. Demand History'!A411</f>
        <v>NT10407</v>
      </c>
      <c r="B411" s="1" t="str">
        <f>'2. Demand History'!B411</f>
        <v>DrawPad 201 12in</v>
      </c>
      <c r="C411" s="3" t="str">
        <f>'1. Master Data'!C411</f>
        <v>Tablets</v>
      </c>
      <c r="D411" s="3" t="s">
        <v>1111</v>
      </c>
      <c r="E411" s="3" t="str">
        <f t="shared" si="18"/>
        <v>Seasonal Naive</v>
      </c>
      <c r="F411" s="3">
        <f>ROUND(AVERAGE('2. Demand History'!O411:Z411),1)</f>
        <v>84.3</v>
      </c>
      <c r="G411" s="3">
        <f>ROUND(STDEV('2. Demand History'!O411:Z411),1)</f>
        <v>22.6</v>
      </c>
      <c r="H411" s="8">
        <f t="shared" si="19"/>
        <v>0.27</v>
      </c>
      <c r="I411" s="8">
        <f>ROUND(SUM('2. Demand History'!O411:Z411)/MAX(SUM('2. Demand History'!C411:N411),1),2)</f>
        <v>1</v>
      </c>
      <c r="J411" s="5">
        <f>IF(D411="Yes",ROUND('2. Demand History'!O411*I411,0),ROUND(AVERAGE('2. Demand History'!X411:Z411),0))</f>
        <v>83</v>
      </c>
      <c r="K411" s="9">
        <f t="shared" si="20"/>
        <v>9.6000000000000002E-2</v>
      </c>
      <c r="L411" s="10">
        <f>ROUND(ABS('2. Demand History'!U411-IF($D411="Yes",'2. Demand History'!I411,AVERAGE('2. Demand History'!R411:T411)))/MAX('2. Demand History'!U411,1),3)</f>
        <v>1.4999999999999999E-2</v>
      </c>
      <c r="M411" s="10">
        <f>ROUND(ABS('2. Demand History'!V411-IF($D411="Yes",'2. Demand History'!J411,AVERAGE('2. Demand History'!S411:U411)))/MAX('2. Demand History'!V411,1),3)</f>
        <v>0</v>
      </c>
      <c r="N411" s="10">
        <f>ROUND(ABS('2. Demand History'!W411-IF($D411="Yes",'2. Demand History'!K411,AVERAGE('2. Demand History'!T411:V411)))/MAX('2. Demand History'!W411,1),3)</f>
        <v>8.2000000000000003E-2</v>
      </c>
      <c r="O411" s="10">
        <f>ROUND(ABS('2. Demand History'!X411-IF($D411="Yes",'2. Demand History'!L411,AVERAGE('2. Demand History'!U411:W411)))/MAX('2. Demand History'!X411,1),3)</f>
        <v>0.16500000000000001</v>
      </c>
      <c r="P411" s="10">
        <f>ROUND(ABS('2. Demand History'!Y411-IF($D411="Yes",'2. Demand History'!M411,AVERAGE('2. Demand History'!V411:X411)))/MAX('2. Demand History'!Y411,1),3)</f>
        <v>0.254</v>
      </c>
      <c r="Q411" s="10">
        <f>ROUND(ABS('2. Demand History'!Z411-IF($D411="Yes",'2. Demand History'!N411,AVERAGE('2. Demand History'!W411:Y411)))/MAX('2. Demand History'!Z411,1),3)</f>
        <v>5.7000000000000002E-2</v>
      </c>
    </row>
    <row r="412" spans="1:17" ht="15" customHeight="1" x14ac:dyDescent="0.2">
      <c r="A412" s="3" t="str">
        <f>'2. Demand History'!A412</f>
        <v>NT10408</v>
      </c>
      <c r="B412" s="1" t="str">
        <f>'2. Demand History'!B412</f>
        <v>NovaTab 610 10in</v>
      </c>
      <c r="C412" s="3" t="str">
        <f>'1. Master Data'!C412</f>
        <v>Tablets</v>
      </c>
      <c r="D412" s="3" t="s">
        <v>1111</v>
      </c>
      <c r="E412" s="3" t="str">
        <f t="shared" si="18"/>
        <v>Seasonal Naive</v>
      </c>
      <c r="F412" s="3">
        <f>ROUND(AVERAGE('2. Demand History'!O412:Z412),1)</f>
        <v>24.3</v>
      </c>
      <c r="G412" s="3">
        <f>ROUND(STDEV('2. Demand History'!O412:Z412),1)</f>
        <v>4.9000000000000004</v>
      </c>
      <c r="H412" s="8">
        <f t="shared" si="19"/>
        <v>0.2</v>
      </c>
      <c r="I412" s="8">
        <f>ROUND(SUM('2. Demand History'!O412:Z412)/MAX(SUM('2. Demand History'!C412:N412),1),2)</f>
        <v>0.99</v>
      </c>
      <c r="J412" s="5">
        <f>IF(D412="Yes",ROUND('2. Demand History'!O412*I412,0),ROUND(AVERAGE('2. Demand History'!X412:Z412),0))</f>
        <v>25</v>
      </c>
      <c r="K412" s="9">
        <f t="shared" si="20"/>
        <v>0.105</v>
      </c>
      <c r="L412" s="10">
        <f>ROUND(ABS('2. Demand History'!U412-IF($D412="Yes",'2. Demand History'!I412,AVERAGE('2. Demand History'!R412:T412)))/MAX('2. Demand History'!U412,1),3)</f>
        <v>0.2</v>
      </c>
      <c r="M412" s="10">
        <f>ROUND(ABS('2. Demand History'!V412-IF($D412="Yes",'2. Demand History'!J412,AVERAGE('2. Demand History'!S412:U412)))/MAX('2. Demand History'!V412,1),3)</f>
        <v>0.11799999999999999</v>
      </c>
      <c r="N412" s="10">
        <f>ROUND(ABS('2. Demand History'!W412-IF($D412="Yes",'2. Demand History'!K412,AVERAGE('2. Demand History'!T412:V412)))/MAX('2. Demand History'!W412,1),3)</f>
        <v>0.17399999999999999</v>
      </c>
      <c r="O412" s="10">
        <f>ROUND(ABS('2. Demand History'!X412-IF($D412="Yes",'2. Demand History'!L412,AVERAGE('2. Demand History'!U412:W412)))/MAX('2. Demand History'!X412,1),3)</f>
        <v>0</v>
      </c>
      <c r="P412" s="10">
        <f>ROUND(ABS('2. Demand History'!Y412-IF($D412="Yes",'2. Demand History'!M412,AVERAGE('2. Demand History'!V412:X412)))/MAX('2. Demand History'!Y412,1),3)</f>
        <v>9.5000000000000001E-2</v>
      </c>
      <c r="Q412" s="10">
        <f>ROUND(ABS('2. Demand History'!Z412-IF($D412="Yes",'2. Demand History'!N412,AVERAGE('2. Demand History'!W412:Y412)))/MAX('2. Demand History'!Z412,1),3)</f>
        <v>4.2000000000000003E-2</v>
      </c>
    </row>
    <row r="413" spans="1:17" ht="15" customHeight="1" x14ac:dyDescent="0.2">
      <c r="A413" s="3" t="str">
        <f>'2. Demand History'!A413</f>
        <v>NT10409</v>
      </c>
      <c r="B413" s="1" t="str">
        <f>'2. Demand History'!B413</f>
        <v>DrawPad 147 12in</v>
      </c>
      <c r="C413" s="3" t="str">
        <f>'1. Master Data'!C413</f>
        <v>Tablets</v>
      </c>
      <c r="D413" s="3" t="s">
        <v>1111</v>
      </c>
      <c r="E413" s="3" t="str">
        <f t="shared" si="18"/>
        <v>Seasonal Naive</v>
      </c>
      <c r="F413" s="3">
        <f>ROUND(AVERAGE('2. Demand History'!O413:Z413),1)</f>
        <v>11.3</v>
      </c>
      <c r="G413" s="3">
        <f>ROUND(STDEV('2. Demand History'!O413:Z413),1)</f>
        <v>2.7</v>
      </c>
      <c r="H413" s="8">
        <f t="shared" si="19"/>
        <v>0.24</v>
      </c>
      <c r="I413" s="8">
        <f>ROUND(SUM('2. Demand History'!O413:Z413)/MAX(SUM('2. Demand History'!C413:N413),1),2)</f>
        <v>1.08</v>
      </c>
      <c r="J413" s="5">
        <f>IF(D413="Yes",ROUND('2. Demand History'!O413*I413,0),ROUND(AVERAGE('2. Demand History'!X413:Z413),0))</f>
        <v>11</v>
      </c>
      <c r="K413" s="9">
        <f t="shared" si="20"/>
        <v>9.6000000000000002E-2</v>
      </c>
      <c r="L413" s="10">
        <f>ROUND(ABS('2. Demand History'!U413-IF($D413="Yes",'2. Demand History'!I413,AVERAGE('2. Demand History'!R413:T413)))/MAX('2. Demand History'!U413,1),3)</f>
        <v>5.8999999999999997E-2</v>
      </c>
      <c r="M413" s="10">
        <f>ROUND(ABS('2. Demand History'!V413-IF($D413="Yes",'2. Demand History'!J413,AVERAGE('2. Demand History'!S413:U413)))/MAX('2. Demand History'!V413,1),3)</f>
        <v>0.25</v>
      </c>
      <c r="N413" s="10">
        <f>ROUND(ABS('2. Demand History'!W413-IF($D413="Yes",'2. Demand History'!K413,AVERAGE('2. Demand History'!T413:V413)))/MAX('2. Demand History'!W413,1),3)</f>
        <v>0.1</v>
      </c>
      <c r="O413" s="10">
        <f>ROUND(ABS('2. Demand History'!X413-IF($D413="Yes",'2. Demand History'!L413,AVERAGE('2. Demand History'!U413:W413)))/MAX('2. Demand History'!X413,1),3)</f>
        <v>0</v>
      </c>
      <c r="P413" s="10">
        <f>ROUND(ABS('2. Demand History'!Y413-IF($D413="Yes",'2. Demand History'!M413,AVERAGE('2. Demand History'!V413:X413)))/MAX('2. Demand History'!Y413,1),3)</f>
        <v>0</v>
      </c>
      <c r="Q413" s="10">
        <f>ROUND(ABS('2. Demand History'!Z413-IF($D413="Yes",'2. Demand History'!N413,AVERAGE('2. Demand History'!W413:Y413)))/MAX('2. Demand History'!Z413,1),3)</f>
        <v>0.16700000000000001</v>
      </c>
    </row>
    <row r="414" spans="1:17" ht="15" customHeight="1" x14ac:dyDescent="0.2">
      <c r="A414" s="3" t="str">
        <f>'2. Demand History'!A414</f>
        <v>NT10410</v>
      </c>
      <c r="B414" s="1" t="str">
        <f>'2. Demand History'!B414</f>
        <v>DrawPad 324 12in</v>
      </c>
      <c r="C414" s="3" t="str">
        <f>'1. Master Data'!C414</f>
        <v>Tablets</v>
      </c>
      <c r="D414" s="3" t="s">
        <v>1111</v>
      </c>
      <c r="E414" s="3" t="str">
        <f t="shared" si="18"/>
        <v>Seasonal Naive</v>
      </c>
      <c r="F414" s="3">
        <f>ROUND(AVERAGE('2. Demand History'!O414:Z414),1)</f>
        <v>88.9</v>
      </c>
      <c r="G414" s="3">
        <f>ROUND(STDEV('2. Demand History'!O414:Z414),1)</f>
        <v>30.2</v>
      </c>
      <c r="H414" s="8">
        <f t="shared" si="19"/>
        <v>0.34</v>
      </c>
      <c r="I414" s="8">
        <f>ROUND(SUM('2. Demand History'!O414:Z414)/MAX(SUM('2. Demand History'!C414:N414),1),2)</f>
        <v>1.02</v>
      </c>
      <c r="J414" s="5">
        <f>IF(D414="Yes",ROUND('2. Demand History'!O414*I414,0),ROUND(AVERAGE('2. Demand History'!X414:Z414),0))</f>
        <v>71</v>
      </c>
      <c r="K414" s="9">
        <f t="shared" si="20"/>
        <v>0.13400000000000001</v>
      </c>
      <c r="L414" s="10">
        <f>ROUND(ABS('2. Demand History'!U414-IF($D414="Yes",'2. Demand History'!I414,AVERAGE('2. Demand History'!R414:T414)))/MAX('2. Demand History'!U414,1),3)</f>
        <v>0.14499999999999999</v>
      </c>
      <c r="M414" s="10">
        <f>ROUND(ABS('2. Demand History'!V414-IF($D414="Yes",'2. Demand History'!J414,AVERAGE('2. Demand History'!S414:U414)))/MAX('2. Demand History'!V414,1),3)</f>
        <v>0.155</v>
      </c>
      <c r="N414" s="10">
        <f>ROUND(ABS('2. Demand History'!W414-IF($D414="Yes",'2. Demand History'!K414,AVERAGE('2. Demand History'!T414:V414)))/MAX('2. Demand History'!W414,1),3)</f>
        <v>1.4999999999999999E-2</v>
      </c>
      <c r="O414" s="10">
        <f>ROUND(ABS('2. Demand History'!X414-IF($D414="Yes",'2. Demand History'!L414,AVERAGE('2. Demand History'!U414:W414)))/MAX('2. Demand History'!X414,1),3)</f>
        <v>0.14899999999999999</v>
      </c>
      <c r="P414" s="10">
        <f>ROUND(ABS('2. Demand History'!Y414-IF($D414="Yes",'2. Demand History'!M414,AVERAGE('2. Demand History'!V414:X414)))/MAX('2. Demand History'!Y414,1),3)</f>
        <v>0.182</v>
      </c>
      <c r="Q414" s="10">
        <f>ROUND(ABS('2. Demand History'!Z414-IF($D414="Yes",'2. Demand History'!N414,AVERAGE('2. Demand History'!W414:Y414)))/MAX('2. Demand History'!Z414,1),3)</f>
        <v>0.158</v>
      </c>
    </row>
    <row r="415" spans="1:17" ht="15" customHeight="1" x14ac:dyDescent="0.2">
      <c r="A415" s="3" t="str">
        <f>'2. Demand History'!A415</f>
        <v>NT10411</v>
      </c>
      <c r="B415" s="1" t="str">
        <f>'2. Demand History'!B415</f>
        <v>NovaTab 602 10in</v>
      </c>
      <c r="C415" s="3" t="str">
        <f>'1. Master Data'!C415</f>
        <v>Tablets</v>
      </c>
      <c r="D415" s="3" t="s">
        <v>1111</v>
      </c>
      <c r="E415" s="3" t="str">
        <f t="shared" si="18"/>
        <v>Seasonal Naive</v>
      </c>
      <c r="F415" s="3">
        <f>ROUND(AVERAGE('2. Demand History'!O415:Z415),1)</f>
        <v>90.3</v>
      </c>
      <c r="G415" s="3">
        <f>ROUND(STDEV('2. Demand History'!O415:Z415),1)</f>
        <v>26.9</v>
      </c>
      <c r="H415" s="8">
        <f t="shared" si="19"/>
        <v>0.3</v>
      </c>
      <c r="I415" s="8">
        <f>ROUND(SUM('2. Demand History'!O415:Z415)/MAX(SUM('2. Demand History'!C415:N415),1),2)</f>
        <v>1.05</v>
      </c>
      <c r="J415" s="5">
        <f>IF(D415="Yes",ROUND('2. Demand History'!O415*I415,0),ROUND(AVERAGE('2. Demand History'!X415:Z415),0))</f>
        <v>85</v>
      </c>
      <c r="K415" s="9">
        <f t="shared" si="20"/>
        <v>8.7999999999999995E-2</v>
      </c>
      <c r="L415" s="10">
        <f>ROUND(ABS('2. Demand History'!U415-IF($D415="Yes",'2. Demand History'!I415,AVERAGE('2. Demand History'!R415:T415)))/MAX('2. Demand History'!U415,1),3)</f>
        <v>5.5E-2</v>
      </c>
      <c r="M415" s="10">
        <f>ROUND(ABS('2. Demand History'!V415-IF($D415="Yes",'2. Demand History'!J415,AVERAGE('2. Demand History'!S415:U415)))/MAX('2. Demand History'!V415,1),3)</f>
        <v>6.0999999999999999E-2</v>
      </c>
      <c r="N415" s="10">
        <f>ROUND(ABS('2. Demand History'!W415-IF($D415="Yes",'2. Demand History'!K415,AVERAGE('2. Demand History'!T415:V415)))/MAX('2. Demand History'!W415,1),3)</f>
        <v>1.4E-2</v>
      </c>
      <c r="O415" s="10">
        <f>ROUND(ABS('2. Demand History'!X415-IF($D415="Yes",'2. Demand History'!L415,AVERAGE('2. Demand History'!U415:W415)))/MAX('2. Demand History'!X415,1),3)</f>
        <v>5.2999999999999999E-2</v>
      </c>
      <c r="P415" s="10">
        <f>ROUND(ABS('2. Demand History'!Y415-IF($D415="Yes",'2. Demand History'!M415,AVERAGE('2. Demand History'!V415:X415)))/MAX('2. Demand History'!Y415,1),3)</f>
        <v>0.10100000000000001</v>
      </c>
      <c r="Q415" s="10">
        <f>ROUND(ABS('2. Demand History'!Z415-IF($D415="Yes",'2. Demand History'!N415,AVERAGE('2. Demand History'!W415:Y415)))/MAX('2. Demand History'!Z415,1),3)</f>
        <v>0.245</v>
      </c>
    </row>
    <row r="416" spans="1:17" ht="15" customHeight="1" x14ac:dyDescent="0.2">
      <c r="A416" s="3" t="str">
        <f>'2. Demand History'!A416</f>
        <v>NT10412</v>
      </c>
      <c r="B416" s="1" t="str">
        <f>'2. Demand History'!B416</f>
        <v>NovaTab 225 Kids</v>
      </c>
      <c r="C416" s="3" t="str">
        <f>'1. Master Data'!C416</f>
        <v>Tablets</v>
      </c>
      <c r="D416" s="3" t="s">
        <v>1111</v>
      </c>
      <c r="E416" s="3" t="str">
        <f t="shared" si="18"/>
        <v>Seasonal Naive</v>
      </c>
      <c r="F416" s="3">
        <f>ROUND(AVERAGE('2. Demand History'!O416:Z416),1)</f>
        <v>59.6</v>
      </c>
      <c r="G416" s="3">
        <f>ROUND(STDEV('2. Demand History'!O416:Z416),1)</f>
        <v>17.2</v>
      </c>
      <c r="H416" s="8">
        <f t="shared" si="19"/>
        <v>0.28999999999999998</v>
      </c>
      <c r="I416" s="8">
        <f>ROUND(SUM('2. Demand History'!O416:Z416)/MAX(SUM('2. Demand History'!C416:N416),1),2)</f>
        <v>1.1100000000000001</v>
      </c>
      <c r="J416" s="5">
        <f>IF(D416="Yes",ROUND('2. Demand History'!O416*I416,0),ROUND(AVERAGE('2. Demand History'!X416:Z416),0))</f>
        <v>51</v>
      </c>
      <c r="K416" s="9">
        <f t="shared" si="20"/>
        <v>0.109</v>
      </c>
      <c r="L416" s="10">
        <f>ROUND(ABS('2. Demand History'!U416-IF($D416="Yes",'2. Demand History'!I416,AVERAGE('2. Demand History'!R416:T416)))/MAX('2. Demand History'!U416,1),3)</f>
        <v>0.13600000000000001</v>
      </c>
      <c r="M416" s="10">
        <f>ROUND(ABS('2. Demand History'!V416-IF($D416="Yes",'2. Demand History'!J416,AVERAGE('2. Demand History'!S416:U416)))/MAX('2. Demand History'!V416,1),3)</f>
        <v>0.16700000000000001</v>
      </c>
      <c r="N416" s="10">
        <f>ROUND(ABS('2. Demand History'!W416-IF($D416="Yes",'2. Demand History'!K416,AVERAGE('2. Demand History'!T416:V416)))/MAX('2. Demand History'!W416,1),3)</f>
        <v>0.128</v>
      </c>
      <c r="O416" s="10">
        <f>ROUND(ABS('2. Demand History'!X416-IF($D416="Yes",'2. Demand History'!L416,AVERAGE('2. Demand History'!U416:W416)))/MAX('2. Demand History'!X416,1),3)</f>
        <v>9.6000000000000002E-2</v>
      </c>
      <c r="P416" s="10">
        <f>ROUND(ABS('2. Demand History'!Y416-IF($D416="Yes",'2. Demand History'!M416,AVERAGE('2. Demand History'!V416:X416)))/MAX('2. Demand History'!Y416,1),3)</f>
        <v>1.9E-2</v>
      </c>
      <c r="Q416" s="10">
        <f>ROUND(ABS('2. Demand History'!Z416-IF($D416="Yes",'2. Demand History'!N416,AVERAGE('2. Demand History'!W416:Y416)))/MAX('2. Demand History'!Z416,1),3)</f>
        <v>0.107</v>
      </c>
    </row>
    <row r="417" spans="1:17" ht="15" customHeight="1" x14ac:dyDescent="0.2">
      <c r="A417" s="3" t="str">
        <f>'2. Demand History'!A417</f>
        <v>NT10413</v>
      </c>
      <c r="B417" s="1" t="str">
        <f>'2. Demand History'!B417</f>
        <v>NovaTab 817 Kids</v>
      </c>
      <c r="C417" s="3" t="str">
        <f>'1. Master Data'!C417</f>
        <v>Tablets</v>
      </c>
      <c r="D417" s="3" t="s">
        <v>1111</v>
      </c>
      <c r="E417" s="3" t="str">
        <f t="shared" si="18"/>
        <v>Seasonal Naive</v>
      </c>
      <c r="F417" s="3">
        <f>ROUND(AVERAGE('2. Demand History'!O417:Z417),1)</f>
        <v>16.3</v>
      </c>
      <c r="G417" s="3">
        <f>ROUND(STDEV('2. Demand History'!O417:Z417),1)</f>
        <v>4.2</v>
      </c>
      <c r="H417" s="8">
        <f t="shared" si="19"/>
        <v>0.26</v>
      </c>
      <c r="I417" s="8">
        <f>ROUND(SUM('2. Demand History'!O417:Z417)/MAX(SUM('2. Demand History'!C417:N417),1),2)</f>
        <v>1.08</v>
      </c>
      <c r="J417" s="5">
        <f>IF(D417="Yes",ROUND('2. Demand History'!O417*I417,0),ROUND(AVERAGE('2. Demand History'!X417:Z417),0))</f>
        <v>17</v>
      </c>
      <c r="K417" s="9">
        <f t="shared" si="20"/>
        <v>0.11899999999999999</v>
      </c>
      <c r="L417" s="10">
        <f>ROUND(ABS('2. Demand History'!U417-IF($D417="Yes",'2. Demand History'!I417,AVERAGE('2. Demand History'!R417:T417)))/MAX('2. Demand History'!U417,1),3)</f>
        <v>0</v>
      </c>
      <c r="M417" s="10">
        <f>ROUND(ABS('2. Demand History'!V417-IF($D417="Yes",'2. Demand History'!J417,AVERAGE('2. Demand History'!S417:U417)))/MAX('2. Demand History'!V417,1),3)</f>
        <v>0.16700000000000001</v>
      </c>
      <c r="N417" s="10">
        <f>ROUND(ABS('2. Demand History'!W417-IF($D417="Yes",'2. Demand History'!K417,AVERAGE('2. Demand History'!T417:V417)))/MAX('2. Demand History'!W417,1),3)</f>
        <v>0</v>
      </c>
      <c r="O417" s="10">
        <f>ROUND(ABS('2. Demand History'!X417-IF($D417="Yes",'2. Demand History'!L417,AVERAGE('2. Demand History'!U417:W417)))/MAX('2. Demand History'!X417,1),3)</f>
        <v>0.188</v>
      </c>
      <c r="P417" s="10">
        <f>ROUND(ABS('2. Demand History'!Y417-IF($D417="Yes",'2. Demand History'!M417,AVERAGE('2. Demand History'!V417:X417)))/MAX('2. Demand History'!Y417,1),3)</f>
        <v>6.3E-2</v>
      </c>
      <c r="Q417" s="10">
        <f>ROUND(ABS('2. Demand History'!Z417-IF($D417="Yes",'2. Demand History'!N417,AVERAGE('2. Demand History'!W417:Y417)))/MAX('2. Demand History'!Z417,1),3)</f>
        <v>0.29399999999999998</v>
      </c>
    </row>
    <row r="418" spans="1:17" ht="15" customHeight="1" x14ac:dyDescent="0.2">
      <c r="A418" s="3" t="str">
        <f>'2. Demand History'!A418</f>
        <v>NT10414</v>
      </c>
      <c r="B418" s="1" t="str">
        <f>'2. Demand History'!B418</f>
        <v>NovaTab 269 10in</v>
      </c>
      <c r="C418" s="3" t="str">
        <f>'1. Master Data'!C418</f>
        <v>Tablets</v>
      </c>
      <c r="D418" s="3" t="s">
        <v>1111</v>
      </c>
      <c r="E418" s="3" t="str">
        <f t="shared" si="18"/>
        <v>Seasonal Naive</v>
      </c>
      <c r="F418" s="3">
        <f>ROUND(AVERAGE('2. Demand History'!O418:Z418),1)</f>
        <v>11.3</v>
      </c>
      <c r="G418" s="3">
        <f>ROUND(STDEV('2. Demand History'!O418:Z418),1)</f>
        <v>3.3</v>
      </c>
      <c r="H418" s="8">
        <f t="shared" si="19"/>
        <v>0.28999999999999998</v>
      </c>
      <c r="I418" s="8">
        <f>ROUND(SUM('2. Demand History'!O418:Z418)/MAX(SUM('2. Demand History'!C418:N418),1),2)</f>
        <v>1.08</v>
      </c>
      <c r="J418" s="5">
        <f>IF(D418="Yes",ROUND('2. Demand History'!O418*I418,0),ROUND(AVERAGE('2. Demand History'!X418:Z418),0))</f>
        <v>10</v>
      </c>
      <c r="K418" s="9">
        <f t="shared" si="20"/>
        <v>7.4999999999999997E-2</v>
      </c>
      <c r="L418" s="10">
        <f>ROUND(ABS('2. Demand History'!U418-IF($D418="Yes",'2. Demand History'!I418,AVERAGE('2. Demand History'!R418:T418)))/MAX('2. Demand History'!U418,1),3)</f>
        <v>5.2999999999999999E-2</v>
      </c>
      <c r="M418" s="10">
        <f>ROUND(ABS('2. Demand History'!V418-IF($D418="Yes",'2. Demand History'!J418,AVERAGE('2. Demand History'!S418:U418)))/MAX('2. Demand History'!V418,1),3)</f>
        <v>0</v>
      </c>
      <c r="N418" s="10">
        <f>ROUND(ABS('2. Demand History'!W418-IF($D418="Yes",'2. Demand History'!K418,AVERAGE('2. Demand History'!T418:V418)))/MAX('2. Demand History'!W418,1),3)</f>
        <v>0</v>
      </c>
      <c r="O418" s="10">
        <f>ROUND(ABS('2. Demand History'!X418-IF($D418="Yes",'2. Demand History'!L418,AVERAGE('2. Demand History'!U418:W418)))/MAX('2. Demand History'!X418,1),3)</f>
        <v>0</v>
      </c>
      <c r="P418" s="10">
        <f>ROUND(ABS('2. Demand History'!Y418-IF($D418="Yes",'2. Demand History'!M418,AVERAGE('2. Demand History'!V418:X418)))/MAX('2. Demand History'!Y418,1),3)</f>
        <v>0.308</v>
      </c>
      <c r="Q418" s="10">
        <f>ROUND(ABS('2. Demand History'!Z418-IF($D418="Yes",'2. Demand History'!N418,AVERAGE('2. Demand History'!W418:Y418)))/MAX('2. Demand History'!Z418,1),3)</f>
        <v>9.0999999999999998E-2</v>
      </c>
    </row>
    <row r="419" spans="1:17" ht="15" customHeight="1" x14ac:dyDescent="0.2">
      <c r="A419" s="3" t="str">
        <f>'2. Demand History'!A419</f>
        <v>NT10415</v>
      </c>
      <c r="B419" s="1" t="str">
        <f>'2. Demand History'!B419</f>
        <v>DrawPad 859 12in</v>
      </c>
      <c r="C419" s="3" t="str">
        <f>'1. Master Data'!C419</f>
        <v>Tablets</v>
      </c>
      <c r="D419" s="3" t="s">
        <v>1111</v>
      </c>
      <c r="E419" s="3" t="str">
        <f t="shared" si="18"/>
        <v>Seasonal Naive</v>
      </c>
      <c r="F419" s="3">
        <f>ROUND(AVERAGE('2. Demand History'!O419:Z419),1)</f>
        <v>6.9</v>
      </c>
      <c r="G419" s="3">
        <f>ROUND(STDEV('2. Demand History'!O419:Z419),1)</f>
        <v>4.9000000000000004</v>
      </c>
      <c r="H419" s="8">
        <f t="shared" si="19"/>
        <v>0.71</v>
      </c>
      <c r="I419" s="8">
        <f>ROUND(SUM('2. Demand History'!O419:Z419)/MAX(SUM('2. Demand History'!C419:N419),1),2)</f>
        <v>0.34</v>
      </c>
      <c r="J419" s="5">
        <f>IF(D419="Yes",ROUND('2. Demand History'!O419*I419,0),ROUND(AVERAGE('2. Demand History'!X419:Z419),0))</f>
        <v>5</v>
      </c>
      <c r="K419" s="9">
        <f t="shared" si="20"/>
        <v>6.3</v>
      </c>
      <c r="L419" s="10">
        <f>ROUND(ABS('2. Demand History'!U419-IF($D419="Yes",'2. Demand History'!I419,AVERAGE('2. Demand History'!R419:T419)))/MAX('2. Demand History'!U419,1),3)</f>
        <v>3</v>
      </c>
      <c r="M419" s="10">
        <f>ROUND(ABS('2. Demand History'!V419-IF($D419="Yes",'2. Demand History'!J419,AVERAGE('2. Demand History'!S419:U419)))/MAX('2. Demand History'!V419,1),3)</f>
        <v>3.8</v>
      </c>
      <c r="N419" s="10">
        <f>ROUND(ABS('2. Demand History'!W419-IF($D419="Yes",'2. Demand History'!K419,AVERAGE('2. Demand History'!T419:V419)))/MAX('2. Demand History'!W419,1),3)</f>
        <v>4</v>
      </c>
      <c r="O419" s="10">
        <f>ROUND(ABS('2. Demand History'!X419-IF($D419="Yes",'2. Demand History'!L419,AVERAGE('2. Demand History'!U419:W419)))/MAX('2. Demand History'!X419,1),3)</f>
        <v>6</v>
      </c>
      <c r="P419" s="10">
        <f>ROUND(ABS('2. Demand History'!Y419-IF($D419="Yes",'2. Demand History'!M419,AVERAGE('2. Demand History'!V419:X419)))/MAX('2. Demand History'!Y419,1),3)</f>
        <v>15</v>
      </c>
      <c r="Q419" s="10">
        <f>ROUND(ABS('2. Demand History'!Z419-IF($D419="Yes",'2. Demand History'!N419,AVERAGE('2. Demand History'!W419:Y419)))/MAX('2. Demand History'!Z419,1),3)</f>
        <v>6</v>
      </c>
    </row>
    <row r="420" spans="1:17" ht="15" customHeight="1" x14ac:dyDescent="0.2">
      <c r="A420" s="3" t="str">
        <f>'2. Demand History'!A420</f>
        <v>NT10416</v>
      </c>
      <c r="B420" s="1" t="str">
        <f>'2. Demand History'!B420</f>
        <v>NovaTab 541 Kids</v>
      </c>
      <c r="C420" s="3" t="str">
        <f>'1. Master Data'!C420</f>
        <v>Tablets</v>
      </c>
      <c r="D420" s="3" t="s">
        <v>1111</v>
      </c>
      <c r="E420" s="3" t="str">
        <f t="shared" si="18"/>
        <v>Seasonal Naive</v>
      </c>
      <c r="F420" s="3">
        <f>ROUND(AVERAGE('2. Demand History'!O420:Z420),1)</f>
        <v>25.2</v>
      </c>
      <c r="G420" s="3">
        <f>ROUND(STDEV('2. Demand History'!O420:Z420),1)</f>
        <v>6.3</v>
      </c>
      <c r="H420" s="8">
        <f t="shared" si="19"/>
        <v>0.25</v>
      </c>
      <c r="I420" s="8">
        <f>ROUND(SUM('2. Demand History'!O420:Z420)/MAX(SUM('2. Demand History'!C420:N420),1),2)</f>
        <v>1</v>
      </c>
      <c r="J420" s="5">
        <f>IF(D420="Yes",ROUND('2. Demand History'!O420*I420,0),ROUND(AVERAGE('2. Demand History'!X420:Z420),0))</f>
        <v>21</v>
      </c>
      <c r="K420" s="9">
        <f t="shared" si="20"/>
        <v>7.0000000000000007E-2</v>
      </c>
      <c r="L420" s="10">
        <f>ROUND(ABS('2. Demand History'!U420-IF($D420="Yes",'2. Demand History'!I420,AVERAGE('2. Demand History'!R420:T420)))/MAX('2. Demand History'!U420,1),3)</f>
        <v>4.9000000000000002E-2</v>
      </c>
      <c r="M420" s="10">
        <f>ROUND(ABS('2. Demand History'!V420-IF($D420="Yes",'2. Demand History'!J420,AVERAGE('2. Demand History'!S420:U420)))/MAX('2. Demand History'!V420,1),3)</f>
        <v>0.111</v>
      </c>
      <c r="N420" s="10">
        <f>ROUND(ABS('2. Demand History'!W420-IF($D420="Yes",'2. Demand History'!K420,AVERAGE('2. Demand History'!T420:V420)))/MAX('2. Demand History'!W420,1),3)</f>
        <v>5.2999999999999999E-2</v>
      </c>
      <c r="O420" s="10">
        <f>ROUND(ABS('2. Demand History'!X420-IF($D420="Yes",'2. Demand History'!L420,AVERAGE('2. Demand History'!U420:W420)))/MAX('2. Demand History'!X420,1),3)</f>
        <v>4.2999999999999997E-2</v>
      </c>
      <c r="P420" s="10">
        <f>ROUND(ABS('2. Demand History'!Y420-IF($D420="Yes",'2. Demand History'!M420,AVERAGE('2. Demand History'!V420:X420)))/MAX('2. Demand History'!Y420,1),3)</f>
        <v>8.6999999999999994E-2</v>
      </c>
      <c r="Q420" s="10">
        <f>ROUND(ABS('2. Demand History'!Z420-IF($D420="Yes",'2. Demand History'!N420,AVERAGE('2. Demand History'!W420:Y420)))/MAX('2. Demand History'!Z420,1),3)</f>
        <v>7.6999999999999999E-2</v>
      </c>
    </row>
    <row r="421" spans="1:17" ht="15" customHeight="1" x14ac:dyDescent="0.2">
      <c r="A421" s="3" t="str">
        <f>'2. Demand History'!A421</f>
        <v>NT10417</v>
      </c>
      <c r="B421" s="1" t="str">
        <f>'2. Demand History'!B421</f>
        <v>DrawPad 569 12in</v>
      </c>
      <c r="C421" s="3" t="str">
        <f>'1. Master Data'!C421</f>
        <v>Tablets</v>
      </c>
      <c r="D421" s="3" t="s">
        <v>1111</v>
      </c>
      <c r="E421" s="3" t="str">
        <f t="shared" si="18"/>
        <v>Seasonal Naive</v>
      </c>
      <c r="F421" s="3">
        <f>ROUND(AVERAGE('2. Demand History'!O421:Z421),1)</f>
        <v>59.8</v>
      </c>
      <c r="G421" s="3">
        <f>ROUND(STDEV('2. Demand History'!O421:Z421),1)</f>
        <v>16.8</v>
      </c>
      <c r="H421" s="8">
        <f t="shared" si="19"/>
        <v>0.28000000000000003</v>
      </c>
      <c r="I421" s="8">
        <f>ROUND(SUM('2. Demand History'!O421:Z421)/MAX(SUM('2. Demand History'!C421:N421),1),2)</f>
        <v>1.06</v>
      </c>
      <c r="J421" s="5">
        <f>IF(D421="Yes",ROUND('2. Demand History'!O421*I421,0),ROUND(AVERAGE('2. Demand History'!X421:Z421),0))</f>
        <v>59</v>
      </c>
      <c r="K421" s="9">
        <f t="shared" si="20"/>
        <v>0.08</v>
      </c>
      <c r="L421" s="10">
        <f>ROUND(ABS('2. Demand History'!U421-IF($D421="Yes",'2. Demand History'!I421,AVERAGE('2. Demand History'!R421:T421)))/MAX('2. Demand History'!U421,1),3)</f>
        <v>6.7000000000000004E-2</v>
      </c>
      <c r="M421" s="10">
        <f>ROUND(ABS('2. Demand History'!V421-IF($D421="Yes",'2. Demand History'!J421,AVERAGE('2. Demand History'!S421:U421)))/MAX('2. Demand History'!V421,1),3)</f>
        <v>9.8000000000000004E-2</v>
      </c>
      <c r="N421" s="10">
        <f>ROUND(ABS('2. Demand History'!W421-IF($D421="Yes",'2. Demand History'!K421,AVERAGE('2. Demand History'!T421:V421)))/MAX('2. Demand History'!W421,1),3)</f>
        <v>0</v>
      </c>
      <c r="O421" s="10">
        <f>ROUND(ABS('2. Demand History'!X421-IF($D421="Yes",'2. Demand History'!L421,AVERAGE('2. Demand History'!U421:W421)))/MAX('2. Demand History'!X421,1),3)</f>
        <v>0.127</v>
      </c>
      <c r="P421" s="10">
        <f>ROUND(ABS('2. Demand History'!Y421-IF($D421="Yes",'2. Demand History'!M421,AVERAGE('2. Demand History'!V421:X421)))/MAX('2. Demand History'!Y421,1),3)</f>
        <v>0.05</v>
      </c>
      <c r="Q421" s="10">
        <f>ROUND(ABS('2. Demand History'!Z421-IF($D421="Yes",'2. Demand History'!N421,AVERAGE('2. Demand History'!W421:Y421)))/MAX('2. Demand History'!Z421,1),3)</f>
        <v>0.13600000000000001</v>
      </c>
    </row>
    <row r="422" spans="1:17" ht="15" customHeight="1" x14ac:dyDescent="0.2">
      <c r="A422" s="3" t="str">
        <f>'2. Demand History'!A422</f>
        <v>NT10418</v>
      </c>
      <c r="B422" s="1" t="str">
        <f>'2. Demand History'!B422</f>
        <v>NovaTab 516 10in</v>
      </c>
      <c r="C422" s="3" t="str">
        <f>'1. Master Data'!C422</f>
        <v>Tablets</v>
      </c>
      <c r="D422" s="3" t="s">
        <v>1111</v>
      </c>
      <c r="E422" s="3" t="str">
        <f t="shared" si="18"/>
        <v>Seasonal Naive</v>
      </c>
      <c r="F422" s="3">
        <f>ROUND(AVERAGE('2. Demand History'!O422:Z422),1)</f>
        <v>19.100000000000001</v>
      </c>
      <c r="G422" s="3">
        <f>ROUND(STDEV('2. Demand History'!O422:Z422),1)</f>
        <v>6.2</v>
      </c>
      <c r="H422" s="8">
        <f t="shared" si="19"/>
        <v>0.32</v>
      </c>
      <c r="I422" s="8">
        <f>ROUND(SUM('2. Demand History'!O422:Z422)/MAX(SUM('2. Demand History'!C422:N422),1),2)</f>
        <v>1.0900000000000001</v>
      </c>
      <c r="J422" s="5">
        <f>IF(D422="Yes",ROUND('2. Demand History'!O422*I422,0),ROUND(AVERAGE('2. Demand History'!X422:Z422),0))</f>
        <v>15</v>
      </c>
      <c r="K422" s="9">
        <f t="shared" si="20"/>
        <v>0.158</v>
      </c>
      <c r="L422" s="10">
        <f>ROUND(ABS('2. Demand History'!U422-IF($D422="Yes",'2. Demand History'!I422,AVERAGE('2. Demand History'!R422:T422)))/MAX('2. Demand History'!U422,1),3)</f>
        <v>0.11799999999999999</v>
      </c>
      <c r="M422" s="10">
        <f>ROUND(ABS('2. Demand History'!V422-IF($D422="Yes",'2. Demand History'!J422,AVERAGE('2. Demand History'!S422:U422)))/MAX('2. Demand History'!V422,1),3)</f>
        <v>0.2</v>
      </c>
      <c r="N422" s="10">
        <f>ROUND(ABS('2. Demand History'!W422-IF($D422="Yes",'2. Demand History'!K422,AVERAGE('2. Demand History'!T422:V422)))/MAX('2. Demand History'!W422,1),3)</f>
        <v>0.313</v>
      </c>
      <c r="O422" s="10">
        <f>ROUND(ABS('2. Demand History'!X422-IF($D422="Yes",'2. Demand History'!L422,AVERAGE('2. Demand History'!U422:W422)))/MAX('2. Demand History'!X422,1),3)</f>
        <v>0.214</v>
      </c>
      <c r="P422" s="10">
        <f>ROUND(ABS('2. Demand History'!Y422-IF($D422="Yes",'2. Demand History'!M422,AVERAGE('2. Demand History'!V422:X422)))/MAX('2. Demand History'!Y422,1),3)</f>
        <v>0.105</v>
      </c>
      <c r="Q422" s="10">
        <f>ROUND(ABS('2. Demand History'!Z422-IF($D422="Yes",'2. Demand History'!N422,AVERAGE('2. Demand History'!W422:Y422)))/MAX('2. Demand History'!Z422,1),3)</f>
        <v>0</v>
      </c>
    </row>
    <row r="423" spans="1:17" ht="15" customHeight="1" x14ac:dyDescent="0.2">
      <c r="A423" s="3" t="str">
        <f>'2. Demand History'!A423</f>
        <v>NT10419</v>
      </c>
      <c r="B423" s="1" t="str">
        <f>'2. Demand History'!B423</f>
        <v>NovaTab 191 Kids</v>
      </c>
      <c r="C423" s="3" t="str">
        <f>'1. Master Data'!C423</f>
        <v>Tablets</v>
      </c>
      <c r="D423" s="3" t="s">
        <v>1111</v>
      </c>
      <c r="E423" s="3" t="str">
        <f t="shared" si="18"/>
        <v>Seasonal Naive</v>
      </c>
      <c r="F423" s="3">
        <f>ROUND(AVERAGE('2. Demand History'!O423:Z423),1)</f>
        <v>36.299999999999997</v>
      </c>
      <c r="G423" s="3">
        <f>ROUND(STDEV('2. Demand History'!O423:Z423),1)</f>
        <v>8.8000000000000007</v>
      </c>
      <c r="H423" s="8">
        <f t="shared" si="19"/>
        <v>0.24</v>
      </c>
      <c r="I423" s="8">
        <f>ROUND(SUM('2. Demand History'!O423:Z423)/MAX(SUM('2. Demand History'!C423:N423),1),2)</f>
        <v>1.1000000000000001</v>
      </c>
      <c r="J423" s="5">
        <f>IF(D423="Yes",ROUND('2. Demand History'!O423*I423,0),ROUND(AVERAGE('2. Demand History'!X423:Z423),0))</f>
        <v>35</v>
      </c>
      <c r="K423" s="9">
        <f t="shared" si="20"/>
        <v>9.6000000000000002E-2</v>
      </c>
      <c r="L423" s="10">
        <f>ROUND(ABS('2. Demand History'!U423-IF($D423="Yes",'2. Demand History'!I423,AVERAGE('2. Demand History'!R423:T423)))/MAX('2. Demand History'!U423,1),3)</f>
        <v>7.0000000000000007E-2</v>
      </c>
      <c r="M423" s="10">
        <f>ROUND(ABS('2. Demand History'!V423-IF($D423="Yes",'2. Demand History'!J423,AVERAGE('2. Demand History'!S423:U423)))/MAX('2. Demand History'!V423,1),3)</f>
        <v>0.12</v>
      </c>
      <c r="N423" s="10">
        <f>ROUND(ABS('2. Demand History'!W423-IF($D423="Yes",'2. Demand History'!K423,AVERAGE('2. Demand History'!T423:V423)))/MAX('2. Demand History'!W423,1),3)</f>
        <v>0.161</v>
      </c>
      <c r="O423" s="10">
        <f>ROUND(ABS('2. Demand History'!X423-IF($D423="Yes",'2. Demand History'!L423,AVERAGE('2. Demand History'!U423:W423)))/MAX('2. Demand History'!X423,1),3)</f>
        <v>0.13900000000000001</v>
      </c>
      <c r="P423" s="10">
        <f>ROUND(ABS('2. Demand History'!Y423-IF($D423="Yes",'2. Demand History'!M423,AVERAGE('2. Demand History'!V423:X423)))/MAX('2. Demand History'!Y423,1),3)</f>
        <v>0</v>
      </c>
      <c r="Q423" s="10">
        <f>ROUND(ABS('2. Demand History'!Z423-IF($D423="Yes",'2. Demand History'!N423,AVERAGE('2. Demand History'!W423:Y423)))/MAX('2. Demand History'!Z423,1),3)</f>
        <v>8.5999999999999993E-2</v>
      </c>
    </row>
    <row r="424" spans="1:17" ht="15" customHeight="1" x14ac:dyDescent="0.2">
      <c r="A424" s="3" t="str">
        <f>'2. Demand History'!A424</f>
        <v>NT10420</v>
      </c>
      <c r="B424" s="1" t="str">
        <f>'2. Demand History'!B424</f>
        <v>DrawPad 714 12in</v>
      </c>
      <c r="C424" s="3" t="str">
        <f>'1. Master Data'!C424</f>
        <v>Tablets</v>
      </c>
      <c r="D424" s="3" t="s">
        <v>1111</v>
      </c>
      <c r="E424" s="3" t="str">
        <f t="shared" si="18"/>
        <v>Seasonal Naive</v>
      </c>
      <c r="F424" s="3">
        <f>ROUND(AVERAGE('2. Demand History'!O424:Z424),1)</f>
        <v>56.8</v>
      </c>
      <c r="G424" s="3">
        <f>ROUND(STDEV('2. Demand History'!O424:Z424),1)</f>
        <v>13.6</v>
      </c>
      <c r="H424" s="8">
        <f t="shared" si="19"/>
        <v>0.24</v>
      </c>
      <c r="I424" s="8">
        <f>ROUND(SUM('2. Demand History'!O424:Z424)/MAX(SUM('2. Demand History'!C424:N424),1),2)</f>
        <v>1.04</v>
      </c>
      <c r="J424" s="5">
        <f>IF(D424="Yes",ROUND('2. Demand History'!O424*I424,0),ROUND(AVERAGE('2. Demand History'!X424:Z424),0))</f>
        <v>55</v>
      </c>
      <c r="K424" s="9">
        <f t="shared" si="20"/>
        <v>0.13400000000000001</v>
      </c>
      <c r="L424" s="10">
        <f>ROUND(ABS('2. Demand History'!U424-IF($D424="Yes",'2. Demand History'!I424,AVERAGE('2. Demand History'!R424:T424)))/MAX('2. Demand History'!U424,1),3)</f>
        <v>0.17899999999999999</v>
      </c>
      <c r="M424" s="10">
        <f>ROUND(ABS('2. Demand History'!V424-IF($D424="Yes",'2. Demand History'!J424,AVERAGE('2. Demand History'!S424:U424)))/MAX('2. Demand History'!V424,1),3)</f>
        <v>0.128</v>
      </c>
      <c r="N424" s="10">
        <f>ROUND(ABS('2. Demand History'!W424-IF($D424="Yes",'2. Demand History'!K424,AVERAGE('2. Demand History'!T424:V424)))/MAX('2. Demand History'!W424,1),3)</f>
        <v>2.1999999999999999E-2</v>
      </c>
      <c r="O424" s="10">
        <f>ROUND(ABS('2. Demand History'!X424-IF($D424="Yes",'2. Demand History'!L424,AVERAGE('2. Demand History'!U424:W424)))/MAX('2. Demand History'!X424,1),3)</f>
        <v>0.2</v>
      </c>
      <c r="P424" s="10">
        <f>ROUND(ABS('2. Demand History'!Y424-IF($D424="Yes",'2. Demand History'!M424,AVERAGE('2. Demand History'!V424:X424)))/MAX('2. Demand History'!Y424,1),3)</f>
        <v>0.217</v>
      </c>
      <c r="Q424" s="10">
        <f>ROUND(ABS('2. Demand History'!Z424-IF($D424="Yes",'2. Demand History'!N424,AVERAGE('2. Demand History'!W424:Y424)))/MAX('2. Demand History'!Z424,1),3)</f>
        <v>5.8999999999999997E-2</v>
      </c>
    </row>
    <row r="425" spans="1:17" ht="15" customHeight="1" x14ac:dyDescent="0.2">
      <c r="A425" s="3" t="str">
        <f>'2. Demand History'!A425</f>
        <v>NT10421</v>
      </c>
      <c r="B425" s="1" t="str">
        <f>'2. Demand History'!B425</f>
        <v>NovaTab 586 10in</v>
      </c>
      <c r="C425" s="3" t="str">
        <f>'1. Master Data'!C425</f>
        <v>Tablets</v>
      </c>
      <c r="D425" s="3" t="s">
        <v>1111</v>
      </c>
      <c r="E425" s="3" t="str">
        <f t="shared" si="18"/>
        <v>Seasonal Naive</v>
      </c>
      <c r="F425" s="3">
        <f>ROUND(AVERAGE('2. Demand History'!O425:Z425),1)</f>
        <v>21.5</v>
      </c>
      <c r="G425" s="3">
        <f>ROUND(STDEV('2. Demand History'!O425:Z425),1)</f>
        <v>6.4</v>
      </c>
      <c r="H425" s="8">
        <f t="shared" si="19"/>
        <v>0.3</v>
      </c>
      <c r="I425" s="8">
        <f>ROUND(SUM('2. Demand History'!O425:Z425)/MAX(SUM('2. Demand History'!C425:N425),1),2)</f>
        <v>1.02</v>
      </c>
      <c r="J425" s="5">
        <f>IF(D425="Yes",ROUND('2. Demand History'!O425*I425,0),ROUND(AVERAGE('2. Demand History'!X425:Z425),0))</f>
        <v>18</v>
      </c>
      <c r="K425" s="9">
        <f t="shared" si="20"/>
        <v>0.14099999999999999</v>
      </c>
      <c r="L425" s="10">
        <f>ROUND(ABS('2. Demand History'!U425-IF($D425="Yes",'2. Demand History'!I425,AVERAGE('2. Demand History'!R425:T425)))/MAX('2. Demand History'!U425,1),3)</f>
        <v>0</v>
      </c>
      <c r="M425" s="10">
        <f>ROUND(ABS('2. Demand History'!V425-IF($D425="Yes",'2. Demand History'!J425,AVERAGE('2. Demand History'!S425:U425)))/MAX('2. Demand History'!V425,1),3)</f>
        <v>0.17599999999999999</v>
      </c>
      <c r="N425" s="10">
        <f>ROUND(ABS('2. Demand History'!W425-IF($D425="Yes",'2. Demand History'!K425,AVERAGE('2. Demand History'!T425:V425)))/MAX('2. Demand History'!W425,1),3)</f>
        <v>0</v>
      </c>
      <c r="O425" s="10">
        <f>ROUND(ABS('2. Demand History'!X425-IF($D425="Yes",'2. Demand History'!L425,AVERAGE('2. Demand History'!U425:W425)))/MAX('2. Demand History'!X425,1),3)</f>
        <v>0.14299999999999999</v>
      </c>
      <c r="P425" s="10">
        <f>ROUND(ABS('2. Demand History'!Y425-IF($D425="Yes",'2. Demand History'!M425,AVERAGE('2. Demand History'!V425:X425)))/MAX('2. Demand History'!Y425,1),3)</f>
        <v>0.25</v>
      </c>
      <c r="Q425" s="10">
        <f>ROUND(ABS('2. Demand History'!Z425-IF($D425="Yes",'2. Demand History'!N425,AVERAGE('2. Demand History'!W425:Y425)))/MAX('2. Demand History'!Z425,1),3)</f>
        <v>0.27800000000000002</v>
      </c>
    </row>
    <row r="426" spans="1:17" ht="15" customHeight="1" x14ac:dyDescent="0.2">
      <c r="A426" s="3" t="str">
        <f>'2. Demand History'!A426</f>
        <v>NT10422</v>
      </c>
      <c r="B426" s="1" t="str">
        <f>'2. Demand History'!B426</f>
        <v>NovaTab 444 Kids</v>
      </c>
      <c r="C426" s="3" t="str">
        <f>'1. Master Data'!C426</f>
        <v>Tablets</v>
      </c>
      <c r="D426" s="3" t="s">
        <v>1111</v>
      </c>
      <c r="E426" s="3" t="str">
        <f t="shared" si="18"/>
        <v>Seasonal Naive</v>
      </c>
      <c r="F426" s="3">
        <f>ROUND(AVERAGE('2. Demand History'!O426:Z426),1)</f>
        <v>218.7</v>
      </c>
      <c r="G426" s="3">
        <f>ROUND(STDEV('2. Demand History'!O426:Z426),1)</f>
        <v>61.1</v>
      </c>
      <c r="H426" s="8">
        <f t="shared" si="19"/>
        <v>0.28000000000000003</v>
      </c>
      <c r="I426" s="8">
        <f>ROUND(SUM('2. Demand History'!O426:Z426)/MAX(SUM('2. Demand History'!C426:N426),1),2)</f>
        <v>1.07</v>
      </c>
      <c r="J426" s="5">
        <f>IF(D426="Yes",ROUND('2. Demand History'!O426*I426,0),ROUND(AVERAGE('2. Demand History'!X426:Z426),0))</f>
        <v>218</v>
      </c>
      <c r="K426" s="9">
        <f t="shared" si="20"/>
        <v>7.3999999999999996E-2</v>
      </c>
      <c r="L426" s="10">
        <f>ROUND(ABS('2. Demand History'!U426-IF($D426="Yes",'2. Demand History'!I426,AVERAGE('2. Demand History'!R426:T426)))/MAX('2. Demand History'!U426,1),3)</f>
        <v>7.0000000000000007E-2</v>
      </c>
      <c r="M426" s="10">
        <f>ROUND(ABS('2. Demand History'!V426-IF($D426="Yes",'2. Demand History'!J426,AVERAGE('2. Demand History'!S426:U426)))/MAX('2. Demand History'!V426,1),3)</f>
        <v>5.0999999999999997E-2</v>
      </c>
      <c r="N426" s="10">
        <f>ROUND(ABS('2. Demand History'!W426-IF($D426="Yes",'2. Demand History'!K426,AVERAGE('2. Demand History'!T426:V426)))/MAX('2. Demand History'!W426,1),3)</f>
        <v>3.2000000000000001E-2</v>
      </c>
      <c r="O426" s="10">
        <f>ROUND(ABS('2. Demand History'!X426-IF($D426="Yes",'2. Demand History'!L426,AVERAGE('2. Demand History'!U426:W426)))/MAX('2. Demand History'!X426,1),3)</f>
        <v>4.3999999999999997E-2</v>
      </c>
      <c r="P426" s="10">
        <f>ROUND(ABS('2. Demand History'!Y426-IF($D426="Yes",'2. Demand History'!M426,AVERAGE('2. Demand History'!V426:X426)))/MAX('2. Demand History'!Y426,1),3)</f>
        <v>0.16300000000000001</v>
      </c>
      <c r="Q426" s="10">
        <f>ROUND(ABS('2. Demand History'!Z426-IF($D426="Yes",'2. Demand History'!N426,AVERAGE('2. Demand History'!W426:Y426)))/MAX('2. Demand History'!Z426,1),3)</f>
        <v>8.2000000000000003E-2</v>
      </c>
    </row>
    <row r="427" spans="1:17" ht="15" customHeight="1" x14ac:dyDescent="0.2">
      <c r="A427" s="3" t="str">
        <f>'2. Demand History'!A427</f>
        <v>NT10423</v>
      </c>
      <c r="B427" s="1" t="str">
        <f>'2. Demand History'!B427</f>
        <v>NovaTab 987 Kids</v>
      </c>
      <c r="C427" s="3" t="str">
        <f>'1. Master Data'!C427</f>
        <v>Tablets</v>
      </c>
      <c r="D427" s="3" t="s">
        <v>1111</v>
      </c>
      <c r="E427" s="3" t="str">
        <f t="shared" si="18"/>
        <v>Seasonal Naive</v>
      </c>
      <c r="F427" s="3">
        <f>ROUND(AVERAGE('2. Demand History'!O427:Z427),1)</f>
        <v>172.9</v>
      </c>
      <c r="G427" s="3">
        <f>ROUND(STDEV('2. Demand History'!O427:Z427),1)</f>
        <v>53.8</v>
      </c>
      <c r="H427" s="8">
        <f t="shared" si="19"/>
        <v>0.31</v>
      </c>
      <c r="I427" s="8">
        <f>ROUND(SUM('2. Demand History'!O427:Z427)/MAX(SUM('2. Demand History'!C427:N427),1),2)</f>
        <v>1.1200000000000001</v>
      </c>
      <c r="J427" s="5">
        <f>IF(D427="Yes",ROUND('2. Demand History'!O427*I427,0),ROUND(AVERAGE('2. Demand History'!X427:Z427),0))</f>
        <v>172</v>
      </c>
      <c r="K427" s="9">
        <f t="shared" si="20"/>
        <v>8.6999999999999994E-2</v>
      </c>
      <c r="L427" s="10">
        <f>ROUND(ABS('2. Demand History'!U427-IF($D427="Yes",'2. Demand History'!I427,AVERAGE('2. Demand History'!R427:T427)))/MAX('2. Demand History'!U427,1),3)</f>
        <v>7.0000000000000001E-3</v>
      </c>
      <c r="M427" s="10">
        <f>ROUND(ABS('2. Demand History'!V427-IF($D427="Yes",'2. Demand History'!J427,AVERAGE('2. Demand History'!S427:U427)))/MAX('2. Demand History'!V427,1),3)</f>
        <v>4.8000000000000001E-2</v>
      </c>
      <c r="N427" s="10">
        <f>ROUND(ABS('2. Demand History'!W427-IF($D427="Yes",'2. Demand History'!K427,AVERAGE('2. Demand History'!T427:V427)))/MAX('2. Demand History'!W427,1),3)</f>
        <v>3.9E-2</v>
      </c>
      <c r="O427" s="10">
        <f>ROUND(ABS('2. Demand History'!X427-IF($D427="Yes",'2. Demand History'!L427,AVERAGE('2. Demand History'!U427:W427)))/MAX('2. Demand History'!X427,1),3)</f>
        <v>0.09</v>
      </c>
      <c r="P427" s="10">
        <f>ROUND(ABS('2. Demand History'!Y427-IF($D427="Yes",'2. Demand History'!M427,AVERAGE('2. Demand History'!V427:X427)))/MAX('2. Demand History'!Y427,1),3)</f>
        <v>0.17</v>
      </c>
      <c r="Q427" s="10">
        <f>ROUND(ABS('2. Demand History'!Z427-IF($D427="Yes",'2. Demand History'!N427,AVERAGE('2. Demand History'!W427:Y427)))/MAX('2. Demand History'!Z427,1),3)</f>
        <v>0.16600000000000001</v>
      </c>
    </row>
    <row r="428" spans="1:17" ht="15" customHeight="1" x14ac:dyDescent="0.2">
      <c r="A428" s="3" t="str">
        <f>'2. Demand History'!A428</f>
        <v>NT10424</v>
      </c>
      <c r="B428" s="1" t="str">
        <f>'2. Demand History'!B428</f>
        <v>NovaTab 978 Kids</v>
      </c>
      <c r="C428" s="3" t="str">
        <f>'1. Master Data'!C428</f>
        <v>Tablets</v>
      </c>
      <c r="D428" s="3" t="s">
        <v>1111</v>
      </c>
      <c r="E428" s="3" t="str">
        <f t="shared" si="18"/>
        <v>Seasonal Naive</v>
      </c>
      <c r="F428" s="3">
        <f>ROUND(AVERAGE('2. Demand History'!O428:Z428),1)</f>
        <v>55</v>
      </c>
      <c r="G428" s="3">
        <f>ROUND(STDEV('2. Demand History'!O428:Z428),1)</f>
        <v>18.899999999999999</v>
      </c>
      <c r="H428" s="8">
        <f t="shared" si="19"/>
        <v>0.34</v>
      </c>
      <c r="I428" s="8">
        <f>ROUND(SUM('2. Demand History'!O428:Z428)/MAX(SUM('2. Demand History'!C428:N428),1),2)</f>
        <v>1.01</v>
      </c>
      <c r="J428" s="5">
        <f>IF(D428="Yes",ROUND('2. Demand History'!O428*I428,0),ROUND(AVERAGE('2. Demand History'!X428:Z428),0))</f>
        <v>46</v>
      </c>
      <c r="K428" s="9">
        <f t="shared" si="20"/>
        <v>0.108</v>
      </c>
      <c r="L428" s="10">
        <f>ROUND(ABS('2. Demand History'!U428-IF($D428="Yes",'2. Demand History'!I428,AVERAGE('2. Demand History'!R428:T428)))/MAX('2. Demand History'!U428,1),3)</f>
        <v>2.8000000000000001E-2</v>
      </c>
      <c r="M428" s="10">
        <f>ROUND(ABS('2. Demand History'!V428-IF($D428="Yes",'2. Demand History'!J428,AVERAGE('2. Demand History'!S428:U428)))/MAX('2. Demand History'!V428,1),3)</f>
        <v>8.3000000000000004E-2</v>
      </c>
      <c r="N428" s="10">
        <f>ROUND(ABS('2. Demand History'!W428-IF($D428="Yes",'2. Demand History'!K428,AVERAGE('2. Demand History'!T428:V428)))/MAX('2. Demand History'!W428,1),3)</f>
        <v>0.20799999999999999</v>
      </c>
      <c r="O428" s="10">
        <f>ROUND(ABS('2. Demand History'!X428-IF($D428="Yes",'2. Demand History'!L428,AVERAGE('2. Demand History'!U428:W428)))/MAX('2. Demand History'!X428,1),3)</f>
        <v>8.2000000000000003E-2</v>
      </c>
      <c r="P428" s="10">
        <f>ROUND(ABS('2. Demand History'!Y428-IF($D428="Yes",'2. Demand History'!M428,AVERAGE('2. Demand History'!V428:X428)))/MAX('2. Demand History'!Y428,1),3)</f>
        <v>0.185</v>
      </c>
      <c r="Q428" s="10">
        <f>ROUND(ABS('2. Demand History'!Z428-IF($D428="Yes",'2. Demand History'!N428,AVERAGE('2. Demand History'!W428:Y428)))/MAX('2. Demand History'!Z428,1),3)</f>
        <v>6.2E-2</v>
      </c>
    </row>
    <row r="429" spans="1:17" ht="15" customHeight="1" x14ac:dyDescent="0.2">
      <c r="A429" s="3" t="str">
        <f>'2. Demand History'!A429</f>
        <v>NT10425</v>
      </c>
      <c r="B429" s="1" t="str">
        <f>'2. Demand History'!B429</f>
        <v>NovaTab 147 10in</v>
      </c>
      <c r="C429" s="3" t="str">
        <f>'1. Master Data'!C429</f>
        <v>Tablets</v>
      </c>
      <c r="D429" s="3" t="s">
        <v>1111</v>
      </c>
      <c r="E429" s="3" t="str">
        <f t="shared" si="18"/>
        <v>Seasonal Naive</v>
      </c>
      <c r="F429" s="3">
        <f>ROUND(AVERAGE('2. Demand History'!O429:Z429),1)</f>
        <v>64.8</v>
      </c>
      <c r="G429" s="3">
        <f>ROUND(STDEV('2. Demand History'!O429:Z429),1)</f>
        <v>19.5</v>
      </c>
      <c r="H429" s="8">
        <f t="shared" si="19"/>
        <v>0.3</v>
      </c>
      <c r="I429" s="8">
        <f>ROUND(SUM('2. Demand History'!O429:Z429)/MAX(SUM('2. Demand History'!C429:N429),1),2)</f>
        <v>1.06</v>
      </c>
      <c r="J429" s="5">
        <f>IF(D429="Yes",ROUND('2. Demand History'!O429*I429,0),ROUND(AVERAGE('2. Demand History'!X429:Z429),0))</f>
        <v>65</v>
      </c>
      <c r="K429" s="9">
        <f t="shared" si="20"/>
        <v>8.8999999999999996E-2</v>
      </c>
      <c r="L429" s="10">
        <f>ROUND(ABS('2. Demand History'!U429-IF($D429="Yes",'2. Demand History'!I429,AVERAGE('2. Demand History'!R429:T429)))/MAX('2. Demand History'!U429,1),3)</f>
        <v>2.9000000000000001E-2</v>
      </c>
      <c r="M429" s="10">
        <f>ROUND(ABS('2. Demand History'!V429-IF($D429="Yes",'2. Demand History'!J429,AVERAGE('2. Demand History'!S429:U429)))/MAX('2. Demand History'!V429,1),3)</f>
        <v>6.7000000000000004E-2</v>
      </c>
      <c r="N429" s="10">
        <f>ROUND(ABS('2. Demand History'!W429-IF($D429="Yes",'2. Demand History'!K429,AVERAGE('2. Demand History'!T429:V429)))/MAX('2. Demand History'!W429,1),3)</f>
        <v>0.25</v>
      </c>
      <c r="O429" s="10">
        <f>ROUND(ABS('2. Demand History'!X429-IF($D429="Yes",'2. Demand History'!L429,AVERAGE('2. Demand History'!U429:W429)))/MAX('2. Demand History'!X429,1),3)</f>
        <v>1.9E-2</v>
      </c>
      <c r="P429" s="10">
        <f>ROUND(ABS('2. Demand History'!Y429-IF($D429="Yes",'2. Demand History'!M429,AVERAGE('2. Demand History'!V429:X429)))/MAX('2. Demand History'!Y429,1),3)</f>
        <v>1.7999999999999999E-2</v>
      </c>
      <c r="Q429" s="10">
        <f>ROUND(ABS('2. Demand History'!Z429-IF($D429="Yes",'2. Demand History'!N429,AVERAGE('2. Demand History'!W429:Y429)))/MAX('2. Demand History'!Z429,1),3)</f>
        <v>0.15</v>
      </c>
    </row>
    <row r="430" spans="1:17" ht="15" customHeight="1" x14ac:dyDescent="0.2">
      <c r="A430" s="3" t="str">
        <f>'2. Demand History'!A430</f>
        <v>NT10426</v>
      </c>
      <c r="B430" s="1" t="str">
        <f>'2. Demand History'!B430</f>
        <v>NovaTab 641 Kids</v>
      </c>
      <c r="C430" s="3" t="str">
        <f>'1. Master Data'!C430</f>
        <v>Tablets</v>
      </c>
      <c r="D430" s="3" t="s">
        <v>1111</v>
      </c>
      <c r="E430" s="3" t="str">
        <f t="shared" si="18"/>
        <v>Seasonal Naive</v>
      </c>
      <c r="F430" s="3">
        <f>ROUND(AVERAGE('2. Demand History'!O430:Z430),1)</f>
        <v>14.8</v>
      </c>
      <c r="G430" s="3">
        <f>ROUND(STDEV('2. Demand History'!O430:Z430),1)</f>
        <v>4.0999999999999996</v>
      </c>
      <c r="H430" s="8">
        <f t="shared" si="19"/>
        <v>0.28000000000000003</v>
      </c>
      <c r="I430" s="8">
        <f>ROUND(SUM('2. Demand History'!O430:Z430)/MAX(SUM('2. Demand History'!C430:N430),1),2)</f>
        <v>1.06</v>
      </c>
      <c r="J430" s="5">
        <f>IF(D430="Yes",ROUND('2. Demand History'!O430*I430,0),ROUND(AVERAGE('2. Demand History'!X430:Z430),0))</f>
        <v>14</v>
      </c>
      <c r="K430" s="9">
        <f t="shared" si="20"/>
        <v>7.8E-2</v>
      </c>
      <c r="L430" s="10">
        <f>ROUND(ABS('2. Demand History'!U430-IF($D430="Yes",'2. Demand History'!I430,AVERAGE('2. Demand History'!R430:T430)))/MAX('2. Demand History'!U430,1),3)</f>
        <v>3.7999999999999999E-2</v>
      </c>
      <c r="M430" s="10">
        <f>ROUND(ABS('2. Demand History'!V430-IF($D430="Yes",'2. Demand History'!J430,AVERAGE('2. Demand History'!S430:U430)))/MAX('2. Demand History'!V430,1),3)</f>
        <v>0</v>
      </c>
      <c r="N430" s="10">
        <f>ROUND(ABS('2. Demand History'!W430-IF($D430="Yes",'2. Demand History'!K430,AVERAGE('2. Demand History'!T430:V430)))/MAX('2. Demand History'!W430,1),3)</f>
        <v>0.154</v>
      </c>
      <c r="O430" s="10">
        <f>ROUND(ABS('2. Demand History'!X430-IF($D430="Yes",'2. Demand History'!L430,AVERAGE('2. Demand History'!U430:W430)))/MAX('2. Demand History'!X430,1),3)</f>
        <v>7.0999999999999994E-2</v>
      </c>
      <c r="P430" s="10">
        <f>ROUND(ABS('2. Demand History'!Y430-IF($D430="Yes",'2. Demand History'!M430,AVERAGE('2. Demand History'!V430:X430)))/MAX('2. Demand History'!Y430,1),3)</f>
        <v>0.13300000000000001</v>
      </c>
      <c r="Q430" s="10">
        <f>ROUND(ABS('2. Demand History'!Z430-IF($D430="Yes",'2. Demand History'!N430,AVERAGE('2. Demand History'!W430:Y430)))/MAX('2. Demand History'!Z430,1),3)</f>
        <v>7.0999999999999994E-2</v>
      </c>
    </row>
    <row r="431" spans="1:17" ht="15" customHeight="1" x14ac:dyDescent="0.2">
      <c r="A431" s="3" t="str">
        <f>'2. Demand History'!A431</f>
        <v>NT10427</v>
      </c>
      <c r="B431" s="1" t="str">
        <f>'2. Demand History'!B431</f>
        <v>DrawPad 240 12in</v>
      </c>
      <c r="C431" s="3" t="str">
        <f>'1. Master Data'!C431</f>
        <v>Tablets</v>
      </c>
      <c r="D431" s="3" t="s">
        <v>1111</v>
      </c>
      <c r="E431" s="3" t="str">
        <f t="shared" si="18"/>
        <v>Seasonal Naive</v>
      </c>
      <c r="F431" s="3">
        <f>ROUND(AVERAGE('2. Demand History'!O431:Z431),1)</f>
        <v>23.8</v>
      </c>
      <c r="G431" s="3">
        <f>ROUND(STDEV('2. Demand History'!O431:Z431),1)</f>
        <v>6.8</v>
      </c>
      <c r="H431" s="8">
        <f t="shared" si="19"/>
        <v>0.28999999999999998</v>
      </c>
      <c r="I431" s="8">
        <f>ROUND(SUM('2. Demand History'!O431:Z431)/MAX(SUM('2. Demand History'!C431:N431),1),2)</f>
        <v>1.06</v>
      </c>
      <c r="J431" s="5">
        <f>IF(D431="Yes",ROUND('2. Demand History'!O431*I431,0),ROUND(AVERAGE('2. Demand History'!X431:Z431),0))</f>
        <v>21</v>
      </c>
      <c r="K431" s="9">
        <f t="shared" si="20"/>
        <v>8.6999999999999994E-2</v>
      </c>
      <c r="L431" s="10">
        <f>ROUND(ABS('2. Demand History'!U431-IF($D431="Yes",'2. Demand History'!I431,AVERAGE('2. Demand History'!R431:T431)))/MAX('2. Demand History'!U431,1),3)</f>
        <v>2.4E-2</v>
      </c>
      <c r="M431" s="10">
        <f>ROUND(ABS('2. Demand History'!V431-IF($D431="Yes",'2. Demand History'!J431,AVERAGE('2. Demand History'!S431:U431)))/MAX('2. Demand History'!V431,1),3)</f>
        <v>6.3E-2</v>
      </c>
      <c r="N431" s="10">
        <f>ROUND(ABS('2. Demand History'!W431-IF($D431="Yes",'2. Demand History'!K431,AVERAGE('2. Demand History'!T431:V431)))/MAX('2. Demand History'!W431,1),3)</f>
        <v>0.15</v>
      </c>
      <c r="O431" s="10">
        <f>ROUND(ABS('2. Demand History'!X431-IF($D431="Yes",'2. Demand History'!L431,AVERAGE('2. Demand History'!U431:W431)))/MAX('2. Demand History'!X431,1),3)</f>
        <v>9.5000000000000001E-2</v>
      </c>
      <c r="P431" s="10">
        <f>ROUND(ABS('2. Demand History'!Y431-IF($D431="Yes",'2. Demand History'!M431,AVERAGE('2. Demand History'!V431:X431)))/MAX('2. Demand History'!Y431,1),3)</f>
        <v>0</v>
      </c>
      <c r="Q431" s="10">
        <f>ROUND(ABS('2. Demand History'!Z431-IF($D431="Yes",'2. Demand History'!N431,AVERAGE('2. Demand History'!W431:Y431)))/MAX('2. Demand History'!Z431,1),3)</f>
        <v>0.192</v>
      </c>
    </row>
    <row r="432" spans="1:17" ht="15" customHeight="1" x14ac:dyDescent="0.2">
      <c r="A432" s="3" t="str">
        <f>'2. Demand History'!A432</f>
        <v>NT10428</v>
      </c>
      <c r="B432" s="1" t="str">
        <f>'2. Demand History'!B432</f>
        <v>DrawPad 284 12in</v>
      </c>
      <c r="C432" s="3" t="str">
        <f>'1. Master Data'!C432</f>
        <v>Tablets</v>
      </c>
      <c r="D432" s="3" t="s">
        <v>1111</v>
      </c>
      <c r="E432" s="3" t="str">
        <f t="shared" si="18"/>
        <v>Seasonal Naive</v>
      </c>
      <c r="F432" s="3">
        <f>ROUND(AVERAGE('2. Demand History'!O432:Z432),1)</f>
        <v>184.4</v>
      </c>
      <c r="G432" s="3">
        <f>ROUND(STDEV('2. Demand History'!O432:Z432),1)</f>
        <v>48.2</v>
      </c>
      <c r="H432" s="8">
        <f t="shared" si="19"/>
        <v>0.26</v>
      </c>
      <c r="I432" s="8">
        <f>ROUND(SUM('2. Demand History'!O432:Z432)/MAX(SUM('2. Demand History'!C432:N432),1),2)</f>
        <v>1.06</v>
      </c>
      <c r="J432" s="5">
        <f>IF(D432="Yes",ROUND('2. Demand History'!O432*I432,0),ROUND(AVERAGE('2. Demand History'!X432:Z432),0))</f>
        <v>178</v>
      </c>
      <c r="K432" s="9">
        <f t="shared" si="20"/>
        <v>0.105</v>
      </c>
      <c r="L432" s="10">
        <f>ROUND(ABS('2. Demand History'!U432-IF($D432="Yes",'2. Demand History'!I432,AVERAGE('2. Demand History'!R432:T432)))/MAX('2. Demand History'!U432,1),3)</f>
        <v>3.0000000000000001E-3</v>
      </c>
      <c r="M432" s="10">
        <f>ROUND(ABS('2. Demand History'!V432-IF($D432="Yes",'2. Demand History'!J432,AVERAGE('2. Demand History'!S432:U432)))/MAX('2. Demand History'!V432,1),3)</f>
        <v>0.20899999999999999</v>
      </c>
      <c r="N432" s="10">
        <f>ROUND(ABS('2. Demand History'!W432-IF($D432="Yes",'2. Demand History'!K432,AVERAGE('2. Demand History'!T432:V432)))/MAX('2. Demand History'!W432,1),3)</f>
        <v>3.9E-2</v>
      </c>
      <c r="O432" s="10">
        <f>ROUND(ABS('2. Demand History'!X432-IF($D432="Yes",'2. Demand History'!L432,AVERAGE('2. Demand History'!U432:W432)))/MAX('2. Demand History'!X432,1),3)</f>
        <v>0.04</v>
      </c>
      <c r="P432" s="10">
        <f>ROUND(ABS('2. Demand History'!Y432-IF($D432="Yes",'2. Demand History'!M432,AVERAGE('2. Demand History'!V432:X432)))/MAX('2. Demand History'!Y432,1),3)</f>
        <v>0.09</v>
      </c>
      <c r="Q432" s="10">
        <f>ROUND(ABS('2. Demand History'!Z432-IF($D432="Yes",'2. Demand History'!N432,AVERAGE('2. Demand History'!W432:Y432)))/MAX('2. Demand History'!Z432,1),3)</f>
        <v>0.248</v>
      </c>
    </row>
    <row r="433" spans="1:17" ht="15" customHeight="1" x14ac:dyDescent="0.2">
      <c r="A433" s="3" t="str">
        <f>'2. Demand History'!A433</f>
        <v>NT10429</v>
      </c>
      <c r="B433" s="1" t="str">
        <f>'2. Demand History'!B433</f>
        <v>DrawPad 171 12in</v>
      </c>
      <c r="C433" s="3" t="str">
        <f>'1. Master Data'!C433</f>
        <v>Tablets</v>
      </c>
      <c r="D433" s="3" t="s">
        <v>1111</v>
      </c>
      <c r="E433" s="3" t="str">
        <f t="shared" si="18"/>
        <v>Seasonal Naive</v>
      </c>
      <c r="F433" s="3">
        <f>ROUND(AVERAGE('2. Demand History'!O433:Z433),1)</f>
        <v>74</v>
      </c>
      <c r="G433" s="3">
        <f>ROUND(STDEV('2. Demand History'!O433:Z433),1)</f>
        <v>24.2</v>
      </c>
      <c r="H433" s="8">
        <f t="shared" si="19"/>
        <v>0.33</v>
      </c>
      <c r="I433" s="8">
        <f>ROUND(SUM('2. Demand History'!O433:Z433)/MAX(SUM('2. Demand History'!C433:N433),1),2)</f>
        <v>1.1000000000000001</v>
      </c>
      <c r="J433" s="5">
        <f>IF(D433="Yes",ROUND('2. Demand History'!O433*I433,0),ROUND(AVERAGE('2. Demand History'!X433:Z433),0))</f>
        <v>76</v>
      </c>
      <c r="K433" s="9">
        <f t="shared" si="20"/>
        <v>0.109</v>
      </c>
      <c r="L433" s="10">
        <f>ROUND(ABS('2. Demand History'!U433-IF($D433="Yes",'2. Demand History'!I433,AVERAGE('2. Demand History'!R433:T433)))/MAX('2. Demand History'!U433,1),3)</f>
        <v>0.21</v>
      </c>
      <c r="M433" s="10">
        <f>ROUND(ABS('2. Demand History'!V433-IF($D433="Yes",'2. Demand History'!J433,AVERAGE('2. Demand History'!S433:U433)))/MAX('2. Demand History'!V433,1),3)</f>
        <v>6.0999999999999999E-2</v>
      </c>
      <c r="N433" s="10">
        <f>ROUND(ABS('2. Demand History'!W433-IF($D433="Yes",'2. Demand History'!K433,AVERAGE('2. Demand History'!T433:V433)))/MAX('2. Demand History'!W433,1),3)</f>
        <v>0.109</v>
      </c>
      <c r="O433" s="10">
        <f>ROUND(ABS('2. Demand History'!X433-IF($D433="Yes",'2. Demand History'!L433,AVERAGE('2. Demand History'!U433:W433)))/MAX('2. Demand History'!X433,1),3)</f>
        <v>4.2999999999999997E-2</v>
      </c>
      <c r="P433" s="10">
        <f>ROUND(ABS('2. Demand History'!Y433-IF($D433="Yes",'2. Demand History'!M433,AVERAGE('2. Demand History'!V433:X433)))/MAX('2. Demand History'!Y433,1),3)</f>
        <v>0.23200000000000001</v>
      </c>
      <c r="Q433" s="10">
        <f>ROUND(ABS('2. Demand History'!Z433-IF($D433="Yes",'2. Demand History'!N433,AVERAGE('2. Demand History'!W433:Y433)))/MAX('2. Demand History'!Z433,1),3)</f>
        <v>0</v>
      </c>
    </row>
    <row r="434" spans="1:17" ht="15" customHeight="1" x14ac:dyDescent="0.2">
      <c r="A434" s="3" t="str">
        <f>'2. Demand History'!A434</f>
        <v>NT10430</v>
      </c>
      <c r="B434" s="1" t="str">
        <f>'2. Demand History'!B434</f>
        <v>NovaTab 185 10in</v>
      </c>
      <c r="C434" s="3" t="str">
        <f>'1. Master Data'!C434</f>
        <v>Tablets</v>
      </c>
      <c r="D434" s="3" t="s">
        <v>1111</v>
      </c>
      <c r="E434" s="3" t="str">
        <f t="shared" si="18"/>
        <v>Seasonal Naive</v>
      </c>
      <c r="F434" s="3">
        <f>ROUND(AVERAGE('2. Demand History'!O434:Z434),1)</f>
        <v>38.6</v>
      </c>
      <c r="G434" s="3">
        <f>ROUND(STDEV('2. Demand History'!O434:Z434),1)</f>
        <v>12.1</v>
      </c>
      <c r="H434" s="8">
        <f t="shared" si="19"/>
        <v>0.31</v>
      </c>
      <c r="I434" s="8">
        <f>ROUND(SUM('2. Demand History'!O434:Z434)/MAX(SUM('2. Demand History'!C434:N434),1),2)</f>
        <v>1.07</v>
      </c>
      <c r="J434" s="5">
        <f>IF(D434="Yes",ROUND('2. Demand History'!O434*I434,0),ROUND(AVERAGE('2. Demand History'!X434:Z434),0))</f>
        <v>42</v>
      </c>
      <c r="K434" s="9">
        <f t="shared" si="20"/>
        <v>0.121</v>
      </c>
      <c r="L434" s="10">
        <f>ROUND(ABS('2. Demand History'!U434-IF($D434="Yes",'2. Demand History'!I434,AVERAGE('2. Demand History'!R434:T434)))/MAX('2. Demand History'!U434,1),3)</f>
        <v>2.9000000000000001E-2</v>
      </c>
      <c r="M434" s="10">
        <f>ROUND(ABS('2. Demand History'!V434-IF($D434="Yes",'2. Demand History'!J434,AVERAGE('2. Demand History'!S434:U434)))/MAX('2. Demand History'!V434,1),3)</f>
        <v>7.3999999999999996E-2</v>
      </c>
      <c r="N434" s="10">
        <f>ROUND(ABS('2. Demand History'!W434-IF($D434="Yes",'2. Demand History'!K434,AVERAGE('2. Demand History'!T434:V434)))/MAX('2. Demand History'!W434,1),3)</f>
        <v>0.23100000000000001</v>
      </c>
      <c r="O434" s="10">
        <f>ROUND(ABS('2. Demand History'!X434-IF($D434="Yes",'2. Demand History'!L434,AVERAGE('2. Demand History'!U434:W434)))/MAX('2. Demand History'!X434,1),3)</f>
        <v>0.14699999999999999</v>
      </c>
      <c r="P434" s="10">
        <f>ROUND(ABS('2. Demand History'!Y434-IF($D434="Yes",'2. Demand History'!M434,AVERAGE('2. Demand History'!V434:X434)))/MAX('2. Demand History'!Y434,1),3)</f>
        <v>0</v>
      </c>
      <c r="Q434" s="10">
        <f>ROUND(ABS('2. Demand History'!Z434-IF($D434="Yes",'2. Demand History'!N434,AVERAGE('2. Demand History'!W434:Y434)))/MAX('2. Demand History'!Z434,1),3)</f>
        <v>0.24399999999999999</v>
      </c>
    </row>
    <row r="435" spans="1:17" ht="15" customHeight="1" x14ac:dyDescent="0.2">
      <c r="A435" s="3" t="str">
        <f>'2. Demand History'!A435</f>
        <v>NT10431</v>
      </c>
      <c r="B435" s="1" t="str">
        <f>'2. Demand History'!B435</f>
        <v>NovaTab 339 10in</v>
      </c>
      <c r="C435" s="3" t="str">
        <f>'1. Master Data'!C435</f>
        <v>Tablets</v>
      </c>
      <c r="D435" s="3" t="s">
        <v>1111</v>
      </c>
      <c r="E435" s="3" t="str">
        <f t="shared" si="18"/>
        <v>Seasonal Naive</v>
      </c>
      <c r="F435" s="3">
        <f>ROUND(AVERAGE('2. Demand History'!O435:Z435),1)</f>
        <v>37.799999999999997</v>
      </c>
      <c r="G435" s="3">
        <f>ROUND(STDEV('2. Demand History'!O435:Z435),1)</f>
        <v>8</v>
      </c>
      <c r="H435" s="8">
        <f t="shared" si="19"/>
        <v>0.21</v>
      </c>
      <c r="I435" s="8">
        <f>ROUND(SUM('2. Demand History'!O435:Z435)/MAX(SUM('2. Demand History'!C435:N435),1),2)</f>
        <v>1.03</v>
      </c>
      <c r="J435" s="5">
        <f>IF(D435="Yes",ROUND('2. Demand History'!O435*I435,0),ROUND(AVERAGE('2. Demand History'!X435:Z435),0))</f>
        <v>29</v>
      </c>
      <c r="K435" s="9">
        <f t="shared" si="20"/>
        <v>9.1999999999999998E-2</v>
      </c>
      <c r="L435" s="10">
        <f>ROUND(ABS('2. Demand History'!U435-IF($D435="Yes",'2. Demand History'!I435,AVERAGE('2. Demand History'!R435:T435)))/MAX('2. Demand History'!U435,1),3)</f>
        <v>1.7999999999999999E-2</v>
      </c>
      <c r="M435" s="10">
        <f>ROUND(ABS('2. Demand History'!V435-IF($D435="Yes",'2. Demand History'!J435,AVERAGE('2. Demand History'!S435:U435)))/MAX('2. Demand History'!V435,1),3)</f>
        <v>3.6999999999999998E-2</v>
      </c>
      <c r="N435" s="10">
        <f>ROUND(ABS('2. Demand History'!W435-IF($D435="Yes",'2. Demand History'!K435,AVERAGE('2. Demand History'!T435:V435)))/MAX('2. Demand History'!W435,1),3)</f>
        <v>0.21099999999999999</v>
      </c>
      <c r="O435" s="10">
        <f>ROUND(ABS('2. Demand History'!X435-IF($D435="Yes",'2. Demand History'!L435,AVERAGE('2. Demand History'!U435:W435)))/MAX('2. Demand History'!X435,1),3)</f>
        <v>2.7E-2</v>
      </c>
      <c r="P435" s="10">
        <f>ROUND(ABS('2. Demand History'!Y435-IF($D435="Yes",'2. Demand History'!M435,AVERAGE('2. Demand History'!V435:X435)))/MAX('2. Demand History'!Y435,1),3)</f>
        <v>5.3999999999999999E-2</v>
      </c>
      <c r="Q435" s="10">
        <f>ROUND(ABS('2. Demand History'!Z435-IF($D435="Yes",'2. Demand History'!N435,AVERAGE('2. Demand History'!W435:Y435)))/MAX('2. Demand History'!Z435,1),3)</f>
        <v>0.20499999999999999</v>
      </c>
    </row>
    <row r="436" spans="1:17" ht="15" customHeight="1" x14ac:dyDescent="0.2">
      <c r="A436" s="3" t="str">
        <f>'2. Demand History'!A436</f>
        <v>NT10432</v>
      </c>
      <c r="B436" s="1" t="str">
        <f>'2. Demand History'!B436</f>
        <v>DrawPad 694 12in</v>
      </c>
      <c r="C436" s="3" t="str">
        <f>'1. Master Data'!C436</f>
        <v>Tablets</v>
      </c>
      <c r="D436" s="3" t="s">
        <v>1111</v>
      </c>
      <c r="E436" s="3" t="str">
        <f t="shared" si="18"/>
        <v>Seasonal Naive</v>
      </c>
      <c r="F436" s="3">
        <f>ROUND(AVERAGE('2. Demand History'!O436:Z436),1)</f>
        <v>23.3</v>
      </c>
      <c r="G436" s="3">
        <f>ROUND(STDEV('2. Demand History'!O436:Z436),1)</f>
        <v>7.1</v>
      </c>
      <c r="H436" s="8">
        <f t="shared" si="19"/>
        <v>0.3</v>
      </c>
      <c r="I436" s="8">
        <f>ROUND(SUM('2. Demand History'!O436:Z436)/MAX(SUM('2. Demand History'!C436:N436),1),2)</f>
        <v>1.0900000000000001</v>
      </c>
      <c r="J436" s="5">
        <f>IF(D436="Yes",ROUND('2. Demand History'!O436*I436,0),ROUND(AVERAGE('2. Demand History'!X436:Z436),0))</f>
        <v>23</v>
      </c>
      <c r="K436" s="9">
        <f t="shared" si="20"/>
        <v>0.129</v>
      </c>
      <c r="L436" s="10">
        <f>ROUND(ABS('2. Demand History'!U436-IF($D436="Yes",'2. Demand History'!I436,AVERAGE('2. Demand History'!R436:T436)))/MAX('2. Demand History'!U436,1),3)</f>
        <v>0.17100000000000001</v>
      </c>
      <c r="M436" s="10">
        <f>ROUND(ABS('2. Demand History'!V436-IF($D436="Yes",'2. Demand History'!J436,AVERAGE('2. Demand History'!S436:U436)))/MAX('2. Demand History'!V436,1),3)</f>
        <v>6.7000000000000004E-2</v>
      </c>
      <c r="N436" s="10">
        <f>ROUND(ABS('2. Demand History'!W436-IF($D436="Yes",'2. Demand History'!K436,AVERAGE('2. Demand History'!T436:V436)))/MAX('2. Demand History'!W436,1),3)</f>
        <v>5.6000000000000001E-2</v>
      </c>
      <c r="O436" s="10">
        <f>ROUND(ABS('2. Demand History'!X436-IF($D436="Yes",'2. Demand History'!L436,AVERAGE('2. Demand History'!U436:W436)))/MAX('2. Demand History'!X436,1),3)</f>
        <v>9.5000000000000001E-2</v>
      </c>
      <c r="P436" s="10">
        <f>ROUND(ABS('2. Demand History'!Y436-IF($D436="Yes",'2. Demand History'!M436,AVERAGE('2. Demand History'!V436:X436)))/MAX('2. Demand History'!Y436,1),3)</f>
        <v>0.17399999999999999</v>
      </c>
      <c r="Q436" s="10">
        <f>ROUND(ABS('2. Demand History'!Z436-IF($D436="Yes",'2. Demand History'!N436,AVERAGE('2. Demand History'!W436:Y436)))/MAX('2. Demand History'!Z436,1),3)</f>
        <v>0.21099999999999999</v>
      </c>
    </row>
    <row r="437" spans="1:17" ht="15" customHeight="1" x14ac:dyDescent="0.2">
      <c r="A437" s="3" t="str">
        <f>'2. Demand History'!A437</f>
        <v>NT10433</v>
      </c>
      <c r="B437" s="1" t="str">
        <f>'2. Demand History'!B437</f>
        <v>NovaTab 132 10in</v>
      </c>
      <c r="C437" s="3" t="str">
        <f>'1. Master Data'!C437</f>
        <v>Tablets</v>
      </c>
      <c r="D437" s="3" t="s">
        <v>1111</v>
      </c>
      <c r="E437" s="3" t="str">
        <f t="shared" si="18"/>
        <v>Seasonal Naive</v>
      </c>
      <c r="F437" s="3">
        <f>ROUND(AVERAGE('2. Demand History'!O437:Z437),1)</f>
        <v>4.8</v>
      </c>
      <c r="G437" s="3">
        <f>ROUND(STDEV('2. Demand History'!O437:Z437),1)</f>
        <v>3.3</v>
      </c>
      <c r="H437" s="8">
        <f t="shared" si="19"/>
        <v>0.69</v>
      </c>
      <c r="I437" s="8">
        <f>ROUND(SUM('2. Demand History'!O437:Z437)/MAX(SUM('2. Demand History'!C437:N437),1),2)</f>
        <v>0.32</v>
      </c>
      <c r="J437" s="5">
        <f>IF(D437="Yes",ROUND('2. Demand History'!O437*I437,0),ROUND(AVERAGE('2. Demand History'!X437:Z437),0))</f>
        <v>2</v>
      </c>
      <c r="K437" s="9">
        <f t="shared" si="20"/>
        <v>7.1390000000000002</v>
      </c>
      <c r="L437" s="10">
        <f>ROUND(ABS('2. Demand History'!U437-IF($D437="Yes",'2. Demand History'!I437,AVERAGE('2. Demand History'!R437:T437)))/MAX('2. Demand History'!U437,1),3)</f>
        <v>2</v>
      </c>
      <c r="M437" s="10">
        <f>ROUND(ABS('2. Demand History'!V437-IF($D437="Yes",'2. Demand History'!J437,AVERAGE('2. Demand History'!S437:U437)))/MAX('2. Demand History'!V437,1),3)</f>
        <v>3.3330000000000002</v>
      </c>
      <c r="N437" s="10">
        <f>ROUND(ABS('2. Demand History'!W437-IF($D437="Yes",'2. Demand History'!K437,AVERAGE('2. Demand History'!T437:V437)))/MAX('2. Demand History'!W437,1),3)</f>
        <v>4.5</v>
      </c>
      <c r="O437" s="10">
        <f>ROUND(ABS('2. Demand History'!X437-IF($D437="Yes",'2. Demand History'!L437,AVERAGE('2. Demand History'!U437:W437)))/MAX('2. Demand History'!X437,1),3)</f>
        <v>14</v>
      </c>
      <c r="P437" s="10">
        <f>ROUND(ABS('2. Demand History'!Y437-IF($D437="Yes",'2. Demand History'!M437,AVERAGE('2. Demand History'!V437:X437)))/MAX('2. Demand History'!Y437,1),3)</f>
        <v>8</v>
      </c>
      <c r="Q437" s="10">
        <f>ROUND(ABS('2. Demand History'!Z437-IF($D437="Yes",'2. Demand History'!N437,AVERAGE('2. Demand History'!W437:Y437)))/MAX('2. Demand History'!Z437,1),3)</f>
        <v>11</v>
      </c>
    </row>
    <row r="438" spans="1:17" ht="15" customHeight="1" x14ac:dyDescent="0.2">
      <c r="A438" s="3" t="str">
        <f>'2. Demand History'!A438</f>
        <v>NT10434</v>
      </c>
      <c r="B438" s="1" t="str">
        <f>'2. Demand History'!B438</f>
        <v>NovaTab 373 Kids</v>
      </c>
      <c r="C438" s="3" t="str">
        <f>'1. Master Data'!C438</f>
        <v>Tablets</v>
      </c>
      <c r="D438" s="3" t="s">
        <v>1111</v>
      </c>
      <c r="E438" s="3" t="str">
        <f t="shared" si="18"/>
        <v>Seasonal Naive</v>
      </c>
      <c r="F438" s="3">
        <f>ROUND(AVERAGE('2. Demand History'!O438:Z438),1)</f>
        <v>67.400000000000006</v>
      </c>
      <c r="G438" s="3">
        <f>ROUND(STDEV('2. Demand History'!O438:Z438),1)</f>
        <v>20.7</v>
      </c>
      <c r="H438" s="8">
        <f t="shared" si="19"/>
        <v>0.31</v>
      </c>
      <c r="I438" s="8">
        <f>ROUND(SUM('2. Demand History'!O438:Z438)/MAX(SUM('2. Demand History'!C438:N438),1),2)</f>
        <v>1.06</v>
      </c>
      <c r="J438" s="5">
        <f>IF(D438="Yes",ROUND('2. Demand History'!O438*I438,0),ROUND(AVERAGE('2. Demand History'!X438:Z438),0))</f>
        <v>61</v>
      </c>
      <c r="K438" s="9">
        <f t="shared" si="20"/>
        <v>6.2E-2</v>
      </c>
      <c r="L438" s="10">
        <f>ROUND(ABS('2. Demand History'!U438-IF($D438="Yes",'2. Demand History'!I438,AVERAGE('2. Demand History'!R438:T438)))/MAX('2. Demand History'!U438,1),3)</f>
        <v>0.105</v>
      </c>
      <c r="M438" s="10">
        <f>ROUND(ABS('2. Demand History'!V438-IF($D438="Yes",'2. Demand History'!J438,AVERAGE('2. Demand History'!S438:U438)))/MAX('2. Demand History'!V438,1),3)</f>
        <v>0.14899999999999999</v>
      </c>
      <c r="N438" s="10">
        <f>ROUND(ABS('2. Demand History'!W438-IF($D438="Yes",'2. Demand History'!K438,AVERAGE('2. Demand History'!T438:V438)))/MAX('2. Demand History'!W438,1),3)</f>
        <v>0.04</v>
      </c>
      <c r="O438" s="10">
        <f>ROUND(ABS('2. Demand History'!X438-IF($D438="Yes",'2. Demand History'!L438,AVERAGE('2. Demand History'!U438:W438)))/MAX('2. Demand History'!X438,1),3)</f>
        <v>3.4000000000000002E-2</v>
      </c>
      <c r="P438" s="10">
        <f>ROUND(ABS('2. Demand History'!Y438-IF($D438="Yes",'2. Demand History'!M438,AVERAGE('2. Demand History'!V438:X438)))/MAX('2. Demand History'!Y438,1),3)</f>
        <v>1.6E-2</v>
      </c>
      <c r="Q438" s="10">
        <f>ROUND(ABS('2. Demand History'!Z438-IF($D438="Yes",'2. Demand History'!N438,AVERAGE('2. Demand History'!W438:Y438)))/MAX('2. Demand History'!Z438,1),3)</f>
        <v>0.03</v>
      </c>
    </row>
    <row r="439" spans="1:17" ht="15" customHeight="1" x14ac:dyDescent="0.2">
      <c r="A439" s="3" t="str">
        <f>'2. Demand History'!A439</f>
        <v>NT10435</v>
      </c>
      <c r="B439" s="1" t="str">
        <f>'2. Demand History'!B439</f>
        <v>NovaTab 789 Kids</v>
      </c>
      <c r="C439" s="3" t="str">
        <f>'1. Master Data'!C439</f>
        <v>Tablets</v>
      </c>
      <c r="D439" s="3" t="s">
        <v>1111</v>
      </c>
      <c r="E439" s="3" t="str">
        <f t="shared" si="18"/>
        <v>Seasonal Naive</v>
      </c>
      <c r="F439" s="3">
        <f>ROUND(AVERAGE('2. Demand History'!O439:Z439),1)</f>
        <v>32.5</v>
      </c>
      <c r="G439" s="3">
        <f>ROUND(STDEV('2. Demand History'!O439:Z439),1)</f>
        <v>9.3000000000000007</v>
      </c>
      <c r="H439" s="8">
        <f t="shared" si="19"/>
        <v>0.28999999999999998</v>
      </c>
      <c r="I439" s="8">
        <f>ROUND(SUM('2. Demand History'!O439:Z439)/MAX(SUM('2. Demand History'!C439:N439),1),2)</f>
        <v>1.02</v>
      </c>
      <c r="J439" s="5">
        <f>IF(D439="Yes",ROUND('2. Demand History'!O439*I439,0),ROUND(AVERAGE('2. Demand History'!X439:Z439),0))</f>
        <v>28</v>
      </c>
      <c r="K439" s="9">
        <f t="shared" si="20"/>
        <v>7.5999999999999998E-2</v>
      </c>
      <c r="L439" s="10">
        <f>ROUND(ABS('2. Demand History'!U439-IF($D439="Yes",'2. Demand History'!I439,AVERAGE('2. Demand History'!R439:T439)))/MAX('2. Demand History'!U439,1),3)</f>
        <v>0</v>
      </c>
      <c r="M439" s="10">
        <f>ROUND(ABS('2. Demand History'!V439-IF($D439="Yes",'2. Demand History'!J439,AVERAGE('2. Demand History'!S439:U439)))/MAX('2. Demand History'!V439,1),3)</f>
        <v>4.8000000000000001E-2</v>
      </c>
      <c r="N439" s="10">
        <f>ROUND(ABS('2. Demand History'!W439-IF($D439="Yes",'2. Demand History'!K439,AVERAGE('2. Demand History'!T439:V439)))/MAX('2. Demand History'!W439,1),3)</f>
        <v>0</v>
      </c>
      <c r="O439" s="10">
        <f>ROUND(ABS('2. Demand History'!X439-IF($D439="Yes",'2. Demand History'!L439,AVERAGE('2. Demand History'!U439:W439)))/MAX('2. Demand History'!X439,1),3)</f>
        <v>3.4000000000000002E-2</v>
      </c>
      <c r="P439" s="10">
        <f>ROUND(ABS('2. Demand History'!Y439-IF($D439="Yes",'2. Demand History'!M439,AVERAGE('2. Demand History'!V439:X439)))/MAX('2. Demand History'!Y439,1),3)</f>
        <v>2.8000000000000001E-2</v>
      </c>
      <c r="Q439" s="10">
        <f>ROUND(ABS('2. Demand History'!Z439-IF($D439="Yes",'2. Demand History'!N439,AVERAGE('2. Demand History'!W439:Y439)))/MAX('2. Demand History'!Z439,1),3)</f>
        <v>0.34499999999999997</v>
      </c>
    </row>
    <row r="440" spans="1:17" ht="15" customHeight="1" x14ac:dyDescent="0.2">
      <c r="A440" s="3" t="str">
        <f>'2. Demand History'!A440</f>
        <v>NT10436</v>
      </c>
      <c r="B440" s="1" t="str">
        <f>'2. Demand History'!B440</f>
        <v>DrawPad 834 12in</v>
      </c>
      <c r="C440" s="3" t="str">
        <f>'1. Master Data'!C440</f>
        <v>Tablets</v>
      </c>
      <c r="D440" s="3" t="s">
        <v>1111</v>
      </c>
      <c r="E440" s="3" t="str">
        <f t="shared" si="18"/>
        <v>Seasonal Naive</v>
      </c>
      <c r="F440" s="3">
        <f>ROUND(AVERAGE('2. Demand History'!O440:Z440),1)</f>
        <v>41.8</v>
      </c>
      <c r="G440" s="3">
        <f>ROUND(STDEV('2. Demand History'!O440:Z440),1)</f>
        <v>13.3</v>
      </c>
      <c r="H440" s="8">
        <f t="shared" si="19"/>
        <v>0.32</v>
      </c>
      <c r="I440" s="8">
        <f>ROUND(SUM('2. Demand History'!O440:Z440)/MAX(SUM('2. Demand History'!C440:N440),1),2)</f>
        <v>1</v>
      </c>
      <c r="J440" s="5">
        <f>IF(D440="Yes",ROUND('2. Demand History'!O440*I440,0),ROUND(AVERAGE('2. Demand History'!X440:Z440),0))</f>
        <v>35</v>
      </c>
      <c r="K440" s="9">
        <f t="shared" si="20"/>
        <v>8.5000000000000006E-2</v>
      </c>
      <c r="L440" s="10">
        <f>ROUND(ABS('2. Demand History'!U440-IF($D440="Yes",'2. Demand History'!I440,AVERAGE('2. Demand History'!R440:T440)))/MAX('2. Demand History'!U440,1),3)</f>
        <v>5.2999999999999999E-2</v>
      </c>
      <c r="M440" s="10">
        <f>ROUND(ABS('2. Demand History'!V440-IF($D440="Yes",'2. Demand History'!J440,AVERAGE('2. Demand History'!S440:U440)))/MAX('2. Demand History'!V440,1),3)</f>
        <v>3.3000000000000002E-2</v>
      </c>
      <c r="N440" s="10">
        <f>ROUND(ABS('2. Demand History'!W440-IF($D440="Yes",'2. Demand History'!K440,AVERAGE('2. Demand History'!T440:V440)))/MAX('2. Demand History'!W440,1),3)</f>
        <v>0.17899999999999999</v>
      </c>
      <c r="O440" s="10">
        <f>ROUND(ABS('2. Demand History'!X440-IF($D440="Yes",'2. Demand History'!L440,AVERAGE('2. Demand History'!U440:W440)))/MAX('2. Demand History'!X440,1),3)</f>
        <v>5.3999999999999999E-2</v>
      </c>
      <c r="P440" s="10">
        <f>ROUND(ABS('2. Demand History'!Y440-IF($D440="Yes",'2. Demand History'!M440,AVERAGE('2. Demand History'!V440:X440)))/MAX('2. Demand History'!Y440,1),3)</f>
        <v>2.5000000000000001E-2</v>
      </c>
      <c r="Q440" s="10">
        <f>ROUND(ABS('2. Demand History'!Z440-IF($D440="Yes",'2. Demand History'!N440,AVERAGE('2. Demand History'!W440:Y440)))/MAX('2. Demand History'!Z440,1),3)</f>
        <v>0.16300000000000001</v>
      </c>
    </row>
    <row r="441" spans="1:17" ht="15" customHeight="1" x14ac:dyDescent="0.2">
      <c r="A441" s="3" t="str">
        <f>'2. Demand History'!A441</f>
        <v>NT10437</v>
      </c>
      <c r="B441" s="1" t="str">
        <f>'2. Demand History'!B441</f>
        <v>NovaTab 346 Kids</v>
      </c>
      <c r="C441" s="3" t="str">
        <f>'1. Master Data'!C441</f>
        <v>Tablets</v>
      </c>
      <c r="D441" s="3" t="s">
        <v>1111</v>
      </c>
      <c r="E441" s="3" t="str">
        <f t="shared" si="18"/>
        <v>Seasonal Naive</v>
      </c>
      <c r="F441" s="3">
        <f>ROUND(AVERAGE('2. Demand History'!O441:Z441),1)</f>
        <v>3.8</v>
      </c>
      <c r="G441" s="3">
        <f>ROUND(STDEV('2. Demand History'!O441:Z441),1)</f>
        <v>2.7</v>
      </c>
      <c r="H441" s="8">
        <f t="shared" si="19"/>
        <v>0.71</v>
      </c>
      <c r="I441" s="8">
        <f>ROUND(SUM('2. Demand History'!O441:Z441)/MAX(SUM('2. Demand History'!C441:N441),1),2)</f>
        <v>0.31</v>
      </c>
      <c r="J441" s="5">
        <f>IF(D441="Yes",ROUND('2. Demand History'!O441*I441,0),ROUND(AVERAGE('2. Demand History'!X441:Z441),0))</f>
        <v>3</v>
      </c>
      <c r="K441" s="9">
        <f t="shared" si="20"/>
        <v>6.6950000000000003</v>
      </c>
      <c r="L441" s="10">
        <f>ROUND(ABS('2. Demand History'!U441-IF($D441="Yes",'2. Demand History'!I441,AVERAGE('2. Demand History'!R441:T441)))/MAX('2. Demand History'!U441,1),3)</f>
        <v>2.6669999999999998</v>
      </c>
      <c r="M441" s="10">
        <f>ROUND(ABS('2. Demand History'!V441-IF($D441="Yes",'2. Demand History'!J441,AVERAGE('2. Demand History'!S441:U441)))/MAX('2. Demand History'!V441,1),3)</f>
        <v>3.5</v>
      </c>
      <c r="N441" s="10">
        <f>ROUND(ABS('2. Demand History'!W441-IF($D441="Yes",'2. Demand History'!K441,AVERAGE('2. Demand History'!T441:V441)))/MAX('2. Demand History'!W441,1),3)</f>
        <v>12</v>
      </c>
      <c r="O441" s="10">
        <f>ROUND(ABS('2. Demand History'!X441-IF($D441="Yes",'2. Demand History'!L441,AVERAGE('2. Demand History'!U441:W441)))/MAX('2. Demand History'!X441,1),3)</f>
        <v>8</v>
      </c>
      <c r="P441" s="10">
        <f>ROUND(ABS('2. Demand History'!Y441-IF($D441="Yes",'2. Demand History'!M441,AVERAGE('2. Demand History'!V441:X441)))/MAX('2. Demand History'!Y441,1),3)</f>
        <v>8</v>
      </c>
      <c r="Q441" s="10">
        <f>ROUND(ABS('2. Demand History'!Z441-IF($D441="Yes",'2. Demand History'!N441,AVERAGE('2. Demand History'!W441:Y441)))/MAX('2. Demand History'!Z441,1),3)</f>
        <v>6</v>
      </c>
    </row>
    <row r="442" spans="1:17" ht="15" customHeight="1" x14ac:dyDescent="0.2">
      <c r="A442" s="3" t="str">
        <f>'2. Demand History'!A442</f>
        <v>NT10438</v>
      </c>
      <c r="B442" s="1" t="str">
        <f>'2. Demand History'!B442</f>
        <v>NovaTab 862 Kids</v>
      </c>
      <c r="C442" s="3" t="str">
        <f>'1. Master Data'!C442</f>
        <v>Tablets</v>
      </c>
      <c r="D442" s="3" t="s">
        <v>1111</v>
      </c>
      <c r="E442" s="3" t="str">
        <f t="shared" si="18"/>
        <v>Seasonal Naive</v>
      </c>
      <c r="F442" s="3">
        <f>ROUND(AVERAGE('2. Demand History'!O442:Z442),1)</f>
        <v>28.3</v>
      </c>
      <c r="G442" s="3">
        <f>ROUND(STDEV('2. Demand History'!O442:Z442),1)</f>
        <v>16.399999999999999</v>
      </c>
      <c r="H442" s="8">
        <f t="shared" si="19"/>
        <v>0.57999999999999996</v>
      </c>
      <c r="I442" s="8">
        <f>ROUND(SUM('2. Demand History'!O442:Z442)/MAX(SUM('2. Demand History'!C442:N442),1),2)</f>
        <v>0.26</v>
      </c>
      <c r="J442" s="5">
        <f>IF(D442="Yes",ROUND('2. Demand History'!O442*I442,0),ROUND(AVERAGE('2. Demand History'!X442:Z442),0))</f>
        <v>13</v>
      </c>
      <c r="K442" s="9">
        <f t="shared" si="20"/>
        <v>6.8810000000000002</v>
      </c>
      <c r="L442" s="10">
        <f>ROUND(ABS('2. Demand History'!U442-IF($D442="Yes",'2. Demand History'!I442,AVERAGE('2. Demand History'!R442:T442)))/MAX('2. Demand History'!U442,1),3)</f>
        <v>3.7040000000000002</v>
      </c>
      <c r="M442" s="10">
        <f>ROUND(ABS('2. Demand History'!V442-IF($D442="Yes",'2. Demand History'!J442,AVERAGE('2. Demand History'!S442:U442)))/MAX('2. Demand History'!V442,1),3)</f>
        <v>5.4669999999999996</v>
      </c>
      <c r="N442" s="10">
        <f>ROUND(ABS('2. Demand History'!W442-IF($D442="Yes",'2. Demand History'!K442,AVERAGE('2. Demand History'!T442:V442)))/MAX('2. Demand History'!W442,1),3)</f>
        <v>3.6</v>
      </c>
      <c r="O442" s="10">
        <f>ROUND(ABS('2. Demand History'!X442-IF($D442="Yes",'2. Demand History'!L442,AVERAGE('2. Demand History'!U442:W442)))/MAX('2. Demand History'!X442,1),3)</f>
        <v>10.888999999999999</v>
      </c>
      <c r="P442" s="10">
        <f>ROUND(ABS('2. Demand History'!Y442-IF($D442="Yes",'2. Demand History'!M442,AVERAGE('2. Demand History'!V442:X442)))/MAX('2. Demand History'!Y442,1),3)</f>
        <v>7.875</v>
      </c>
      <c r="Q442" s="10">
        <f>ROUND(ABS('2. Demand History'!Z442-IF($D442="Yes",'2. Demand History'!N442,AVERAGE('2. Demand History'!W442:Y442)))/MAX('2. Demand History'!Z442,1),3)</f>
        <v>9.75</v>
      </c>
    </row>
    <row r="443" spans="1:17" ht="15" customHeight="1" x14ac:dyDescent="0.2">
      <c r="A443" s="3" t="str">
        <f>'2. Demand History'!A443</f>
        <v>NT10439</v>
      </c>
      <c r="B443" s="1" t="str">
        <f>'2. Demand History'!B443</f>
        <v>NovaTab 758 10in</v>
      </c>
      <c r="C443" s="3" t="str">
        <f>'1. Master Data'!C443</f>
        <v>Tablets</v>
      </c>
      <c r="D443" s="3" t="s">
        <v>1111</v>
      </c>
      <c r="E443" s="3" t="str">
        <f t="shared" si="18"/>
        <v>Seasonal Naive</v>
      </c>
      <c r="F443" s="3">
        <f>ROUND(AVERAGE('2. Demand History'!O443:Z443),1)</f>
        <v>42.9</v>
      </c>
      <c r="G443" s="3">
        <f>ROUND(STDEV('2. Demand History'!O443:Z443),1)</f>
        <v>13.2</v>
      </c>
      <c r="H443" s="8">
        <f t="shared" si="19"/>
        <v>0.31</v>
      </c>
      <c r="I443" s="8">
        <f>ROUND(SUM('2. Demand History'!O443:Z443)/MAX(SUM('2. Demand History'!C443:N443),1),2)</f>
        <v>1.18</v>
      </c>
      <c r="J443" s="5">
        <f>IF(D443="Yes",ROUND('2. Demand History'!O443*I443,0),ROUND(AVERAGE('2. Demand History'!X443:Z443),0))</f>
        <v>39</v>
      </c>
      <c r="K443" s="9">
        <f t="shared" si="20"/>
        <v>0.153</v>
      </c>
      <c r="L443" s="10">
        <f>ROUND(ABS('2. Demand History'!U443-IF($D443="Yes",'2. Demand History'!I443,AVERAGE('2. Demand History'!R443:T443)))/MAX('2. Demand History'!U443,1),3)</f>
        <v>0.1</v>
      </c>
      <c r="M443" s="10">
        <f>ROUND(ABS('2. Demand History'!V443-IF($D443="Yes",'2. Demand History'!J443,AVERAGE('2. Demand History'!S443:U443)))/MAX('2. Demand History'!V443,1),3)</f>
        <v>9.7000000000000003E-2</v>
      </c>
      <c r="N443" s="10">
        <f>ROUND(ABS('2. Demand History'!W443-IF($D443="Yes",'2. Demand History'!K443,AVERAGE('2. Demand History'!T443:V443)))/MAX('2. Demand History'!W443,1),3)</f>
        <v>0.33300000000000002</v>
      </c>
      <c r="O443" s="10">
        <f>ROUND(ABS('2. Demand History'!X443-IF($D443="Yes",'2. Demand History'!L443,AVERAGE('2. Demand History'!U443:W443)))/MAX('2. Demand History'!X443,1),3)</f>
        <v>0.108</v>
      </c>
      <c r="P443" s="10">
        <f>ROUND(ABS('2. Demand History'!Y443-IF($D443="Yes",'2. Demand History'!M443,AVERAGE('2. Demand History'!V443:X443)))/MAX('2. Demand History'!Y443,1),3)</f>
        <v>0.16300000000000001</v>
      </c>
      <c r="Q443" s="10">
        <f>ROUND(ABS('2. Demand History'!Z443-IF($D443="Yes",'2. Demand History'!N443,AVERAGE('2. Demand History'!W443:Y443)))/MAX('2. Demand History'!Z443,1),3)</f>
        <v>0.11899999999999999</v>
      </c>
    </row>
    <row r="444" spans="1:17" ht="15" customHeight="1" x14ac:dyDescent="0.2">
      <c r="A444" s="3" t="str">
        <f>'2. Demand History'!A444</f>
        <v>NT10440</v>
      </c>
      <c r="B444" s="1" t="str">
        <f>'2. Demand History'!B444</f>
        <v>DrawPad 640 12in</v>
      </c>
      <c r="C444" s="3" t="str">
        <f>'1. Master Data'!C444</f>
        <v>Tablets</v>
      </c>
      <c r="D444" s="3" t="s">
        <v>1111</v>
      </c>
      <c r="E444" s="3" t="str">
        <f t="shared" si="18"/>
        <v>Seasonal Naive</v>
      </c>
      <c r="F444" s="3">
        <f>ROUND(AVERAGE('2. Demand History'!O444:Z444),1)</f>
        <v>95</v>
      </c>
      <c r="G444" s="3">
        <f>ROUND(STDEV('2. Demand History'!O444:Z444),1)</f>
        <v>27.7</v>
      </c>
      <c r="H444" s="8">
        <f t="shared" si="19"/>
        <v>0.28999999999999998</v>
      </c>
      <c r="I444" s="8">
        <f>ROUND(SUM('2. Demand History'!O444:Z444)/MAX(SUM('2. Demand History'!C444:N444),1),2)</f>
        <v>1.06</v>
      </c>
      <c r="J444" s="5">
        <f>IF(D444="Yes",ROUND('2. Demand History'!O444*I444,0),ROUND(AVERAGE('2. Demand History'!X444:Z444),0))</f>
        <v>92</v>
      </c>
      <c r="K444" s="9">
        <f t="shared" si="20"/>
        <v>0.107</v>
      </c>
      <c r="L444" s="10">
        <f>ROUND(ABS('2. Demand History'!U444-IF($D444="Yes",'2. Demand History'!I444,AVERAGE('2. Demand History'!R444:T444)))/MAX('2. Demand History'!U444,1),3)</f>
        <v>7.5999999999999998E-2</v>
      </c>
      <c r="M444" s="10">
        <f>ROUND(ABS('2. Demand History'!V444-IF($D444="Yes",'2. Demand History'!J444,AVERAGE('2. Demand History'!S444:U444)))/MAX('2. Demand History'!V444,1),3)</f>
        <v>0.253</v>
      </c>
      <c r="N444" s="10">
        <f>ROUND(ABS('2. Demand History'!W444-IF($D444="Yes",'2. Demand History'!K444,AVERAGE('2. Demand History'!T444:V444)))/MAX('2. Demand History'!W444,1),3)</f>
        <v>8.3000000000000004E-2</v>
      </c>
      <c r="O444" s="10">
        <f>ROUND(ABS('2. Demand History'!X444-IF($D444="Yes",'2. Demand History'!L444,AVERAGE('2. Demand History'!U444:W444)))/MAX('2. Demand History'!X444,1),3)</f>
        <v>3.5999999999999997E-2</v>
      </c>
      <c r="P444" s="10">
        <f>ROUND(ABS('2. Demand History'!Y444-IF($D444="Yes",'2. Demand History'!M444,AVERAGE('2. Demand History'!V444:X444)))/MAX('2. Demand History'!Y444,1),3)</f>
        <v>0.158</v>
      </c>
      <c r="Q444" s="10">
        <f>ROUND(ABS('2. Demand History'!Z444-IF($D444="Yes",'2. Demand History'!N444,AVERAGE('2. Demand History'!W444:Y444)))/MAX('2. Demand History'!Z444,1),3)</f>
        <v>3.5000000000000003E-2</v>
      </c>
    </row>
    <row r="445" spans="1:17" ht="15" customHeight="1" x14ac:dyDescent="0.2">
      <c r="A445" s="3" t="str">
        <f>'2. Demand History'!A445</f>
        <v>NT10441</v>
      </c>
      <c r="B445" s="1" t="str">
        <f>'2. Demand History'!B445</f>
        <v>DrawPad 374 12in</v>
      </c>
      <c r="C445" s="3" t="str">
        <f>'1. Master Data'!C445</f>
        <v>Tablets</v>
      </c>
      <c r="D445" s="3" t="s">
        <v>1111</v>
      </c>
      <c r="E445" s="3" t="str">
        <f t="shared" si="18"/>
        <v>Seasonal Naive</v>
      </c>
      <c r="F445" s="3">
        <f>ROUND(AVERAGE('2. Demand History'!O445:Z445),1)</f>
        <v>5.2</v>
      </c>
      <c r="G445" s="3">
        <f>ROUND(STDEV('2. Demand History'!O445:Z445),1)</f>
        <v>1.3</v>
      </c>
      <c r="H445" s="8">
        <f t="shared" si="19"/>
        <v>0.25</v>
      </c>
      <c r="I445" s="8">
        <f>ROUND(SUM('2. Demand History'!O445:Z445)/MAX(SUM('2. Demand History'!C445:N445),1),2)</f>
        <v>1.19</v>
      </c>
      <c r="J445" s="5">
        <f>IF(D445="Yes",ROUND('2. Demand History'!O445*I445,0),ROUND(AVERAGE('2. Demand History'!X445:Z445),0))</f>
        <v>6</v>
      </c>
      <c r="K445" s="9">
        <f t="shared" si="20"/>
        <v>0.185</v>
      </c>
      <c r="L445" s="10">
        <f>ROUND(ABS('2. Demand History'!U445-IF($D445="Yes",'2. Demand History'!I445,AVERAGE('2. Demand History'!R445:T445)))/MAX('2. Demand History'!U445,1),3)</f>
        <v>0.125</v>
      </c>
      <c r="M445" s="10">
        <f>ROUND(ABS('2. Demand History'!V445-IF($D445="Yes",'2. Demand History'!J445,AVERAGE('2. Demand History'!S445:U445)))/MAX('2. Demand History'!V445,1),3)</f>
        <v>0</v>
      </c>
      <c r="N445" s="10">
        <f>ROUND(ABS('2. Demand History'!W445-IF($D445="Yes",'2. Demand History'!K445,AVERAGE('2. Demand History'!T445:V445)))/MAX('2. Demand History'!W445,1),3)</f>
        <v>0.25</v>
      </c>
      <c r="O445" s="10">
        <f>ROUND(ABS('2. Demand History'!X445-IF($D445="Yes",'2. Demand History'!L445,AVERAGE('2. Demand History'!U445:W445)))/MAX('2. Demand History'!X445,1),3)</f>
        <v>0.2</v>
      </c>
      <c r="P445" s="10">
        <f>ROUND(ABS('2. Demand History'!Y445-IF($D445="Yes",'2. Demand History'!M445,AVERAGE('2. Demand History'!V445:X445)))/MAX('2. Demand History'!Y445,1),3)</f>
        <v>0.2</v>
      </c>
      <c r="Q445" s="10">
        <f>ROUND(ABS('2. Demand History'!Z445-IF($D445="Yes",'2. Demand History'!N445,AVERAGE('2. Demand History'!W445:Y445)))/MAX('2. Demand History'!Z445,1),3)</f>
        <v>0.33300000000000002</v>
      </c>
    </row>
    <row r="446" spans="1:17" ht="15" customHeight="1" x14ac:dyDescent="0.2">
      <c r="A446" s="3" t="str">
        <f>'2. Demand History'!A446</f>
        <v>NT10442</v>
      </c>
      <c r="B446" s="1" t="str">
        <f>'2. Demand History'!B446</f>
        <v>DrawPad 251 12in</v>
      </c>
      <c r="C446" s="3" t="str">
        <f>'1. Master Data'!C446</f>
        <v>Tablets</v>
      </c>
      <c r="D446" s="3" t="s">
        <v>1111</v>
      </c>
      <c r="E446" s="3" t="str">
        <f t="shared" si="18"/>
        <v>Seasonal Naive</v>
      </c>
      <c r="F446" s="3">
        <f>ROUND(AVERAGE('2. Demand History'!O446:Z446),1)</f>
        <v>21</v>
      </c>
      <c r="G446" s="3">
        <f>ROUND(STDEV('2. Demand History'!O446:Z446),1)</f>
        <v>5.6</v>
      </c>
      <c r="H446" s="8">
        <f t="shared" si="19"/>
        <v>0.27</v>
      </c>
      <c r="I446" s="8">
        <f>ROUND(SUM('2. Demand History'!O446:Z446)/MAX(SUM('2. Demand History'!C446:N446),1),2)</f>
        <v>1.07</v>
      </c>
      <c r="J446" s="5">
        <f>IF(D446="Yes",ROUND('2. Demand History'!O446*I446,0),ROUND(AVERAGE('2. Demand History'!X446:Z446),0))</f>
        <v>19</v>
      </c>
      <c r="K446" s="9">
        <f t="shared" si="20"/>
        <v>0.13100000000000001</v>
      </c>
      <c r="L446" s="10">
        <f>ROUND(ABS('2. Demand History'!U446-IF($D446="Yes",'2. Demand History'!I446,AVERAGE('2. Demand History'!R446:T446)))/MAX('2. Demand History'!U446,1),3)</f>
        <v>0.17599999999999999</v>
      </c>
      <c r="M446" s="10">
        <f>ROUND(ABS('2. Demand History'!V446-IF($D446="Yes",'2. Demand History'!J446,AVERAGE('2. Demand History'!S446:U446)))/MAX('2. Demand History'!V446,1),3)</f>
        <v>6.7000000000000004E-2</v>
      </c>
      <c r="N446" s="10">
        <f>ROUND(ABS('2. Demand History'!W446-IF($D446="Yes",'2. Demand History'!K446,AVERAGE('2. Demand History'!T446:V446)))/MAX('2. Demand History'!W446,1),3)</f>
        <v>5.6000000000000001E-2</v>
      </c>
      <c r="O446" s="10">
        <f>ROUND(ABS('2. Demand History'!X446-IF($D446="Yes",'2. Demand History'!L446,AVERAGE('2. Demand History'!U446:W446)))/MAX('2. Demand History'!X446,1),3)</f>
        <v>5.2999999999999999E-2</v>
      </c>
      <c r="P446" s="10">
        <f>ROUND(ABS('2. Demand History'!Y446-IF($D446="Yes",'2. Demand History'!M446,AVERAGE('2. Demand History'!V446:X446)))/MAX('2. Demand History'!Y446,1),3)</f>
        <v>0.25</v>
      </c>
      <c r="Q446" s="10">
        <f>ROUND(ABS('2. Demand History'!Z446-IF($D446="Yes",'2. Demand History'!N446,AVERAGE('2. Demand History'!W446:Y446)))/MAX('2. Demand History'!Z446,1),3)</f>
        <v>0.182</v>
      </c>
    </row>
    <row r="447" spans="1:17" ht="15" customHeight="1" x14ac:dyDescent="0.2">
      <c r="A447" s="3" t="str">
        <f>'2. Demand History'!A447</f>
        <v>NT10443</v>
      </c>
      <c r="B447" s="1" t="str">
        <f>'2. Demand History'!B447</f>
        <v>NovaTab 846 Kids</v>
      </c>
      <c r="C447" s="3" t="str">
        <f>'1. Master Data'!C447</f>
        <v>Tablets</v>
      </c>
      <c r="D447" s="3" t="s">
        <v>1111</v>
      </c>
      <c r="E447" s="3" t="str">
        <f t="shared" si="18"/>
        <v>Seasonal Naive</v>
      </c>
      <c r="F447" s="3">
        <f>ROUND(AVERAGE('2. Demand History'!O447:Z447),1)</f>
        <v>21</v>
      </c>
      <c r="G447" s="3">
        <f>ROUND(STDEV('2. Demand History'!O447:Z447),1)</f>
        <v>6.2</v>
      </c>
      <c r="H447" s="8">
        <f t="shared" si="19"/>
        <v>0.3</v>
      </c>
      <c r="I447" s="8">
        <f>ROUND(SUM('2. Demand History'!O447:Z447)/MAX(SUM('2. Demand History'!C447:N447),1),2)</f>
        <v>1.0900000000000001</v>
      </c>
      <c r="J447" s="5">
        <f>IF(D447="Yes",ROUND('2. Demand History'!O447*I447,0),ROUND(AVERAGE('2. Demand History'!X447:Z447),0))</f>
        <v>22</v>
      </c>
      <c r="K447" s="9">
        <f t="shared" si="20"/>
        <v>0.10199999999999999</v>
      </c>
      <c r="L447" s="10">
        <f>ROUND(ABS('2. Demand History'!U447-IF($D447="Yes",'2. Demand History'!I447,AVERAGE('2. Demand History'!R447:T447)))/MAX('2. Demand History'!U447,1),3)</f>
        <v>0.108</v>
      </c>
      <c r="M447" s="10">
        <f>ROUND(ABS('2. Demand History'!V447-IF($D447="Yes",'2. Demand History'!J447,AVERAGE('2. Demand History'!S447:U447)))/MAX('2. Demand History'!V447,1),3)</f>
        <v>0</v>
      </c>
      <c r="N447" s="10">
        <f>ROUND(ABS('2. Demand History'!W447-IF($D447="Yes",'2. Demand History'!K447,AVERAGE('2. Demand History'!T447:V447)))/MAX('2. Demand History'!W447,1),3)</f>
        <v>0.17599999999999999</v>
      </c>
      <c r="O447" s="10">
        <f>ROUND(ABS('2. Demand History'!X447-IF($D447="Yes",'2. Demand History'!L447,AVERAGE('2. Demand History'!U447:W447)))/MAX('2. Demand History'!X447,1),3)</f>
        <v>0</v>
      </c>
      <c r="P447" s="10">
        <f>ROUND(ABS('2. Demand History'!Y447-IF($D447="Yes",'2. Demand History'!M447,AVERAGE('2. Demand History'!V447:X447)))/MAX('2. Demand History'!Y447,1),3)</f>
        <v>0.158</v>
      </c>
      <c r="Q447" s="10">
        <f>ROUND(ABS('2. Demand History'!Z447-IF($D447="Yes",'2. Demand History'!N447,AVERAGE('2. Demand History'!W447:Y447)))/MAX('2. Demand History'!Z447,1),3)</f>
        <v>0.16700000000000001</v>
      </c>
    </row>
    <row r="448" spans="1:17" ht="15" customHeight="1" x14ac:dyDescent="0.2">
      <c r="A448" s="3" t="str">
        <f>'2. Demand History'!A448</f>
        <v>NT10444</v>
      </c>
      <c r="B448" s="1" t="str">
        <f>'2. Demand History'!B448</f>
        <v>NovaTab 111 10in</v>
      </c>
      <c r="C448" s="3" t="str">
        <f>'1. Master Data'!C448</f>
        <v>Tablets</v>
      </c>
      <c r="D448" s="3" t="s">
        <v>1111</v>
      </c>
      <c r="E448" s="3" t="str">
        <f t="shared" si="18"/>
        <v>Seasonal Naive</v>
      </c>
      <c r="F448" s="3">
        <f>ROUND(AVERAGE('2. Demand History'!O448:Z448),1)</f>
        <v>6.7</v>
      </c>
      <c r="G448" s="3">
        <f>ROUND(STDEV('2. Demand History'!O448:Z448),1)</f>
        <v>6.4</v>
      </c>
      <c r="H448" s="8">
        <f t="shared" si="19"/>
        <v>0.96</v>
      </c>
      <c r="I448" s="8">
        <f>ROUND(SUM('2. Demand History'!O448:Z448)/MAX(SUM('2. Demand History'!C448:N448),1),2)</f>
        <v>1.7</v>
      </c>
      <c r="J448" s="5">
        <f>IF(D448="Yes",ROUND('2. Demand History'!O448*I448,0),ROUND(AVERAGE('2. Demand History'!X448:Z448),0))</f>
        <v>3</v>
      </c>
      <c r="K448" s="9">
        <f t="shared" si="20"/>
        <v>0.89500000000000002</v>
      </c>
      <c r="L448" s="10">
        <f>ROUND(ABS('2. Demand History'!U448-IF($D448="Yes",'2. Demand History'!I448,AVERAGE('2. Demand History'!R448:T448)))/MAX('2. Demand History'!U448,1),3)</f>
        <v>0.78900000000000003</v>
      </c>
      <c r="M448" s="10">
        <f>ROUND(ABS('2. Demand History'!V448-IF($D448="Yes",'2. Demand History'!J448,AVERAGE('2. Demand History'!S448:U448)))/MAX('2. Demand History'!V448,1),3)</f>
        <v>2.75</v>
      </c>
      <c r="N448" s="10">
        <f>ROUND(ABS('2. Demand History'!W448-IF($D448="Yes",'2. Demand History'!K448,AVERAGE('2. Demand History'!T448:V448)))/MAX('2. Demand History'!W448,1),3)</f>
        <v>0.5</v>
      </c>
      <c r="O448" s="10">
        <f>ROUND(ABS('2. Demand History'!X448-IF($D448="Yes",'2. Demand History'!L448,AVERAGE('2. Demand History'!U448:W448)))/MAX('2. Demand History'!X448,1),3)</f>
        <v>0.33300000000000002</v>
      </c>
      <c r="P448" s="10">
        <f>ROUND(ABS('2. Demand History'!Y448-IF($D448="Yes",'2. Demand History'!M448,AVERAGE('2. Demand History'!V448:X448)))/MAX('2. Demand History'!Y448,1),3)</f>
        <v>0.5</v>
      </c>
      <c r="Q448" s="10">
        <f>ROUND(ABS('2. Demand History'!Z448-IF($D448="Yes",'2. Demand History'!N448,AVERAGE('2. Demand History'!W448:Y448)))/MAX('2. Demand History'!Z448,1),3)</f>
        <v>0.5</v>
      </c>
    </row>
    <row r="449" spans="1:17" ht="15" customHeight="1" x14ac:dyDescent="0.2">
      <c r="A449" s="3" t="str">
        <f>'2. Demand History'!A449</f>
        <v>NT10445</v>
      </c>
      <c r="B449" s="1" t="str">
        <f>'2. Demand History'!B449</f>
        <v>DrawPad 495 12in</v>
      </c>
      <c r="C449" s="3" t="str">
        <f>'1. Master Data'!C449</f>
        <v>Tablets</v>
      </c>
      <c r="D449" s="3" t="s">
        <v>1111</v>
      </c>
      <c r="E449" s="3" t="str">
        <f t="shared" si="18"/>
        <v>Seasonal Naive</v>
      </c>
      <c r="F449" s="3">
        <f>ROUND(AVERAGE('2. Demand History'!O449:Z449),1)</f>
        <v>97.3</v>
      </c>
      <c r="G449" s="3">
        <f>ROUND(STDEV('2. Demand History'!O449:Z449),1)</f>
        <v>30</v>
      </c>
      <c r="H449" s="8">
        <f t="shared" si="19"/>
        <v>0.31</v>
      </c>
      <c r="I449" s="8">
        <f>ROUND(SUM('2. Demand History'!O449:Z449)/MAX(SUM('2. Demand History'!C449:N449),1),2)</f>
        <v>1.1200000000000001</v>
      </c>
      <c r="J449" s="5">
        <f>IF(D449="Yes",ROUND('2. Demand History'!O449*I449,0),ROUND(AVERAGE('2. Demand History'!X449:Z449),0))</f>
        <v>87</v>
      </c>
      <c r="K449" s="9">
        <f t="shared" si="20"/>
        <v>0.17299999999999999</v>
      </c>
      <c r="L449" s="10">
        <f>ROUND(ABS('2. Demand History'!U449-IF($D449="Yes",'2. Demand History'!I449,AVERAGE('2. Demand History'!R449:T449)))/MAX('2. Demand History'!U449,1),3)</f>
        <v>0.215</v>
      </c>
      <c r="M449" s="10">
        <f>ROUND(ABS('2. Demand History'!V449-IF($D449="Yes",'2. Demand History'!J449,AVERAGE('2. Demand History'!S449:U449)))/MAX('2. Demand History'!V449,1),3)</f>
        <v>0.23699999999999999</v>
      </c>
      <c r="N449" s="10">
        <f>ROUND(ABS('2. Demand History'!W449-IF($D449="Yes",'2. Demand History'!K449,AVERAGE('2. Demand History'!T449:V449)))/MAX('2. Demand History'!W449,1),3)</f>
        <v>0.13600000000000001</v>
      </c>
      <c r="O449" s="10">
        <f>ROUND(ABS('2. Demand History'!X449-IF($D449="Yes",'2. Demand History'!L449,AVERAGE('2. Demand History'!U449:W449)))/MAX('2. Demand History'!X449,1),3)</f>
        <v>8.7999999999999995E-2</v>
      </c>
      <c r="P449" s="10">
        <f>ROUND(ABS('2. Demand History'!Y449-IF($D449="Yes",'2. Demand History'!M449,AVERAGE('2. Demand History'!V449:X449)))/MAX('2. Demand History'!Y449,1),3)</f>
        <v>0</v>
      </c>
      <c r="Q449" s="10">
        <f>ROUND(ABS('2. Demand History'!Z449-IF($D449="Yes",'2. Demand History'!N449,AVERAGE('2. Demand History'!W449:Y449)))/MAX('2. Demand History'!Z449,1),3)</f>
        <v>0.36</v>
      </c>
    </row>
    <row r="450" spans="1:17" ht="15" customHeight="1" x14ac:dyDescent="0.2">
      <c r="A450" s="3" t="str">
        <f>'2. Demand History'!A450</f>
        <v>NT10446</v>
      </c>
      <c r="B450" s="1" t="str">
        <f>'2. Demand History'!B450</f>
        <v>NovaTab 935 Kids</v>
      </c>
      <c r="C450" s="3" t="str">
        <f>'1. Master Data'!C450</f>
        <v>Tablets</v>
      </c>
      <c r="D450" s="3" t="s">
        <v>1111</v>
      </c>
      <c r="E450" s="3" t="str">
        <f t="shared" si="18"/>
        <v>Seasonal Naive</v>
      </c>
      <c r="F450" s="3">
        <f>ROUND(AVERAGE('2. Demand History'!O450:Z450),1)</f>
        <v>85.9</v>
      </c>
      <c r="G450" s="3">
        <f>ROUND(STDEV('2. Demand History'!O450:Z450),1)</f>
        <v>26</v>
      </c>
      <c r="H450" s="8">
        <f t="shared" si="19"/>
        <v>0.3</v>
      </c>
      <c r="I450" s="8">
        <f>ROUND(SUM('2. Demand History'!O450:Z450)/MAX(SUM('2. Demand History'!C450:N450),1),2)</f>
        <v>1.04</v>
      </c>
      <c r="J450" s="5">
        <f>IF(D450="Yes",ROUND('2. Demand History'!O450*I450,0),ROUND(AVERAGE('2. Demand History'!X450:Z450),0))</f>
        <v>81</v>
      </c>
      <c r="K450" s="9">
        <f t="shared" si="20"/>
        <v>9.8000000000000004E-2</v>
      </c>
      <c r="L450" s="10">
        <f>ROUND(ABS('2. Demand History'!U450-IF($D450="Yes",'2. Demand History'!I450,AVERAGE('2. Demand History'!R450:T450)))/MAX('2. Demand History'!U450,1),3)</f>
        <v>2.5000000000000001E-2</v>
      </c>
      <c r="M450" s="10">
        <f>ROUND(ABS('2. Demand History'!V450-IF($D450="Yes",'2. Demand History'!J450,AVERAGE('2. Demand History'!S450:U450)))/MAX('2. Demand History'!V450,1),3)</f>
        <v>0.154</v>
      </c>
      <c r="N450" s="10">
        <f>ROUND(ABS('2. Demand History'!W450-IF($D450="Yes",'2. Demand History'!K450,AVERAGE('2. Demand History'!T450:V450)))/MAX('2. Demand History'!W450,1),3)</f>
        <v>0.107</v>
      </c>
      <c r="O450" s="10">
        <f>ROUND(ABS('2. Demand History'!X450-IF($D450="Yes",'2. Demand History'!L450,AVERAGE('2. Demand History'!U450:W450)))/MAX('2. Demand History'!X450,1),3)</f>
        <v>6.7000000000000004E-2</v>
      </c>
      <c r="P450" s="10">
        <f>ROUND(ABS('2. Demand History'!Y450-IF($D450="Yes",'2. Demand History'!M450,AVERAGE('2. Demand History'!V450:X450)))/MAX('2. Demand History'!Y450,1),3)</f>
        <v>0.125</v>
      </c>
      <c r="Q450" s="10">
        <f>ROUND(ABS('2. Demand History'!Z450-IF($D450="Yes",'2. Demand History'!N450,AVERAGE('2. Demand History'!W450:Y450)))/MAX('2. Demand History'!Z450,1),3)</f>
        <v>0.107</v>
      </c>
    </row>
    <row r="451" spans="1:17" ht="15" customHeight="1" x14ac:dyDescent="0.2">
      <c r="A451" s="3" t="str">
        <f>'2. Demand History'!A451</f>
        <v>NT10447</v>
      </c>
      <c r="B451" s="1" t="str">
        <f>'2. Demand History'!B451</f>
        <v>DrawPad 840 12in</v>
      </c>
      <c r="C451" s="3" t="str">
        <f>'1. Master Data'!C451</f>
        <v>Tablets</v>
      </c>
      <c r="D451" s="3" t="s">
        <v>1111</v>
      </c>
      <c r="E451" s="3" t="str">
        <f t="shared" si="18"/>
        <v>Seasonal Naive</v>
      </c>
      <c r="F451" s="3">
        <f>ROUND(AVERAGE('2. Demand History'!O451:Z451),1)</f>
        <v>174.3</v>
      </c>
      <c r="G451" s="3">
        <f>ROUND(STDEV('2. Demand History'!O451:Z451),1)</f>
        <v>52.4</v>
      </c>
      <c r="H451" s="8">
        <f t="shared" si="19"/>
        <v>0.3</v>
      </c>
      <c r="I451" s="8">
        <f>ROUND(SUM('2. Demand History'!O451:Z451)/MAX(SUM('2. Demand History'!C451:N451),1),2)</f>
        <v>1.04</v>
      </c>
      <c r="J451" s="5">
        <f>IF(D451="Yes",ROUND('2. Demand History'!O451*I451,0),ROUND(AVERAGE('2. Demand History'!X451:Z451),0))</f>
        <v>171</v>
      </c>
      <c r="K451" s="9">
        <f t="shared" si="20"/>
        <v>0.11899999999999999</v>
      </c>
      <c r="L451" s="10">
        <f>ROUND(ABS('2. Demand History'!U451-IF($D451="Yes",'2. Demand History'!I451,AVERAGE('2. Demand History'!R451:T451)))/MAX('2. Demand History'!U451,1),3)</f>
        <v>4.4999999999999998E-2</v>
      </c>
      <c r="M451" s="10">
        <f>ROUND(ABS('2. Demand History'!V451-IF($D451="Yes",'2. Demand History'!J451,AVERAGE('2. Demand History'!S451:U451)))/MAX('2. Demand History'!V451,1),3)</f>
        <v>0.18099999999999999</v>
      </c>
      <c r="N451" s="10">
        <f>ROUND(ABS('2. Demand History'!W451-IF($D451="Yes",'2. Demand History'!K451,AVERAGE('2. Demand History'!T451:V451)))/MAX('2. Demand History'!W451,1),3)</f>
        <v>0.33</v>
      </c>
      <c r="O451" s="10">
        <f>ROUND(ABS('2. Demand History'!X451-IF($D451="Yes",'2. Demand History'!L451,AVERAGE('2. Demand History'!U451:W451)))/MAX('2. Demand History'!X451,1),3)</f>
        <v>8.2000000000000003E-2</v>
      </c>
      <c r="P451" s="10">
        <f>ROUND(ABS('2. Demand History'!Y451-IF($D451="Yes",'2. Demand History'!M451,AVERAGE('2. Demand History'!V451:X451)))/MAX('2. Demand History'!Y451,1),3)</f>
        <v>6.0000000000000001E-3</v>
      </c>
      <c r="Q451" s="10">
        <f>ROUND(ABS('2. Demand History'!Z451-IF($D451="Yes",'2. Demand History'!N451,AVERAGE('2. Demand History'!W451:Y451)))/MAX('2. Demand History'!Z451,1),3)</f>
        <v>7.1999999999999995E-2</v>
      </c>
    </row>
    <row r="452" spans="1:17" ht="15" customHeight="1" x14ac:dyDescent="0.2">
      <c r="A452" s="3" t="str">
        <f>'2. Demand History'!A452</f>
        <v>NT10448</v>
      </c>
      <c r="B452" s="1" t="str">
        <f>'2. Demand History'!B452</f>
        <v>NovaTab 743 10in</v>
      </c>
      <c r="C452" s="3" t="str">
        <f>'1. Master Data'!C452</f>
        <v>Tablets</v>
      </c>
      <c r="D452" s="3" t="s">
        <v>1111</v>
      </c>
      <c r="E452" s="3" t="str">
        <f t="shared" si="18"/>
        <v>Seasonal Naive</v>
      </c>
      <c r="F452" s="3">
        <f>ROUND(AVERAGE('2. Demand History'!O452:Z452),1)</f>
        <v>11.3</v>
      </c>
      <c r="G452" s="3">
        <f>ROUND(STDEV('2. Demand History'!O452:Z452),1)</f>
        <v>3.3</v>
      </c>
      <c r="H452" s="8">
        <f t="shared" si="19"/>
        <v>0.28999999999999998</v>
      </c>
      <c r="I452" s="8">
        <f>ROUND(SUM('2. Demand History'!O452:Z452)/MAX(SUM('2. Demand History'!C452:N452),1),2)</f>
        <v>1.02</v>
      </c>
      <c r="J452" s="5">
        <f>IF(D452="Yes",ROUND('2. Demand History'!O452*I452,0),ROUND(AVERAGE('2. Demand History'!X452:Z452),0))</f>
        <v>10</v>
      </c>
      <c r="K452" s="9">
        <f t="shared" si="20"/>
        <v>0.12</v>
      </c>
      <c r="L452" s="10">
        <f>ROUND(ABS('2. Demand History'!U452-IF($D452="Yes",'2. Demand History'!I452,AVERAGE('2. Demand History'!R452:T452)))/MAX('2. Demand History'!U452,1),3)</f>
        <v>0.16700000000000001</v>
      </c>
      <c r="M452" s="10">
        <f>ROUND(ABS('2. Demand History'!V452-IF($D452="Yes",'2. Demand History'!J452,AVERAGE('2. Demand History'!S452:U452)))/MAX('2. Demand History'!V452,1),3)</f>
        <v>0.222</v>
      </c>
      <c r="N452" s="10">
        <f>ROUND(ABS('2. Demand History'!W452-IF($D452="Yes",'2. Demand History'!K452,AVERAGE('2. Demand History'!T452:V452)))/MAX('2. Demand History'!W452,1),3)</f>
        <v>0.111</v>
      </c>
      <c r="O452" s="10">
        <f>ROUND(ABS('2. Demand History'!X452-IF($D452="Yes",'2. Demand History'!L452,AVERAGE('2. Demand History'!U452:W452)))/MAX('2. Demand History'!X452,1),3)</f>
        <v>0.111</v>
      </c>
      <c r="P452" s="10">
        <f>ROUND(ABS('2. Demand History'!Y452-IF($D452="Yes",'2. Demand History'!M452,AVERAGE('2. Demand History'!V452:X452)))/MAX('2. Demand History'!Y452,1),3)</f>
        <v>0.111</v>
      </c>
      <c r="Q452" s="10">
        <f>ROUND(ABS('2. Demand History'!Z452-IF($D452="Yes",'2. Demand History'!N452,AVERAGE('2. Demand History'!W452:Y452)))/MAX('2. Demand History'!Z452,1),3)</f>
        <v>0</v>
      </c>
    </row>
    <row r="453" spans="1:17" ht="15" customHeight="1" x14ac:dyDescent="0.2">
      <c r="A453" s="3" t="str">
        <f>'2. Demand History'!A453</f>
        <v>NT10449</v>
      </c>
      <c r="B453" s="1" t="str">
        <f>'2. Demand History'!B453</f>
        <v>NovaTab 443 Kids</v>
      </c>
      <c r="C453" s="3" t="str">
        <f>'1. Master Data'!C453</f>
        <v>Tablets</v>
      </c>
      <c r="D453" s="3" t="s">
        <v>1111</v>
      </c>
      <c r="E453" s="3" t="str">
        <f t="shared" ref="E453:E504" si="21">IF(D453="Yes","Seasonal Naive","Moving Avg 3")</f>
        <v>Seasonal Naive</v>
      </c>
      <c r="F453" s="3">
        <f>ROUND(AVERAGE('2. Demand History'!O453:Z453),1)</f>
        <v>168</v>
      </c>
      <c r="G453" s="3">
        <f>ROUND(STDEV('2. Demand History'!O453:Z453),1)</f>
        <v>55.3</v>
      </c>
      <c r="H453" s="8">
        <f t="shared" ref="H453:H504" si="22">IF(F453=0,0,ROUND(G453/F453,2))</f>
        <v>0.33</v>
      </c>
      <c r="I453" s="8">
        <f>ROUND(SUM('2. Demand History'!O453:Z453)/MAX(SUM('2. Demand History'!C453:N453),1),2)</f>
        <v>1.08</v>
      </c>
      <c r="J453" s="5">
        <f>IF(D453="Yes",ROUND('2. Demand History'!O453*I453,0),ROUND(AVERAGE('2. Demand History'!X453:Z453),0))</f>
        <v>151</v>
      </c>
      <c r="K453" s="9">
        <f t="shared" ref="K453:K504" si="23">ROUND(AVERAGE(L453:Q453),3)</f>
        <v>6.8000000000000005E-2</v>
      </c>
      <c r="L453" s="10">
        <f>ROUND(ABS('2. Demand History'!U453-IF($D453="Yes",'2. Demand History'!I453,AVERAGE('2. Demand History'!R453:T453)))/MAX('2. Demand History'!U453,1),3)</f>
        <v>0.09</v>
      </c>
      <c r="M453" s="10">
        <f>ROUND(ABS('2. Demand History'!V453-IF($D453="Yes",'2. Demand History'!J453,AVERAGE('2. Demand History'!S453:U453)))/MAX('2. Demand History'!V453,1),3)</f>
        <v>0</v>
      </c>
      <c r="N453" s="10">
        <f>ROUND(ABS('2. Demand History'!W453-IF($D453="Yes",'2. Demand History'!K453,AVERAGE('2. Demand History'!T453:V453)))/MAX('2. Demand History'!W453,1),3)</f>
        <v>1.6E-2</v>
      </c>
      <c r="O453" s="10">
        <f>ROUND(ABS('2. Demand History'!X453-IF($D453="Yes",'2. Demand History'!L453,AVERAGE('2. Demand History'!U453:W453)))/MAX('2. Demand History'!X453,1),3)</f>
        <v>7.6999999999999999E-2</v>
      </c>
      <c r="P453" s="10">
        <f>ROUND(ABS('2. Demand History'!Y453-IF($D453="Yes",'2. Demand History'!M453,AVERAGE('2. Demand History'!V453:X453)))/MAX('2. Demand History'!Y453,1),3)</f>
        <v>7.0000000000000007E-2</v>
      </c>
      <c r="Q453" s="10">
        <f>ROUND(ABS('2. Demand History'!Z453-IF($D453="Yes",'2. Demand History'!N453,AVERAGE('2. Demand History'!W453:Y453)))/MAX('2. Demand History'!Z453,1),3)</f>
        <v>0.155</v>
      </c>
    </row>
    <row r="454" spans="1:17" ht="15" customHeight="1" x14ac:dyDescent="0.2">
      <c r="A454" s="3" t="str">
        <f>'2. Demand History'!A454</f>
        <v>NT10450</v>
      </c>
      <c r="B454" s="1" t="str">
        <f>'2. Demand History'!B454</f>
        <v>DrawPad 744 12in</v>
      </c>
      <c r="C454" s="3" t="str">
        <f>'1. Master Data'!C454</f>
        <v>Tablets</v>
      </c>
      <c r="D454" s="3" t="s">
        <v>1111</v>
      </c>
      <c r="E454" s="3" t="str">
        <f t="shared" si="21"/>
        <v>Seasonal Naive</v>
      </c>
      <c r="F454" s="3">
        <f>ROUND(AVERAGE('2. Demand History'!O454:Z454),1)</f>
        <v>79</v>
      </c>
      <c r="G454" s="3">
        <f>ROUND(STDEV('2. Demand History'!O454:Z454),1)</f>
        <v>25</v>
      </c>
      <c r="H454" s="8">
        <f t="shared" si="22"/>
        <v>0.32</v>
      </c>
      <c r="I454" s="8">
        <f>ROUND(SUM('2. Demand History'!O454:Z454)/MAX(SUM('2. Demand History'!C454:N454),1),2)</f>
        <v>1.08</v>
      </c>
      <c r="J454" s="5">
        <f>IF(D454="Yes",ROUND('2. Demand History'!O454*I454,0),ROUND(AVERAGE('2. Demand History'!X454:Z454),0))</f>
        <v>77</v>
      </c>
      <c r="K454" s="9">
        <f t="shared" si="23"/>
        <v>9.4E-2</v>
      </c>
      <c r="L454" s="10">
        <f>ROUND(ABS('2. Demand History'!U454-IF($D454="Yes",'2. Demand History'!I454,AVERAGE('2. Demand History'!R454:T454)))/MAX('2. Demand History'!U454,1),3)</f>
        <v>0.16</v>
      </c>
      <c r="M454" s="10">
        <f>ROUND(ABS('2. Demand History'!V454-IF($D454="Yes",'2. Demand History'!J454,AVERAGE('2. Demand History'!S454:U454)))/MAX('2. Demand History'!V454,1),3)</f>
        <v>3.7999999999999999E-2</v>
      </c>
      <c r="N454" s="10">
        <f>ROUND(ABS('2. Demand History'!W454-IF($D454="Yes",'2. Demand History'!K454,AVERAGE('2. Demand History'!T454:V454)))/MAX('2. Demand History'!W454,1),3)</f>
        <v>0.06</v>
      </c>
      <c r="O454" s="10">
        <f>ROUND(ABS('2. Demand History'!X454-IF($D454="Yes",'2. Demand History'!L454,AVERAGE('2. Demand History'!U454:W454)))/MAX('2. Demand History'!X454,1),3)</f>
        <v>2.8000000000000001E-2</v>
      </c>
      <c r="P454" s="10">
        <f>ROUND(ABS('2. Demand History'!Y454-IF($D454="Yes",'2. Demand History'!M454,AVERAGE('2. Demand History'!V454:X454)))/MAX('2. Demand History'!Y454,1),3)</f>
        <v>7.1999999999999995E-2</v>
      </c>
      <c r="Q454" s="10">
        <f>ROUND(ABS('2. Demand History'!Z454-IF($D454="Yes",'2. Demand History'!N454,AVERAGE('2. Demand History'!W454:Y454)))/MAX('2. Demand History'!Z454,1),3)</f>
        <v>0.20699999999999999</v>
      </c>
    </row>
    <row r="455" spans="1:17" ht="15" customHeight="1" x14ac:dyDescent="0.2">
      <c r="A455" s="3" t="str">
        <f>'2. Demand History'!A455</f>
        <v>NT10451</v>
      </c>
      <c r="B455" s="1" t="str">
        <f>'2. Demand History'!B455</f>
        <v>Car Mount V755</v>
      </c>
      <c r="C455" s="3" t="str">
        <f>'1. Master Data'!C455</f>
        <v>Accessories</v>
      </c>
      <c r="D455" s="3" t="s">
        <v>1112</v>
      </c>
      <c r="E455" s="3" t="str">
        <f t="shared" si="21"/>
        <v>Moving Avg 3</v>
      </c>
      <c r="F455" s="3">
        <f>ROUND(AVERAGE('2. Demand History'!O455:Z455),1)</f>
        <v>331.3</v>
      </c>
      <c r="G455" s="3">
        <f>ROUND(STDEV('2. Demand History'!O455:Z455),1)</f>
        <v>18.7</v>
      </c>
      <c r="H455" s="8">
        <f t="shared" si="22"/>
        <v>0.06</v>
      </c>
      <c r="I455" s="8">
        <f>ROUND(SUM('2. Demand History'!O455:Z455)/MAX(SUM('2. Demand History'!C455:N455),1),2)</f>
        <v>1.08</v>
      </c>
      <c r="J455" s="5">
        <f>IF(D455="Yes",ROUND('2. Demand History'!O455*I455,0),ROUND(AVERAGE('2. Demand History'!X455:Z455),0))</f>
        <v>353</v>
      </c>
      <c r="K455" s="9">
        <f t="shared" si="23"/>
        <v>0.05</v>
      </c>
      <c r="L455" s="10">
        <f>ROUND(ABS('2. Demand History'!U455-IF($D455="Yes",'2. Demand History'!I455,AVERAGE('2. Demand History'!R455:T455)))/MAX('2. Demand History'!U455,1),3)</f>
        <v>5.0999999999999997E-2</v>
      </c>
      <c r="M455" s="10">
        <f>ROUND(ABS('2. Demand History'!V455-IF($D455="Yes",'2. Demand History'!J455,AVERAGE('2. Demand History'!S455:U455)))/MAX('2. Demand History'!V455,1),3)</f>
        <v>7.2999999999999995E-2</v>
      </c>
      <c r="N455" s="10">
        <f>ROUND(ABS('2. Demand History'!W455-IF($D455="Yes",'2. Demand History'!K455,AVERAGE('2. Demand History'!T455:V455)))/MAX('2. Demand History'!W455,1),3)</f>
        <v>6.0999999999999999E-2</v>
      </c>
      <c r="O455" s="10">
        <f>ROUND(ABS('2. Demand History'!X455-IF($D455="Yes",'2. Demand History'!L455,AVERAGE('2. Demand History'!U455:W455)))/MAX('2. Demand History'!X455,1),3)</f>
        <v>7.0999999999999994E-2</v>
      </c>
      <c r="P455" s="10">
        <f>ROUND(ABS('2. Demand History'!Y455-IF($D455="Yes",'2. Demand History'!M455,AVERAGE('2. Demand History'!V455:X455)))/MAX('2. Demand History'!Y455,1),3)</f>
        <v>1.2999999999999999E-2</v>
      </c>
      <c r="Q455" s="10">
        <f>ROUND(ABS('2. Demand History'!Z455-IF($D455="Yes",'2. Demand History'!N455,AVERAGE('2. Demand History'!W455:Y455)))/MAX('2. Demand History'!Z455,1),3)</f>
        <v>3.1E-2</v>
      </c>
    </row>
    <row r="456" spans="1:17" ht="15" customHeight="1" x14ac:dyDescent="0.2">
      <c r="A456" s="3" t="str">
        <f>'2. Demand History'!A456</f>
        <v>NT10452</v>
      </c>
      <c r="B456" s="1" t="str">
        <f>'2. Demand History'!B456</f>
        <v>Phone Case Clear V585</v>
      </c>
      <c r="C456" s="3" t="str">
        <f>'1. Master Data'!C456</f>
        <v>Accessories</v>
      </c>
      <c r="D456" s="3" t="s">
        <v>1112</v>
      </c>
      <c r="E456" s="3" t="str">
        <f t="shared" si="21"/>
        <v>Moving Avg 3</v>
      </c>
      <c r="F456" s="3">
        <f>ROUND(AVERAGE('2. Demand History'!O456:Z456),1)</f>
        <v>575.29999999999995</v>
      </c>
      <c r="G456" s="3">
        <f>ROUND(STDEV('2. Demand History'!O456:Z456),1)</f>
        <v>41</v>
      </c>
      <c r="H456" s="8">
        <f t="shared" si="22"/>
        <v>7.0000000000000007E-2</v>
      </c>
      <c r="I456" s="8">
        <f>ROUND(SUM('2. Demand History'!O456:Z456)/MAX(SUM('2. Demand History'!C456:N456),1),2)</f>
        <v>1.04</v>
      </c>
      <c r="J456" s="5">
        <f>IF(D456="Yes",ROUND('2. Demand History'!O456*I456,0),ROUND(AVERAGE('2. Demand History'!X456:Z456),0))</f>
        <v>613</v>
      </c>
      <c r="K456" s="9">
        <f t="shared" si="23"/>
        <v>4.3999999999999997E-2</v>
      </c>
      <c r="L456" s="10">
        <f>ROUND(ABS('2. Demand History'!U456-IF($D456="Yes",'2. Demand History'!I456,AVERAGE('2. Demand History'!R456:T456)))/MAX('2. Demand History'!U456,1),3)</f>
        <v>4.3999999999999997E-2</v>
      </c>
      <c r="M456" s="10">
        <f>ROUND(ABS('2. Demand History'!V456-IF($D456="Yes",'2. Demand History'!J456,AVERAGE('2. Demand History'!S456:U456)))/MAX('2. Demand History'!V456,1),3)</f>
        <v>2.4E-2</v>
      </c>
      <c r="N456" s="10">
        <f>ROUND(ABS('2. Demand History'!W456-IF($D456="Yes",'2. Demand History'!K456,AVERAGE('2. Demand History'!T456:V456)))/MAX('2. Demand History'!W456,1),3)</f>
        <v>5.2999999999999999E-2</v>
      </c>
      <c r="O456" s="10">
        <f>ROUND(ABS('2. Demand History'!X456-IF($D456="Yes",'2. Demand History'!L456,AVERAGE('2. Demand History'!U456:W456)))/MAX('2. Demand History'!X456,1),3)</f>
        <v>4.2999999999999997E-2</v>
      </c>
      <c r="P456" s="10">
        <f>ROUND(ABS('2. Demand History'!Y456-IF($D456="Yes",'2. Demand History'!M456,AVERAGE('2. Demand History'!V456:X456)))/MAX('2. Demand History'!Y456,1),3)</f>
        <v>8.2000000000000003E-2</v>
      </c>
      <c r="Q456" s="10">
        <f>ROUND(ABS('2. Demand History'!Z456-IF($D456="Yes",'2. Demand History'!N456,AVERAGE('2. Demand History'!W456:Y456)))/MAX('2. Demand History'!Z456,1),3)</f>
        <v>1.6E-2</v>
      </c>
    </row>
    <row r="457" spans="1:17" ht="15" customHeight="1" x14ac:dyDescent="0.2">
      <c r="A457" s="3" t="str">
        <f>'2. Demand History'!A457</f>
        <v>NT10453</v>
      </c>
      <c r="B457" s="1" t="str">
        <f>'2. Demand History'!B457</f>
        <v>Power Bank 10K V720</v>
      </c>
      <c r="C457" s="3" t="str">
        <f>'1. Master Data'!C457</f>
        <v>Accessories</v>
      </c>
      <c r="D457" s="3" t="s">
        <v>1112</v>
      </c>
      <c r="E457" s="3" t="str">
        <f t="shared" si="21"/>
        <v>Moving Avg 3</v>
      </c>
      <c r="F457" s="3">
        <f>ROUND(AVERAGE('2. Demand History'!O457:Z457),1)</f>
        <v>75.599999999999994</v>
      </c>
      <c r="G457" s="3">
        <f>ROUND(STDEV('2. Demand History'!O457:Z457),1)</f>
        <v>3.1</v>
      </c>
      <c r="H457" s="8">
        <f t="shared" si="22"/>
        <v>0.04</v>
      </c>
      <c r="I457" s="8">
        <f>ROUND(SUM('2. Demand History'!O457:Z457)/MAX(SUM('2. Demand History'!C457:N457),1),2)</f>
        <v>1.0900000000000001</v>
      </c>
      <c r="J457" s="5">
        <f>IF(D457="Yes",ROUND('2. Demand History'!O457*I457,0),ROUND(AVERAGE('2. Demand History'!X457:Z457),0))</f>
        <v>78</v>
      </c>
      <c r="K457" s="9">
        <f t="shared" si="23"/>
        <v>3.3000000000000002E-2</v>
      </c>
      <c r="L457" s="10">
        <f>ROUND(ABS('2. Demand History'!U457-IF($D457="Yes",'2. Demand History'!I457,AVERAGE('2. Demand History'!R457:T457)))/MAX('2. Demand History'!U457,1),3)</f>
        <v>1.4E-2</v>
      </c>
      <c r="M457" s="10">
        <f>ROUND(ABS('2. Demand History'!V457-IF($D457="Yes",'2. Demand History'!J457,AVERAGE('2. Demand History'!S457:U457)))/MAX('2. Demand History'!V457,1),3)</f>
        <v>4.0000000000000001E-3</v>
      </c>
      <c r="N457" s="10">
        <f>ROUND(ABS('2. Demand History'!W457-IF($D457="Yes",'2. Demand History'!K457,AVERAGE('2. Demand History'!T457:V457)))/MAX('2. Demand History'!W457,1),3)</f>
        <v>4.0000000000000001E-3</v>
      </c>
      <c r="O457" s="10">
        <f>ROUND(ABS('2. Demand History'!X457-IF($D457="Yes",'2. Demand History'!L457,AVERAGE('2. Demand History'!U457:W457)))/MAX('2. Demand History'!X457,1),3)</f>
        <v>8.8999999999999996E-2</v>
      </c>
      <c r="P457" s="10">
        <f>ROUND(ABS('2. Demand History'!Y457-IF($D457="Yes",'2. Demand History'!M457,AVERAGE('2. Demand History'!V457:X457)))/MAX('2. Demand History'!Y457,1),3)</f>
        <v>5.8999999999999997E-2</v>
      </c>
      <c r="Q457" s="10">
        <f>ROUND(ABS('2. Demand History'!Z457-IF($D457="Yes",'2. Demand History'!N457,AVERAGE('2. Demand History'!W457:Y457)))/MAX('2. Demand History'!Z457,1),3)</f>
        <v>0.03</v>
      </c>
    </row>
    <row r="458" spans="1:17" ht="15" customHeight="1" x14ac:dyDescent="0.2">
      <c r="A458" s="3" t="str">
        <f>'2. Demand History'!A458</f>
        <v>NT10454</v>
      </c>
      <c r="B458" s="1" t="str">
        <f>'2. Demand History'!B458</f>
        <v>Wall Charger 65W V714</v>
      </c>
      <c r="C458" s="3" t="str">
        <f>'1. Master Data'!C458</f>
        <v>Accessories</v>
      </c>
      <c r="D458" s="3" t="s">
        <v>1112</v>
      </c>
      <c r="E458" s="3" t="str">
        <f t="shared" si="21"/>
        <v>Moving Avg 3</v>
      </c>
      <c r="F458" s="3">
        <f>ROUND(AVERAGE('2. Demand History'!O458:Z458),1)</f>
        <v>920.3</v>
      </c>
      <c r="G458" s="3">
        <f>ROUND(STDEV('2. Demand History'!O458:Z458),1)</f>
        <v>51.3</v>
      </c>
      <c r="H458" s="8">
        <f t="shared" si="22"/>
        <v>0.06</v>
      </c>
      <c r="I458" s="8">
        <f>ROUND(SUM('2. Demand History'!O458:Z458)/MAX(SUM('2. Demand History'!C458:N458),1),2)</f>
        <v>1.05</v>
      </c>
      <c r="J458" s="5">
        <f>IF(D458="Yes",ROUND('2. Demand History'!O458*I458,0),ROUND(AVERAGE('2. Demand History'!X458:Z458),0))</f>
        <v>956</v>
      </c>
      <c r="K458" s="9">
        <f t="shared" si="23"/>
        <v>4.1000000000000002E-2</v>
      </c>
      <c r="L458" s="10">
        <f>ROUND(ABS('2. Demand History'!U458-IF($D458="Yes",'2. Demand History'!I458,AVERAGE('2. Demand History'!R458:T458)))/MAX('2. Demand History'!U458,1),3)</f>
        <v>1.4E-2</v>
      </c>
      <c r="M458" s="10">
        <f>ROUND(ABS('2. Demand History'!V458-IF($D458="Yes",'2. Demand History'!J458,AVERAGE('2. Demand History'!S458:U458)))/MAX('2. Demand History'!V458,1),3)</f>
        <v>2.7E-2</v>
      </c>
      <c r="N458" s="10">
        <f>ROUND(ABS('2. Demand History'!W458-IF($D458="Yes",'2. Demand History'!K458,AVERAGE('2. Demand History'!T458:V458)))/MAX('2. Demand History'!W458,1),3)</f>
        <v>5.7000000000000002E-2</v>
      </c>
      <c r="O458" s="10">
        <f>ROUND(ABS('2. Demand History'!X458-IF($D458="Yes",'2. Demand History'!L458,AVERAGE('2. Demand History'!U458:W458)))/MAX('2. Demand History'!X458,1),3)</f>
        <v>2E-3</v>
      </c>
      <c r="P458" s="10">
        <f>ROUND(ABS('2. Demand History'!Y458-IF($D458="Yes",'2. Demand History'!M458,AVERAGE('2. Demand History'!V458:X458)))/MAX('2. Demand History'!Y458,1),3)</f>
        <v>4.2000000000000003E-2</v>
      </c>
      <c r="Q458" s="10">
        <f>ROUND(ABS('2. Demand History'!Z458-IF($D458="Yes",'2. Demand History'!N458,AVERAGE('2. Demand History'!W458:Y458)))/MAX('2. Demand History'!Z458,1),3)</f>
        <v>0.104</v>
      </c>
    </row>
    <row r="459" spans="1:17" ht="15" customHeight="1" x14ac:dyDescent="0.2">
      <c r="A459" s="3" t="str">
        <f>'2. Demand History'!A459</f>
        <v>NT10455</v>
      </c>
      <c r="B459" s="1" t="str">
        <f>'2. Demand History'!B459</f>
        <v>Power Bank 10K V715</v>
      </c>
      <c r="C459" s="3" t="str">
        <f>'1. Master Data'!C459</f>
        <v>Accessories</v>
      </c>
      <c r="D459" s="3" t="s">
        <v>1112</v>
      </c>
      <c r="E459" s="3" t="str">
        <f t="shared" si="21"/>
        <v>Moving Avg 3</v>
      </c>
      <c r="F459" s="3">
        <f>ROUND(AVERAGE('2. Demand History'!O459:Z459),1)</f>
        <v>671.4</v>
      </c>
      <c r="G459" s="3">
        <f>ROUND(STDEV('2. Demand History'!O459:Z459),1)</f>
        <v>45.6</v>
      </c>
      <c r="H459" s="8">
        <f t="shared" si="22"/>
        <v>7.0000000000000007E-2</v>
      </c>
      <c r="I459" s="8">
        <f>ROUND(SUM('2. Demand History'!O459:Z459)/MAX(SUM('2. Demand History'!C459:N459),1),2)</f>
        <v>1.1100000000000001</v>
      </c>
      <c r="J459" s="5">
        <f>IF(D459="Yes",ROUND('2. Demand History'!O459*I459,0),ROUND(AVERAGE('2. Demand History'!X459:Z459),0))</f>
        <v>676</v>
      </c>
      <c r="K459" s="9">
        <f t="shared" si="23"/>
        <v>8.4000000000000005E-2</v>
      </c>
      <c r="L459" s="10">
        <f>ROUND(ABS('2. Demand History'!U459-IF($D459="Yes",'2. Demand History'!I459,AVERAGE('2. Demand History'!R459:T459)))/MAX('2. Demand History'!U459,1),3)</f>
        <v>0.02</v>
      </c>
      <c r="M459" s="10">
        <f>ROUND(ABS('2. Demand History'!V459-IF($D459="Yes",'2. Demand History'!J459,AVERAGE('2. Demand History'!S459:U459)))/MAX('2. Demand History'!V459,1),3)</f>
        <v>0.17399999999999999</v>
      </c>
      <c r="N459" s="10">
        <f>ROUND(ABS('2. Demand History'!W459-IF($D459="Yes",'2. Demand History'!K459,AVERAGE('2. Demand History'!T459:V459)))/MAX('2. Demand History'!W459,1),3)</f>
        <v>0.11600000000000001</v>
      </c>
      <c r="O459" s="10">
        <f>ROUND(ABS('2. Demand History'!X459-IF($D459="Yes",'2. Demand History'!L459,AVERAGE('2. Demand History'!U459:W459)))/MAX('2. Demand History'!X459,1),3)</f>
        <v>1.4999999999999999E-2</v>
      </c>
      <c r="P459" s="10">
        <f>ROUND(ABS('2. Demand History'!Y459-IF($D459="Yes",'2. Demand History'!M459,AVERAGE('2. Demand History'!V459:X459)))/MAX('2. Demand History'!Y459,1),3)</f>
        <v>2.9000000000000001E-2</v>
      </c>
      <c r="Q459" s="10">
        <f>ROUND(ABS('2. Demand History'!Z459-IF($D459="Yes",'2. Demand History'!N459,AVERAGE('2. Demand History'!W459:Y459)))/MAX('2. Demand History'!Z459,1),3)</f>
        <v>0.14799999999999999</v>
      </c>
    </row>
    <row r="460" spans="1:17" ht="15" customHeight="1" x14ac:dyDescent="0.2">
      <c r="A460" s="3" t="str">
        <f>'2. Demand History'!A460</f>
        <v>NT10456</v>
      </c>
      <c r="B460" s="1" t="str">
        <f>'2. Demand History'!B460</f>
        <v>Phone Case Clear V184</v>
      </c>
      <c r="C460" s="3" t="str">
        <f>'1. Master Data'!C460</f>
        <v>Accessories</v>
      </c>
      <c r="D460" s="3" t="s">
        <v>1112</v>
      </c>
      <c r="E460" s="3" t="str">
        <f t="shared" si="21"/>
        <v>Moving Avg 3</v>
      </c>
      <c r="F460" s="3">
        <f>ROUND(AVERAGE('2. Demand History'!O460:Z460),1)</f>
        <v>232.1</v>
      </c>
      <c r="G460" s="3">
        <f>ROUND(STDEV('2. Demand History'!O460:Z460),1)</f>
        <v>22.9</v>
      </c>
      <c r="H460" s="8">
        <f t="shared" si="22"/>
        <v>0.1</v>
      </c>
      <c r="I460" s="8">
        <f>ROUND(SUM('2. Demand History'!O460:Z460)/MAX(SUM('2. Demand History'!C460:N460),1),2)</f>
        <v>1.05</v>
      </c>
      <c r="J460" s="5">
        <f>IF(D460="Yes",ROUND('2. Demand History'!O460*I460,0),ROUND(AVERAGE('2. Demand History'!X460:Z460),0))</f>
        <v>250</v>
      </c>
      <c r="K460" s="9">
        <f t="shared" si="23"/>
        <v>6.9000000000000006E-2</v>
      </c>
      <c r="L460" s="10">
        <f>ROUND(ABS('2. Demand History'!U460-IF($D460="Yes",'2. Demand History'!I460,AVERAGE('2. Demand History'!R460:T460)))/MAX('2. Demand History'!U460,1),3)</f>
        <v>0.122</v>
      </c>
      <c r="M460" s="10">
        <f>ROUND(ABS('2. Demand History'!V460-IF($D460="Yes",'2. Demand History'!J460,AVERAGE('2. Demand History'!S460:U460)))/MAX('2. Demand History'!V460,1),3)</f>
        <v>7.2999999999999995E-2</v>
      </c>
      <c r="N460" s="10">
        <f>ROUND(ABS('2. Demand History'!W460-IF($D460="Yes",'2. Demand History'!K460,AVERAGE('2. Demand History'!T460:V460)))/MAX('2. Demand History'!W460,1),3)</f>
        <v>3.7999999999999999E-2</v>
      </c>
      <c r="O460" s="10">
        <f>ROUND(ABS('2. Demand History'!X460-IF($D460="Yes",'2. Demand History'!L460,AVERAGE('2. Demand History'!U460:W460)))/MAX('2. Demand History'!X460,1),3)</f>
        <v>1.2E-2</v>
      </c>
      <c r="P460" s="10">
        <f>ROUND(ABS('2. Demand History'!Y460-IF($D460="Yes",'2. Demand History'!M460,AVERAGE('2. Demand History'!V460:X460)))/MAX('2. Demand History'!Y460,1),3)</f>
        <v>7.2999999999999995E-2</v>
      </c>
      <c r="Q460" s="10">
        <f>ROUND(ABS('2. Demand History'!Z460-IF($D460="Yes",'2. Demand History'!N460,AVERAGE('2. Demand History'!W460:Y460)))/MAX('2. Demand History'!Z460,1),3)</f>
        <v>9.4E-2</v>
      </c>
    </row>
    <row r="461" spans="1:17" ht="15" customHeight="1" x14ac:dyDescent="0.2">
      <c r="A461" s="3" t="str">
        <f>'2. Demand History'!A461</f>
        <v>NT10457</v>
      </c>
      <c r="B461" s="1" t="str">
        <f>'2. Demand History'!B461</f>
        <v>Screen Guard 244</v>
      </c>
      <c r="C461" s="3" t="str">
        <f>'1. Master Data'!C461</f>
        <v>Accessories</v>
      </c>
      <c r="D461" s="3" t="s">
        <v>1112</v>
      </c>
      <c r="E461" s="3" t="str">
        <f t="shared" si="21"/>
        <v>Moving Avg 3</v>
      </c>
      <c r="F461" s="3">
        <f>ROUND(AVERAGE('2. Demand History'!O461:Z461),1)</f>
        <v>424</v>
      </c>
      <c r="G461" s="3">
        <f>ROUND(STDEV('2. Demand History'!O461:Z461),1)</f>
        <v>26.3</v>
      </c>
      <c r="H461" s="8">
        <f t="shared" si="22"/>
        <v>0.06</v>
      </c>
      <c r="I461" s="8">
        <f>ROUND(SUM('2. Demand History'!O461:Z461)/MAX(SUM('2. Demand History'!C461:N461),1),2)</f>
        <v>1.07</v>
      </c>
      <c r="J461" s="5">
        <f>IF(D461="Yes",ROUND('2. Demand History'!O461*I461,0),ROUND(AVERAGE('2. Demand History'!X461:Z461),0))</f>
        <v>438</v>
      </c>
      <c r="K461" s="9">
        <f t="shared" si="23"/>
        <v>5.8999999999999997E-2</v>
      </c>
      <c r="L461" s="10">
        <f>ROUND(ABS('2. Demand History'!U461-IF($D461="Yes",'2. Demand History'!I461,AVERAGE('2. Demand History'!R461:T461)))/MAX('2. Demand History'!U461,1),3)</f>
        <v>0.14399999999999999</v>
      </c>
      <c r="M461" s="10">
        <f>ROUND(ABS('2. Demand History'!V461-IF($D461="Yes",'2. Demand History'!J461,AVERAGE('2. Demand History'!S461:U461)))/MAX('2. Demand History'!V461,1),3)</f>
        <v>4.0000000000000001E-3</v>
      </c>
      <c r="N461" s="10">
        <f>ROUND(ABS('2. Demand History'!W461-IF($D461="Yes",'2. Demand History'!K461,AVERAGE('2. Demand History'!T461:V461)))/MAX('2. Demand History'!W461,1),3)</f>
        <v>0.154</v>
      </c>
      <c r="O461" s="10">
        <f>ROUND(ABS('2. Demand History'!X461-IF($D461="Yes",'2. Demand History'!L461,AVERAGE('2. Demand History'!U461:W461)))/MAX('2. Demand History'!X461,1),3)</f>
        <v>2.8000000000000001E-2</v>
      </c>
      <c r="P461" s="10">
        <f>ROUND(ABS('2. Demand History'!Y461-IF($D461="Yes",'2. Demand History'!M461,AVERAGE('2. Demand History'!V461:X461)))/MAX('2. Demand History'!Y461,1),3)</f>
        <v>2E-3</v>
      </c>
      <c r="Q461" s="10">
        <f>ROUND(ABS('2. Demand History'!Z461-IF($D461="Yes",'2. Demand History'!N461,AVERAGE('2. Demand History'!W461:Y461)))/MAX('2. Demand History'!Z461,1),3)</f>
        <v>2.1000000000000001E-2</v>
      </c>
    </row>
    <row r="462" spans="1:17" ht="15" customHeight="1" x14ac:dyDescent="0.2">
      <c r="A462" s="3" t="str">
        <f>'2. Demand History'!A462</f>
        <v>NT10458</v>
      </c>
      <c r="B462" s="1" t="str">
        <f>'2. Demand History'!B462</f>
        <v>Screen Guard 376</v>
      </c>
      <c r="C462" s="3" t="str">
        <f>'1. Master Data'!C462</f>
        <v>Accessories</v>
      </c>
      <c r="D462" s="3" t="s">
        <v>1112</v>
      </c>
      <c r="E462" s="3" t="str">
        <f t="shared" si="21"/>
        <v>Moving Avg 3</v>
      </c>
      <c r="F462" s="3">
        <f>ROUND(AVERAGE('2. Demand History'!O462:Z462),1)</f>
        <v>342.8</v>
      </c>
      <c r="G462" s="3">
        <f>ROUND(STDEV('2. Demand History'!O462:Z462),1)</f>
        <v>21.7</v>
      </c>
      <c r="H462" s="8">
        <f t="shared" si="22"/>
        <v>0.06</v>
      </c>
      <c r="I462" s="8">
        <f>ROUND(SUM('2. Demand History'!O462:Z462)/MAX(SUM('2. Demand History'!C462:N462),1),2)</f>
        <v>1.07</v>
      </c>
      <c r="J462" s="5">
        <f>IF(D462="Yes",ROUND('2. Demand History'!O462*I462,0),ROUND(AVERAGE('2. Demand History'!X462:Z462),0))</f>
        <v>357</v>
      </c>
      <c r="K462" s="9">
        <f t="shared" si="23"/>
        <v>5.0999999999999997E-2</v>
      </c>
      <c r="L462" s="10">
        <f>ROUND(ABS('2. Demand History'!U462-IF($D462="Yes",'2. Demand History'!I462,AVERAGE('2. Demand History'!R462:T462)))/MAX('2. Demand History'!U462,1),3)</f>
        <v>3.1E-2</v>
      </c>
      <c r="M462" s="10">
        <f>ROUND(ABS('2. Demand History'!V462-IF($D462="Yes",'2. Demand History'!J462,AVERAGE('2. Demand History'!S462:U462)))/MAX('2. Demand History'!V462,1),3)</f>
        <v>2.7E-2</v>
      </c>
      <c r="N462" s="10">
        <f>ROUND(ABS('2. Demand History'!W462-IF($D462="Yes",'2. Demand History'!K462,AVERAGE('2. Demand History'!T462:V462)))/MAX('2. Demand History'!W462,1),3)</f>
        <v>0.06</v>
      </c>
      <c r="O462" s="10">
        <f>ROUND(ABS('2. Demand History'!X462-IF($D462="Yes",'2. Demand History'!L462,AVERAGE('2. Demand History'!U462:W462)))/MAX('2. Demand History'!X462,1),3)</f>
        <v>7.4999999999999997E-2</v>
      </c>
      <c r="P462" s="10">
        <f>ROUND(ABS('2. Demand History'!Y462-IF($D462="Yes",'2. Demand History'!M462,AVERAGE('2. Demand History'!V462:X462)))/MAX('2. Demand History'!Y462,1),3)</f>
        <v>8.9999999999999993E-3</v>
      </c>
      <c r="Q462" s="10">
        <f>ROUND(ABS('2. Demand History'!Z462-IF($D462="Yes",'2. Demand History'!N462,AVERAGE('2. Demand History'!W462:Y462)))/MAX('2. Demand History'!Z462,1),3)</f>
        <v>0.104</v>
      </c>
    </row>
    <row r="463" spans="1:17" ht="15" customHeight="1" x14ac:dyDescent="0.2">
      <c r="A463" s="3" t="str">
        <f>'2. Demand History'!A463</f>
        <v>NT10459</v>
      </c>
      <c r="B463" s="1" t="str">
        <f>'2. Demand History'!B463</f>
        <v>Wall Charger 65W V938</v>
      </c>
      <c r="C463" s="3" t="str">
        <f>'1. Master Data'!C463</f>
        <v>Accessories</v>
      </c>
      <c r="D463" s="3" t="s">
        <v>1112</v>
      </c>
      <c r="E463" s="3" t="str">
        <f t="shared" si="21"/>
        <v>Moving Avg 3</v>
      </c>
      <c r="F463" s="3">
        <f>ROUND(AVERAGE('2. Demand History'!O463:Z463),1)</f>
        <v>135.5</v>
      </c>
      <c r="G463" s="3">
        <f>ROUND(STDEV('2. Demand History'!O463:Z463),1)</f>
        <v>7.2</v>
      </c>
      <c r="H463" s="8">
        <f t="shared" si="22"/>
        <v>0.05</v>
      </c>
      <c r="I463" s="8">
        <f>ROUND(SUM('2. Demand History'!O463:Z463)/MAX(SUM('2. Demand History'!C463:N463),1),2)</f>
        <v>1.01</v>
      </c>
      <c r="J463" s="5">
        <f>IF(D463="Yes",ROUND('2. Demand History'!O463*I463,0),ROUND(AVERAGE('2. Demand History'!X463:Z463),0))</f>
        <v>142</v>
      </c>
      <c r="K463" s="9">
        <f t="shared" si="23"/>
        <v>4.5999999999999999E-2</v>
      </c>
      <c r="L463" s="10">
        <f>ROUND(ABS('2. Demand History'!U463-IF($D463="Yes",'2. Demand History'!I463,AVERAGE('2. Demand History'!R463:T463)))/MAX('2. Demand History'!U463,1),3)</f>
        <v>5.2999999999999999E-2</v>
      </c>
      <c r="M463" s="10">
        <f>ROUND(ABS('2. Demand History'!V463-IF($D463="Yes",'2. Demand History'!J463,AVERAGE('2. Demand History'!S463:U463)))/MAX('2. Demand History'!V463,1),3)</f>
        <v>2.3E-2</v>
      </c>
      <c r="N463" s="10">
        <f>ROUND(ABS('2. Demand History'!W463-IF($D463="Yes",'2. Demand History'!K463,AVERAGE('2. Demand History'!T463:V463)))/MAX('2. Demand History'!W463,1),3)</f>
        <v>1.7999999999999999E-2</v>
      </c>
      <c r="O463" s="10">
        <f>ROUND(ABS('2. Demand History'!X463-IF($D463="Yes",'2. Demand History'!L463,AVERAGE('2. Demand History'!U463:W463)))/MAX('2. Demand History'!X463,1),3)</f>
        <v>4.5999999999999999E-2</v>
      </c>
      <c r="P463" s="10">
        <f>ROUND(ABS('2. Demand History'!Y463-IF($D463="Yes",'2. Demand History'!M463,AVERAGE('2. Demand History'!V463:X463)))/MAX('2. Demand History'!Y463,1),3)</f>
        <v>8.6999999999999994E-2</v>
      </c>
      <c r="Q463" s="10">
        <f>ROUND(ABS('2. Demand History'!Z463-IF($D463="Yes",'2. Demand History'!N463,AVERAGE('2. Demand History'!W463:Y463)))/MAX('2. Demand History'!Z463,1),3)</f>
        <v>4.5999999999999999E-2</v>
      </c>
    </row>
    <row r="464" spans="1:17" ht="15" customHeight="1" x14ac:dyDescent="0.2">
      <c r="A464" s="3" t="str">
        <f>'2. Demand History'!A464</f>
        <v>NT10460</v>
      </c>
      <c r="B464" s="1" t="str">
        <f>'2. Demand History'!B464</f>
        <v>Power Bank 10K V876</v>
      </c>
      <c r="C464" s="3" t="str">
        <f>'1. Master Data'!C464</f>
        <v>Accessories</v>
      </c>
      <c r="D464" s="3" t="s">
        <v>1112</v>
      </c>
      <c r="E464" s="3" t="str">
        <f t="shared" si="21"/>
        <v>Moving Avg 3</v>
      </c>
      <c r="F464" s="3">
        <f>ROUND(AVERAGE('2. Demand History'!O464:Z464),1)</f>
        <v>250.4</v>
      </c>
      <c r="G464" s="3">
        <f>ROUND(STDEV('2. Demand History'!O464:Z464),1)</f>
        <v>12.8</v>
      </c>
      <c r="H464" s="8">
        <f t="shared" si="22"/>
        <v>0.05</v>
      </c>
      <c r="I464" s="8">
        <f>ROUND(SUM('2. Demand History'!O464:Z464)/MAX(SUM('2. Demand History'!C464:N464),1),2)</f>
        <v>1.04</v>
      </c>
      <c r="J464" s="5">
        <f>IF(D464="Yes",ROUND('2. Demand History'!O464*I464,0),ROUND(AVERAGE('2. Demand History'!X464:Z464),0))</f>
        <v>257</v>
      </c>
      <c r="K464" s="9">
        <f t="shared" si="23"/>
        <v>5.7000000000000002E-2</v>
      </c>
      <c r="L464" s="10">
        <f>ROUND(ABS('2. Demand History'!U464-IF($D464="Yes",'2. Demand History'!I464,AVERAGE('2. Demand History'!R464:T464)))/MAX('2. Demand History'!U464,1),3)</f>
        <v>1.2999999999999999E-2</v>
      </c>
      <c r="M464" s="10">
        <f>ROUND(ABS('2. Demand History'!V464-IF($D464="Yes",'2. Demand History'!J464,AVERAGE('2. Demand History'!S464:U464)))/MAX('2. Demand History'!V464,1),3)</f>
        <v>0.106</v>
      </c>
      <c r="N464" s="10">
        <f>ROUND(ABS('2. Demand History'!W464-IF($D464="Yes",'2. Demand History'!K464,AVERAGE('2. Demand History'!T464:V464)))/MAX('2. Demand History'!W464,1),3)</f>
        <v>4.3999999999999997E-2</v>
      </c>
      <c r="O464" s="10">
        <f>ROUND(ABS('2. Demand History'!X464-IF($D464="Yes",'2. Demand History'!L464,AVERAGE('2. Demand History'!U464:W464)))/MAX('2. Demand History'!X464,1),3)</f>
        <v>0.05</v>
      </c>
      <c r="P464" s="10">
        <f>ROUND(ABS('2. Demand History'!Y464-IF($D464="Yes",'2. Demand History'!M464,AVERAGE('2. Demand History'!V464:X464)))/MAX('2. Demand History'!Y464,1),3)</f>
        <v>9.5000000000000001E-2</v>
      </c>
      <c r="Q464" s="10">
        <f>ROUND(ABS('2. Demand History'!Z464-IF($D464="Yes",'2. Demand History'!N464,AVERAGE('2. Demand History'!W464:Y464)))/MAX('2. Demand History'!Z464,1),3)</f>
        <v>3.5000000000000003E-2</v>
      </c>
    </row>
    <row r="465" spans="1:17" ht="15" customHeight="1" x14ac:dyDescent="0.2">
      <c r="A465" s="3" t="str">
        <f>'2. Demand History'!A465</f>
        <v>NT10461</v>
      </c>
      <c r="B465" s="1" t="str">
        <f>'2. Demand History'!B465</f>
        <v>USB C Cable 2m V317</v>
      </c>
      <c r="C465" s="3" t="str">
        <f>'1. Master Data'!C465</f>
        <v>Accessories</v>
      </c>
      <c r="D465" s="3" t="s">
        <v>1112</v>
      </c>
      <c r="E465" s="3" t="str">
        <f t="shared" si="21"/>
        <v>Moving Avg 3</v>
      </c>
      <c r="F465" s="3">
        <f>ROUND(AVERAGE('2. Demand History'!O465:Z465),1)</f>
        <v>348.9</v>
      </c>
      <c r="G465" s="3">
        <f>ROUND(STDEV('2. Demand History'!O465:Z465),1)</f>
        <v>18.399999999999999</v>
      </c>
      <c r="H465" s="8">
        <f t="shared" si="22"/>
        <v>0.05</v>
      </c>
      <c r="I465" s="8">
        <f>ROUND(SUM('2. Demand History'!O465:Z465)/MAX(SUM('2. Demand History'!C465:N465),1),2)</f>
        <v>1.04</v>
      </c>
      <c r="J465" s="5">
        <f>IF(D465="Yes",ROUND('2. Demand History'!O465*I465,0),ROUND(AVERAGE('2. Demand History'!X465:Z465),0))</f>
        <v>353</v>
      </c>
      <c r="K465" s="9">
        <f t="shared" si="23"/>
        <v>4.7E-2</v>
      </c>
      <c r="L465" s="10">
        <f>ROUND(ABS('2. Demand History'!U465-IF($D465="Yes",'2. Demand History'!I465,AVERAGE('2. Demand History'!R465:T465)))/MAX('2. Demand History'!U465,1),3)</f>
        <v>4.3999999999999997E-2</v>
      </c>
      <c r="M465" s="10">
        <f>ROUND(ABS('2. Demand History'!V465-IF($D465="Yes",'2. Demand History'!J465,AVERAGE('2. Demand History'!S465:U465)))/MAX('2. Demand History'!V465,1),3)</f>
        <v>8.9999999999999993E-3</v>
      </c>
      <c r="N465" s="10">
        <f>ROUND(ABS('2. Demand History'!W465-IF($D465="Yes",'2. Demand History'!K465,AVERAGE('2. Demand History'!T465:V465)))/MAX('2. Demand History'!W465,1),3)</f>
        <v>7.8E-2</v>
      </c>
      <c r="O465" s="10">
        <f>ROUND(ABS('2. Demand History'!X465-IF($D465="Yes",'2. Demand History'!L465,AVERAGE('2. Demand History'!U465:W465)))/MAX('2. Demand History'!X465,1),3)</f>
        <v>8.0000000000000002E-3</v>
      </c>
      <c r="P465" s="10">
        <f>ROUND(ABS('2. Demand History'!Y465-IF($D465="Yes",'2. Demand History'!M465,AVERAGE('2. Demand History'!V465:X465)))/MAX('2. Demand History'!Y465,1),3)</f>
        <v>0.11899999999999999</v>
      </c>
      <c r="Q465" s="10">
        <f>ROUND(ABS('2. Demand History'!Z465-IF($D465="Yes",'2. Demand History'!N465,AVERAGE('2. Demand History'!W465:Y465)))/MAX('2. Demand History'!Z465,1),3)</f>
        <v>2.1000000000000001E-2</v>
      </c>
    </row>
    <row r="466" spans="1:17" ht="15" customHeight="1" x14ac:dyDescent="0.2">
      <c r="A466" s="3" t="str">
        <f>'2. Demand History'!A466</f>
        <v>NT10462</v>
      </c>
      <c r="B466" s="1" t="str">
        <f>'2. Demand History'!B466</f>
        <v>Wall Charger 65W V731</v>
      </c>
      <c r="C466" s="3" t="str">
        <f>'1. Master Data'!C466</f>
        <v>Accessories</v>
      </c>
      <c r="D466" s="3" t="s">
        <v>1112</v>
      </c>
      <c r="E466" s="3" t="str">
        <f t="shared" si="21"/>
        <v>Moving Avg 3</v>
      </c>
      <c r="F466" s="3">
        <f>ROUND(AVERAGE('2. Demand History'!O466:Z466),1)</f>
        <v>724.2</v>
      </c>
      <c r="G466" s="3">
        <f>ROUND(STDEV('2. Demand History'!O466:Z466),1)</f>
        <v>48.1</v>
      </c>
      <c r="H466" s="8">
        <f t="shared" si="22"/>
        <v>7.0000000000000007E-2</v>
      </c>
      <c r="I466" s="8">
        <f>ROUND(SUM('2. Demand History'!O466:Z466)/MAX(SUM('2. Demand History'!C466:N466),1),2)</f>
        <v>1.08</v>
      </c>
      <c r="J466" s="5">
        <f>IF(D466="Yes",ROUND('2. Demand History'!O466*I466,0),ROUND(AVERAGE('2. Demand History'!X466:Z466),0))</f>
        <v>767</v>
      </c>
      <c r="K466" s="9">
        <f t="shared" si="23"/>
        <v>5.7000000000000002E-2</v>
      </c>
      <c r="L466" s="10">
        <f>ROUND(ABS('2. Demand History'!U466-IF($D466="Yes",'2. Demand History'!I466,AVERAGE('2. Demand History'!R466:T466)))/MAX('2. Demand History'!U466,1),3)</f>
        <v>0.09</v>
      </c>
      <c r="M466" s="10">
        <f>ROUND(ABS('2. Demand History'!V466-IF($D466="Yes",'2. Demand History'!J466,AVERAGE('2. Demand History'!S466:U466)))/MAX('2. Demand History'!V466,1),3)</f>
        <v>0.02</v>
      </c>
      <c r="N466" s="10">
        <f>ROUND(ABS('2. Demand History'!W466-IF($D466="Yes",'2. Demand History'!K466,AVERAGE('2. Demand History'!T466:V466)))/MAX('2. Demand History'!W466,1),3)</f>
        <v>0.114</v>
      </c>
      <c r="O466" s="10">
        <f>ROUND(ABS('2. Demand History'!X466-IF($D466="Yes",'2. Demand History'!L466,AVERAGE('2. Demand History'!U466:W466)))/MAX('2. Demand History'!X466,1),3)</f>
        <v>2E-3</v>
      </c>
      <c r="P466" s="10">
        <f>ROUND(ABS('2. Demand History'!Y466-IF($D466="Yes",'2. Demand History'!M466,AVERAGE('2. Demand History'!V466:X466)))/MAX('2. Demand History'!Y466,1),3)</f>
        <v>2.4E-2</v>
      </c>
      <c r="Q466" s="10">
        <f>ROUND(ABS('2. Demand History'!Z466-IF($D466="Yes",'2. Demand History'!N466,AVERAGE('2. Demand History'!W466:Y466)))/MAX('2. Demand History'!Z466,1),3)</f>
        <v>8.8999999999999996E-2</v>
      </c>
    </row>
    <row r="467" spans="1:17" ht="15" customHeight="1" x14ac:dyDescent="0.2">
      <c r="A467" s="3" t="str">
        <f>'2. Demand History'!A467</f>
        <v>NT10463</v>
      </c>
      <c r="B467" s="1" t="str">
        <f>'2. Demand History'!B467</f>
        <v>HDMI Cable 4K V901</v>
      </c>
      <c r="C467" s="3" t="str">
        <f>'1. Master Data'!C467</f>
        <v>Accessories</v>
      </c>
      <c r="D467" s="3" t="s">
        <v>1112</v>
      </c>
      <c r="E467" s="3" t="str">
        <f t="shared" si="21"/>
        <v>Moving Avg 3</v>
      </c>
      <c r="F467" s="3">
        <f>ROUND(AVERAGE('2. Demand History'!O467:Z467),1)</f>
        <v>463.7</v>
      </c>
      <c r="G467" s="3">
        <f>ROUND(STDEV('2. Demand History'!O467:Z467),1)</f>
        <v>53.3</v>
      </c>
      <c r="H467" s="8">
        <f t="shared" si="22"/>
        <v>0.11</v>
      </c>
      <c r="I467" s="8">
        <f>ROUND(SUM('2. Demand History'!O467:Z467)/MAX(SUM('2. Demand History'!C467:N467),1),2)</f>
        <v>0.98</v>
      </c>
      <c r="J467" s="5">
        <f>IF(D467="Yes",ROUND('2. Demand History'!O467*I467,0),ROUND(AVERAGE('2. Demand History'!X467:Z467),0))</f>
        <v>433</v>
      </c>
      <c r="K467" s="9">
        <f t="shared" si="23"/>
        <v>0.10199999999999999</v>
      </c>
      <c r="L467" s="10">
        <f>ROUND(ABS('2. Demand History'!U467-IF($D467="Yes",'2. Demand History'!I467,AVERAGE('2. Demand History'!R467:T467)))/MAX('2. Demand History'!U467,1),3)</f>
        <v>2.8000000000000001E-2</v>
      </c>
      <c r="M467" s="10">
        <f>ROUND(ABS('2. Demand History'!V467-IF($D467="Yes",'2. Demand History'!J467,AVERAGE('2. Demand History'!S467:U467)))/MAX('2. Demand History'!V467,1),3)</f>
        <v>8.4000000000000005E-2</v>
      </c>
      <c r="N467" s="10">
        <f>ROUND(ABS('2. Demand History'!W467-IF($D467="Yes",'2. Demand History'!K467,AVERAGE('2. Demand History'!T467:V467)))/MAX('2. Demand History'!W467,1),3)</f>
        <v>0.13</v>
      </c>
      <c r="O467" s="10">
        <f>ROUND(ABS('2. Demand History'!X467-IF($D467="Yes",'2. Demand History'!L467,AVERAGE('2. Demand History'!U467:W467)))/MAX('2. Demand History'!X467,1),3)</f>
        <v>0.16900000000000001</v>
      </c>
      <c r="P467" s="10">
        <f>ROUND(ABS('2. Demand History'!Y467-IF($D467="Yes",'2. Demand History'!M467,AVERAGE('2. Demand History'!V467:X467)))/MAX('2. Demand History'!Y467,1),3)</f>
        <v>3.5000000000000003E-2</v>
      </c>
      <c r="Q467" s="10">
        <f>ROUND(ABS('2. Demand History'!Z467-IF($D467="Yes",'2. Demand History'!N467,AVERAGE('2. Demand History'!W467:Y467)))/MAX('2. Demand History'!Z467,1),3)</f>
        <v>0.16400000000000001</v>
      </c>
    </row>
    <row r="468" spans="1:17" ht="15" customHeight="1" x14ac:dyDescent="0.2">
      <c r="A468" s="3" t="str">
        <f>'2. Demand History'!A468</f>
        <v>NT10464</v>
      </c>
      <c r="B468" s="1" t="str">
        <f>'2. Demand History'!B468</f>
        <v>Phone Case Clear V580</v>
      </c>
      <c r="C468" s="3" t="str">
        <f>'1. Master Data'!C468</f>
        <v>Accessories</v>
      </c>
      <c r="D468" s="3" t="s">
        <v>1112</v>
      </c>
      <c r="E468" s="3" t="str">
        <f t="shared" si="21"/>
        <v>Moving Avg 3</v>
      </c>
      <c r="F468" s="3">
        <f>ROUND(AVERAGE('2. Demand History'!O468:Z468),1)</f>
        <v>52.8</v>
      </c>
      <c r="G468" s="3">
        <f>ROUND(STDEV('2. Demand History'!O468:Z468),1)</f>
        <v>5.7</v>
      </c>
      <c r="H468" s="8">
        <f t="shared" si="22"/>
        <v>0.11</v>
      </c>
      <c r="I468" s="8">
        <f>ROUND(SUM('2. Demand History'!O468:Z468)/MAX(SUM('2. Demand History'!C468:N468),1),2)</f>
        <v>1</v>
      </c>
      <c r="J468" s="5">
        <f>IF(D468="Yes",ROUND('2. Demand History'!O468*I468,0),ROUND(AVERAGE('2. Demand History'!X468:Z468),0))</f>
        <v>56</v>
      </c>
      <c r="K468" s="9">
        <f t="shared" si="23"/>
        <v>0.107</v>
      </c>
      <c r="L468" s="10">
        <f>ROUND(ABS('2. Demand History'!U468-IF($D468="Yes",'2. Demand History'!I468,AVERAGE('2. Demand History'!R468:T468)))/MAX('2. Demand History'!U468,1),3)</f>
        <v>0.17799999999999999</v>
      </c>
      <c r="M468" s="10">
        <f>ROUND(ABS('2. Demand History'!V468-IF($D468="Yes",'2. Demand History'!J468,AVERAGE('2. Demand History'!S468:U468)))/MAX('2. Demand History'!V468,1),3)</f>
        <v>7.0999999999999994E-2</v>
      </c>
      <c r="N468" s="10">
        <f>ROUND(ABS('2. Demand History'!W468-IF($D468="Yes",'2. Demand History'!K468,AVERAGE('2. Demand History'!T468:V468)))/MAX('2. Demand History'!W468,1),3)</f>
        <v>0.17399999999999999</v>
      </c>
      <c r="O468" s="10">
        <f>ROUND(ABS('2. Demand History'!X468-IF($D468="Yes",'2. Demand History'!L468,AVERAGE('2. Demand History'!U468:W468)))/MAX('2. Demand History'!X468,1),3)</f>
        <v>5.2999999999999999E-2</v>
      </c>
      <c r="P468" s="10">
        <f>ROUND(ABS('2. Demand History'!Y468-IF($D468="Yes",'2. Demand History'!M468,AVERAGE('2. Demand History'!V468:X468)))/MAX('2. Demand History'!Y468,1),3)</f>
        <v>0.106</v>
      </c>
      <c r="Q468" s="10">
        <f>ROUND(ABS('2. Demand History'!Z468-IF($D468="Yes",'2. Demand History'!N468,AVERAGE('2. Demand History'!W468:Y468)))/MAX('2. Demand History'!Z468,1),3)</f>
        <v>5.8000000000000003E-2</v>
      </c>
    </row>
    <row r="469" spans="1:17" ht="15" customHeight="1" x14ac:dyDescent="0.2">
      <c r="A469" s="3" t="str">
        <f>'2. Demand History'!A469</f>
        <v>NT10465</v>
      </c>
      <c r="B469" s="1" t="str">
        <f>'2. Demand History'!B469</f>
        <v>Power Bank 10K V432</v>
      </c>
      <c r="C469" s="3" t="str">
        <f>'1. Master Data'!C469</f>
        <v>Accessories</v>
      </c>
      <c r="D469" s="3" t="s">
        <v>1112</v>
      </c>
      <c r="E469" s="3" t="str">
        <f t="shared" si="21"/>
        <v>Moving Avg 3</v>
      </c>
      <c r="F469" s="3">
        <f>ROUND(AVERAGE('2. Demand History'!O469:Z469),1)</f>
        <v>80.3</v>
      </c>
      <c r="G469" s="3">
        <f>ROUND(STDEV('2. Demand History'!O469:Z469),1)</f>
        <v>5.7</v>
      </c>
      <c r="H469" s="8">
        <f t="shared" si="22"/>
        <v>7.0000000000000007E-2</v>
      </c>
      <c r="I469" s="8">
        <f>ROUND(SUM('2. Demand History'!O469:Z469)/MAX(SUM('2. Demand History'!C469:N469),1),2)</f>
        <v>1.08</v>
      </c>
      <c r="J469" s="5">
        <f>IF(D469="Yes",ROUND('2. Demand History'!O469*I469,0),ROUND(AVERAGE('2. Demand History'!X469:Z469),0))</f>
        <v>81</v>
      </c>
      <c r="K469" s="9">
        <f t="shared" si="23"/>
        <v>5.5E-2</v>
      </c>
      <c r="L469" s="10">
        <f>ROUND(ABS('2. Demand History'!U469-IF($D469="Yes",'2. Demand History'!I469,AVERAGE('2. Demand History'!R469:T469)))/MAX('2. Demand History'!U469,1),3)</f>
        <v>7.0999999999999994E-2</v>
      </c>
      <c r="M469" s="10">
        <f>ROUND(ABS('2. Demand History'!V469-IF($D469="Yes",'2. Demand History'!J469,AVERAGE('2. Demand History'!S469:U469)))/MAX('2. Demand History'!V469,1),3)</f>
        <v>4.5999999999999999E-2</v>
      </c>
      <c r="N469" s="10">
        <f>ROUND(ABS('2. Demand History'!W469-IF($D469="Yes",'2. Demand History'!K469,AVERAGE('2. Demand History'!T469:V469)))/MAX('2. Demand History'!W469,1),3)</f>
        <v>0</v>
      </c>
      <c r="O469" s="10">
        <f>ROUND(ABS('2. Demand History'!X469-IF($D469="Yes",'2. Demand History'!L469,AVERAGE('2. Demand History'!U469:W469)))/MAX('2. Demand History'!X469,1),3)</f>
        <v>6.8000000000000005E-2</v>
      </c>
      <c r="P469" s="10">
        <f>ROUND(ABS('2. Demand History'!Y469-IF($D469="Yes",'2. Demand History'!M469,AVERAGE('2. Demand History'!V469:X469)))/MAX('2. Demand History'!Y469,1),3)</f>
        <v>0.126</v>
      </c>
      <c r="Q469" s="10">
        <f>ROUND(ABS('2. Demand History'!Z469-IF($D469="Yes",'2. Demand History'!N469,AVERAGE('2. Demand History'!W469:Y469)))/MAX('2. Demand History'!Z469,1),3)</f>
        <v>1.7000000000000001E-2</v>
      </c>
    </row>
    <row r="470" spans="1:17" ht="15" customHeight="1" x14ac:dyDescent="0.2">
      <c r="A470" s="3" t="str">
        <f>'2. Demand History'!A470</f>
        <v>NT10466</v>
      </c>
      <c r="B470" s="1" t="str">
        <f>'2. Demand History'!B470</f>
        <v>USB C Cable 2m V607</v>
      </c>
      <c r="C470" s="3" t="str">
        <f>'1. Master Data'!C470</f>
        <v>Accessories</v>
      </c>
      <c r="D470" s="3" t="s">
        <v>1112</v>
      </c>
      <c r="E470" s="3" t="str">
        <f t="shared" si="21"/>
        <v>Moving Avg 3</v>
      </c>
      <c r="F470" s="3">
        <f>ROUND(AVERAGE('2. Demand History'!O470:Z470),1)</f>
        <v>952.8</v>
      </c>
      <c r="G470" s="3">
        <f>ROUND(STDEV('2. Demand History'!O470:Z470),1)</f>
        <v>836.7</v>
      </c>
      <c r="H470" s="8">
        <f t="shared" si="22"/>
        <v>0.88</v>
      </c>
      <c r="I470" s="8">
        <f>ROUND(SUM('2. Demand History'!O470:Z470)/MAX(SUM('2. Demand History'!C470:N470),1),2)</f>
        <v>1.44</v>
      </c>
      <c r="J470" s="5">
        <f>IF(D470="Yes",ROUND('2. Demand History'!O470*I470,0),ROUND(AVERAGE('2. Demand History'!X470:Z470),0))</f>
        <v>1043</v>
      </c>
      <c r="K470" s="9">
        <f t="shared" si="23"/>
        <v>1.421</v>
      </c>
      <c r="L470" s="10">
        <f>ROUND(ABS('2. Demand History'!U470-IF($D470="Yes",'2. Demand History'!I470,AVERAGE('2. Demand History'!R470:T470)))/MAX('2. Demand History'!U470,1),3)</f>
        <v>0.57699999999999996</v>
      </c>
      <c r="M470" s="10">
        <f>ROUND(ABS('2. Demand History'!V470-IF($D470="Yes",'2. Demand History'!J470,AVERAGE('2. Demand History'!S470:U470)))/MAX('2. Demand History'!V470,1),3)</f>
        <v>2.9950000000000001</v>
      </c>
      <c r="N470" s="10">
        <f>ROUND(ABS('2. Demand History'!W470-IF($D470="Yes",'2. Demand History'!K470,AVERAGE('2. Demand History'!T470:V470)))/MAX('2. Demand History'!W470,1),3)</f>
        <v>2.0329999999999999</v>
      </c>
      <c r="O470" s="10">
        <f>ROUND(ABS('2. Demand History'!X470-IF($D470="Yes",'2. Demand History'!L470,AVERAGE('2. Demand History'!U470:W470)))/MAX('2. Demand History'!X470,1),3)</f>
        <v>1.587</v>
      </c>
      <c r="P470" s="10">
        <f>ROUND(ABS('2. Demand History'!Y470-IF($D470="Yes",'2. Demand History'!M470,AVERAGE('2. Demand History'!V470:X470)))/MAX('2. Demand History'!Y470,1),3)</f>
        <v>0.75600000000000001</v>
      </c>
      <c r="Q470" s="10">
        <f>ROUND(ABS('2. Demand History'!Z470-IF($D470="Yes",'2. Demand History'!N470,AVERAGE('2. Demand History'!W470:Y470)))/MAX('2. Demand History'!Z470,1),3)</f>
        <v>0.57499999999999996</v>
      </c>
    </row>
    <row r="471" spans="1:17" ht="15" customHeight="1" x14ac:dyDescent="0.2">
      <c r="A471" s="3" t="str">
        <f>'2. Demand History'!A471</f>
        <v>NT10467</v>
      </c>
      <c r="B471" s="1" t="str">
        <f>'2. Demand History'!B471</f>
        <v>Screen Guard 172</v>
      </c>
      <c r="C471" s="3" t="str">
        <f>'1. Master Data'!C471</f>
        <v>Accessories</v>
      </c>
      <c r="D471" s="3" t="s">
        <v>1112</v>
      </c>
      <c r="E471" s="3" t="str">
        <f t="shared" si="21"/>
        <v>Moving Avg 3</v>
      </c>
      <c r="F471" s="3">
        <f>ROUND(AVERAGE('2. Demand History'!O471:Z471),1)</f>
        <v>565.6</v>
      </c>
      <c r="G471" s="3">
        <f>ROUND(STDEV('2. Demand History'!O471:Z471),1)</f>
        <v>68.900000000000006</v>
      </c>
      <c r="H471" s="8">
        <f t="shared" si="22"/>
        <v>0.12</v>
      </c>
      <c r="I471" s="8">
        <f>ROUND(SUM('2. Demand History'!O471:Z471)/MAX(SUM('2. Demand History'!C471:N471),1),2)</f>
        <v>1.02</v>
      </c>
      <c r="J471" s="5">
        <f>IF(D471="Yes",ROUND('2. Demand History'!O471*I471,0),ROUND(AVERAGE('2. Demand History'!X471:Z471),0))</f>
        <v>552</v>
      </c>
      <c r="K471" s="9">
        <f t="shared" si="23"/>
        <v>0.09</v>
      </c>
      <c r="L471" s="10">
        <f>ROUND(ABS('2. Demand History'!U471-IF($D471="Yes",'2. Demand History'!I471,AVERAGE('2. Demand History'!R471:T471)))/MAX('2. Demand History'!U471,1),3)</f>
        <v>3.5000000000000003E-2</v>
      </c>
      <c r="M471" s="10">
        <f>ROUND(ABS('2. Demand History'!V471-IF($D471="Yes",'2. Demand History'!J471,AVERAGE('2. Demand History'!S471:U471)))/MAX('2. Demand History'!V471,1),3)</f>
        <v>6.8000000000000005E-2</v>
      </c>
      <c r="N471" s="10">
        <f>ROUND(ABS('2. Demand History'!W471-IF($D471="Yes",'2. Demand History'!K471,AVERAGE('2. Demand History'!T471:V471)))/MAX('2. Demand History'!W471,1),3)</f>
        <v>0.09</v>
      </c>
      <c r="O471" s="10">
        <f>ROUND(ABS('2. Demand History'!X471-IF($D471="Yes",'2. Demand History'!L471,AVERAGE('2. Demand History'!U471:W471)))/MAX('2. Demand History'!X471,1),3)</f>
        <v>0.129</v>
      </c>
      <c r="P471" s="10">
        <f>ROUND(ABS('2. Demand History'!Y471-IF($D471="Yes",'2. Demand History'!M471,AVERAGE('2. Demand History'!V471:X471)))/MAX('2. Demand History'!Y471,1),3)</f>
        <v>7.8E-2</v>
      </c>
      <c r="Q471" s="10">
        <f>ROUND(ABS('2. Demand History'!Z471-IF($D471="Yes",'2. Demand History'!N471,AVERAGE('2. Demand History'!W471:Y471)))/MAX('2. Demand History'!Z471,1),3)</f>
        <v>0.13900000000000001</v>
      </c>
    </row>
    <row r="472" spans="1:17" ht="15" customHeight="1" x14ac:dyDescent="0.2">
      <c r="A472" s="3" t="str">
        <f>'2. Demand History'!A472</f>
        <v>NT10468</v>
      </c>
      <c r="B472" s="1" t="str">
        <f>'2. Demand History'!B472</f>
        <v>Car Mount V982</v>
      </c>
      <c r="C472" s="3" t="str">
        <f>'1. Master Data'!C472</f>
        <v>Accessories</v>
      </c>
      <c r="D472" s="3" t="s">
        <v>1112</v>
      </c>
      <c r="E472" s="3" t="str">
        <f t="shared" si="21"/>
        <v>Moving Avg 3</v>
      </c>
      <c r="F472" s="3">
        <f>ROUND(AVERAGE('2. Demand History'!O472:Z472),1)</f>
        <v>987.7</v>
      </c>
      <c r="G472" s="3">
        <f>ROUND(STDEV('2. Demand History'!O472:Z472),1)</f>
        <v>50.4</v>
      </c>
      <c r="H472" s="8">
        <f t="shared" si="22"/>
        <v>0.05</v>
      </c>
      <c r="I472" s="8">
        <f>ROUND(SUM('2. Demand History'!O472:Z472)/MAX(SUM('2. Demand History'!C472:N472),1),2)</f>
        <v>1.03</v>
      </c>
      <c r="J472" s="5">
        <f>IF(D472="Yes",ROUND('2. Demand History'!O472*I472,0),ROUND(AVERAGE('2. Demand History'!X472:Z472),0))</f>
        <v>990</v>
      </c>
      <c r="K472" s="9">
        <f t="shared" si="23"/>
        <v>5.0999999999999997E-2</v>
      </c>
      <c r="L472" s="10">
        <f>ROUND(ABS('2. Demand History'!U472-IF($D472="Yes",'2. Demand History'!I472,AVERAGE('2. Demand History'!R472:T472)))/MAX('2. Demand History'!U472,1),3)</f>
        <v>1.9E-2</v>
      </c>
      <c r="M472" s="10">
        <f>ROUND(ABS('2. Demand History'!V472-IF($D472="Yes",'2. Demand History'!J472,AVERAGE('2. Demand History'!S472:U472)))/MAX('2. Demand History'!V472,1),3)</f>
        <v>3.5000000000000003E-2</v>
      </c>
      <c r="N472" s="10">
        <f>ROUND(ABS('2. Demand History'!W472-IF($D472="Yes",'2. Demand History'!K472,AVERAGE('2. Demand History'!T472:V472)))/MAX('2. Demand History'!W472,1),3)</f>
        <v>6.0999999999999999E-2</v>
      </c>
      <c r="O472" s="10">
        <f>ROUND(ABS('2. Demand History'!X472-IF($D472="Yes",'2. Demand History'!L472,AVERAGE('2. Demand History'!U472:W472)))/MAX('2. Demand History'!X472,1),3)</f>
        <v>6.4000000000000001E-2</v>
      </c>
      <c r="P472" s="10">
        <f>ROUND(ABS('2. Demand History'!Y472-IF($D472="Yes",'2. Demand History'!M472,AVERAGE('2. Demand History'!V472:X472)))/MAX('2. Demand History'!Y472,1),3)</f>
        <v>8.5999999999999993E-2</v>
      </c>
      <c r="Q472" s="10">
        <f>ROUND(ABS('2. Demand History'!Z472-IF($D472="Yes",'2. Demand History'!N472,AVERAGE('2. Demand History'!W472:Y472)))/MAX('2. Demand History'!Z472,1),3)</f>
        <v>4.2999999999999997E-2</v>
      </c>
    </row>
    <row r="473" spans="1:17" ht="15" customHeight="1" x14ac:dyDescent="0.2">
      <c r="A473" s="3" t="str">
        <f>'2. Demand History'!A473</f>
        <v>NT10469</v>
      </c>
      <c r="B473" s="1" t="str">
        <f>'2. Demand History'!B473</f>
        <v>Power Bank 10K V103</v>
      </c>
      <c r="C473" s="3" t="str">
        <f>'1. Master Data'!C473</f>
        <v>Accessories</v>
      </c>
      <c r="D473" s="3" t="s">
        <v>1112</v>
      </c>
      <c r="E473" s="3" t="str">
        <f t="shared" si="21"/>
        <v>Moving Avg 3</v>
      </c>
      <c r="F473" s="3">
        <f>ROUND(AVERAGE('2. Demand History'!O473:Z473),1)</f>
        <v>104.9</v>
      </c>
      <c r="G473" s="3">
        <f>ROUND(STDEV('2. Demand History'!O473:Z473),1)</f>
        <v>9.1999999999999993</v>
      </c>
      <c r="H473" s="8">
        <f t="shared" si="22"/>
        <v>0.09</v>
      </c>
      <c r="I473" s="8">
        <f>ROUND(SUM('2. Demand History'!O473:Z473)/MAX(SUM('2. Demand History'!C473:N473),1),2)</f>
        <v>1.0900000000000001</v>
      </c>
      <c r="J473" s="5">
        <f>IF(D473="Yes",ROUND('2. Demand History'!O473*I473,0),ROUND(AVERAGE('2. Demand History'!X473:Z473),0))</f>
        <v>111</v>
      </c>
      <c r="K473" s="9">
        <f t="shared" si="23"/>
        <v>7.9000000000000001E-2</v>
      </c>
      <c r="L473" s="10">
        <f>ROUND(ABS('2. Demand History'!U473-IF($D473="Yes",'2. Demand History'!I473,AVERAGE('2. Demand History'!R473:T473)))/MAX('2. Demand History'!U473,1),3)</f>
        <v>8.1000000000000003E-2</v>
      </c>
      <c r="M473" s="10">
        <f>ROUND(ABS('2. Demand History'!V473-IF($D473="Yes",'2. Demand History'!J473,AVERAGE('2. Demand History'!S473:U473)))/MAX('2. Demand History'!V473,1),3)</f>
        <v>9.0999999999999998E-2</v>
      </c>
      <c r="N473" s="10">
        <f>ROUND(ABS('2. Demand History'!W473-IF($D473="Yes",'2. Demand History'!K473,AVERAGE('2. Demand History'!T473:V473)))/MAX('2. Demand History'!W473,1),3)</f>
        <v>5.7000000000000002E-2</v>
      </c>
      <c r="O473" s="10">
        <f>ROUND(ABS('2. Demand History'!X473-IF($D473="Yes",'2. Demand History'!L473,AVERAGE('2. Demand History'!U473:W473)))/MAX('2. Demand History'!X473,1),3)</f>
        <v>1.2999999999999999E-2</v>
      </c>
      <c r="P473" s="10">
        <f>ROUND(ABS('2. Demand History'!Y473-IF($D473="Yes",'2. Demand History'!M473,AVERAGE('2. Demand History'!V473:X473)))/MAX('2. Demand History'!Y473,1),3)</f>
        <v>5.7000000000000002E-2</v>
      </c>
      <c r="Q473" s="10">
        <f>ROUND(ABS('2. Demand History'!Z473-IF($D473="Yes",'2. Demand History'!N473,AVERAGE('2. Demand History'!W473:Y473)))/MAX('2. Demand History'!Z473,1),3)</f>
        <v>0.17499999999999999</v>
      </c>
    </row>
    <row r="474" spans="1:17" ht="15" customHeight="1" x14ac:dyDescent="0.2">
      <c r="A474" s="3" t="str">
        <f>'2. Demand History'!A474</f>
        <v>NT10470</v>
      </c>
      <c r="B474" s="1" t="str">
        <f>'2. Demand History'!B474</f>
        <v>Power Bank 10K V409</v>
      </c>
      <c r="C474" s="3" t="str">
        <f>'1. Master Data'!C474</f>
        <v>Accessories</v>
      </c>
      <c r="D474" s="3" t="s">
        <v>1112</v>
      </c>
      <c r="E474" s="3" t="str">
        <f t="shared" si="21"/>
        <v>Moving Avg 3</v>
      </c>
      <c r="F474" s="3">
        <f>ROUND(AVERAGE('2. Demand History'!O474:Z474),1)</f>
        <v>908.8</v>
      </c>
      <c r="G474" s="3">
        <f>ROUND(STDEV('2. Demand History'!O474:Z474),1)</f>
        <v>68.099999999999994</v>
      </c>
      <c r="H474" s="8">
        <f t="shared" si="22"/>
        <v>7.0000000000000007E-2</v>
      </c>
      <c r="I474" s="8">
        <f>ROUND(SUM('2. Demand History'!O474:Z474)/MAX(SUM('2. Demand History'!C474:N474),1),2)</f>
        <v>1.04</v>
      </c>
      <c r="J474" s="5">
        <f>IF(D474="Yes",ROUND('2. Demand History'!O474*I474,0),ROUND(AVERAGE('2. Demand History'!X474:Z474),0))</f>
        <v>919</v>
      </c>
      <c r="K474" s="9">
        <f t="shared" si="23"/>
        <v>8.7999999999999995E-2</v>
      </c>
      <c r="L474" s="10">
        <f>ROUND(ABS('2. Demand History'!U474-IF($D474="Yes",'2. Demand History'!I474,AVERAGE('2. Demand History'!R474:T474)))/MAX('2. Demand History'!U474,1),3)</f>
        <v>5.8000000000000003E-2</v>
      </c>
      <c r="M474" s="10">
        <f>ROUND(ABS('2. Demand History'!V474-IF($D474="Yes",'2. Demand History'!J474,AVERAGE('2. Demand History'!S474:U474)))/MAX('2. Demand History'!V474,1),3)</f>
        <v>9.5000000000000001E-2</v>
      </c>
      <c r="N474" s="10">
        <f>ROUND(ABS('2. Demand History'!W474-IF($D474="Yes",'2. Demand History'!K474,AVERAGE('2. Demand History'!T474:V474)))/MAX('2. Demand History'!W474,1),3)</f>
        <v>9.8000000000000004E-2</v>
      </c>
      <c r="O474" s="10">
        <f>ROUND(ABS('2. Demand History'!X474-IF($D474="Yes",'2. Demand History'!L474,AVERAGE('2. Demand History'!U474:W474)))/MAX('2. Demand History'!X474,1),3)</f>
        <v>9.7000000000000003E-2</v>
      </c>
      <c r="P474" s="10">
        <f>ROUND(ABS('2. Demand History'!Y474-IF($D474="Yes",'2. Demand History'!M474,AVERAGE('2. Demand History'!V474:X474)))/MAX('2. Demand History'!Y474,1),3)</f>
        <v>0.08</v>
      </c>
      <c r="Q474" s="10">
        <f>ROUND(ABS('2. Demand History'!Z474-IF($D474="Yes",'2. Demand History'!N474,AVERAGE('2. Demand History'!W474:Y474)))/MAX('2. Demand History'!Z474,1),3)</f>
        <v>9.9000000000000005E-2</v>
      </c>
    </row>
    <row r="475" spans="1:17" ht="15" customHeight="1" x14ac:dyDescent="0.2">
      <c r="A475" s="3" t="str">
        <f>'2. Demand History'!A475</f>
        <v>NT10471</v>
      </c>
      <c r="B475" s="1" t="str">
        <f>'2. Demand History'!B475</f>
        <v>Phone Case Clear V314</v>
      </c>
      <c r="C475" s="3" t="str">
        <f>'1. Master Data'!C475</f>
        <v>Accessories</v>
      </c>
      <c r="D475" s="3" t="s">
        <v>1112</v>
      </c>
      <c r="E475" s="3" t="str">
        <f t="shared" si="21"/>
        <v>Moving Avg 3</v>
      </c>
      <c r="F475" s="3">
        <f>ROUND(AVERAGE('2. Demand History'!O475:Z475),1)</f>
        <v>285.8</v>
      </c>
      <c r="G475" s="3">
        <f>ROUND(STDEV('2. Demand History'!O475:Z475),1)</f>
        <v>300.8</v>
      </c>
      <c r="H475" s="8">
        <f t="shared" si="22"/>
        <v>1.05</v>
      </c>
      <c r="I475" s="8">
        <f>ROUND(SUM('2. Demand History'!O475:Z475)/MAX(SUM('2. Demand History'!C475:N475),1),2)</f>
        <v>1.53</v>
      </c>
      <c r="J475" s="5">
        <f>IF(D475="Yes",ROUND('2. Demand History'!O475*I475,0),ROUND(AVERAGE('2. Demand History'!X475:Z475),0))</f>
        <v>349</v>
      </c>
      <c r="K475" s="9">
        <f t="shared" si="23"/>
        <v>1.8160000000000001</v>
      </c>
      <c r="L475" s="10">
        <f>ROUND(ABS('2. Demand History'!U475-IF($D475="Yes",'2. Demand History'!I475,AVERAGE('2. Demand History'!R475:T475)))/MAX('2. Demand History'!U475,1),3)</f>
        <v>3.2410000000000001</v>
      </c>
      <c r="M475" s="10">
        <f>ROUND(ABS('2. Demand History'!V475-IF($D475="Yes",'2. Demand History'!J475,AVERAGE('2. Demand History'!S475:U475)))/MAX('2. Demand History'!V475,1),3)</f>
        <v>0.40400000000000003</v>
      </c>
      <c r="N475" s="10">
        <f>ROUND(ABS('2. Demand History'!W475-IF($D475="Yes",'2. Demand History'!K475,AVERAGE('2. Demand History'!T475:V475)))/MAX('2. Demand History'!W475,1),3)</f>
        <v>0.82199999999999995</v>
      </c>
      <c r="O475" s="10">
        <f>ROUND(ABS('2. Demand History'!X475-IF($D475="Yes",'2. Demand History'!L475,AVERAGE('2. Demand History'!U475:W475)))/MAX('2. Demand History'!X475,1),3)</f>
        <v>0.60499999999999998</v>
      </c>
      <c r="P475" s="10">
        <f>ROUND(ABS('2. Demand History'!Y475-IF($D475="Yes",'2. Demand History'!M475,AVERAGE('2. Demand History'!V475:X475)))/MAX('2. Demand History'!Y475,1),3)</f>
        <v>3.03</v>
      </c>
      <c r="Q475" s="10">
        <f>ROUND(ABS('2. Demand History'!Z475-IF($D475="Yes",'2. Demand History'!N475,AVERAGE('2. Demand History'!W475:Y475)))/MAX('2. Demand History'!Z475,1),3)</f>
        <v>2.7919999999999998</v>
      </c>
    </row>
    <row r="476" spans="1:17" ht="15" customHeight="1" x14ac:dyDescent="0.2">
      <c r="A476" s="3" t="str">
        <f>'2. Demand History'!A476</f>
        <v>NT10472</v>
      </c>
      <c r="B476" s="1" t="str">
        <f>'2. Demand History'!B476</f>
        <v>Laptop Sleeve 15in V535</v>
      </c>
      <c r="C476" s="3" t="str">
        <f>'1. Master Data'!C476</f>
        <v>Accessories</v>
      </c>
      <c r="D476" s="3" t="s">
        <v>1112</v>
      </c>
      <c r="E476" s="3" t="str">
        <f t="shared" si="21"/>
        <v>Moving Avg 3</v>
      </c>
      <c r="F476" s="3">
        <f>ROUND(AVERAGE('2. Demand History'!O476:Z476),1)</f>
        <v>184.3</v>
      </c>
      <c r="G476" s="3">
        <f>ROUND(STDEV('2. Demand History'!O476:Z476),1)</f>
        <v>13.7</v>
      </c>
      <c r="H476" s="8">
        <f t="shared" si="22"/>
        <v>7.0000000000000007E-2</v>
      </c>
      <c r="I476" s="8">
        <f>ROUND(SUM('2. Demand History'!O476:Z476)/MAX(SUM('2. Demand History'!C476:N476),1),2)</f>
        <v>1.07</v>
      </c>
      <c r="J476" s="5">
        <f>IF(D476="Yes",ROUND('2. Demand History'!O476*I476,0),ROUND(AVERAGE('2. Demand History'!X476:Z476),0))</f>
        <v>191</v>
      </c>
      <c r="K476" s="9">
        <f t="shared" si="23"/>
        <v>4.8000000000000001E-2</v>
      </c>
      <c r="L476" s="10">
        <f>ROUND(ABS('2. Demand History'!U476-IF($D476="Yes",'2. Demand History'!I476,AVERAGE('2. Demand History'!R476:T476)))/MAX('2. Demand History'!U476,1),3)</f>
        <v>2.1000000000000001E-2</v>
      </c>
      <c r="M476" s="10">
        <f>ROUND(ABS('2. Demand History'!V476-IF($D476="Yes",'2. Demand History'!J476,AVERAGE('2. Demand History'!S476:U476)))/MAX('2. Demand History'!V476,1),3)</f>
        <v>0.125</v>
      </c>
      <c r="N476" s="10">
        <f>ROUND(ABS('2. Demand History'!W476-IF($D476="Yes",'2. Demand History'!K476,AVERAGE('2. Demand History'!T476:V476)))/MAX('2. Demand History'!W476,1),3)</f>
        <v>3.5999999999999997E-2</v>
      </c>
      <c r="O476" s="10">
        <f>ROUND(ABS('2. Demand History'!X476-IF($D476="Yes",'2. Demand History'!L476,AVERAGE('2. Demand History'!U476:W476)))/MAX('2. Demand History'!X476,1),3)</f>
        <v>8.5000000000000006E-2</v>
      </c>
      <c r="P476" s="10">
        <f>ROUND(ABS('2. Demand History'!Y476-IF($D476="Yes",'2. Demand History'!M476,AVERAGE('2. Demand History'!V476:X476)))/MAX('2. Demand History'!Y476,1),3)</f>
        <v>5.0000000000000001E-3</v>
      </c>
      <c r="Q476" s="10">
        <f>ROUND(ABS('2. Demand History'!Z476-IF($D476="Yes",'2. Demand History'!N476,AVERAGE('2. Demand History'!W476:Y476)))/MAX('2. Demand History'!Z476,1),3)</f>
        <v>1.4E-2</v>
      </c>
    </row>
    <row r="477" spans="1:17" ht="15" customHeight="1" x14ac:dyDescent="0.2">
      <c r="A477" s="3" t="str">
        <f>'2. Demand History'!A477</f>
        <v>NT10473</v>
      </c>
      <c r="B477" s="1" t="str">
        <f>'2. Demand History'!B477</f>
        <v>HDMI Cable 4K V358</v>
      </c>
      <c r="C477" s="3" t="str">
        <f>'1. Master Data'!C477</f>
        <v>Accessories</v>
      </c>
      <c r="D477" s="3" t="s">
        <v>1112</v>
      </c>
      <c r="E477" s="3" t="str">
        <f t="shared" si="21"/>
        <v>Moving Avg 3</v>
      </c>
      <c r="F477" s="3">
        <f>ROUND(AVERAGE('2. Demand History'!O477:Z477),1)</f>
        <v>396.9</v>
      </c>
      <c r="G477" s="3">
        <f>ROUND(STDEV('2. Demand History'!O477:Z477),1)</f>
        <v>19.5</v>
      </c>
      <c r="H477" s="8">
        <f t="shared" si="22"/>
        <v>0.05</v>
      </c>
      <c r="I477" s="8">
        <f>ROUND(SUM('2. Demand History'!O477:Z477)/MAX(SUM('2. Demand History'!C477:N477),1),2)</f>
        <v>1.03</v>
      </c>
      <c r="J477" s="5">
        <f>IF(D477="Yes",ROUND('2. Demand History'!O477*I477,0),ROUND(AVERAGE('2. Demand History'!X477:Z477),0))</f>
        <v>395</v>
      </c>
      <c r="K477" s="9">
        <f t="shared" si="23"/>
        <v>5.2999999999999999E-2</v>
      </c>
      <c r="L477" s="10">
        <f>ROUND(ABS('2. Demand History'!U477-IF($D477="Yes",'2. Demand History'!I477,AVERAGE('2. Demand History'!R477:T477)))/MAX('2. Demand History'!U477,1),3)</f>
        <v>4.8000000000000001E-2</v>
      </c>
      <c r="M477" s="10">
        <f>ROUND(ABS('2. Demand History'!V477-IF($D477="Yes",'2. Demand History'!J477,AVERAGE('2. Demand History'!S477:U477)))/MAX('2. Demand History'!V477,1),3)</f>
        <v>4.2999999999999997E-2</v>
      </c>
      <c r="N477" s="10">
        <f>ROUND(ABS('2. Demand History'!W477-IF($D477="Yes",'2. Demand History'!K477,AVERAGE('2. Demand History'!T477:V477)))/MAX('2. Demand History'!W477,1),3)</f>
        <v>1.9E-2</v>
      </c>
      <c r="O477" s="10">
        <f>ROUND(ABS('2. Demand History'!X477-IF($D477="Yes",'2. Demand History'!L477,AVERAGE('2. Demand History'!U477:W477)))/MAX('2. Demand History'!X477,1),3)</f>
        <v>0.04</v>
      </c>
      <c r="P477" s="10">
        <f>ROUND(ABS('2. Demand History'!Y477-IF($D477="Yes",'2. Demand History'!M477,AVERAGE('2. Demand History'!V477:X477)))/MAX('2. Demand History'!Y477,1),3)</f>
        <v>0.108</v>
      </c>
      <c r="Q477" s="10">
        <f>ROUND(ABS('2. Demand History'!Z477-IF($D477="Yes",'2. Demand History'!N477,AVERAGE('2. Demand History'!W477:Y477)))/MAX('2. Demand History'!Z477,1),3)</f>
        <v>6.0999999999999999E-2</v>
      </c>
    </row>
    <row r="478" spans="1:17" ht="15" customHeight="1" x14ac:dyDescent="0.2">
      <c r="A478" s="3" t="str">
        <f>'2. Demand History'!A478</f>
        <v>NT10474</v>
      </c>
      <c r="B478" s="1" t="str">
        <f>'2. Demand History'!B478</f>
        <v>Car Mount V739</v>
      </c>
      <c r="C478" s="3" t="str">
        <f>'1. Master Data'!C478</f>
        <v>Accessories</v>
      </c>
      <c r="D478" s="3" t="s">
        <v>1112</v>
      </c>
      <c r="E478" s="3" t="str">
        <f t="shared" si="21"/>
        <v>Moving Avg 3</v>
      </c>
      <c r="F478" s="3">
        <f>ROUND(AVERAGE('2. Demand History'!O478:Z478),1)</f>
        <v>245.9</v>
      </c>
      <c r="G478" s="3">
        <f>ROUND(STDEV('2. Demand History'!O478:Z478),1)</f>
        <v>20.7</v>
      </c>
      <c r="H478" s="8">
        <f t="shared" si="22"/>
        <v>0.08</v>
      </c>
      <c r="I478" s="8">
        <f>ROUND(SUM('2. Demand History'!O478:Z478)/MAX(SUM('2. Demand History'!C478:N478),1),2)</f>
        <v>1.04</v>
      </c>
      <c r="J478" s="5">
        <f>IF(D478="Yes",ROUND('2. Demand History'!O478*I478,0),ROUND(AVERAGE('2. Demand History'!X478:Z478),0))</f>
        <v>264</v>
      </c>
      <c r="K478" s="9">
        <f t="shared" si="23"/>
        <v>8.6999999999999994E-2</v>
      </c>
      <c r="L478" s="10">
        <f>ROUND(ABS('2. Demand History'!U478-IF($D478="Yes",'2. Demand History'!I478,AVERAGE('2. Demand History'!R478:T478)))/MAX('2. Demand History'!U478,1),3)</f>
        <v>0.124</v>
      </c>
      <c r="M478" s="10">
        <f>ROUND(ABS('2. Demand History'!V478-IF($D478="Yes",'2. Demand History'!J478,AVERAGE('2. Demand History'!S478:U478)))/MAX('2. Demand History'!V478,1),3)</f>
        <v>2.8000000000000001E-2</v>
      </c>
      <c r="N478" s="10">
        <f>ROUND(ABS('2. Demand History'!W478-IF($D478="Yes",'2. Demand History'!K478,AVERAGE('2. Demand History'!T478:V478)))/MAX('2. Demand History'!W478,1),3)</f>
        <v>0.11</v>
      </c>
      <c r="O478" s="10">
        <f>ROUND(ABS('2. Demand History'!X478-IF($D478="Yes",'2. Demand History'!L478,AVERAGE('2. Demand History'!U478:W478)))/MAX('2. Demand History'!X478,1),3)</f>
        <v>2.5000000000000001E-2</v>
      </c>
      <c r="P478" s="10">
        <f>ROUND(ABS('2. Demand History'!Y478-IF($D478="Yes",'2. Demand History'!M478,AVERAGE('2. Demand History'!V478:X478)))/MAX('2. Demand History'!Y478,1),3)</f>
        <v>0.14099999999999999</v>
      </c>
      <c r="Q478" s="10">
        <f>ROUND(ABS('2. Demand History'!Z478-IF($D478="Yes",'2. Demand History'!N478,AVERAGE('2. Demand History'!W478:Y478)))/MAX('2. Demand History'!Z478,1),3)</f>
        <v>9.6000000000000002E-2</v>
      </c>
    </row>
    <row r="479" spans="1:17" ht="15" customHeight="1" x14ac:dyDescent="0.2">
      <c r="A479" s="3" t="str">
        <f>'2. Demand History'!A479</f>
        <v>NT10475</v>
      </c>
      <c r="B479" s="1" t="str">
        <f>'2. Demand History'!B479</f>
        <v>HDMI Cable 4K V959</v>
      </c>
      <c r="C479" s="3" t="str">
        <f>'1. Master Data'!C479</f>
        <v>Accessories</v>
      </c>
      <c r="D479" s="3" t="s">
        <v>1112</v>
      </c>
      <c r="E479" s="3" t="str">
        <f t="shared" si="21"/>
        <v>Moving Avg 3</v>
      </c>
      <c r="F479" s="3">
        <f>ROUND(AVERAGE('2. Demand History'!O479:Z479),1)</f>
        <v>260.8</v>
      </c>
      <c r="G479" s="3">
        <f>ROUND(STDEV('2. Demand History'!O479:Z479),1)</f>
        <v>14.3</v>
      </c>
      <c r="H479" s="8">
        <f t="shared" si="22"/>
        <v>0.05</v>
      </c>
      <c r="I479" s="8">
        <f>ROUND(SUM('2. Demand History'!O479:Z479)/MAX(SUM('2. Demand History'!C479:N479),1),2)</f>
        <v>1.05</v>
      </c>
      <c r="J479" s="5">
        <f>IF(D479="Yes",ROUND('2. Demand History'!O479*I479,0),ROUND(AVERAGE('2. Demand History'!X479:Z479),0))</f>
        <v>273</v>
      </c>
      <c r="K479" s="9">
        <f t="shared" si="23"/>
        <v>4.9000000000000002E-2</v>
      </c>
      <c r="L479" s="10">
        <f>ROUND(ABS('2. Demand History'!U479-IF($D479="Yes",'2. Demand History'!I479,AVERAGE('2. Demand History'!R479:T479)))/MAX('2. Demand History'!U479,1),3)</f>
        <v>6.9000000000000006E-2</v>
      </c>
      <c r="M479" s="10">
        <f>ROUND(ABS('2. Demand History'!V479-IF($D479="Yes",'2. Demand History'!J479,AVERAGE('2. Demand History'!S479:U479)))/MAX('2. Demand History'!V479,1),3)</f>
        <v>8.2000000000000003E-2</v>
      </c>
      <c r="N479" s="10">
        <f>ROUND(ABS('2. Demand History'!W479-IF($D479="Yes",'2. Demand History'!K479,AVERAGE('2. Demand History'!T479:V479)))/MAX('2. Demand History'!W479,1),3)</f>
        <v>7.8E-2</v>
      </c>
      <c r="O479" s="10">
        <f>ROUND(ABS('2. Demand History'!X479-IF($D479="Yes",'2. Demand History'!L479,AVERAGE('2. Demand History'!U479:W479)))/MAX('2. Demand History'!X479,1),3)</f>
        <v>2.3E-2</v>
      </c>
      <c r="P479" s="10">
        <f>ROUND(ABS('2. Demand History'!Y479-IF($D479="Yes",'2. Demand History'!M479,AVERAGE('2. Demand History'!V479:X479)))/MAX('2. Demand History'!Y479,1),3)</f>
        <v>4.3999999999999997E-2</v>
      </c>
      <c r="Q479" s="10">
        <f>ROUND(ABS('2. Demand History'!Z479-IF($D479="Yes",'2. Demand History'!N479,AVERAGE('2. Demand History'!W479:Y479)))/MAX('2. Demand History'!Z479,1),3)</f>
        <v>0</v>
      </c>
    </row>
    <row r="480" spans="1:17" ht="15" customHeight="1" x14ac:dyDescent="0.2">
      <c r="A480" s="3" t="str">
        <f>'2. Demand History'!A480</f>
        <v>NT10476</v>
      </c>
      <c r="B480" s="1" t="str">
        <f>'2. Demand History'!B480</f>
        <v>USB C Cable 2m V851</v>
      </c>
      <c r="C480" s="3" t="str">
        <f>'1. Master Data'!C480</f>
        <v>Accessories</v>
      </c>
      <c r="D480" s="3" t="s">
        <v>1112</v>
      </c>
      <c r="E480" s="3" t="str">
        <f t="shared" si="21"/>
        <v>Moving Avg 3</v>
      </c>
      <c r="F480" s="3">
        <f>ROUND(AVERAGE('2. Demand History'!O480:Z480),1)</f>
        <v>237.7</v>
      </c>
      <c r="G480" s="3">
        <f>ROUND(STDEV('2. Demand History'!O480:Z480),1)</f>
        <v>10.9</v>
      </c>
      <c r="H480" s="8">
        <f t="shared" si="22"/>
        <v>0.05</v>
      </c>
      <c r="I480" s="8">
        <f>ROUND(SUM('2. Demand History'!O480:Z480)/MAX(SUM('2. Demand History'!C480:N480),1),2)</f>
        <v>1.1000000000000001</v>
      </c>
      <c r="J480" s="5">
        <f>IF(D480="Yes",ROUND('2. Demand History'!O480*I480,0),ROUND(AVERAGE('2. Demand History'!X480:Z480),0))</f>
        <v>234</v>
      </c>
      <c r="K480" s="9">
        <f t="shared" si="23"/>
        <v>1.2999999999999999E-2</v>
      </c>
      <c r="L480" s="10">
        <f>ROUND(ABS('2. Demand History'!U480-IF($D480="Yes",'2. Demand History'!I480,AVERAGE('2. Demand History'!R480:T480)))/MAX('2. Demand History'!U480,1),3)</f>
        <v>3.4000000000000002E-2</v>
      </c>
      <c r="M480" s="10">
        <f>ROUND(ABS('2. Demand History'!V480-IF($D480="Yes",'2. Demand History'!J480,AVERAGE('2. Demand History'!S480:U480)))/MAX('2. Demand History'!V480,1),3)</f>
        <v>1E-3</v>
      </c>
      <c r="N480" s="10">
        <f>ROUND(ABS('2. Demand History'!W480-IF($D480="Yes",'2. Demand History'!K480,AVERAGE('2. Demand History'!T480:V480)))/MAX('2. Demand History'!W480,1),3)</f>
        <v>1.7999999999999999E-2</v>
      </c>
      <c r="O480" s="10">
        <f>ROUND(ABS('2. Demand History'!X480-IF($D480="Yes",'2. Demand History'!L480,AVERAGE('2. Demand History'!U480:W480)))/MAX('2. Demand History'!X480,1),3)</f>
        <v>1.2999999999999999E-2</v>
      </c>
      <c r="P480" s="10">
        <f>ROUND(ABS('2. Demand History'!Y480-IF($D480="Yes",'2. Demand History'!M480,AVERAGE('2. Demand History'!V480:X480)))/MAX('2. Demand History'!Y480,1),3)</f>
        <v>1.0999999999999999E-2</v>
      </c>
      <c r="Q480" s="10">
        <f>ROUND(ABS('2. Demand History'!Z480-IF($D480="Yes",'2. Demand History'!N480,AVERAGE('2. Demand History'!W480:Y480)))/MAX('2. Demand History'!Z480,1),3)</f>
        <v>0</v>
      </c>
    </row>
    <row r="481" spans="1:17" ht="15" customHeight="1" x14ac:dyDescent="0.2">
      <c r="A481" s="3" t="str">
        <f>'2. Demand History'!A481</f>
        <v>NT10477</v>
      </c>
      <c r="B481" s="1" t="str">
        <f>'2. Demand History'!B481</f>
        <v>Laptop Sleeve 15in V301</v>
      </c>
      <c r="C481" s="3" t="str">
        <f>'1. Master Data'!C481</f>
        <v>Accessories</v>
      </c>
      <c r="D481" s="3" t="s">
        <v>1112</v>
      </c>
      <c r="E481" s="3" t="str">
        <f t="shared" si="21"/>
        <v>Moving Avg 3</v>
      </c>
      <c r="F481" s="3">
        <f>ROUND(AVERAGE('2. Demand History'!O481:Z481),1)</f>
        <v>610</v>
      </c>
      <c r="G481" s="3">
        <f>ROUND(STDEV('2. Demand History'!O481:Z481),1)</f>
        <v>47.7</v>
      </c>
      <c r="H481" s="8">
        <f t="shared" si="22"/>
        <v>0.08</v>
      </c>
      <c r="I481" s="8">
        <f>ROUND(SUM('2. Demand History'!O481:Z481)/MAX(SUM('2. Demand History'!C481:N481),1),2)</f>
        <v>1.07</v>
      </c>
      <c r="J481" s="5">
        <f>IF(D481="Yes",ROUND('2. Demand History'!O481*I481,0),ROUND(AVERAGE('2. Demand History'!X481:Z481),0))</f>
        <v>581</v>
      </c>
      <c r="K481" s="9">
        <f t="shared" si="23"/>
        <v>7.6999999999999999E-2</v>
      </c>
      <c r="L481" s="10">
        <f>ROUND(ABS('2. Demand History'!U481-IF($D481="Yes",'2. Demand History'!I481,AVERAGE('2. Demand History'!R481:T481)))/MAX('2. Demand History'!U481,1),3)</f>
        <v>9.5000000000000001E-2</v>
      </c>
      <c r="M481" s="10">
        <f>ROUND(ABS('2. Demand History'!V481-IF($D481="Yes",'2. Demand History'!J481,AVERAGE('2. Demand History'!S481:U481)))/MAX('2. Demand History'!V481,1),3)</f>
        <v>2.7E-2</v>
      </c>
      <c r="N481" s="10">
        <f>ROUND(ABS('2. Demand History'!W481-IF($D481="Yes",'2. Demand History'!K481,AVERAGE('2. Demand History'!T481:V481)))/MAX('2. Demand History'!W481,1),3)</f>
        <v>3.3000000000000002E-2</v>
      </c>
      <c r="O481" s="10">
        <f>ROUND(ABS('2. Demand History'!X481-IF($D481="Yes",'2. Demand History'!L481,AVERAGE('2. Demand History'!U481:W481)))/MAX('2. Demand History'!X481,1),3)</f>
        <v>3.5000000000000003E-2</v>
      </c>
      <c r="P481" s="10">
        <f>ROUND(ABS('2. Demand History'!Y481-IF($D481="Yes",'2. Demand History'!M481,AVERAGE('2. Demand History'!V481:X481)))/MAX('2. Demand History'!Y481,1),3)</f>
        <v>2.8000000000000001E-2</v>
      </c>
      <c r="Q481" s="10">
        <f>ROUND(ABS('2. Demand History'!Z481-IF($D481="Yes",'2. Demand History'!N481,AVERAGE('2. Demand History'!W481:Y481)))/MAX('2. Demand History'!Z481,1),3)</f>
        <v>0.24199999999999999</v>
      </c>
    </row>
    <row r="482" spans="1:17" ht="15" customHeight="1" x14ac:dyDescent="0.2">
      <c r="A482" s="3" t="str">
        <f>'2. Demand History'!A482</f>
        <v>NT10478</v>
      </c>
      <c r="B482" s="1" t="str">
        <f>'2. Demand History'!B482</f>
        <v>Power Bank 10K V365</v>
      </c>
      <c r="C482" s="3" t="str">
        <f>'1. Master Data'!C482</f>
        <v>Accessories</v>
      </c>
      <c r="D482" s="3" t="s">
        <v>1112</v>
      </c>
      <c r="E482" s="3" t="str">
        <f t="shared" si="21"/>
        <v>Moving Avg 3</v>
      </c>
      <c r="F482" s="3">
        <f>ROUND(AVERAGE('2. Demand History'!O482:Z482),1)</f>
        <v>559.79999999999995</v>
      </c>
      <c r="G482" s="3">
        <f>ROUND(STDEV('2. Demand History'!O482:Z482),1)</f>
        <v>35.6</v>
      </c>
      <c r="H482" s="8">
        <f t="shared" si="22"/>
        <v>0.06</v>
      </c>
      <c r="I482" s="8">
        <f>ROUND(SUM('2. Demand History'!O482:Z482)/MAX(SUM('2. Demand History'!C482:N482),1),2)</f>
        <v>1.05</v>
      </c>
      <c r="J482" s="5">
        <f>IF(D482="Yes",ROUND('2. Demand History'!O482*I482,0),ROUND(AVERAGE('2. Demand History'!X482:Z482),0))</f>
        <v>546</v>
      </c>
      <c r="K482" s="9">
        <f t="shared" si="23"/>
        <v>6.9000000000000006E-2</v>
      </c>
      <c r="L482" s="10">
        <f>ROUND(ABS('2. Demand History'!U482-IF($D482="Yes",'2. Demand History'!I482,AVERAGE('2. Demand History'!R482:T482)))/MAX('2. Demand History'!U482,1),3)</f>
        <v>8.9999999999999993E-3</v>
      </c>
      <c r="M482" s="10">
        <f>ROUND(ABS('2. Demand History'!V482-IF($D482="Yes",'2. Demand History'!J482,AVERAGE('2. Demand History'!S482:U482)))/MAX('2. Demand History'!V482,1),3)</f>
        <v>0.113</v>
      </c>
      <c r="N482" s="10">
        <f>ROUND(ABS('2. Demand History'!W482-IF($D482="Yes",'2. Demand History'!K482,AVERAGE('2. Demand History'!T482:V482)))/MAX('2. Demand History'!W482,1),3)</f>
        <v>0.17</v>
      </c>
      <c r="O482" s="10">
        <f>ROUND(ABS('2. Demand History'!X482-IF($D482="Yes",'2. Demand History'!L482,AVERAGE('2. Demand History'!U482:W482)))/MAX('2. Demand History'!X482,1),3)</f>
        <v>1.2999999999999999E-2</v>
      </c>
      <c r="P482" s="10">
        <f>ROUND(ABS('2. Demand History'!Y482-IF($D482="Yes",'2. Demand History'!M482,AVERAGE('2. Demand History'!V482:X482)))/MAX('2. Demand History'!Y482,1),3)</f>
        <v>0.04</v>
      </c>
      <c r="Q482" s="10">
        <f>ROUND(ABS('2. Demand History'!Z482-IF($D482="Yes",'2. Demand History'!N482,AVERAGE('2. Demand History'!W482:Y482)))/MAX('2. Demand History'!Z482,1),3)</f>
        <v>7.0999999999999994E-2</v>
      </c>
    </row>
    <row r="483" spans="1:17" ht="15" customHeight="1" x14ac:dyDescent="0.2">
      <c r="A483" s="3" t="str">
        <f>'2. Demand History'!A483</f>
        <v>NT10479</v>
      </c>
      <c r="B483" s="1" t="str">
        <f>'2. Demand History'!B483</f>
        <v>USB C Cable 2m V217</v>
      </c>
      <c r="C483" s="3" t="str">
        <f>'1. Master Data'!C483</f>
        <v>Accessories</v>
      </c>
      <c r="D483" s="3" t="s">
        <v>1112</v>
      </c>
      <c r="E483" s="3" t="str">
        <f t="shared" si="21"/>
        <v>Moving Avg 3</v>
      </c>
      <c r="F483" s="3">
        <f>ROUND(AVERAGE('2. Demand History'!O483:Z483),1)</f>
        <v>205.3</v>
      </c>
      <c r="G483" s="3">
        <f>ROUND(STDEV('2. Demand History'!O483:Z483),1)</f>
        <v>14.4</v>
      </c>
      <c r="H483" s="8">
        <f t="shared" si="22"/>
        <v>7.0000000000000007E-2</v>
      </c>
      <c r="I483" s="8">
        <f>ROUND(SUM('2. Demand History'!O483:Z483)/MAX(SUM('2. Demand History'!C483:N483),1),2)</f>
        <v>1.04</v>
      </c>
      <c r="J483" s="5">
        <f>IF(D483="Yes",ROUND('2. Demand History'!O483*I483,0),ROUND(AVERAGE('2. Demand History'!X483:Z483),0))</f>
        <v>210</v>
      </c>
      <c r="K483" s="9">
        <f t="shared" si="23"/>
        <v>7.4999999999999997E-2</v>
      </c>
      <c r="L483" s="10">
        <f>ROUND(ABS('2. Demand History'!U483-IF($D483="Yes",'2. Demand History'!I483,AVERAGE('2. Demand History'!R483:T483)))/MAX('2. Demand History'!U483,1),3)</f>
        <v>0.13500000000000001</v>
      </c>
      <c r="M483" s="10">
        <f>ROUND(ABS('2. Demand History'!V483-IF($D483="Yes",'2. Demand History'!J483,AVERAGE('2. Demand History'!S483:U483)))/MAX('2. Demand History'!V483,1),3)</f>
        <v>0.14199999999999999</v>
      </c>
      <c r="N483" s="10">
        <f>ROUND(ABS('2. Demand History'!W483-IF($D483="Yes",'2. Demand History'!K483,AVERAGE('2. Demand History'!T483:V483)))/MAX('2. Demand History'!W483,1),3)</f>
        <v>8.7999999999999995E-2</v>
      </c>
      <c r="O483" s="10">
        <f>ROUND(ABS('2. Demand History'!X483-IF($D483="Yes",'2. Demand History'!L483,AVERAGE('2. Demand History'!U483:W483)))/MAX('2. Demand History'!X483,1),3)</f>
        <v>1.2999999999999999E-2</v>
      </c>
      <c r="P483" s="10">
        <f>ROUND(ABS('2. Demand History'!Y483-IF($D483="Yes",'2. Demand History'!M483,AVERAGE('2. Demand History'!V483:X483)))/MAX('2. Demand History'!Y483,1),3)</f>
        <v>0.01</v>
      </c>
      <c r="Q483" s="10">
        <f>ROUND(ABS('2. Demand History'!Z483-IF($D483="Yes",'2. Demand History'!N483,AVERAGE('2. Demand History'!W483:Y483)))/MAX('2. Demand History'!Z483,1),3)</f>
        <v>6.2E-2</v>
      </c>
    </row>
    <row r="484" spans="1:17" ht="15" customHeight="1" x14ac:dyDescent="0.2">
      <c r="A484" s="3" t="str">
        <f>'2. Demand History'!A484</f>
        <v>NT10480</v>
      </c>
      <c r="B484" s="1" t="str">
        <f>'2. Demand History'!B484</f>
        <v>Wall Charger 65W V886</v>
      </c>
      <c r="C484" s="3" t="str">
        <f>'1. Master Data'!C484</f>
        <v>Accessories</v>
      </c>
      <c r="D484" s="3" t="s">
        <v>1112</v>
      </c>
      <c r="E484" s="3" t="str">
        <f t="shared" si="21"/>
        <v>Moving Avg 3</v>
      </c>
      <c r="F484" s="3">
        <f>ROUND(AVERAGE('2. Demand History'!O484:Z484),1)</f>
        <v>538.29999999999995</v>
      </c>
      <c r="G484" s="3">
        <f>ROUND(STDEV('2. Demand History'!O484:Z484),1)</f>
        <v>28.6</v>
      </c>
      <c r="H484" s="8">
        <f t="shared" si="22"/>
        <v>0.05</v>
      </c>
      <c r="I484" s="8">
        <f>ROUND(SUM('2. Demand History'!O484:Z484)/MAX(SUM('2. Demand History'!C484:N484),1),2)</f>
        <v>1.02</v>
      </c>
      <c r="J484" s="5">
        <f>IF(D484="Yes",ROUND('2. Demand History'!O484*I484,0),ROUND(AVERAGE('2. Demand History'!X484:Z484),0))</f>
        <v>547</v>
      </c>
      <c r="K484" s="9">
        <f t="shared" si="23"/>
        <v>6.0999999999999999E-2</v>
      </c>
      <c r="L484" s="10">
        <f>ROUND(ABS('2. Demand History'!U484-IF($D484="Yes",'2. Demand History'!I484,AVERAGE('2. Demand History'!R484:T484)))/MAX('2. Demand History'!U484,1),3)</f>
        <v>0.04</v>
      </c>
      <c r="M484" s="10">
        <f>ROUND(ABS('2. Demand History'!V484-IF($D484="Yes",'2. Demand History'!J484,AVERAGE('2. Demand History'!S484:U484)))/MAX('2. Demand History'!V484,1),3)</f>
        <v>7.4999999999999997E-2</v>
      </c>
      <c r="N484" s="10">
        <f>ROUND(ABS('2. Demand History'!W484-IF($D484="Yes",'2. Demand History'!K484,AVERAGE('2. Demand History'!T484:V484)))/MAX('2. Demand History'!W484,1),3)</f>
        <v>3.3000000000000002E-2</v>
      </c>
      <c r="O484" s="10">
        <f>ROUND(ABS('2. Demand History'!X484-IF($D484="Yes",'2. Demand History'!L484,AVERAGE('2. Demand History'!U484:W484)))/MAX('2. Demand History'!X484,1),3)</f>
        <v>0.113</v>
      </c>
      <c r="P484" s="10">
        <f>ROUND(ABS('2. Demand History'!Y484-IF($D484="Yes",'2. Demand History'!M484,AVERAGE('2. Demand History'!V484:X484)))/MAX('2. Demand History'!Y484,1),3)</f>
        <v>2.5000000000000001E-2</v>
      </c>
      <c r="Q484" s="10">
        <f>ROUND(ABS('2. Demand History'!Z484-IF($D484="Yes",'2. Demand History'!N484,AVERAGE('2. Demand History'!W484:Y484)))/MAX('2. Demand History'!Z484,1),3)</f>
        <v>7.8E-2</v>
      </c>
    </row>
    <row r="485" spans="1:17" ht="15" customHeight="1" x14ac:dyDescent="0.2">
      <c r="A485" s="3" t="str">
        <f>'2. Demand History'!A485</f>
        <v>NT10481</v>
      </c>
      <c r="B485" s="1" t="str">
        <f>'2. Demand History'!B485</f>
        <v>Screen Guard 821</v>
      </c>
      <c r="C485" s="3" t="str">
        <f>'1. Master Data'!C485</f>
        <v>Accessories</v>
      </c>
      <c r="D485" s="3" t="s">
        <v>1112</v>
      </c>
      <c r="E485" s="3" t="str">
        <f t="shared" si="21"/>
        <v>Moving Avg 3</v>
      </c>
      <c r="F485" s="3">
        <f>ROUND(AVERAGE('2. Demand History'!O485:Z485),1)</f>
        <v>173.2</v>
      </c>
      <c r="G485" s="3">
        <f>ROUND(STDEV('2. Demand History'!O485:Z485),1)</f>
        <v>10.8</v>
      </c>
      <c r="H485" s="8">
        <f t="shared" si="22"/>
        <v>0.06</v>
      </c>
      <c r="I485" s="8">
        <f>ROUND(SUM('2. Demand History'!O485:Z485)/MAX(SUM('2. Demand History'!C485:N485),1),2)</f>
        <v>1</v>
      </c>
      <c r="J485" s="5">
        <f>IF(D485="Yes",ROUND('2. Demand History'!O485*I485,0),ROUND(AVERAGE('2. Demand History'!X485:Z485),0))</f>
        <v>168</v>
      </c>
      <c r="K485" s="9">
        <f t="shared" si="23"/>
        <v>9.5000000000000001E-2</v>
      </c>
      <c r="L485" s="10">
        <f>ROUND(ABS('2. Demand History'!U485-IF($D485="Yes",'2. Demand History'!I485,AVERAGE('2. Demand History'!R485:T485)))/MAX('2. Demand History'!U485,1),3)</f>
        <v>0.109</v>
      </c>
      <c r="M485" s="10">
        <f>ROUND(ABS('2. Demand History'!V485-IF($D485="Yes",'2. Demand History'!J485,AVERAGE('2. Demand History'!S485:U485)))/MAX('2. Demand History'!V485,1),3)</f>
        <v>0.14099999999999999</v>
      </c>
      <c r="N485" s="10">
        <f>ROUND(ABS('2. Demand History'!W485-IF($D485="Yes",'2. Demand History'!K485,AVERAGE('2. Demand History'!T485:V485)))/MAX('2. Demand History'!W485,1),3)</f>
        <v>7.0000000000000001E-3</v>
      </c>
      <c r="O485" s="10">
        <f>ROUND(ABS('2. Demand History'!X485-IF($D485="Yes",'2. Demand History'!L485,AVERAGE('2. Demand History'!U485:W485)))/MAX('2. Demand History'!X485,1),3)</f>
        <v>0.14299999999999999</v>
      </c>
      <c r="P485" s="10">
        <f>ROUND(ABS('2. Demand History'!Y485-IF($D485="Yes",'2. Demand History'!M485,AVERAGE('2. Demand History'!V485:X485)))/MAX('2. Demand History'!Y485,1),3)</f>
        <v>0.107</v>
      </c>
      <c r="Q485" s="10">
        <f>ROUND(ABS('2. Demand History'!Z485-IF($D485="Yes",'2. Demand History'!N485,AVERAGE('2. Demand History'!W485:Y485)))/MAX('2. Demand History'!Z485,1),3)</f>
        <v>6.0999999999999999E-2</v>
      </c>
    </row>
    <row r="486" spans="1:17" ht="15" customHeight="1" x14ac:dyDescent="0.2">
      <c r="A486" s="3" t="str">
        <f>'2. Demand History'!A486</f>
        <v>NT10482</v>
      </c>
      <c r="B486" s="1" t="str">
        <f>'2. Demand History'!B486</f>
        <v>Car Mount V587</v>
      </c>
      <c r="C486" s="3" t="str">
        <f>'1. Master Data'!C486</f>
        <v>Accessories</v>
      </c>
      <c r="D486" s="3" t="s">
        <v>1112</v>
      </c>
      <c r="E486" s="3" t="str">
        <f t="shared" si="21"/>
        <v>Moving Avg 3</v>
      </c>
      <c r="F486" s="3">
        <f>ROUND(AVERAGE('2. Demand History'!O486:Z486),1)</f>
        <v>277.89999999999998</v>
      </c>
      <c r="G486" s="3">
        <f>ROUND(STDEV('2. Demand History'!O486:Z486),1)</f>
        <v>20</v>
      </c>
      <c r="H486" s="8">
        <f t="shared" si="22"/>
        <v>7.0000000000000007E-2</v>
      </c>
      <c r="I486" s="8">
        <f>ROUND(SUM('2. Demand History'!O486:Z486)/MAX(SUM('2. Demand History'!C486:N486),1),2)</f>
        <v>1</v>
      </c>
      <c r="J486" s="5">
        <f>IF(D486="Yes",ROUND('2. Demand History'!O486*I486,0),ROUND(AVERAGE('2. Demand History'!X486:Z486),0))</f>
        <v>267</v>
      </c>
      <c r="K486" s="9">
        <f t="shared" si="23"/>
        <v>6.4000000000000001E-2</v>
      </c>
      <c r="L486" s="10">
        <f>ROUND(ABS('2. Demand History'!U486-IF($D486="Yes",'2. Demand History'!I486,AVERAGE('2. Demand History'!R486:T486)))/MAX('2. Demand History'!U486,1),3)</f>
        <v>1.7999999999999999E-2</v>
      </c>
      <c r="M486" s="10">
        <f>ROUND(ABS('2. Demand History'!V486-IF($D486="Yes",'2. Demand History'!J486,AVERAGE('2. Demand History'!S486:U486)))/MAX('2. Demand History'!V486,1),3)</f>
        <v>9.5000000000000001E-2</v>
      </c>
      <c r="N486" s="10">
        <f>ROUND(ABS('2. Demand History'!W486-IF($D486="Yes",'2. Demand History'!K486,AVERAGE('2. Demand History'!T486:V486)))/MAX('2. Demand History'!W486,1),3)</f>
        <v>2.1000000000000001E-2</v>
      </c>
      <c r="O486" s="10">
        <f>ROUND(ABS('2. Demand History'!X486-IF($D486="Yes",'2. Demand History'!L486,AVERAGE('2. Demand History'!U486:W486)))/MAX('2. Demand History'!X486,1),3)</f>
        <v>0.157</v>
      </c>
      <c r="P486" s="10">
        <f>ROUND(ABS('2. Demand History'!Y486-IF($D486="Yes",'2. Demand History'!M486,AVERAGE('2. Demand History'!V486:X486)))/MAX('2. Demand History'!Y486,1),3)</f>
        <v>4.7E-2</v>
      </c>
      <c r="Q486" s="10">
        <f>ROUND(ABS('2. Demand History'!Z486-IF($D486="Yes",'2. Demand History'!N486,AVERAGE('2. Demand History'!W486:Y486)))/MAX('2. Demand History'!Z486,1),3)</f>
        <v>4.2999999999999997E-2</v>
      </c>
    </row>
    <row r="487" spans="1:17" ht="15" customHeight="1" x14ac:dyDescent="0.2">
      <c r="A487" s="3" t="str">
        <f>'2. Demand History'!A487</f>
        <v>NT10483</v>
      </c>
      <c r="B487" s="1" t="str">
        <f>'2. Demand History'!B487</f>
        <v>Laptop Sleeve 15in V271</v>
      </c>
      <c r="C487" s="3" t="str">
        <f>'1. Master Data'!C487</f>
        <v>Accessories</v>
      </c>
      <c r="D487" s="3" t="s">
        <v>1112</v>
      </c>
      <c r="E487" s="3" t="str">
        <f t="shared" si="21"/>
        <v>Moving Avg 3</v>
      </c>
      <c r="F487" s="3">
        <f>ROUND(AVERAGE('2. Demand History'!O487:Z487),1)</f>
        <v>415</v>
      </c>
      <c r="G487" s="3">
        <f>ROUND(STDEV('2. Demand History'!O487:Z487),1)</f>
        <v>19.2</v>
      </c>
      <c r="H487" s="8">
        <f t="shared" si="22"/>
        <v>0.05</v>
      </c>
      <c r="I487" s="8">
        <f>ROUND(SUM('2. Demand History'!O487:Z487)/MAX(SUM('2. Demand History'!C487:N487),1),2)</f>
        <v>1.03</v>
      </c>
      <c r="J487" s="5">
        <f>IF(D487="Yes",ROUND('2. Demand History'!O487*I487,0),ROUND(AVERAGE('2. Demand History'!X487:Z487),0))</f>
        <v>433</v>
      </c>
      <c r="K487" s="9">
        <f t="shared" si="23"/>
        <v>3.1E-2</v>
      </c>
      <c r="L487" s="10">
        <f>ROUND(ABS('2. Demand History'!U487-IF($D487="Yes",'2. Demand History'!I487,AVERAGE('2. Demand History'!R487:T487)))/MAX('2. Demand History'!U487,1),3)</f>
        <v>2.5000000000000001E-2</v>
      </c>
      <c r="M487" s="10">
        <f>ROUND(ABS('2. Demand History'!V487-IF($D487="Yes",'2. Demand History'!J487,AVERAGE('2. Demand History'!S487:U487)))/MAX('2. Demand History'!V487,1),3)</f>
        <v>0.02</v>
      </c>
      <c r="N487" s="10">
        <f>ROUND(ABS('2. Demand History'!W487-IF($D487="Yes",'2. Demand History'!K487,AVERAGE('2. Demand History'!T487:V487)))/MAX('2. Demand History'!W487,1),3)</f>
        <v>1.9E-2</v>
      </c>
      <c r="O487" s="10">
        <f>ROUND(ABS('2. Demand History'!X487-IF($D487="Yes",'2. Demand History'!L487,AVERAGE('2. Demand History'!U487:W487)))/MAX('2. Demand History'!X487,1),3)</f>
        <v>0.08</v>
      </c>
      <c r="P487" s="10">
        <f>ROUND(ABS('2. Demand History'!Y487-IF($D487="Yes",'2. Demand History'!M487,AVERAGE('2. Demand History'!V487:X487)))/MAX('2. Demand History'!Y487,1),3)</f>
        <v>3.6999999999999998E-2</v>
      </c>
      <c r="Q487" s="10">
        <f>ROUND(ABS('2. Demand History'!Z487-IF($D487="Yes",'2. Demand History'!N487,AVERAGE('2. Demand History'!W487:Y487)))/MAX('2. Demand History'!Z487,1),3)</f>
        <v>2E-3</v>
      </c>
    </row>
    <row r="488" spans="1:17" ht="15" customHeight="1" x14ac:dyDescent="0.2">
      <c r="A488" s="3" t="str">
        <f>'2. Demand History'!A488</f>
        <v>NT10484</v>
      </c>
      <c r="B488" s="1" t="str">
        <f>'2. Demand History'!B488</f>
        <v>Screen Guard 118</v>
      </c>
      <c r="C488" s="3" t="str">
        <f>'1. Master Data'!C488</f>
        <v>Accessories</v>
      </c>
      <c r="D488" s="3" t="s">
        <v>1112</v>
      </c>
      <c r="E488" s="3" t="str">
        <f t="shared" si="21"/>
        <v>Moving Avg 3</v>
      </c>
      <c r="F488" s="3">
        <f>ROUND(AVERAGE('2. Demand History'!O488:Z488),1)</f>
        <v>219.8</v>
      </c>
      <c r="G488" s="3">
        <f>ROUND(STDEV('2. Demand History'!O488:Z488),1)</f>
        <v>11.6</v>
      </c>
      <c r="H488" s="8">
        <f t="shared" si="22"/>
        <v>0.05</v>
      </c>
      <c r="I488" s="8">
        <f>ROUND(SUM('2. Demand History'!O488:Z488)/MAX(SUM('2. Demand History'!C488:N488),1),2)</f>
        <v>1.1000000000000001</v>
      </c>
      <c r="J488" s="5">
        <f>IF(D488="Yes",ROUND('2. Demand History'!O488*I488,0),ROUND(AVERAGE('2. Demand History'!X488:Z488),0))</f>
        <v>227</v>
      </c>
      <c r="K488" s="9">
        <f t="shared" si="23"/>
        <v>5.5E-2</v>
      </c>
      <c r="L488" s="10">
        <f>ROUND(ABS('2. Demand History'!U488-IF($D488="Yes",'2. Demand History'!I488,AVERAGE('2. Demand History'!R488:T488)))/MAX('2. Demand History'!U488,1),3)</f>
        <v>6.6000000000000003E-2</v>
      </c>
      <c r="M488" s="10">
        <f>ROUND(ABS('2. Demand History'!V488-IF($D488="Yes",'2. Demand History'!J488,AVERAGE('2. Demand History'!S488:U488)))/MAX('2. Demand History'!V488,1),3)</f>
        <v>0.113</v>
      </c>
      <c r="N488" s="10">
        <f>ROUND(ABS('2. Demand History'!W488-IF($D488="Yes",'2. Demand History'!K488,AVERAGE('2. Demand History'!T488:V488)))/MAX('2. Demand History'!W488,1),3)</f>
        <v>6.7000000000000004E-2</v>
      </c>
      <c r="O488" s="10">
        <f>ROUND(ABS('2. Demand History'!X488-IF($D488="Yes",'2. Demand History'!L488,AVERAGE('2. Demand History'!U488:W488)))/MAX('2. Demand History'!X488,1),3)</f>
        <v>4.8000000000000001E-2</v>
      </c>
      <c r="P488" s="10">
        <f>ROUND(ABS('2. Demand History'!Y488-IF($D488="Yes",'2. Demand History'!M488,AVERAGE('2. Demand History'!V488:X488)))/MAX('2. Demand History'!Y488,1),3)</f>
        <v>1.7000000000000001E-2</v>
      </c>
      <c r="Q488" s="10">
        <f>ROUND(ABS('2. Demand History'!Z488-IF($D488="Yes",'2. Demand History'!N488,AVERAGE('2. Demand History'!W488:Y488)))/MAX('2. Demand History'!Z488,1),3)</f>
        <v>1.6E-2</v>
      </c>
    </row>
    <row r="489" spans="1:17" ht="15" customHeight="1" x14ac:dyDescent="0.2">
      <c r="A489" s="3" t="str">
        <f>'2. Demand History'!A489</f>
        <v>NT10485</v>
      </c>
      <c r="B489" s="1" t="str">
        <f>'2. Demand History'!B489</f>
        <v>Power Bank 10K V686</v>
      </c>
      <c r="C489" s="3" t="str">
        <f>'1. Master Data'!C489</f>
        <v>Accessories</v>
      </c>
      <c r="D489" s="3" t="s">
        <v>1112</v>
      </c>
      <c r="E489" s="3" t="str">
        <f t="shared" si="21"/>
        <v>Moving Avg 3</v>
      </c>
      <c r="F489" s="3">
        <f>ROUND(AVERAGE('2. Demand History'!O489:Z489),1)</f>
        <v>494.2</v>
      </c>
      <c r="G489" s="3">
        <f>ROUND(STDEV('2. Demand History'!O489:Z489),1)</f>
        <v>56.4</v>
      </c>
      <c r="H489" s="8">
        <f t="shared" si="22"/>
        <v>0.11</v>
      </c>
      <c r="I489" s="8">
        <f>ROUND(SUM('2. Demand History'!O489:Z489)/MAX(SUM('2. Demand History'!C489:N489),1),2)</f>
        <v>1.1399999999999999</v>
      </c>
      <c r="J489" s="5">
        <f>IF(D489="Yes",ROUND('2. Demand History'!O489*I489,0),ROUND(AVERAGE('2. Demand History'!X489:Z489),0))</f>
        <v>529</v>
      </c>
      <c r="K489" s="9">
        <f t="shared" si="23"/>
        <v>8.1000000000000003E-2</v>
      </c>
      <c r="L489" s="10">
        <f>ROUND(ABS('2. Demand History'!U489-IF($D489="Yes",'2. Demand History'!I489,AVERAGE('2. Demand History'!R489:T489)))/MAX('2. Demand History'!U489,1),3)</f>
        <v>0.18099999999999999</v>
      </c>
      <c r="M489" s="10">
        <f>ROUND(ABS('2. Demand History'!V489-IF($D489="Yes",'2. Demand History'!J489,AVERAGE('2. Demand History'!S489:U489)))/MAX('2. Demand History'!V489,1),3)</f>
        <v>6.0000000000000001E-3</v>
      </c>
      <c r="N489" s="10">
        <f>ROUND(ABS('2. Demand History'!W489-IF($D489="Yes",'2. Demand History'!K489,AVERAGE('2. Demand History'!T489:V489)))/MAX('2. Demand History'!W489,1),3)</f>
        <v>0.20100000000000001</v>
      </c>
      <c r="O489" s="10">
        <f>ROUND(ABS('2. Demand History'!X489-IF($D489="Yes",'2. Demand History'!L489,AVERAGE('2. Demand History'!U489:W489)))/MAX('2. Demand History'!X489,1),3)</f>
        <v>4.1000000000000002E-2</v>
      </c>
      <c r="P489" s="10">
        <f>ROUND(ABS('2. Demand History'!Y489-IF($D489="Yes",'2. Demand History'!M489,AVERAGE('2. Demand History'!V489:X489)))/MAX('2. Demand History'!Y489,1),3)</f>
        <v>2.7E-2</v>
      </c>
      <c r="Q489" s="10">
        <f>ROUND(ABS('2. Demand History'!Z489-IF($D489="Yes",'2. Demand History'!N489,AVERAGE('2. Demand History'!W489:Y489)))/MAX('2. Demand History'!Z489,1),3)</f>
        <v>2.8000000000000001E-2</v>
      </c>
    </row>
    <row r="490" spans="1:17" ht="15" customHeight="1" x14ac:dyDescent="0.2">
      <c r="A490" s="3" t="str">
        <f>'2. Demand History'!A490</f>
        <v>NT10486</v>
      </c>
      <c r="B490" s="1" t="str">
        <f>'2. Demand History'!B490</f>
        <v>HDMI Cable 4K V465</v>
      </c>
      <c r="C490" s="3" t="str">
        <f>'1. Master Data'!C490</f>
        <v>Accessories</v>
      </c>
      <c r="D490" s="3" t="s">
        <v>1112</v>
      </c>
      <c r="E490" s="3" t="str">
        <f t="shared" si="21"/>
        <v>Moving Avg 3</v>
      </c>
      <c r="F490" s="3">
        <f>ROUND(AVERAGE('2. Demand History'!O490:Z490),1)</f>
        <v>987.8</v>
      </c>
      <c r="G490" s="3">
        <f>ROUND(STDEV('2. Demand History'!O490:Z490),1)</f>
        <v>47.1</v>
      </c>
      <c r="H490" s="8">
        <f t="shared" si="22"/>
        <v>0.05</v>
      </c>
      <c r="I490" s="8">
        <f>ROUND(SUM('2. Demand History'!O490:Z490)/MAX(SUM('2. Demand History'!C490:N490),1),2)</f>
        <v>1.07</v>
      </c>
      <c r="J490" s="5">
        <f>IF(D490="Yes",ROUND('2. Demand History'!O490*I490,0),ROUND(AVERAGE('2. Demand History'!X490:Z490),0))</f>
        <v>995</v>
      </c>
      <c r="K490" s="9">
        <f t="shared" si="23"/>
        <v>4.2999999999999997E-2</v>
      </c>
      <c r="L490" s="10">
        <f>ROUND(ABS('2. Demand History'!U490-IF($D490="Yes",'2. Demand History'!I490,AVERAGE('2. Demand History'!R490:T490)))/MAX('2. Demand History'!U490,1),3)</f>
        <v>3.2000000000000001E-2</v>
      </c>
      <c r="M490" s="10">
        <f>ROUND(ABS('2. Demand History'!V490-IF($D490="Yes",'2. Demand History'!J490,AVERAGE('2. Demand History'!S490:U490)))/MAX('2. Demand History'!V490,1),3)</f>
        <v>3.5999999999999997E-2</v>
      </c>
      <c r="N490" s="10">
        <f>ROUND(ABS('2. Demand History'!W490-IF($D490="Yes",'2. Demand History'!K490,AVERAGE('2. Demand History'!T490:V490)))/MAX('2. Demand History'!W490,1),3)</f>
        <v>4.5999999999999999E-2</v>
      </c>
      <c r="O490" s="10">
        <f>ROUND(ABS('2. Demand History'!X490-IF($D490="Yes",'2. Demand History'!L490,AVERAGE('2. Demand History'!U490:W490)))/MAX('2. Demand History'!X490,1),3)</f>
        <v>2.9000000000000001E-2</v>
      </c>
      <c r="P490" s="10">
        <f>ROUND(ABS('2. Demand History'!Y490-IF($D490="Yes",'2. Demand History'!M490,AVERAGE('2. Demand History'!V490:X490)))/MAX('2. Demand History'!Y490,1),3)</f>
        <v>3.1E-2</v>
      </c>
      <c r="Q490" s="10">
        <f>ROUND(ABS('2. Demand History'!Z490-IF($D490="Yes",'2. Demand History'!N490,AVERAGE('2. Demand History'!W490:Y490)))/MAX('2. Demand History'!Z490,1),3)</f>
        <v>8.1000000000000003E-2</v>
      </c>
    </row>
    <row r="491" spans="1:17" ht="15" customHeight="1" x14ac:dyDescent="0.2">
      <c r="A491" s="3" t="str">
        <f>'2. Demand History'!A491</f>
        <v>NT10487</v>
      </c>
      <c r="B491" s="1" t="str">
        <f>'2. Demand History'!B491</f>
        <v>HDMI Cable 4K V201</v>
      </c>
      <c r="C491" s="3" t="str">
        <f>'1. Master Data'!C491</f>
        <v>Accessories</v>
      </c>
      <c r="D491" s="3" t="s">
        <v>1112</v>
      </c>
      <c r="E491" s="3" t="str">
        <f t="shared" si="21"/>
        <v>Moving Avg 3</v>
      </c>
      <c r="F491" s="3">
        <f>ROUND(AVERAGE('2. Demand History'!O491:Z491),1)</f>
        <v>315</v>
      </c>
      <c r="G491" s="3">
        <f>ROUND(STDEV('2. Demand History'!O491:Z491),1)</f>
        <v>24.6</v>
      </c>
      <c r="H491" s="8">
        <f t="shared" si="22"/>
        <v>0.08</v>
      </c>
      <c r="I491" s="8">
        <f>ROUND(SUM('2. Demand History'!O491:Z491)/MAX(SUM('2. Demand History'!C491:N491),1),2)</f>
        <v>1.07</v>
      </c>
      <c r="J491" s="5">
        <f>IF(D491="Yes",ROUND('2. Demand History'!O491*I491,0),ROUND(AVERAGE('2. Demand History'!X491:Z491),0))</f>
        <v>313</v>
      </c>
      <c r="K491" s="9">
        <f t="shared" si="23"/>
        <v>0.09</v>
      </c>
      <c r="L491" s="10">
        <f>ROUND(ABS('2. Demand History'!U491-IF($D491="Yes",'2. Demand History'!I491,AVERAGE('2. Demand History'!R491:T491)))/MAX('2. Demand History'!U491,1),3)</f>
        <v>0.114</v>
      </c>
      <c r="M491" s="10">
        <f>ROUND(ABS('2. Demand History'!V491-IF($D491="Yes",'2. Demand History'!J491,AVERAGE('2. Demand History'!S491:U491)))/MAX('2. Demand History'!V491,1),3)</f>
        <v>0.154</v>
      </c>
      <c r="N491" s="10">
        <f>ROUND(ABS('2. Demand History'!W491-IF($D491="Yes",'2. Demand History'!K491,AVERAGE('2. Demand History'!T491:V491)))/MAX('2. Demand History'!W491,1),3)</f>
        <v>2.7E-2</v>
      </c>
      <c r="O491" s="10">
        <f>ROUND(ABS('2. Demand History'!X491-IF($D491="Yes",'2. Demand History'!L491,AVERAGE('2. Demand History'!U491:W491)))/MAX('2. Demand History'!X491,1),3)</f>
        <v>0.13</v>
      </c>
      <c r="P491" s="10">
        <f>ROUND(ABS('2. Demand History'!Y491-IF($D491="Yes",'2. Demand History'!M491,AVERAGE('2. Demand History'!V491:X491)))/MAX('2. Demand History'!Y491,1),3)</f>
        <v>0.115</v>
      </c>
      <c r="Q491" s="10">
        <f>ROUND(ABS('2. Demand History'!Z491-IF($D491="Yes",'2. Demand History'!N491,AVERAGE('2. Demand History'!W491:Y491)))/MAX('2. Demand History'!Z491,1),3)</f>
        <v>1E-3</v>
      </c>
    </row>
    <row r="492" spans="1:17" ht="15" customHeight="1" x14ac:dyDescent="0.2">
      <c r="A492" s="3" t="str">
        <f>'2. Demand History'!A492</f>
        <v>NT10488</v>
      </c>
      <c r="B492" s="1" t="str">
        <f>'2. Demand History'!B492</f>
        <v>Phone Case Clear V482</v>
      </c>
      <c r="C492" s="3" t="str">
        <f>'1. Master Data'!C492</f>
        <v>Accessories</v>
      </c>
      <c r="D492" s="3" t="s">
        <v>1112</v>
      </c>
      <c r="E492" s="3" t="str">
        <f t="shared" si="21"/>
        <v>Moving Avg 3</v>
      </c>
      <c r="F492" s="3">
        <f>ROUND(AVERAGE('2. Demand History'!O492:Z492),1)</f>
        <v>1527.9</v>
      </c>
      <c r="G492" s="3">
        <f>ROUND(STDEV('2. Demand History'!O492:Z492),1)</f>
        <v>83.5</v>
      </c>
      <c r="H492" s="8">
        <f t="shared" si="22"/>
        <v>0.05</v>
      </c>
      <c r="I492" s="8">
        <f>ROUND(SUM('2. Demand History'!O492:Z492)/MAX(SUM('2. Demand History'!C492:N492),1),2)</f>
        <v>1.07</v>
      </c>
      <c r="J492" s="5">
        <f>IF(D492="Yes",ROUND('2. Demand History'!O492*I492,0),ROUND(AVERAGE('2. Demand History'!X492:Z492),0))</f>
        <v>1534</v>
      </c>
      <c r="K492" s="9">
        <f t="shared" si="23"/>
        <v>5.6000000000000001E-2</v>
      </c>
      <c r="L492" s="10">
        <f>ROUND(ABS('2. Demand History'!U492-IF($D492="Yes",'2. Demand History'!I492,AVERAGE('2. Demand History'!R492:T492)))/MAX('2. Demand History'!U492,1),3)</f>
        <v>1.7999999999999999E-2</v>
      </c>
      <c r="M492" s="10">
        <f>ROUND(ABS('2. Demand History'!V492-IF($D492="Yes",'2. Demand History'!J492,AVERAGE('2. Demand History'!S492:U492)))/MAX('2. Demand History'!V492,1),3)</f>
        <v>0.13400000000000001</v>
      </c>
      <c r="N492" s="10">
        <f>ROUND(ABS('2. Demand History'!W492-IF($D492="Yes",'2. Demand History'!K492,AVERAGE('2. Demand History'!T492:V492)))/MAX('2. Demand History'!W492,1),3)</f>
        <v>4.3999999999999997E-2</v>
      </c>
      <c r="O492" s="10">
        <f>ROUND(ABS('2. Demand History'!X492-IF($D492="Yes",'2. Demand History'!L492,AVERAGE('2. Demand History'!U492:W492)))/MAX('2. Demand History'!X492,1),3)</f>
        <v>6.9000000000000006E-2</v>
      </c>
      <c r="P492" s="10">
        <f>ROUND(ABS('2. Demand History'!Y492-IF($D492="Yes",'2. Demand History'!M492,AVERAGE('2. Demand History'!V492:X492)))/MAX('2. Demand History'!Y492,1),3)</f>
        <v>0</v>
      </c>
      <c r="Q492" s="10">
        <f>ROUND(ABS('2. Demand History'!Z492-IF($D492="Yes",'2. Demand History'!N492,AVERAGE('2. Demand History'!W492:Y492)))/MAX('2. Demand History'!Z492,1),3)</f>
        <v>6.8000000000000005E-2</v>
      </c>
    </row>
    <row r="493" spans="1:17" ht="15" customHeight="1" x14ac:dyDescent="0.2">
      <c r="A493" s="3" t="str">
        <f>'2. Demand History'!A493</f>
        <v>NT10489</v>
      </c>
      <c r="B493" s="1" t="str">
        <f>'2. Demand History'!B493</f>
        <v>Phone Case Clear V901</v>
      </c>
      <c r="C493" s="3" t="str">
        <f>'1. Master Data'!C493</f>
        <v>Accessories</v>
      </c>
      <c r="D493" s="3" t="s">
        <v>1112</v>
      </c>
      <c r="E493" s="3" t="str">
        <f t="shared" si="21"/>
        <v>Moving Avg 3</v>
      </c>
      <c r="F493" s="3">
        <f>ROUND(AVERAGE('2. Demand History'!O493:Z493),1)</f>
        <v>78.8</v>
      </c>
      <c r="G493" s="3">
        <f>ROUND(STDEV('2. Demand History'!O493:Z493),1)</f>
        <v>6.4</v>
      </c>
      <c r="H493" s="8">
        <f t="shared" si="22"/>
        <v>0.08</v>
      </c>
      <c r="I493" s="8">
        <f>ROUND(SUM('2. Demand History'!O493:Z493)/MAX(SUM('2. Demand History'!C493:N493),1),2)</f>
        <v>1.04</v>
      </c>
      <c r="J493" s="5">
        <f>IF(D493="Yes",ROUND('2. Demand History'!O493*I493,0),ROUND(AVERAGE('2. Demand History'!X493:Z493),0))</f>
        <v>80</v>
      </c>
      <c r="K493" s="9">
        <f t="shared" si="23"/>
        <v>5.5E-2</v>
      </c>
      <c r="L493" s="10">
        <f>ROUND(ABS('2. Demand History'!U493-IF($D493="Yes",'2. Demand History'!I493,AVERAGE('2. Demand History'!R493:T493)))/MAX('2. Demand History'!U493,1),3)</f>
        <v>1.7000000000000001E-2</v>
      </c>
      <c r="M493" s="10">
        <f>ROUND(ABS('2. Demand History'!V493-IF($D493="Yes",'2. Demand History'!J493,AVERAGE('2. Demand History'!S493:U493)))/MAX('2. Demand History'!V493,1),3)</f>
        <v>7.6999999999999999E-2</v>
      </c>
      <c r="N493" s="10">
        <f>ROUND(ABS('2. Demand History'!W493-IF($D493="Yes",'2. Demand History'!K493,AVERAGE('2. Demand History'!T493:V493)))/MAX('2. Demand History'!W493,1),3)</f>
        <v>6.0999999999999999E-2</v>
      </c>
      <c r="O493" s="10">
        <f>ROUND(ABS('2. Demand History'!X493-IF($D493="Yes",'2. Demand History'!L493,AVERAGE('2. Demand History'!U493:W493)))/MAX('2. Demand History'!X493,1),3)</f>
        <v>2.1000000000000001E-2</v>
      </c>
      <c r="P493" s="10">
        <f>ROUND(ABS('2. Demand History'!Y493-IF($D493="Yes",'2. Demand History'!M493,AVERAGE('2. Demand History'!V493:X493)))/MAX('2. Demand History'!Y493,1),3)</f>
        <v>0.10199999999999999</v>
      </c>
      <c r="Q493" s="10">
        <f>ROUND(ABS('2. Demand History'!Z493-IF($D493="Yes",'2. Demand History'!N493,AVERAGE('2. Demand History'!W493:Y493)))/MAX('2. Demand History'!Z493,1),3)</f>
        <v>5.2999999999999999E-2</v>
      </c>
    </row>
    <row r="494" spans="1:17" ht="15" customHeight="1" x14ac:dyDescent="0.2">
      <c r="A494" s="3" t="str">
        <f>'2. Demand History'!A494</f>
        <v>NT10490</v>
      </c>
      <c r="B494" s="1" t="str">
        <f>'2. Demand History'!B494</f>
        <v>HDMI Cable 4K V488</v>
      </c>
      <c r="C494" s="3" t="str">
        <f>'1. Master Data'!C494</f>
        <v>Accessories</v>
      </c>
      <c r="D494" s="3" t="s">
        <v>1112</v>
      </c>
      <c r="E494" s="3" t="str">
        <f t="shared" si="21"/>
        <v>Moving Avg 3</v>
      </c>
      <c r="F494" s="3">
        <f>ROUND(AVERAGE('2. Demand History'!O494:Z494),1)</f>
        <v>107.1</v>
      </c>
      <c r="G494" s="3">
        <f>ROUND(STDEV('2. Demand History'!O494:Z494),1)</f>
        <v>106.8</v>
      </c>
      <c r="H494" s="8">
        <f t="shared" si="22"/>
        <v>1</v>
      </c>
      <c r="I494" s="8">
        <f>ROUND(SUM('2. Demand History'!O494:Z494)/MAX(SUM('2. Demand History'!C494:N494),1),2)</f>
        <v>0.94</v>
      </c>
      <c r="J494" s="5">
        <f>IF(D494="Yes",ROUND('2. Demand History'!O494*I494,0),ROUND(AVERAGE('2. Demand History'!X494:Z494),0))</f>
        <v>148</v>
      </c>
      <c r="K494" s="9">
        <f t="shared" si="23"/>
        <v>0.57399999999999995</v>
      </c>
      <c r="L494" s="10">
        <f>ROUND(ABS('2. Demand History'!U494-IF($D494="Yes",'2. Demand History'!I494,AVERAGE('2. Demand History'!R494:T494)))/MAX('2. Demand History'!U494,1),3)</f>
        <v>8.6999999999999994E-2</v>
      </c>
      <c r="M494" s="10">
        <f>ROUND(ABS('2. Demand History'!V494-IF($D494="Yes",'2. Demand History'!J494,AVERAGE('2. Demand History'!S494:U494)))/MAX('2. Demand History'!V494,1),3)</f>
        <v>0.14399999999999999</v>
      </c>
      <c r="N494" s="10">
        <f>ROUND(ABS('2. Demand History'!W494-IF($D494="Yes",'2. Demand History'!K494,AVERAGE('2. Demand History'!T494:V494)))/MAX('2. Demand History'!W494,1),3)</f>
        <v>8.1000000000000003E-2</v>
      </c>
      <c r="O494" s="10">
        <f>ROUND(ABS('2. Demand History'!X494-IF($D494="Yes",'2. Demand History'!L494,AVERAGE('2. Demand History'!U494:W494)))/MAX('2. Demand History'!X494,1),3)</f>
        <v>1.4999999999999999E-2</v>
      </c>
      <c r="P494" s="10">
        <f>ROUND(ABS('2. Demand History'!Y494-IF($D494="Yes",'2. Demand History'!M494,AVERAGE('2. Demand History'!V494:X494)))/MAX('2. Demand History'!Y494,1),3)</f>
        <v>0.78300000000000003</v>
      </c>
      <c r="Q494" s="10">
        <f>ROUND(ABS('2. Demand History'!Z494-IF($D494="Yes",'2. Demand History'!N494,AVERAGE('2. Demand History'!W494:Y494)))/MAX('2. Demand History'!Z494,1),3)</f>
        <v>2.3330000000000002</v>
      </c>
    </row>
    <row r="495" spans="1:17" ht="15" customHeight="1" x14ac:dyDescent="0.2">
      <c r="A495" s="3" t="str">
        <f>'2. Demand History'!A495</f>
        <v>NT10491</v>
      </c>
      <c r="B495" s="1" t="str">
        <f>'2. Demand History'!B495</f>
        <v>Car Mount V298</v>
      </c>
      <c r="C495" s="3" t="str">
        <f>'1. Master Data'!C495</f>
        <v>Accessories</v>
      </c>
      <c r="D495" s="3" t="s">
        <v>1112</v>
      </c>
      <c r="E495" s="3" t="str">
        <f t="shared" si="21"/>
        <v>Moving Avg 3</v>
      </c>
      <c r="F495" s="3">
        <f>ROUND(AVERAGE('2. Demand History'!O495:Z495),1)</f>
        <v>256.39999999999998</v>
      </c>
      <c r="G495" s="3">
        <f>ROUND(STDEV('2. Demand History'!O495:Z495),1)</f>
        <v>13</v>
      </c>
      <c r="H495" s="8">
        <f t="shared" si="22"/>
        <v>0.05</v>
      </c>
      <c r="I495" s="8">
        <f>ROUND(SUM('2. Demand History'!O495:Z495)/MAX(SUM('2. Demand History'!C495:N495),1),2)</f>
        <v>1.07</v>
      </c>
      <c r="J495" s="5">
        <f>IF(D495="Yes",ROUND('2. Demand History'!O495*I495,0),ROUND(AVERAGE('2. Demand History'!X495:Z495),0))</f>
        <v>268</v>
      </c>
      <c r="K495" s="9">
        <f t="shared" si="23"/>
        <v>4.3999999999999997E-2</v>
      </c>
      <c r="L495" s="10">
        <f>ROUND(ABS('2. Demand History'!U495-IF($D495="Yes",'2. Demand History'!I495,AVERAGE('2. Demand History'!R495:T495)))/MAX('2. Demand History'!U495,1),3)</f>
        <v>5.8999999999999997E-2</v>
      </c>
      <c r="M495" s="10">
        <f>ROUND(ABS('2. Demand History'!V495-IF($D495="Yes",'2. Demand History'!J495,AVERAGE('2. Demand History'!S495:U495)))/MAX('2. Demand History'!V495,1),3)</f>
        <v>7.9000000000000001E-2</v>
      </c>
      <c r="N495" s="10">
        <f>ROUND(ABS('2. Demand History'!W495-IF($D495="Yes",'2. Demand History'!K495,AVERAGE('2. Demand History'!T495:V495)))/MAX('2. Demand History'!W495,1),3)</f>
        <v>3.1E-2</v>
      </c>
      <c r="O495" s="10">
        <f>ROUND(ABS('2. Demand History'!X495-IF($D495="Yes",'2. Demand History'!L495,AVERAGE('2. Demand History'!U495:W495)))/MAX('2. Demand History'!X495,1),3)</f>
        <v>4.3999999999999997E-2</v>
      </c>
      <c r="P495" s="10">
        <f>ROUND(ABS('2. Demand History'!Y495-IF($D495="Yes",'2. Demand History'!M495,AVERAGE('2. Demand History'!V495:X495)))/MAX('2. Demand History'!Y495,1),3)</f>
        <v>3.7999999999999999E-2</v>
      </c>
      <c r="Q495" s="10">
        <f>ROUND(ABS('2. Demand History'!Z495-IF($D495="Yes",'2. Demand History'!N495,AVERAGE('2. Demand History'!W495:Y495)))/MAX('2. Demand History'!Z495,1),3)</f>
        <v>1.2E-2</v>
      </c>
    </row>
    <row r="496" spans="1:17" ht="15" customHeight="1" x14ac:dyDescent="0.2">
      <c r="A496" s="3" t="str">
        <f>'2. Demand History'!A496</f>
        <v>NT10492</v>
      </c>
      <c r="B496" s="1" t="str">
        <f>'2. Demand History'!B496</f>
        <v>Wall Charger 65W V223</v>
      </c>
      <c r="C496" s="3" t="str">
        <f>'1. Master Data'!C496</f>
        <v>Accessories</v>
      </c>
      <c r="D496" s="3" t="s">
        <v>1112</v>
      </c>
      <c r="E496" s="3" t="str">
        <f t="shared" si="21"/>
        <v>Moving Avg 3</v>
      </c>
      <c r="F496" s="3">
        <f>ROUND(AVERAGE('2. Demand History'!O496:Z496),1)</f>
        <v>275.7</v>
      </c>
      <c r="G496" s="3">
        <f>ROUND(STDEV('2. Demand History'!O496:Z496),1)</f>
        <v>15.1</v>
      </c>
      <c r="H496" s="8">
        <f t="shared" si="22"/>
        <v>0.05</v>
      </c>
      <c r="I496" s="8">
        <f>ROUND(SUM('2. Demand History'!O496:Z496)/MAX(SUM('2. Demand History'!C496:N496),1),2)</f>
        <v>1.04</v>
      </c>
      <c r="J496" s="5">
        <f>IF(D496="Yes",ROUND('2. Demand History'!O496*I496,0),ROUND(AVERAGE('2. Demand History'!X496:Z496),0))</f>
        <v>280</v>
      </c>
      <c r="K496" s="9">
        <f t="shared" si="23"/>
        <v>5.8000000000000003E-2</v>
      </c>
      <c r="L496" s="10">
        <f>ROUND(ABS('2. Demand History'!U496-IF($D496="Yes",'2. Demand History'!I496,AVERAGE('2. Demand History'!R496:T496)))/MAX('2. Demand History'!U496,1),3)</f>
        <v>0.06</v>
      </c>
      <c r="M496" s="10">
        <f>ROUND(ABS('2. Demand History'!V496-IF($D496="Yes",'2. Demand History'!J496,AVERAGE('2. Demand History'!S496:U496)))/MAX('2. Demand History'!V496,1),3)</f>
        <v>6.3E-2</v>
      </c>
      <c r="N496" s="10">
        <f>ROUND(ABS('2. Demand History'!W496-IF($D496="Yes",'2. Demand History'!K496,AVERAGE('2. Demand History'!T496:V496)))/MAX('2. Demand History'!W496,1),3)</f>
        <v>0.03</v>
      </c>
      <c r="O496" s="10">
        <f>ROUND(ABS('2. Demand History'!X496-IF($D496="Yes",'2. Demand History'!L496,AVERAGE('2. Demand History'!U496:W496)))/MAX('2. Demand History'!X496,1),3)</f>
        <v>6.8000000000000005E-2</v>
      </c>
      <c r="P496" s="10">
        <f>ROUND(ABS('2. Demand History'!Y496-IF($D496="Yes",'2. Demand History'!M496,AVERAGE('2. Demand History'!V496:X496)))/MAX('2. Demand History'!Y496,1),3)</f>
        <v>5.0000000000000001E-3</v>
      </c>
      <c r="Q496" s="10">
        <f>ROUND(ABS('2. Demand History'!Z496-IF($D496="Yes",'2. Demand History'!N496,AVERAGE('2. Demand History'!W496:Y496)))/MAX('2. Demand History'!Z496,1),3)</f>
        <v>0.123</v>
      </c>
    </row>
    <row r="497" spans="1:17" ht="15" customHeight="1" x14ac:dyDescent="0.2">
      <c r="A497" s="3" t="str">
        <f>'2. Demand History'!A497</f>
        <v>NT10493</v>
      </c>
      <c r="B497" s="1" t="str">
        <f>'2. Demand History'!B497</f>
        <v>Wall Charger 65W V210</v>
      </c>
      <c r="C497" s="3" t="str">
        <f>'1. Master Data'!C497</f>
        <v>Accessories</v>
      </c>
      <c r="D497" s="3" t="s">
        <v>1112</v>
      </c>
      <c r="E497" s="3" t="str">
        <f t="shared" si="21"/>
        <v>Moving Avg 3</v>
      </c>
      <c r="F497" s="3">
        <f>ROUND(AVERAGE('2. Demand History'!O497:Z497),1)</f>
        <v>459.3</v>
      </c>
      <c r="G497" s="3">
        <f>ROUND(STDEV('2. Demand History'!O497:Z497),1)</f>
        <v>22.1</v>
      </c>
      <c r="H497" s="8">
        <f t="shared" si="22"/>
        <v>0.05</v>
      </c>
      <c r="I497" s="8">
        <f>ROUND(SUM('2. Demand History'!O497:Z497)/MAX(SUM('2. Demand History'!C497:N497),1),2)</f>
        <v>1.07</v>
      </c>
      <c r="J497" s="5">
        <f>IF(D497="Yes",ROUND('2. Demand History'!O497*I497,0),ROUND(AVERAGE('2. Demand History'!X497:Z497),0))</f>
        <v>466</v>
      </c>
      <c r="K497" s="9">
        <f t="shared" si="23"/>
        <v>5.6000000000000001E-2</v>
      </c>
      <c r="L497" s="10">
        <f>ROUND(ABS('2. Demand History'!U497-IF($D497="Yes",'2. Demand History'!I497,AVERAGE('2. Demand History'!R497:T497)))/MAX('2. Demand History'!U497,1),3)</f>
        <v>0.14299999999999999</v>
      </c>
      <c r="M497" s="10">
        <f>ROUND(ABS('2. Demand History'!V497-IF($D497="Yes",'2. Demand History'!J497,AVERAGE('2. Demand History'!S497:U497)))/MAX('2. Demand History'!V497,1),3)</f>
        <v>5.8000000000000003E-2</v>
      </c>
      <c r="N497" s="10">
        <f>ROUND(ABS('2. Demand History'!W497-IF($D497="Yes",'2. Demand History'!K497,AVERAGE('2. Demand History'!T497:V497)))/MAX('2. Demand History'!W497,1),3)</f>
        <v>7.4999999999999997E-2</v>
      </c>
      <c r="O497" s="10">
        <f>ROUND(ABS('2. Demand History'!X497-IF($D497="Yes",'2. Demand History'!L497,AVERAGE('2. Demand History'!U497:W497)))/MAX('2. Demand History'!X497,1),3)</f>
        <v>1.4E-2</v>
      </c>
      <c r="P497" s="10">
        <f>ROUND(ABS('2. Demand History'!Y497-IF($D497="Yes",'2. Demand History'!M497,AVERAGE('2. Demand History'!V497:X497)))/MAX('2. Demand History'!Y497,1),3)</f>
        <v>3.5999999999999997E-2</v>
      </c>
      <c r="Q497" s="10">
        <f>ROUND(ABS('2. Demand History'!Z497-IF($D497="Yes",'2. Demand History'!N497,AVERAGE('2. Demand History'!W497:Y497)))/MAX('2. Demand History'!Z497,1),3)</f>
        <v>7.0000000000000001E-3</v>
      </c>
    </row>
    <row r="498" spans="1:17" ht="15" customHeight="1" x14ac:dyDescent="0.2">
      <c r="A498" s="3" t="str">
        <f>'2. Demand History'!A498</f>
        <v>NT10494</v>
      </c>
      <c r="B498" s="1" t="str">
        <f>'2. Demand History'!B498</f>
        <v>Car Mount V201</v>
      </c>
      <c r="C498" s="3" t="str">
        <f>'1. Master Data'!C498</f>
        <v>Accessories</v>
      </c>
      <c r="D498" s="3" t="s">
        <v>1112</v>
      </c>
      <c r="E498" s="3" t="str">
        <f t="shared" si="21"/>
        <v>Moving Avg 3</v>
      </c>
      <c r="F498" s="3">
        <f>ROUND(AVERAGE('2. Demand History'!O498:Z498),1)</f>
        <v>79.3</v>
      </c>
      <c r="G498" s="3">
        <f>ROUND(STDEV('2. Demand History'!O498:Z498),1)</f>
        <v>4.7</v>
      </c>
      <c r="H498" s="8">
        <f t="shared" si="22"/>
        <v>0.06</v>
      </c>
      <c r="I498" s="8">
        <f>ROUND(SUM('2. Demand History'!O498:Z498)/MAX(SUM('2. Demand History'!C498:N498),1),2)</f>
        <v>1.08</v>
      </c>
      <c r="J498" s="5">
        <f>IF(D498="Yes",ROUND('2. Demand History'!O498*I498,0),ROUND(AVERAGE('2. Demand History'!X498:Z498),0))</f>
        <v>79</v>
      </c>
      <c r="K498" s="9">
        <f t="shared" si="23"/>
        <v>5.5E-2</v>
      </c>
      <c r="L498" s="10">
        <f>ROUND(ABS('2. Demand History'!U498-IF($D498="Yes",'2. Demand History'!I498,AVERAGE('2. Demand History'!R498:T498)))/MAX('2. Demand History'!U498,1),3)</f>
        <v>0.09</v>
      </c>
      <c r="M498" s="10">
        <f>ROUND(ABS('2. Demand History'!V498-IF($D498="Yes",'2. Demand History'!J498,AVERAGE('2. Demand History'!S498:U498)))/MAX('2. Demand History'!V498,1),3)</f>
        <v>0.03</v>
      </c>
      <c r="N498" s="10">
        <f>ROUND(ABS('2. Demand History'!W498-IF($D498="Yes",'2. Demand History'!K498,AVERAGE('2. Demand History'!T498:V498)))/MAX('2. Demand History'!W498,1),3)</f>
        <v>0.08</v>
      </c>
      <c r="O498" s="10">
        <f>ROUND(ABS('2. Demand History'!X498-IF($D498="Yes",'2. Demand History'!L498,AVERAGE('2. Demand History'!U498:W498)))/MAX('2. Demand History'!X498,1),3)</f>
        <v>2.9000000000000001E-2</v>
      </c>
      <c r="P498" s="10">
        <f>ROUND(ABS('2. Demand History'!Y498-IF($D498="Yes",'2. Demand History'!M498,AVERAGE('2. Demand History'!V498:X498)))/MAX('2. Demand History'!Y498,1),3)</f>
        <v>2.5000000000000001E-2</v>
      </c>
      <c r="Q498" s="10">
        <f>ROUND(ABS('2. Demand History'!Z498-IF($D498="Yes",'2. Demand History'!N498,AVERAGE('2. Demand History'!W498:Y498)))/MAX('2. Demand History'!Z498,1),3)</f>
        <v>7.3999999999999996E-2</v>
      </c>
    </row>
    <row r="499" spans="1:17" ht="15" customHeight="1" x14ac:dyDescent="0.2">
      <c r="A499" s="3" t="str">
        <f>'2. Demand History'!A499</f>
        <v>NT10495</v>
      </c>
      <c r="B499" s="1" t="str">
        <f>'2. Demand History'!B499</f>
        <v>Phone Case Clear V726</v>
      </c>
      <c r="C499" s="3" t="str">
        <f>'1. Master Data'!C499</f>
        <v>Accessories</v>
      </c>
      <c r="D499" s="3" t="s">
        <v>1112</v>
      </c>
      <c r="E499" s="3" t="str">
        <f t="shared" si="21"/>
        <v>Moving Avg 3</v>
      </c>
      <c r="F499" s="3">
        <f>ROUND(AVERAGE('2. Demand History'!O499:Z499),1)</f>
        <v>439.8</v>
      </c>
      <c r="G499" s="3">
        <f>ROUND(STDEV('2. Demand History'!O499:Z499),1)</f>
        <v>26.7</v>
      </c>
      <c r="H499" s="8">
        <f t="shared" si="22"/>
        <v>0.06</v>
      </c>
      <c r="I499" s="8">
        <f>ROUND(SUM('2. Demand History'!O499:Z499)/MAX(SUM('2. Demand History'!C499:N499),1),2)</f>
        <v>1.08</v>
      </c>
      <c r="J499" s="5">
        <f>IF(D499="Yes",ROUND('2. Demand History'!O499*I499,0),ROUND(AVERAGE('2. Demand History'!X499:Z499),0))</f>
        <v>469</v>
      </c>
      <c r="K499" s="9">
        <f t="shared" si="23"/>
        <v>0.03</v>
      </c>
      <c r="L499" s="10">
        <f>ROUND(ABS('2. Demand History'!U499-IF($D499="Yes",'2. Demand History'!I499,AVERAGE('2. Demand History'!R499:T499)))/MAX('2. Demand History'!U499,1),3)</f>
        <v>0.02</v>
      </c>
      <c r="M499" s="10">
        <f>ROUND(ABS('2. Demand History'!V499-IF($D499="Yes",'2. Demand History'!J499,AVERAGE('2. Demand History'!S499:U499)))/MAX('2. Demand History'!V499,1),3)</f>
        <v>7.9000000000000001E-2</v>
      </c>
      <c r="N499" s="10">
        <f>ROUND(ABS('2. Demand History'!W499-IF($D499="Yes",'2. Demand History'!K499,AVERAGE('2. Demand History'!T499:V499)))/MAX('2. Demand History'!W499,1),3)</f>
        <v>0.01</v>
      </c>
      <c r="O499" s="10">
        <f>ROUND(ABS('2. Demand History'!X499-IF($D499="Yes",'2. Demand History'!L499,AVERAGE('2. Demand History'!U499:W499)))/MAX('2. Demand History'!X499,1),3)</f>
        <v>4.2999999999999997E-2</v>
      </c>
      <c r="P499" s="10">
        <f>ROUND(ABS('2. Demand History'!Y499-IF($D499="Yes",'2. Demand History'!M499,AVERAGE('2. Demand History'!V499:X499)))/MAX('2. Demand History'!Y499,1),3)</f>
        <v>1.6E-2</v>
      </c>
      <c r="Q499" s="10">
        <f>ROUND(ABS('2. Demand History'!Z499-IF($D499="Yes",'2. Demand History'!N499,AVERAGE('2. Demand History'!W499:Y499)))/MAX('2. Demand History'!Z499,1),3)</f>
        <v>0.01</v>
      </c>
    </row>
    <row r="500" spans="1:17" ht="15" customHeight="1" x14ac:dyDescent="0.2">
      <c r="A500" s="3" t="str">
        <f>'2. Demand History'!A500</f>
        <v>NT10496</v>
      </c>
      <c r="B500" s="1" t="str">
        <f>'2. Demand History'!B500</f>
        <v>HDMI Cable 4K V489</v>
      </c>
      <c r="C500" s="3" t="str">
        <f>'1. Master Data'!C500</f>
        <v>Accessories</v>
      </c>
      <c r="D500" s="3" t="s">
        <v>1112</v>
      </c>
      <c r="E500" s="3" t="str">
        <f t="shared" si="21"/>
        <v>Moving Avg 3</v>
      </c>
      <c r="F500" s="3">
        <f>ROUND(AVERAGE('2. Demand History'!O500:Z500),1)</f>
        <v>392.3</v>
      </c>
      <c r="G500" s="3">
        <f>ROUND(STDEV('2. Demand History'!O500:Z500),1)</f>
        <v>29.8</v>
      </c>
      <c r="H500" s="8">
        <f t="shared" si="22"/>
        <v>0.08</v>
      </c>
      <c r="I500" s="8">
        <f>ROUND(SUM('2. Demand History'!O500:Z500)/MAX(SUM('2. Demand History'!C500:N500),1),2)</f>
        <v>1.06</v>
      </c>
      <c r="J500" s="5">
        <f>IF(D500="Yes",ROUND('2. Demand History'!O500*I500,0),ROUND(AVERAGE('2. Demand History'!X500:Z500),0))</f>
        <v>411</v>
      </c>
      <c r="K500" s="9">
        <f t="shared" si="23"/>
        <v>6.9000000000000006E-2</v>
      </c>
      <c r="L500" s="10">
        <f>ROUND(ABS('2. Demand History'!U500-IF($D500="Yes",'2. Demand History'!I500,AVERAGE('2. Demand History'!R500:T500)))/MAX('2. Demand History'!U500,1),3)</f>
        <v>6.0000000000000001E-3</v>
      </c>
      <c r="M500" s="10">
        <f>ROUND(ABS('2. Demand History'!V500-IF($D500="Yes",'2. Demand History'!J500,AVERAGE('2. Demand History'!S500:U500)))/MAX('2. Demand History'!V500,1),3)</f>
        <v>7.2999999999999995E-2</v>
      </c>
      <c r="N500" s="10">
        <f>ROUND(ABS('2. Demand History'!W500-IF($D500="Yes",'2. Demand History'!K500,AVERAGE('2. Demand History'!T500:V500)))/MAX('2. Demand History'!W500,1),3)</f>
        <v>0.10199999999999999</v>
      </c>
      <c r="O500" s="10">
        <f>ROUND(ABS('2. Demand History'!X500-IF($D500="Yes",'2. Demand History'!L500,AVERAGE('2. Demand History'!U500:W500)))/MAX('2. Demand History'!X500,1),3)</f>
        <v>8.7999999999999995E-2</v>
      </c>
      <c r="P500" s="10">
        <f>ROUND(ABS('2. Demand History'!Y500-IF($D500="Yes",'2. Demand History'!M500,AVERAGE('2. Demand History'!V500:X500)))/MAX('2. Demand History'!Y500,1),3)</f>
        <v>9.9000000000000005E-2</v>
      </c>
      <c r="Q500" s="10">
        <f>ROUND(ABS('2. Demand History'!Z500-IF($D500="Yes",'2. Demand History'!N500,AVERAGE('2. Demand History'!W500:Y500)))/MAX('2. Demand History'!Z500,1),3)</f>
        <v>4.7E-2</v>
      </c>
    </row>
    <row r="501" spans="1:17" ht="15" customHeight="1" x14ac:dyDescent="0.2">
      <c r="A501" s="3" t="str">
        <f>'2. Demand History'!A501</f>
        <v>NT10497</v>
      </c>
      <c r="B501" s="1" t="str">
        <f>'2. Demand History'!B501</f>
        <v>Phone Case Clear V257</v>
      </c>
      <c r="C501" s="3" t="str">
        <f>'1. Master Data'!C501</f>
        <v>Accessories</v>
      </c>
      <c r="D501" s="3" t="s">
        <v>1112</v>
      </c>
      <c r="E501" s="3" t="str">
        <f t="shared" si="21"/>
        <v>Moving Avg 3</v>
      </c>
      <c r="F501" s="3">
        <f>ROUND(AVERAGE('2. Demand History'!O501:Z501),1)</f>
        <v>132.19999999999999</v>
      </c>
      <c r="G501" s="3">
        <f>ROUND(STDEV('2. Demand History'!O501:Z501),1)</f>
        <v>7.2</v>
      </c>
      <c r="H501" s="8">
        <f t="shared" si="22"/>
        <v>0.05</v>
      </c>
      <c r="I501" s="8">
        <f>ROUND(SUM('2. Demand History'!O501:Z501)/MAX(SUM('2. Demand History'!C501:N501),1),2)</f>
        <v>1.06</v>
      </c>
      <c r="J501" s="5">
        <f>IF(D501="Yes",ROUND('2. Demand History'!O501*I501,0),ROUND(AVERAGE('2. Demand History'!X501:Z501),0))</f>
        <v>135</v>
      </c>
      <c r="K501" s="9">
        <f t="shared" si="23"/>
        <v>4.4999999999999998E-2</v>
      </c>
      <c r="L501" s="10">
        <f>ROUND(ABS('2. Demand History'!U501-IF($D501="Yes",'2. Demand History'!I501,AVERAGE('2. Demand History'!R501:T501)))/MAX('2. Demand History'!U501,1),3)</f>
        <v>9.7000000000000003E-2</v>
      </c>
      <c r="M501" s="10">
        <f>ROUND(ABS('2. Demand History'!V501-IF($D501="Yes",'2. Demand History'!J501,AVERAGE('2. Demand History'!S501:U501)))/MAX('2. Demand History'!V501,1),3)</f>
        <v>1.4999999999999999E-2</v>
      </c>
      <c r="N501" s="10">
        <f>ROUND(ABS('2. Demand History'!W501-IF($D501="Yes",'2. Demand History'!K501,AVERAGE('2. Demand History'!T501:V501)))/MAX('2. Demand History'!W501,1),3)</f>
        <v>8.7999999999999995E-2</v>
      </c>
      <c r="O501" s="10">
        <f>ROUND(ABS('2. Demand History'!X501-IF($D501="Yes",'2. Demand History'!L501,AVERAGE('2. Demand History'!U501:W501)))/MAX('2. Demand History'!X501,1),3)</f>
        <v>4.5999999999999999E-2</v>
      </c>
      <c r="P501" s="10">
        <f>ROUND(ABS('2. Demand History'!Y501-IF($D501="Yes",'2. Demand History'!M501,AVERAGE('2. Demand History'!V501:X501)))/MAX('2. Demand History'!Y501,1),3)</f>
        <v>0</v>
      </c>
      <c r="Q501" s="10">
        <f>ROUND(ABS('2. Demand History'!Z501-IF($D501="Yes",'2. Demand History'!N501,AVERAGE('2. Demand History'!W501:Y501)))/MAX('2. Demand History'!Z501,1),3)</f>
        <v>2.1999999999999999E-2</v>
      </c>
    </row>
    <row r="502" spans="1:17" ht="15" customHeight="1" x14ac:dyDescent="0.2">
      <c r="A502" s="3" t="str">
        <f>'2. Demand History'!A502</f>
        <v>NT10498</v>
      </c>
      <c r="B502" s="1" t="str">
        <f>'2. Demand History'!B502</f>
        <v>Screen Guard 259</v>
      </c>
      <c r="C502" s="3" t="str">
        <f>'1. Master Data'!C502</f>
        <v>Accessories</v>
      </c>
      <c r="D502" s="3" t="s">
        <v>1112</v>
      </c>
      <c r="E502" s="3" t="str">
        <f t="shared" si="21"/>
        <v>Moving Avg 3</v>
      </c>
      <c r="F502" s="3">
        <f>ROUND(AVERAGE('2. Demand History'!O502:Z502),1)</f>
        <v>92</v>
      </c>
      <c r="G502" s="3">
        <f>ROUND(STDEV('2. Demand History'!O502:Z502),1)</f>
        <v>7.9</v>
      </c>
      <c r="H502" s="8">
        <f t="shared" si="22"/>
        <v>0.09</v>
      </c>
      <c r="I502" s="8">
        <f>ROUND(SUM('2. Demand History'!O502:Z502)/MAX(SUM('2. Demand History'!C502:N502),1),2)</f>
        <v>1.07</v>
      </c>
      <c r="J502" s="5">
        <f>IF(D502="Yes",ROUND('2. Demand History'!O502*I502,0),ROUND(AVERAGE('2. Demand History'!X502:Z502),0))</f>
        <v>100</v>
      </c>
      <c r="K502" s="9">
        <f t="shared" si="23"/>
        <v>0.1</v>
      </c>
      <c r="L502" s="10">
        <f>ROUND(ABS('2. Demand History'!U502-IF($D502="Yes",'2. Demand History'!I502,AVERAGE('2. Demand History'!R502:T502)))/MAX('2. Demand History'!U502,1),3)</f>
        <v>3.3000000000000002E-2</v>
      </c>
      <c r="M502" s="10">
        <f>ROUND(ABS('2. Demand History'!V502-IF($D502="Yes",'2. Demand History'!J502,AVERAGE('2. Demand History'!S502:U502)))/MAX('2. Demand History'!V502,1),3)</f>
        <v>0.193</v>
      </c>
      <c r="N502" s="10">
        <f>ROUND(ABS('2. Demand History'!W502-IF($D502="Yes",'2. Demand History'!K502,AVERAGE('2. Demand History'!T502:V502)))/MAX('2. Demand History'!W502,1),3)</f>
        <v>4.4999999999999998E-2</v>
      </c>
      <c r="O502" s="10">
        <f>ROUND(ABS('2. Demand History'!X502-IF($D502="Yes",'2. Demand History'!L502,AVERAGE('2. Demand History'!U502:W502)))/MAX('2. Demand History'!X502,1),3)</f>
        <v>0.115</v>
      </c>
      <c r="P502" s="10">
        <f>ROUND(ABS('2. Demand History'!Y502-IF($D502="Yes",'2. Demand History'!M502,AVERAGE('2. Demand History'!V502:X502)))/MAX('2. Demand History'!Y502,1),3)</f>
        <v>0.15</v>
      </c>
      <c r="Q502" s="10">
        <f>ROUND(ABS('2. Demand History'!Z502-IF($D502="Yes",'2. Demand History'!N502,AVERAGE('2. Demand History'!W502:Y502)))/MAX('2. Demand History'!Z502,1),3)</f>
        <v>6.5000000000000002E-2</v>
      </c>
    </row>
    <row r="503" spans="1:17" ht="15" customHeight="1" x14ac:dyDescent="0.2">
      <c r="A503" s="3" t="str">
        <f>'2. Demand History'!A503</f>
        <v>NT10499</v>
      </c>
      <c r="B503" s="1" t="str">
        <f>'2. Demand History'!B503</f>
        <v>Screen Guard 771</v>
      </c>
      <c r="C503" s="3" t="str">
        <f>'1. Master Data'!C503</f>
        <v>Accessories</v>
      </c>
      <c r="D503" s="3" t="s">
        <v>1112</v>
      </c>
      <c r="E503" s="3" t="str">
        <f t="shared" si="21"/>
        <v>Moving Avg 3</v>
      </c>
      <c r="F503" s="3">
        <f>ROUND(AVERAGE('2. Demand History'!O503:Z503),1)</f>
        <v>327.3</v>
      </c>
      <c r="G503" s="3">
        <f>ROUND(STDEV('2. Demand History'!O503:Z503),1)</f>
        <v>41.8</v>
      </c>
      <c r="H503" s="8">
        <f t="shared" si="22"/>
        <v>0.13</v>
      </c>
      <c r="I503" s="8">
        <f>ROUND(SUM('2. Demand History'!O503:Z503)/MAX(SUM('2. Demand History'!C503:N503),1),2)</f>
        <v>1.05</v>
      </c>
      <c r="J503" s="5">
        <f>IF(D503="Yes",ROUND('2. Demand History'!O503*I503,0),ROUND(AVERAGE('2. Demand History'!X503:Z503),0))</f>
        <v>297</v>
      </c>
      <c r="K503" s="9">
        <f t="shared" si="23"/>
        <v>0.13900000000000001</v>
      </c>
      <c r="L503" s="10">
        <f>ROUND(ABS('2. Demand History'!U503-IF($D503="Yes",'2. Demand History'!I503,AVERAGE('2. Demand History'!R503:T503)))/MAX('2. Demand History'!U503,1),3)</f>
        <v>9.2999999999999999E-2</v>
      </c>
      <c r="M503" s="10">
        <f>ROUND(ABS('2. Demand History'!V503-IF($D503="Yes",'2. Demand History'!J503,AVERAGE('2. Demand History'!S503:U503)))/MAX('2. Demand History'!V503,1),3)</f>
        <v>5.7000000000000002E-2</v>
      </c>
      <c r="N503" s="10">
        <f>ROUND(ABS('2. Demand History'!W503-IF($D503="Yes",'2. Demand History'!K503,AVERAGE('2. Demand History'!T503:V503)))/MAX('2. Demand History'!W503,1),3)</f>
        <v>0.14499999999999999</v>
      </c>
      <c r="O503" s="10">
        <f>ROUND(ABS('2. Demand History'!X503-IF($D503="Yes",'2. Demand History'!L503,AVERAGE('2. Demand History'!U503:W503)))/MAX('2. Demand History'!X503,1),3)</f>
        <v>0.254</v>
      </c>
      <c r="P503" s="10">
        <f>ROUND(ABS('2. Demand History'!Y503-IF($D503="Yes",'2. Demand History'!M503,AVERAGE('2. Demand History'!V503:X503)))/MAX('2. Demand History'!Y503,1),3)</f>
        <v>0.23599999999999999</v>
      </c>
      <c r="Q503" s="10">
        <f>ROUND(ABS('2. Demand History'!Z503-IF($D503="Yes",'2. Demand History'!N503,AVERAGE('2. Demand History'!W503:Y503)))/MAX('2. Demand History'!Z503,1),3)</f>
        <v>0.05</v>
      </c>
    </row>
    <row r="504" spans="1:17" ht="15" customHeight="1" x14ac:dyDescent="0.2">
      <c r="A504" s="3" t="str">
        <f>'2. Demand History'!A504</f>
        <v>NT10500</v>
      </c>
      <c r="B504" s="1" t="str">
        <f>'2. Demand History'!B504</f>
        <v>Phone Case Clear V670</v>
      </c>
      <c r="C504" s="3" t="str">
        <f>'1. Master Data'!C504</f>
        <v>Accessories</v>
      </c>
      <c r="D504" s="3" t="s">
        <v>1112</v>
      </c>
      <c r="E504" s="3" t="str">
        <f t="shared" si="21"/>
        <v>Moving Avg 3</v>
      </c>
      <c r="F504" s="3">
        <f>ROUND(AVERAGE('2. Demand History'!O504:Z504),1)</f>
        <v>246.8</v>
      </c>
      <c r="G504" s="3">
        <f>ROUND(STDEV('2. Demand History'!O504:Z504),1)</f>
        <v>15.8</v>
      </c>
      <c r="H504" s="8">
        <f t="shared" si="22"/>
        <v>0.06</v>
      </c>
      <c r="I504" s="8">
        <f>ROUND(SUM('2. Demand History'!O504:Z504)/MAX(SUM('2. Demand History'!C504:N504),1),2)</f>
        <v>1.05</v>
      </c>
      <c r="J504" s="5">
        <f>IF(D504="Yes",ROUND('2. Demand History'!O504*I504,0),ROUND(AVERAGE('2. Demand History'!X504:Z504),0))</f>
        <v>249</v>
      </c>
      <c r="K504" s="9">
        <f t="shared" si="23"/>
        <v>6.8000000000000005E-2</v>
      </c>
      <c r="L504" s="10">
        <f>ROUND(ABS('2. Demand History'!U504-IF($D504="Yes",'2. Demand History'!I504,AVERAGE('2. Demand History'!R504:T504)))/MAX('2. Demand History'!U504,1),3)</f>
        <v>0.10100000000000001</v>
      </c>
      <c r="M504" s="10">
        <f>ROUND(ABS('2. Demand History'!V504-IF($D504="Yes",'2. Demand History'!J504,AVERAGE('2. Demand History'!S504:U504)))/MAX('2. Demand History'!V504,1),3)</f>
        <v>0.03</v>
      </c>
      <c r="N504" s="10">
        <f>ROUND(ABS('2. Demand History'!W504-IF($D504="Yes",'2. Demand History'!K504,AVERAGE('2. Demand History'!T504:V504)))/MAX('2. Demand History'!W504,1),3)</f>
        <v>6.6000000000000003E-2</v>
      </c>
      <c r="O504" s="10">
        <f>ROUND(ABS('2. Demand History'!X504-IF($D504="Yes",'2. Demand History'!L504,AVERAGE('2. Demand History'!U504:W504)))/MAX('2. Demand History'!X504,1),3)</f>
        <v>4.3999999999999997E-2</v>
      </c>
      <c r="P504" s="10">
        <f>ROUND(ABS('2. Demand History'!Y504-IF($D504="Yes",'2. Demand History'!M504,AVERAGE('2. Demand History'!V504:X504)))/MAX('2. Demand History'!Y504,1),3)</f>
        <v>7.0000000000000007E-2</v>
      </c>
      <c r="Q504" s="10">
        <f>ROUND(ABS('2. Demand History'!Z504-IF($D504="Yes",'2. Demand History'!N504,AVERAGE('2. Demand History'!W504:Y504)))/MAX('2. Demand History'!Z504,1),3)</f>
        <v>9.5000000000000001E-2</v>
      </c>
    </row>
    <row r="506" spans="1:17" ht="15" customHeight="1" x14ac:dyDescent="0.2">
      <c r="A506" s="40" t="s">
        <v>1062</v>
      </c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</row>
    <row r="507" spans="1:17" ht="15" customHeight="1" x14ac:dyDescent="0.2">
      <c r="A507" s="25" t="s">
        <v>1113</v>
      </c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</row>
    <row r="508" spans="1:17" ht="15" customHeight="1" x14ac:dyDescent="0.2">
      <c r="A508" s="25" t="s">
        <v>1114</v>
      </c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</row>
    <row r="509" spans="1:17" ht="15" customHeight="1" x14ac:dyDescent="0.2">
      <c r="A509" s="25" t="s">
        <v>1115</v>
      </c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</row>
    <row r="510" spans="1:17" ht="15" customHeight="1" x14ac:dyDescent="0.2">
      <c r="A510" s="25" t="s">
        <v>1116</v>
      </c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</row>
  </sheetData>
  <mergeCells count="7">
    <mergeCell ref="A509:Q509"/>
    <mergeCell ref="A510:Q510"/>
    <mergeCell ref="A1:Q1"/>
    <mergeCell ref="A2:Q2"/>
    <mergeCell ref="A506:Q506"/>
    <mergeCell ref="A507:Q507"/>
    <mergeCell ref="A508:Q508"/>
  </mergeCells>
  <conditionalFormatting sqref="K5:K504">
    <cfRule type="cellIs" dxfId="24" priority="2" operator="lessThanOrEqual">
      <formula>0.1</formula>
    </cfRule>
    <cfRule type="cellIs" dxfId="23" priority="3" operator="between">
      <formula>0.1001</formula>
      <formula>0.25</formula>
    </cfRule>
    <cfRule type="cellIs" dxfId="22" priority="4" operator="greaterThan">
      <formula>0.25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22"/>
  <sheetViews>
    <sheetView showGridLines="0" zoomScale="200" zoomScaleNormal="2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N5" sqref="N5"/>
    </sheetView>
  </sheetViews>
  <sheetFormatPr baseColWidth="10" defaultColWidth="8.6640625" defaultRowHeight="15" x14ac:dyDescent="0.2"/>
  <cols>
    <col min="1" max="1" width="10" bestFit="1" customWidth="1"/>
    <col min="2" max="2" width="20.1640625" bestFit="1" customWidth="1"/>
    <col min="3" max="3" width="11.5" bestFit="1" customWidth="1"/>
    <col min="4" max="4" width="8.5" bestFit="1" customWidth="1"/>
    <col min="5" max="5" width="11.83203125" bestFit="1" customWidth="1"/>
    <col min="6" max="6" width="10.33203125" bestFit="1" customWidth="1"/>
    <col min="7" max="7" width="8.83203125" bestFit="1" customWidth="1"/>
    <col min="8" max="8" width="9" bestFit="1" customWidth="1"/>
    <col min="9" max="9" width="12" bestFit="1" customWidth="1"/>
    <col min="10" max="10" width="10.33203125" bestFit="1" customWidth="1"/>
    <col min="11" max="11" width="8.83203125" bestFit="1" customWidth="1"/>
    <col min="12" max="12" width="7.6640625" bestFit="1" customWidth="1"/>
    <col min="13" max="13" width="8.33203125" bestFit="1" customWidth="1"/>
    <col min="14" max="14" width="9.1640625" bestFit="1" customWidth="1"/>
  </cols>
  <sheetData>
    <row r="1" spans="1:14" ht="31.5" customHeight="1" x14ac:dyDescent="0.2">
      <c r="A1" s="44" t="s">
        <v>1117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14" ht="18" customHeight="1" x14ac:dyDescent="0.2">
      <c r="A2" s="32" t="s">
        <v>1118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4" spans="1:14" ht="24" customHeight="1" x14ac:dyDescent="0.2">
      <c r="A4" s="2" t="s">
        <v>28</v>
      </c>
      <c r="B4" s="2" t="s">
        <v>29</v>
      </c>
      <c r="C4" s="2" t="s">
        <v>30</v>
      </c>
      <c r="D4" s="2" t="s">
        <v>31</v>
      </c>
      <c r="E4" s="2" t="s">
        <v>33</v>
      </c>
      <c r="F4" s="2" t="s">
        <v>38</v>
      </c>
      <c r="G4" s="2" t="s">
        <v>1119</v>
      </c>
      <c r="H4" s="2" t="s">
        <v>1120</v>
      </c>
      <c r="I4" s="2" t="s">
        <v>1121</v>
      </c>
      <c r="J4" s="2" t="s">
        <v>1122</v>
      </c>
      <c r="K4" s="2" t="s">
        <v>1123</v>
      </c>
      <c r="L4" s="2" t="s">
        <v>1101</v>
      </c>
      <c r="M4" s="2" t="s">
        <v>1124</v>
      </c>
      <c r="N4" s="2" t="s">
        <v>1125</v>
      </c>
    </row>
    <row r="5" spans="1:14" ht="15" customHeight="1" x14ac:dyDescent="0.2">
      <c r="A5" s="3" t="str">
        <f>'1. Master Data'!A76</f>
        <v>NT10072</v>
      </c>
      <c r="B5" s="1" t="str">
        <f>'1. Master Data'!B76</f>
        <v>CreatorPro 629 i9 16in</v>
      </c>
      <c r="C5" s="3" t="str">
        <f>'1. Master Data'!C76</f>
        <v>Laptops</v>
      </c>
      <c r="D5" s="3" t="str">
        <f>'1. Master Data'!D76</f>
        <v>East DC</v>
      </c>
      <c r="E5" s="4">
        <f>'1. Master Data'!F76</f>
        <v>1121</v>
      </c>
      <c r="F5" s="3">
        <f>'2. Demand History'!AA76</f>
        <v>3089</v>
      </c>
      <c r="G5" s="4">
        <f t="shared" ref="G5:G68" si="0">E5*F5</f>
        <v>3462769</v>
      </c>
      <c r="H5" s="3">
        <f t="shared" ref="H5:H68" si="1">RANK(G5,G$5:G$504,0)</f>
        <v>1</v>
      </c>
      <c r="I5" s="11">
        <f t="shared" ref="I5:I68" si="2">SUMPRODUCT((H$5:H$504&lt;=H5)*G$5:G$504)</f>
        <v>3462769</v>
      </c>
      <c r="J5" s="10">
        <f t="shared" ref="J5:J68" si="3">I5/SUM(G$5:G$504)</f>
        <v>2.0943101689515242E-2</v>
      </c>
      <c r="K5" s="5" t="str">
        <f t="shared" ref="K5:K68" si="4">IF(J5&lt;=0.8,"A",IF(J5&lt;=0.95,"B","C"))</f>
        <v>A</v>
      </c>
      <c r="L5" s="8">
        <f>'3. Demand Forecast'!H76</f>
        <v>0.31</v>
      </c>
      <c r="M5" s="5" t="str">
        <f t="shared" ref="M5:M68" si="5">IF(L5&lt;=0.25,"X",IF(L5&lt;=0.6,"Y","Z"))</f>
        <v>Y</v>
      </c>
      <c r="N5" s="5" t="str">
        <f t="shared" ref="N5:N68" si="6">K5&amp;M5</f>
        <v>AY</v>
      </c>
    </row>
    <row r="6" spans="1:14" ht="15" customHeight="1" x14ac:dyDescent="0.2">
      <c r="A6" s="3" t="str">
        <f>'1. Master Data'!A108</f>
        <v>NT10104</v>
      </c>
      <c r="B6" s="1" t="str">
        <f>'1. Master Data'!B108</f>
        <v>VisionLED 501in 4K</v>
      </c>
      <c r="C6" s="3" t="str">
        <f>'1. Master Data'!C108</f>
        <v>TVs</v>
      </c>
      <c r="D6" s="3" t="str">
        <f>'1. Master Data'!D108</f>
        <v>East DC</v>
      </c>
      <c r="E6" s="4">
        <f>'1. Master Data'!F108</f>
        <v>1395</v>
      </c>
      <c r="F6" s="3">
        <f>'2. Demand History'!AA108</f>
        <v>2259</v>
      </c>
      <c r="G6" s="4">
        <f t="shared" si="0"/>
        <v>3151305</v>
      </c>
      <c r="H6" s="3">
        <f t="shared" si="1"/>
        <v>2</v>
      </c>
      <c r="I6" s="11">
        <f t="shared" si="2"/>
        <v>6614074</v>
      </c>
      <c r="J6" s="10">
        <f t="shared" si="3"/>
        <v>4.0002444391750887E-2</v>
      </c>
      <c r="K6" s="5" t="str">
        <f t="shared" si="4"/>
        <v>A</v>
      </c>
      <c r="L6" s="8">
        <f>'3. Demand Forecast'!H108</f>
        <v>0.31</v>
      </c>
      <c r="M6" s="5" t="str">
        <f t="shared" si="5"/>
        <v>Y</v>
      </c>
      <c r="N6" s="5" t="str">
        <f t="shared" si="6"/>
        <v>AY</v>
      </c>
    </row>
    <row r="7" spans="1:14" ht="15" customHeight="1" x14ac:dyDescent="0.2">
      <c r="A7" s="3" t="str">
        <f>'1. Master Data'!A32</f>
        <v>NT10028</v>
      </c>
      <c r="B7" s="1" t="str">
        <f>'1. Master Data'!B32</f>
        <v>Nova X761 Pro 256GB</v>
      </c>
      <c r="C7" s="3" t="str">
        <f>'1. Master Data'!C32</f>
        <v>Smartphones</v>
      </c>
      <c r="D7" s="3" t="str">
        <f>'1. Master Data'!D32</f>
        <v>East DC</v>
      </c>
      <c r="E7" s="4">
        <f>'1. Master Data'!F32</f>
        <v>779</v>
      </c>
      <c r="F7" s="3">
        <f>'2. Demand History'!AA32</f>
        <v>3921</v>
      </c>
      <c r="G7" s="4">
        <f t="shared" si="0"/>
        <v>3054459</v>
      </c>
      <c r="H7" s="3">
        <f t="shared" si="1"/>
        <v>3</v>
      </c>
      <c r="I7" s="11">
        <f t="shared" si="2"/>
        <v>9668533</v>
      </c>
      <c r="J7" s="10">
        <f t="shared" si="3"/>
        <v>5.8476054801066393E-2</v>
      </c>
      <c r="K7" s="5" t="str">
        <f t="shared" si="4"/>
        <v>A</v>
      </c>
      <c r="L7" s="8">
        <f>'3. Demand Forecast'!H32</f>
        <v>0.35</v>
      </c>
      <c r="M7" s="5" t="str">
        <f t="shared" si="5"/>
        <v>Y</v>
      </c>
      <c r="N7" s="5" t="str">
        <f t="shared" si="6"/>
        <v>AY</v>
      </c>
    </row>
    <row r="8" spans="1:14" ht="15" customHeight="1" x14ac:dyDescent="0.2">
      <c r="A8" s="3" t="str">
        <f>'1. Master Data'!A143</f>
        <v>NT10139</v>
      </c>
      <c r="B8" s="1" t="str">
        <f>'1. Master Data'!B143</f>
        <v>VisionQ 920in QLED</v>
      </c>
      <c r="C8" s="3" t="str">
        <f>'1. Master Data'!C143</f>
        <v>TVs</v>
      </c>
      <c r="D8" s="3" t="str">
        <f>'1. Master Data'!D143</f>
        <v>Central DC</v>
      </c>
      <c r="E8" s="4">
        <f>'1. Master Data'!F143</f>
        <v>1097</v>
      </c>
      <c r="F8" s="3">
        <f>'2. Demand History'!AA143</f>
        <v>2627</v>
      </c>
      <c r="G8" s="4">
        <f t="shared" si="0"/>
        <v>2881819</v>
      </c>
      <c r="H8" s="3">
        <f t="shared" si="1"/>
        <v>4</v>
      </c>
      <c r="I8" s="11">
        <f t="shared" si="2"/>
        <v>12550352</v>
      </c>
      <c r="J8" s="10">
        <f t="shared" si="3"/>
        <v>7.5905524791059123E-2</v>
      </c>
      <c r="K8" s="5" t="str">
        <f t="shared" si="4"/>
        <v>A</v>
      </c>
      <c r="L8" s="8">
        <f>'3. Demand Forecast'!H143</f>
        <v>0.27</v>
      </c>
      <c r="M8" s="5" t="str">
        <f t="shared" si="5"/>
        <v>Y</v>
      </c>
      <c r="N8" s="5" t="str">
        <f t="shared" si="6"/>
        <v>AY</v>
      </c>
    </row>
    <row r="9" spans="1:14" ht="15" customHeight="1" x14ac:dyDescent="0.2">
      <c r="A9" s="3" t="str">
        <f>'1. Master Data'!A55</f>
        <v>NT10051</v>
      </c>
      <c r="B9" s="1" t="str">
        <f>'1. Master Data'!B55</f>
        <v>CreatorPro 982 i9 16in</v>
      </c>
      <c r="C9" s="3" t="str">
        <f>'1. Master Data'!C55</f>
        <v>Laptops</v>
      </c>
      <c r="D9" s="3" t="str">
        <f>'1. Master Data'!D55</f>
        <v>Central DC</v>
      </c>
      <c r="E9" s="4">
        <f>'1. Master Data'!F55</f>
        <v>1137</v>
      </c>
      <c r="F9" s="3">
        <f>'2. Demand History'!AA55</f>
        <v>2197</v>
      </c>
      <c r="G9" s="4">
        <f t="shared" si="0"/>
        <v>2497989</v>
      </c>
      <c r="H9" s="3">
        <f t="shared" si="1"/>
        <v>5</v>
      </c>
      <c r="I9" s="11">
        <f t="shared" si="2"/>
        <v>15048341</v>
      </c>
      <c r="J9" s="10">
        <f t="shared" si="3"/>
        <v>9.1013560483388142E-2</v>
      </c>
      <c r="K9" s="5" t="str">
        <f t="shared" si="4"/>
        <v>A</v>
      </c>
      <c r="L9" s="8">
        <f>'3. Demand Forecast'!H55</f>
        <v>0.3</v>
      </c>
      <c r="M9" s="5" t="str">
        <f t="shared" si="5"/>
        <v>Y</v>
      </c>
      <c r="N9" s="5" t="str">
        <f t="shared" si="6"/>
        <v>AY</v>
      </c>
    </row>
    <row r="10" spans="1:14" ht="15" customHeight="1" x14ac:dyDescent="0.2">
      <c r="A10" s="3" t="str">
        <f>'1. Master Data'!A30</f>
        <v>NT10026</v>
      </c>
      <c r="B10" s="1" t="str">
        <f>'1. Master Data'!B30</f>
        <v>Edge 712 5G 128GB</v>
      </c>
      <c r="C10" s="3" t="str">
        <f>'1. Master Data'!C30</f>
        <v>Smartphones</v>
      </c>
      <c r="D10" s="3" t="str">
        <f>'1. Master Data'!D30</f>
        <v>East DC</v>
      </c>
      <c r="E10" s="4">
        <f>'1. Master Data'!F30</f>
        <v>321</v>
      </c>
      <c r="F10" s="3">
        <f>'2. Demand History'!AA30</f>
        <v>6808</v>
      </c>
      <c r="G10" s="4">
        <f t="shared" si="0"/>
        <v>2185368</v>
      </c>
      <c r="H10" s="3">
        <f t="shared" si="1"/>
        <v>6</v>
      </c>
      <c r="I10" s="11">
        <f t="shared" si="2"/>
        <v>17233709</v>
      </c>
      <c r="J10" s="10">
        <f t="shared" si="3"/>
        <v>0.10423083956062736</v>
      </c>
      <c r="K10" s="5" t="str">
        <f t="shared" si="4"/>
        <v>A</v>
      </c>
      <c r="L10" s="8">
        <f>'3. Demand Forecast'!H30</f>
        <v>0.31</v>
      </c>
      <c r="M10" s="5" t="str">
        <f t="shared" si="5"/>
        <v>Y</v>
      </c>
      <c r="N10" s="5" t="str">
        <f t="shared" si="6"/>
        <v>AY</v>
      </c>
    </row>
    <row r="11" spans="1:14" ht="15" customHeight="1" x14ac:dyDescent="0.2">
      <c r="A11" s="3" t="str">
        <f>'1. Master Data'!A400</f>
        <v>NT10396</v>
      </c>
      <c r="B11" s="1" t="str">
        <f>'1. Master Data'!B400</f>
        <v>MirrorlessM 229</v>
      </c>
      <c r="C11" s="3" t="str">
        <f>'1. Master Data'!C400</f>
        <v>Cameras</v>
      </c>
      <c r="D11" s="3" t="str">
        <f>'1. Master Data'!D400</f>
        <v>Central DC</v>
      </c>
      <c r="E11" s="4">
        <f>'1. Master Data'!F400</f>
        <v>1120</v>
      </c>
      <c r="F11" s="3">
        <f>'2. Demand History'!AA400</f>
        <v>1911</v>
      </c>
      <c r="G11" s="4">
        <f t="shared" si="0"/>
        <v>2140320</v>
      </c>
      <c r="H11" s="3">
        <f t="shared" si="1"/>
        <v>7</v>
      </c>
      <c r="I11" s="11">
        <f t="shared" si="2"/>
        <v>19374029</v>
      </c>
      <c r="J11" s="10">
        <f t="shared" si="3"/>
        <v>0.11717566475921937</v>
      </c>
      <c r="K11" s="5" t="str">
        <f t="shared" si="4"/>
        <v>A</v>
      </c>
      <c r="L11" s="8">
        <f>'3. Demand Forecast'!H400</f>
        <v>0.25</v>
      </c>
      <c r="M11" s="5" t="str">
        <f t="shared" si="5"/>
        <v>X</v>
      </c>
      <c r="N11" s="5" t="str">
        <f t="shared" si="6"/>
        <v>AX</v>
      </c>
    </row>
    <row r="12" spans="1:14" ht="15" customHeight="1" x14ac:dyDescent="0.2">
      <c r="A12" s="3" t="str">
        <f>'1. Master Data'!A160</f>
        <v>NT10156</v>
      </c>
      <c r="B12" s="1" t="str">
        <f>'1. Master Data'!B160</f>
        <v>ClipMic 445 Wireless</v>
      </c>
      <c r="C12" s="3" t="str">
        <f>'1. Master Data'!C160</f>
        <v>Audio</v>
      </c>
      <c r="D12" s="3" t="str">
        <f>'1. Master Data'!D160</f>
        <v>West DC</v>
      </c>
      <c r="E12" s="4">
        <f>'1. Master Data'!F160</f>
        <v>250</v>
      </c>
      <c r="F12" s="3">
        <f>'2. Demand History'!AA160</f>
        <v>7215</v>
      </c>
      <c r="G12" s="4">
        <f t="shared" si="0"/>
        <v>1803750</v>
      </c>
      <c r="H12" s="3">
        <f t="shared" si="1"/>
        <v>8</v>
      </c>
      <c r="I12" s="11">
        <f t="shared" si="2"/>
        <v>21177779</v>
      </c>
      <c r="J12" s="10">
        <f t="shared" si="3"/>
        <v>0.12808488789032141</v>
      </c>
      <c r="K12" s="5" t="str">
        <f t="shared" si="4"/>
        <v>A</v>
      </c>
      <c r="L12" s="8">
        <f>'3. Demand Forecast'!H160</f>
        <v>0.27</v>
      </c>
      <c r="M12" s="5" t="str">
        <f t="shared" si="5"/>
        <v>Y</v>
      </c>
      <c r="N12" s="5" t="str">
        <f t="shared" si="6"/>
        <v>AY</v>
      </c>
    </row>
    <row r="13" spans="1:14" ht="15" customHeight="1" x14ac:dyDescent="0.2">
      <c r="A13" s="3" t="str">
        <f>'1. Master Data'!A39</f>
        <v>NT10035</v>
      </c>
      <c r="B13" s="1" t="str">
        <f>'1. Master Data'!B39</f>
        <v>Nova X683 Pro 256GB</v>
      </c>
      <c r="C13" s="3" t="str">
        <f>'1. Master Data'!C39</f>
        <v>Smartphones</v>
      </c>
      <c r="D13" s="3" t="str">
        <f>'1. Master Data'!D39</f>
        <v>East DC</v>
      </c>
      <c r="E13" s="4">
        <f>'1. Master Data'!F39</f>
        <v>524</v>
      </c>
      <c r="F13" s="3">
        <f>'2. Demand History'!AA39</f>
        <v>3400</v>
      </c>
      <c r="G13" s="4">
        <f t="shared" si="0"/>
        <v>1781600</v>
      </c>
      <c r="H13" s="3">
        <f t="shared" si="1"/>
        <v>9</v>
      </c>
      <c r="I13" s="11">
        <f t="shared" si="2"/>
        <v>22959379</v>
      </c>
      <c r="J13" s="10">
        <f t="shared" si="3"/>
        <v>0.1388601460637775</v>
      </c>
      <c r="K13" s="5" t="str">
        <f t="shared" si="4"/>
        <v>A</v>
      </c>
      <c r="L13" s="8">
        <f>'3. Demand Forecast'!H39</f>
        <v>0.33</v>
      </c>
      <c r="M13" s="5" t="str">
        <f t="shared" si="5"/>
        <v>Y</v>
      </c>
      <c r="N13" s="5" t="str">
        <f t="shared" si="6"/>
        <v>AY</v>
      </c>
    </row>
    <row r="14" spans="1:14" ht="15" customHeight="1" x14ac:dyDescent="0.2">
      <c r="A14" s="3" t="str">
        <f>'1. Master Data'!A336</f>
        <v>NT10332</v>
      </c>
      <c r="B14" s="1" t="str">
        <f>'1. Master Data'!B336</f>
        <v>HomeCam 631 1080p</v>
      </c>
      <c r="C14" s="3" t="str">
        <f>'1. Master Data'!C336</f>
        <v>Smart Home</v>
      </c>
      <c r="D14" s="3" t="str">
        <f>'1. Master Data'!D336</f>
        <v>Central DC</v>
      </c>
      <c r="E14" s="4">
        <f>'1. Master Data'!F336</f>
        <v>87</v>
      </c>
      <c r="F14" s="3">
        <f>'2. Demand History'!AA336</f>
        <v>20102</v>
      </c>
      <c r="G14" s="4">
        <f t="shared" si="0"/>
        <v>1748874</v>
      </c>
      <c r="H14" s="3">
        <f t="shared" si="1"/>
        <v>10</v>
      </c>
      <c r="I14" s="11">
        <f t="shared" si="2"/>
        <v>24708253</v>
      </c>
      <c r="J14" s="10">
        <f t="shared" si="3"/>
        <v>0.14943747479236127</v>
      </c>
      <c r="K14" s="5" t="str">
        <f t="shared" si="4"/>
        <v>A</v>
      </c>
      <c r="L14" s="8">
        <f>'3. Demand Forecast'!H336</f>
        <v>0.06</v>
      </c>
      <c r="M14" s="5" t="str">
        <f t="shared" si="5"/>
        <v>X</v>
      </c>
      <c r="N14" s="5" t="str">
        <f t="shared" si="6"/>
        <v>AX</v>
      </c>
    </row>
    <row r="15" spans="1:14" ht="15" customHeight="1" x14ac:dyDescent="0.2">
      <c r="A15" s="3" t="str">
        <f>'1. Master Data'!A291</f>
        <v>NT10287</v>
      </c>
      <c r="B15" s="1" t="str">
        <f>'1. Master Data'!B291</f>
        <v>ProMouse G661</v>
      </c>
      <c r="C15" s="3" t="str">
        <f>'1. Master Data'!C291</f>
        <v>Gaming</v>
      </c>
      <c r="D15" s="3" t="str">
        <f>'1. Master Data'!D291</f>
        <v>Central DC</v>
      </c>
      <c r="E15" s="4">
        <f>'1. Master Data'!F291</f>
        <v>190</v>
      </c>
      <c r="F15" s="3">
        <f>'2. Demand History'!AA291</f>
        <v>9156</v>
      </c>
      <c r="G15" s="4">
        <f t="shared" si="0"/>
        <v>1739640</v>
      </c>
      <c r="H15" s="3">
        <f t="shared" si="1"/>
        <v>11</v>
      </c>
      <c r="I15" s="11">
        <f t="shared" si="2"/>
        <v>26447893</v>
      </c>
      <c r="J15" s="10">
        <f t="shared" si="3"/>
        <v>0.15995895555620901</v>
      </c>
      <c r="K15" s="5" t="str">
        <f t="shared" si="4"/>
        <v>A</v>
      </c>
      <c r="L15" s="8">
        <f>'3. Demand Forecast'!H291</f>
        <v>0.25</v>
      </c>
      <c r="M15" s="5" t="str">
        <f t="shared" si="5"/>
        <v>X</v>
      </c>
      <c r="N15" s="5" t="str">
        <f t="shared" si="6"/>
        <v>AX</v>
      </c>
    </row>
    <row r="16" spans="1:14" ht="15" customHeight="1" x14ac:dyDescent="0.2">
      <c r="A16" s="3" t="str">
        <f>'1. Master Data'!A70</f>
        <v>NT10066</v>
      </c>
      <c r="B16" s="1" t="str">
        <f>'1. Master Data'!B70</f>
        <v>UltraSlim 542 Ryzen 5</v>
      </c>
      <c r="C16" s="3" t="str">
        <f>'1. Master Data'!C70</f>
        <v>Laptops</v>
      </c>
      <c r="D16" s="3" t="str">
        <f>'1. Master Data'!D70</f>
        <v>East DC</v>
      </c>
      <c r="E16" s="4">
        <f>'1. Master Data'!F70</f>
        <v>1410</v>
      </c>
      <c r="F16" s="3">
        <f>'2. Demand History'!AA70</f>
        <v>1134</v>
      </c>
      <c r="G16" s="4">
        <f t="shared" si="0"/>
        <v>1598940</v>
      </c>
      <c r="H16" s="3">
        <f t="shared" si="1"/>
        <v>12</v>
      </c>
      <c r="I16" s="11">
        <f t="shared" si="2"/>
        <v>28046833</v>
      </c>
      <c r="J16" s="10">
        <f t="shared" si="3"/>
        <v>0.16962947155523567</v>
      </c>
      <c r="K16" s="5" t="str">
        <f t="shared" si="4"/>
        <v>A</v>
      </c>
      <c r="L16" s="8">
        <f>'3. Demand Forecast'!H70</f>
        <v>0.3</v>
      </c>
      <c r="M16" s="5" t="str">
        <f t="shared" si="5"/>
        <v>Y</v>
      </c>
      <c r="N16" s="5" t="str">
        <f t="shared" si="6"/>
        <v>AY</v>
      </c>
    </row>
    <row r="17" spans="1:14" ht="15" customHeight="1" x14ac:dyDescent="0.2">
      <c r="A17" s="3" t="str">
        <f>'1. Master Data'!A103</f>
        <v>NT10099</v>
      </c>
      <c r="B17" s="1" t="str">
        <f>'1. Master Data'!B103</f>
        <v>WorkMate 633 i3 14in</v>
      </c>
      <c r="C17" s="3" t="str">
        <f>'1. Master Data'!C103</f>
        <v>Laptops</v>
      </c>
      <c r="D17" s="3" t="str">
        <f>'1. Master Data'!D103</f>
        <v>West DC</v>
      </c>
      <c r="E17" s="4">
        <f>'1. Master Data'!F103</f>
        <v>1125</v>
      </c>
      <c r="F17" s="3">
        <f>'2. Demand History'!AA103</f>
        <v>1339</v>
      </c>
      <c r="G17" s="4">
        <f t="shared" si="0"/>
        <v>1506375</v>
      </c>
      <c r="H17" s="3">
        <f t="shared" si="1"/>
        <v>13</v>
      </c>
      <c r="I17" s="11">
        <f t="shared" si="2"/>
        <v>29553208</v>
      </c>
      <c r="J17" s="10">
        <f t="shared" si="3"/>
        <v>0.17874014708904792</v>
      </c>
      <c r="K17" s="5" t="str">
        <f t="shared" si="4"/>
        <v>A</v>
      </c>
      <c r="L17" s="8">
        <f>'3. Demand Forecast'!H103</f>
        <v>0.33</v>
      </c>
      <c r="M17" s="5" t="str">
        <f t="shared" si="5"/>
        <v>Y</v>
      </c>
      <c r="N17" s="5" t="str">
        <f t="shared" si="6"/>
        <v>AY</v>
      </c>
    </row>
    <row r="18" spans="1:14" ht="15" customHeight="1" x14ac:dyDescent="0.2">
      <c r="A18" s="3" t="str">
        <f>'1. Master Data'!A129</f>
        <v>NT10125</v>
      </c>
      <c r="B18" s="1" t="str">
        <f>'1. Master Data'!B129</f>
        <v>VisionOLED 414in 4K</v>
      </c>
      <c r="C18" s="3" t="str">
        <f>'1. Master Data'!C129</f>
        <v>TVs</v>
      </c>
      <c r="D18" s="3" t="str">
        <f>'1. Master Data'!D129</f>
        <v>East DC</v>
      </c>
      <c r="E18" s="4">
        <f>'1. Master Data'!F129</f>
        <v>1001</v>
      </c>
      <c r="F18" s="3">
        <f>'2. Demand History'!AA129</f>
        <v>1453</v>
      </c>
      <c r="G18" s="4">
        <f t="shared" si="0"/>
        <v>1454453</v>
      </c>
      <c r="H18" s="3">
        <f t="shared" si="1"/>
        <v>14</v>
      </c>
      <c r="I18" s="11">
        <f t="shared" si="2"/>
        <v>31007661</v>
      </c>
      <c r="J18" s="10">
        <f t="shared" si="3"/>
        <v>0.18753679424674757</v>
      </c>
      <c r="K18" s="5" t="str">
        <f t="shared" si="4"/>
        <v>A</v>
      </c>
      <c r="L18" s="8">
        <f>'3. Demand Forecast'!H129</f>
        <v>0.28999999999999998</v>
      </c>
      <c r="M18" s="5" t="str">
        <f t="shared" si="5"/>
        <v>Y</v>
      </c>
      <c r="N18" s="5" t="str">
        <f t="shared" si="6"/>
        <v>AY</v>
      </c>
    </row>
    <row r="19" spans="1:14" ht="15" customHeight="1" x14ac:dyDescent="0.2">
      <c r="A19" s="3" t="str">
        <f>'1. Master Data'!A156</f>
        <v>NT10152</v>
      </c>
      <c r="B19" s="1" t="str">
        <f>'1. Master Data'!B156</f>
        <v>StudioPods 426 ANC</v>
      </c>
      <c r="C19" s="3" t="str">
        <f>'1. Master Data'!C156</f>
        <v>Audio</v>
      </c>
      <c r="D19" s="3" t="str">
        <f>'1. Master Data'!D156</f>
        <v>West DC</v>
      </c>
      <c r="E19" s="4">
        <f>'1. Master Data'!F156</f>
        <v>236</v>
      </c>
      <c r="F19" s="3">
        <f>'2. Demand History'!AA156</f>
        <v>6116</v>
      </c>
      <c r="G19" s="4">
        <f t="shared" si="0"/>
        <v>1443376</v>
      </c>
      <c r="H19" s="3">
        <f t="shared" si="1"/>
        <v>15</v>
      </c>
      <c r="I19" s="11">
        <f t="shared" si="2"/>
        <v>32451037</v>
      </c>
      <c r="J19" s="10">
        <f t="shared" si="3"/>
        <v>0.19626644682946556</v>
      </c>
      <c r="K19" s="5" t="str">
        <f t="shared" si="4"/>
        <v>A</v>
      </c>
      <c r="L19" s="8">
        <f>'3. Demand Forecast'!H156</f>
        <v>0.27</v>
      </c>
      <c r="M19" s="5" t="str">
        <f t="shared" si="5"/>
        <v>Y</v>
      </c>
      <c r="N19" s="5" t="str">
        <f t="shared" si="6"/>
        <v>AY</v>
      </c>
    </row>
    <row r="20" spans="1:14" ht="15" customHeight="1" x14ac:dyDescent="0.2">
      <c r="A20" s="3" t="str">
        <f>'1. Master Data'!A22</f>
        <v>NT10018</v>
      </c>
      <c r="B20" s="1" t="str">
        <f>'1. Master Data'!B22</f>
        <v>Nova X223 Pro 256GB</v>
      </c>
      <c r="C20" s="3" t="str">
        <f>'1. Master Data'!C22</f>
        <v>Smartphones</v>
      </c>
      <c r="D20" s="3" t="str">
        <f>'1. Master Data'!D22</f>
        <v>West DC</v>
      </c>
      <c r="E20" s="4">
        <f>'1. Master Data'!F22</f>
        <v>809</v>
      </c>
      <c r="F20" s="3">
        <f>'2. Demand History'!AA22</f>
        <v>1739</v>
      </c>
      <c r="G20" s="4">
        <f t="shared" si="0"/>
        <v>1406851</v>
      </c>
      <c r="H20" s="3">
        <f t="shared" si="1"/>
        <v>16</v>
      </c>
      <c r="I20" s="11">
        <f t="shared" si="2"/>
        <v>33857888</v>
      </c>
      <c r="J20" s="10">
        <f t="shared" si="3"/>
        <v>0.2047751933138531</v>
      </c>
      <c r="K20" s="5" t="str">
        <f t="shared" si="4"/>
        <v>A</v>
      </c>
      <c r="L20" s="8">
        <f>'3. Demand Forecast'!H22</f>
        <v>0.28000000000000003</v>
      </c>
      <c r="M20" s="5" t="str">
        <f t="shared" si="5"/>
        <v>Y</v>
      </c>
      <c r="N20" s="5" t="str">
        <f t="shared" si="6"/>
        <v>AY</v>
      </c>
    </row>
    <row r="21" spans="1:14" ht="15" customHeight="1" x14ac:dyDescent="0.2">
      <c r="A21" s="3" t="str">
        <f>'1. Master Data'!A48</f>
        <v>NT10044</v>
      </c>
      <c r="B21" s="1" t="str">
        <f>'1. Master Data'!B48</f>
        <v>Nova Lite 886 64GB</v>
      </c>
      <c r="C21" s="3" t="str">
        <f>'1. Master Data'!C48</f>
        <v>Smartphones</v>
      </c>
      <c r="D21" s="3" t="str">
        <f>'1. Master Data'!D48</f>
        <v>Central DC</v>
      </c>
      <c r="E21" s="4">
        <f>'1. Master Data'!F48</f>
        <v>849</v>
      </c>
      <c r="F21" s="3">
        <f>'2. Demand History'!AA48</f>
        <v>1607</v>
      </c>
      <c r="G21" s="4">
        <f t="shared" si="0"/>
        <v>1364343</v>
      </c>
      <c r="H21" s="3">
        <f t="shared" si="1"/>
        <v>17</v>
      </c>
      <c r="I21" s="11">
        <f t="shared" si="2"/>
        <v>35222231</v>
      </c>
      <c r="J21" s="10">
        <f t="shared" si="3"/>
        <v>0.21302684804114747</v>
      </c>
      <c r="K21" s="5" t="str">
        <f t="shared" si="4"/>
        <v>A</v>
      </c>
      <c r="L21" s="8">
        <f>'3. Demand Forecast'!H48</f>
        <v>0.37</v>
      </c>
      <c r="M21" s="5" t="str">
        <f t="shared" si="5"/>
        <v>Y</v>
      </c>
      <c r="N21" s="5" t="str">
        <f t="shared" si="6"/>
        <v>AY</v>
      </c>
    </row>
    <row r="22" spans="1:14" ht="15" customHeight="1" x14ac:dyDescent="0.2">
      <c r="A22" s="3" t="str">
        <f>'1. Master Data'!A12</f>
        <v>NT10008</v>
      </c>
      <c r="B22" s="1" t="str">
        <f>'1. Master Data'!B12</f>
        <v>Edge 637 5G 128GB</v>
      </c>
      <c r="C22" s="3" t="str">
        <f>'1. Master Data'!C12</f>
        <v>Smartphones</v>
      </c>
      <c r="D22" s="3" t="str">
        <f>'1. Master Data'!D12</f>
        <v>West DC</v>
      </c>
      <c r="E22" s="4">
        <f>'1. Master Data'!F12</f>
        <v>827</v>
      </c>
      <c r="F22" s="3">
        <f>'2. Demand History'!AA12</f>
        <v>1629</v>
      </c>
      <c r="G22" s="4">
        <f t="shared" si="0"/>
        <v>1347183</v>
      </c>
      <c r="H22" s="3">
        <f t="shared" si="1"/>
        <v>18</v>
      </c>
      <c r="I22" s="11">
        <f t="shared" si="2"/>
        <v>36569414</v>
      </c>
      <c r="J22" s="10">
        <f t="shared" si="3"/>
        <v>0.22117471772676212</v>
      </c>
      <c r="K22" s="5" t="str">
        <f t="shared" si="4"/>
        <v>A</v>
      </c>
      <c r="L22" s="8">
        <f>'3. Demand Forecast'!H12</f>
        <v>0.37</v>
      </c>
      <c r="M22" s="5" t="str">
        <f t="shared" si="5"/>
        <v>Y</v>
      </c>
      <c r="N22" s="5" t="str">
        <f t="shared" si="6"/>
        <v>AY</v>
      </c>
    </row>
    <row r="23" spans="1:14" ht="15" customHeight="1" x14ac:dyDescent="0.2">
      <c r="A23" s="3" t="str">
        <f>'1. Master Data'!A153</f>
        <v>NT10149</v>
      </c>
      <c r="B23" s="1" t="str">
        <f>'1. Master Data'!B153</f>
        <v>CinemaMax 755in 8K</v>
      </c>
      <c r="C23" s="3" t="str">
        <f>'1. Master Data'!C153</f>
        <v>TVs</v>
      </c>
      <c r="D23" s="3" t="str">
        <f>'1. Master Data'!D153</f>
        <v>East DC</v>
      </c>
      <c r="E23" s="4">
        <f>'1. Master Data'!F153</f>
        <v>1759</v>
      </c>
      <c r="F23" s="3">
        <f>'2. Demand History'!AA153</f>
        <v>763</v>
      </c>
      <c r="G23" s="4">
        <f t="shared" si="0"/>
        <v>1342117</v>
      </c>
      <c r="H23" s="3">
        <f t="shared" si="1"/>
        <v>19</v>
      </c>
      <c r="I23" s="11">
        <f t="shared" si="2"/>
        <v>37911531</v>
      </c>
      <c r="J23" s="10">
        <f t="shared" si="3"/>
        <v>0.22929194784237975</v>
      </c>
      <c r="K23" s="5" t="str">
        <f t="shared" si="4"/>
        <v>A</v>
      </c>
      <c r="L23" s="8">
        <f>'3. Demand Forecast'!H153</f>
        <v>0.27</v>
      </c>
      <c r="M23" s="5" t="str">
        <f t="shared" si="5"/>
        <v>Y</v>
      </c>
      <c r="N23" s="5" t="str">
        <f t="shared" si="6"/>
        <v>AY</v>
      </c>
    </row>
    <row r="24" spans="1:14" ht="15" customHeight="1" x14ac:dyDescent="0.2">
      <c r="A24" s="3" t="str">
        <f>'1. Master Data'!A41</f>
        <v>NT10037</v>
      </c>
      <c r="B24" s="1" t="str">
        <f>'1. Master Data'!B41</f>
        <v>Nova X618 128GB</v>
      </c>
      <c r="C24" s="3" t="str">
        <f>'1. Master Data'!C41</f>
        <v>Smartphones</v>
      </c>
      <c r="D24" s="3" t="str">
        <f>'1. Master Data'!D41</f>
        <v>Central DC</v>
      </c>
      <c r="E24" s="4">
        <f>'1. Master Data'!F41</f>
        <v>852</v>
      </c>
      <c r="F24" s="3">
        <f>'2. Demand History'!AA41</f>
        <v>1489</v>
      </c>
      <c r="G24" s="4">
        <f t="shared" si="0"/>
        <v>1268628</v>
      </c>
      <c r="H24" s="3">
        <f t="shared" si="1"/>
        <v>20</v>
      </c>
      <c r="I24" s="11">
        <f t="shared" si="2"/>
        <v>39180159</v>
      </c>
      <c r="J24" s="10">
        <f t="shared" si="3"/>
        <v>0.236964710654501</v>
      </c>
      <c r="K24" s="5" t="str">
        <f t="shared" si="4"/>
        <v>A</v>
      </c>
      <c r="L24" s="8">
        <f>'3. Demand Forecast'!H41</f>
        <v>0.24</v>
      </c>
      <c r="M24" s="5" t="str">
        <f t="shared" si="5"/>
        <v>X</v>
      </c>
      <c r="N24" s="5" t="str">
        <f t="shared" si="6"/>
        <v>AX</v>
      </c>
    </row>
    <row r="25" spans="1:14" ht="15" customHeight="1" x14ac:dyDescent="0.2">
      <c r="A25" s="3" t="str">
        <f>'1. Master Data'!A204</f>
        <v>NT10200</v>
      </c>
      <c r="B25" s="1" t="str">
        <f>'1. Master Data'!B204</f>
        <v>WaveBar 886 Soundbar</v>
      </c>
      <c r="C25" s="3" t="str">
        <f>'1. Master Data'!C204</f>
        <v>Audio</v>
      </c>
      <c r="D25" s="3" t="str">
        <f>'1. Master Data'!D204</f>
        <v>East DC</v>
      </c>
      <c r="E25" s="4">
        <f>'1. Master Data'!F204</f>
        <v>207</v>
      </c>
      <c r="F25" s="3">
        <f>'2. Demand History'!AA204</f>
        <v>5604</v>
      </c>
      <c r="G25" s="4">
        <f t="shared" si="0"/>
        <v>1160028</v>
      </c>
      <c r="H25" s="3">
        <f t="shared" si="1"/>
        <v>21</v>
      </c>
      <c r="I25" s="11">
        <f t="shared" si="2"/>
        <v>40340187</v>
      </c>
      <c r="J25" s="10">
        <f t="shared" si="3"/>
        <v>0.24398065204899916</v>
      </c>
      <c r="K25" s="5" t="str">
        <f t="shared" si="4"/>
        <v>A</v>
      </c>
      <c r="L25" s="8">
        <f>'3. Demand Forecast'!H204</f>
        <v>0.23</v>
      </c>
      <c r="M25" s="5" t="str">
        <f t="shared" si="5"/>
        <v>X</v>
      </c>
      <c r="N25" s="5" t="str">
        <f t="shared" si="6"/>
        <v>AX</v>
      </c>
    </row>
    <row r="26" spans="1:14" ht="15" customHeight="1" x14ac:dyDescent="0.2">
      <c r="A26" s="3" t="str">
        <f>'1. Master Data'!A246</f>
        <v>NT10242</v>
      </c>
      <c r="B26" s="1" t="str">
        <f>'1. Master Data'!B246</f>
        <v>PulseRing 393</v>
      </c>
      <c r="C26" s="3" t="str">
        <f>'1. Master Data'!C246</f>
        <v>Wearables</v>
      </c>
      <c r="D26" s="3" t="str">
        <f>'1. Master Data'!D246</f>
        <v>East DC</v>
      </c>
      <c r="E26" s="4">
        <f>'1. Master Data'!F246</f>
        <v>103</v>
      </c>
      <c r="F26" s="3">
        <f>'2. Demand History'!AA246</f>
        <v>11197</v>
      </c>
      <c r="G26" s="4">
        <f t="shared" si="0"/>
        <v>1153291</v>
      </c>
      <c r="H26" s="3">
        <f t="shared" si="1"/>
        <v>22</v>
      </c>
      <c r="I26" s="11">
        <f t="shared" si="2"/>
        <v>41493478</v>
      </c>
      <c r="J26" s="10">
        <f t="shared" si="3"/>
        <v>0.25095584753290318</v>
      </c>
      <c r="K26" s="5" t="str">
        <f t="shared" si="4"/>
        <v>A</v>
      </c>
      <c r="L26" s="8">
        <f>'3. Demand Forecast'!H246</f>
        <v>0.3</v>
      </c>
      <c r="M26" s="5" t="str">
        <f t="shared" si="5"/>
        <v>Y</v>
      </c>
      <c r="N26" s="5" t="str">
        <f t="shared" si="6"/>
        <v>AY</v>
      </c>
    </row>
    <row r="27" spans="1:14" ht="15" customHeight="1" x14ac:dyDescent="0.2">
      <c r="A27" s="3" t="str">
        <f>'1. Master Data'!A63</f>
        <v>NT10059</v>
      </c>
      <c r="B27" s="1" t="str">
        <f>'1. Master Data'!B63</f>
        <v>WorkMate 293 i3 14in</v>
      </c>
      <c r="C27" s="3" t="str">
        <f>'1. Master Data'!C63</f>
        <v>Laptops</v>
      </c>
      <c r="D27" s="3" t="str">
        <f>'1. Master Data'!D63</f>
        <v>West DC</v>
      </c>
      <c r="E27" s="4">
        <f>'1. Master Data'!F63</f>
        <v>1383</v>
      </c>
      <c r="F27" s="3">
        <f>'2. Demand History'!AA63</f>
        <v>822</v>
      </c>
      <c r="G27" s="4">
        <f t="shared" si="0"/>
        <v>1136826</v>
      </c>
      <c r="H27" s="3">
        <f t="shared" si="1"/>
        <v>23</v>
      </c>
      <c r="I27" s="11">
        <f t="shared" si="2"/>
        <v>42630304</v>
      </c>
      <c r="J27" s="10">
        <f t="shared" si="3"/>
        <v>0.25783146139027707</v>
      </c>
      <c r="K27" s="5" t="str">
        <f t="shared" si="4"/>
        <v>A</v>
      </c>
      <c r="L27" s="8">
        <f>'3. Demand Forecast'!H63</f>
        <v>0.32</v>
      </c>
      <c r="M27" s="5" t="str">
        <f t="shared" si="5"/>
        <v>Y</v>
      </c>
      <c r="N27" s="5" t="str">
        <f t="shared" si="6"/>
        <v>AY</v>
      </c>
    </row>
    <row r="28" spans="1:14" ht="15" customHeight="1" x14ac:dyDescent="0.2">
      <c r="A28" s="3" t="str">
        <f>'1. Master Data'!A270</f>
        <v>NT10266</v>
      </c>
      <c r="B28" s="1" t="str">
        <f>'1. Master Data'!B270</f>
        <v>GameStation Controller 667</v>
      </c>
      <c r="C28" s="3" t="str">
        <f>'1. Master Data'!C270</f>
        <v>Gaming</v>
      </c>
      <c r="D28" s="3" t="str">
        <f>'1. Master Data'!D270</f>
        <v>West DC</v>
      </c>
      <c r="E28" s="4">
        <f>'1. Master Data'!F270</f>
        <v>281</v>
      </c>
      <c r="F28" s="3">
        <f>'2. Demand History'!AA270</f>
        <v>3957</v>
      </c>
      <c r="G28" s="4">
        <f t="shared" si="0"/>
        <v>1111917</v>
      </c>
      <c r="H28" s="3">
        <f t="shared" si="1"/>
        <v>24</v>
      </c>
      <c r="I28" s="11">
        <f t="shared" si="2"/>
        <v>43742221</v>
      </c>
      <c r="J28" s="10">
        <f t="shared" si="3"/>
        <v>0.264556423639073</v>
      </c>
      <c r="K28" s="5" t="str">
        <f t="shared" si="4"/>
        <v>A</v>
      </c>
      <c r="L28" s="8">
        <f>'3. Demand Forecast'!H270</f>
        <v>0.32</v>
      </c>
      <c r="M28" s="5" t="str">
        <f t="shared" si="5"/>
        <v>Y</v>
      </c>
      <c r="N28" s="5" t="str">
        <f t="shared" si="6"/>
        <v>AY</v>
      </c>
    </row>
    <row r="29" spans="1:14" ht="15" customHeight="1" x14ac:dyDescent="0.2">
      <c r="A29" s="3" t="str">
        <f>'1. Master Data'!A26</f>
        <v>NT10022</v>
      </c>
      <c r="B29" s="1" t="str">
        <f>'1. Master Data'!B26</f>
        <v>Pulse 521 Dual SIM</v>
      </c>
      <c r="C29" s="3" t="str">
        <f>'1. Master Data'!C26</f>
        <v>Smartphones</v>
      </c>
      <c r="D29" s="3" t="str">
        <f>'1. Master Data'!D26</f>
        <v>East DC</v>
      </c>
      <c r="E29" s="4">
        <f>'1. Master Data'!F26</f>
        <v>782</v>
      </c>
      <c r="F29" s="3">
        <f>'2. Demand History'!AA26</f>
        <v>1417</v>
      </c>
      <c r="G29" s="4">
        <f t="shared" si="0"/>
        <v>1108094</v>
      </c>
      <c r="H29" s="3">
        <f t="shared" si="1"/>
        <v>25</v>
      </c>
      <c r="I29" s="11">
        <f t="shared" si="2"/>
        <v>44850315</v>
      </c>
      <c r="J29" s="10">
        <f t="shared" si="3"/>
        <v>0.27125826408050635</v>
      </c>
      <c r="K29" s="5" t="str">
        <f t="shared" si="4"/>
        <v>A</v>
      </c>
      <c r="L29" s="8">
        <f>'3. Demand Forecast'!H26</f>
        <v>0.31</v>
      </c>
      <c r="M29" s="5" t="str">
        <f t="shared" si="5"/>
        <v>Y</v>
      </c>
      <c r="N29" s="5" t="str">
        <f t="shared" si="6"/>
        <v>AY</v>
      </c>
    </row>
    <row r="30" spans="1:14" ht="15" customHeight="1" x14ac:dyDescent="0.2">
      <c r="A30" s="3" t="str">
        <f>'1. Master Data'!A366</f>
        <v>NT10362</v>
      </c>
      <c r="B30" s="1" t="str">
        <f>'1. Master Data'!B366</f>
        <v>MirrorlessM 337</v>
      </c>
      <c r="C30" s="3" t="str">
        <f>'1. Master Data'!C366</f>
        <v>Cameras</v>
      </c>
      <c r="D30" s="3" t="str">
        <f>'1. Master Data'!D366</f>
        <v>East DC</v>
      </c>
      <c r="E30" s="4">
        <f>'1. Master Data'!F366</f>
        <v>1047</v>
      </c>
      <c r="F30" s="3">
        <f>'2. Demand History'!AA366</f>
        <v>1056</v>
      </c>
      <c r="G30" s="4">
        <f t="shared" si="0"/>
        <v>1105632</v>
      </c>
      <c r="H30" s="3">
        <f t="shared" si="1"/>
        <v>26</v>
      </c>
      <c r="I30" s="11">
        <f t="shared" si="2"/>
        <v>45955947</v>
      </c>
      <c r="J30" s="10">
        <f t="shared" si="3"/>
        <v>0.27794521415057516</v>
      </c>
      <c r="K30" s="5" t="str">
        <f t="shared" si="4"/>
        <v>A</v>
      </c>
      <c r="L30" s="8">
        <f>'3. Demand Forecast'!H366</f>
        <v>0.26</v>
      </c>
      <c r="M30" s="5" t="str">
        <f t="shared" si="5"/>
        <v>Y</v>
      </c>
      <c r="N30" s="5" t="str">
        <f t="shared" si="6"/>
        <v>AY</v>
      </c>
    </row>
    <row r="31" spans="1:14" ht="15" customHeight="1" x14ac:dyDescent="0.2">
      <c r="A31" s="3" t="str">
        <f>'1. Master Data'!A285</f>
        <v>NT10281</v>
      </c>
      <c r="B31" s="1" t="str">
        <f>'1. Master Data'!B285</f>
        <v>StreamCam S631</v>
      </c>
      <c r="C31" s="3" t="str">
        <f>'1. Master Data'!C285</f>
        <v>Gaming</v>
      </c>
      <c r="D31" s="3" t="str">
        <f>'1. Master Data'!D285</f>
        <v>West DC</v>
      </c>
      <c r="E31" s="4">
        <f>'1. Master Data'!F285</f>
        <v>310</v>
      </c>
      <c r="F31" s="3">
        <f>'2. Demand History'!AA285</f>
        <v>3558</v>
      </c>
      <c r="G31" s="4">
        <f t="shared" si="0"/>
        <v>1102980</v>
      </c>
      <c r="H31" s="3">
        <f t="shared" si="1"/>
        <v>27</v>
      </c>
      <c r="I31" s="11">
        <f t="shared" si="2"/>
        <v>47058927</v>
      </c>
      <c r="J31" s="10">
        <f t="shared" si="3"/>
        <v>0.28461612471420256</v>
      </c>
      <c r="K31" s="5" t="str">
        <f t="shared" si="4"/>
        <v>A</v>
      </c>
      <c r="L31" s="8">
        <f>'3. Demand Forecast'!H285</f>
        <v>0.3</v>
      </c>
      <c r="M31" s="5" t="str">
        <f t="shared" si="5"/>
        <v>Y</v>
      </c>
      <c r="N31" s="5" t="str">
        <f t="shared" si="6"/>
        <v>AY</v>
      </c>
    </row>
    <row r="32" spans="1:14" ht="15" customHeight="1" x14ac:dyDescent="0.2">
      <c r="A32" s="3" t="str">
        <f>'1. Master Data'!A107</f>
        <v>NT10103</v>
      </c>
      <c r="B32" s="1" t="str">
        <f>'1. Master Data'!B107</f>
        <v>VisionLED 495in 4K</v>
      </c>
      <c r="C32" s="3" t="str">
        <f>'1. Master Data'!C107</f>
        <v>TVs</v>
      </c>
      <c r="D32" s="3" t="str">
        <f>'1. Master Data'!D107</f>
        <v>East DC</v>
      </c>
      <c r="E32" s="4">
        <f>'1. Master Data'!F107</f>
        <v>1280</v>
      </c>
      <c r="F32" s="3">
        <f>'2. Demand History'!AA107</f>
        <v>855</v>
      </c>
      <c r="G32" s="4">
        <f t="shared" si="0"/>
        <v>1094400</v>
      </c>
      <c r="H32" s="3">
        <f t="shared" si="1"/>
        <v>28</v>
      </c>
      <c r="I32" s="11">
        <f t="shared" si="2"/>
        <v>48153327</v>
      </c>
      <c r="J32" s="10">
        <f t="shared" si="3"/>
        <v>0.29123514275699014</v>
      </c>
      <c r="K32" s="5" t="str">
        <f t="shared" si="4"/>
        <v>A</v>
      </c>
      <c r="L32" s="8">
        <f>'3. Demand Forecast'!H107</f>
        <v>0.34</v>
      </c>
      <c r="M32" s="5" t="str">
        <f t="shared" si="5"/>
        <v>Y</v>
      </c>
      <c r="N32" s="5" t="str">
        <f t="shared" si="6"/>
        <v>AY</v>
      </c>
    </row>
    <row r="33" spans="1:14" ht="15" customHeight="1" x14ac:dyDescent="0.2">
      <c r="A33" s="3" t="str">
        <f>'1. Master Data'!A14</f>
        <v>NT10010</v>
      </c>
      <c r="B33" s="1" t="str">
        <f>'1. Master Data'!B14</f>
        <v>Nova X834 128GB</v>
      </c>
      <c r="C33" s="3" t="str">
        <f>'1. Master Data'!C14</f>
        <v>Smartphones</v>
      </c>
      <c r="D33" s="3" t="str">
        <f>'1. Master Data'!D14</f>
        <v>West DC</v>
      </c>
      <c r="E33" s="4">
        <f>'1. Master Data'!F14</f>
        <v>395</v>
      </c>
      <c r="F33" s="3">
        <f>'2. Demand History'!AA14</f>
        <v>2758</v>
      </c>
      <c r="G33" s="4">
        <f t="shared" si="0"/>
        <v>1089410</v>
      </c>
      <c r="H33" s="3">
        <f t="shared" si="1"/>
        <v>29</v>
      </c>
      <c r="I33" s="11">
        <f t="shared" si="2"/>
        <v>49242737</v>
      </c>
      <c r="J33" s="10">
        <f t="shared" si="3"/>
        <v>0.2978239808838114</v>
      </c>
      <c r="K33" s="5" t="str">
        <f t="shared" si="4"/>
        <v>A</v>
      </c>
      <c r="L33" s="8">
        <f>'3. Demand Forecast'!H14</f>
        <v>0.32</v>
      </c>
      <c r="M33" s="5" t="str">
        <f t="shared" si="5"/>
        <v>Y</v>
      </c>
      <c r="N33" s="5" t="str">
        <f t="shared" si="6"/>
        <v>AY</v>
      </c>
    </row>
    <row r="34" spans="1:14" ht="15" customHeight="1" x14ac:dyDescent="0.2">
      <c r="A34" s="3" t="str">
        <f>'1. Master Data'!A51</f>
        <v>NT10047</v>
      </c>
      <c r="B34" s="1" t="str">
        <f>'1. Master Data'!B51</f>
        <v>Edge 345 5G 128GB</v>
      </c>
      <c r="C34" s="3" t="str">
        <f>'1. Master Data'!C51</f>
        <v>Smartphones</v>
      </c>
      <c r="D34" s="3" t="str">
        <f>'1. Master Data'!D51</f>
        <v>West DC</v>
      </c>
      <c r="E34" s="4">
        <f>'1. Master Data'!F51</f>
        <v>474</v>
      </c>
      <c r="F34" s="3">
        <f>'2. Demand History'!AA51</f>
        <v>2282</v>
      </c>
      <c r="G34" s="4">
        <f t="shared" si="0"/>
        <v>1081668</v>
      </c>
      <c r="H34" s="3">
        <f t="shared" si="1"/>
        <v>30</v>
      </c>
      <c r="I34" s="11">
        <f t="shared" si="2"/>
        <v>50324405</v>
      </c>
      <c r="J34" s="10">
        <f t="shared" si="3"/>
        <v>0.30436599478028981</v>
      </c>
      <c r="K34" s="5" t="str">
        <f t="shared" si="4"/>
        <v>A</v>
      </c>
      <c r="L34" s="8">
        <f>'3. Demand Forecast'!H51</f>
        <v>0.3</v>
      </c>
      <c r="M34" s="5" t="str">
        <f t="shared" si="5"/>
        <v>Y</v>
      </c>
      <c r="N34" s="5" t="str">
        <f t="shared" si="6"/>
        <v>AY</v>
      </c>
    </row>
    <row r="35" spans="1:14" ht="15" customHeight="1" x14ac:dyDescent="0.2">
      <c r="A35" s="3" t="str">
        <f>'1. Master Data'!A80</f>
        <v>NT10076</v>
      </c>
      <c r="B35" s="1" t="str">
        <f>'1. Master Data'!B80</f>
        <v>CreatorPro 809 i9 16in</v>
      </c>
      <c r="C35" s="3" t="str">
        <f>'1. Master Data'!C80</f>
        <v>Laptops</v>
      </c>
      <c r="D35" s="3" t="str">
        <f>'1. Master Data'!D80</f>
        <v>Central DC</v>
      </c>
      <c r="E35" s="4">
        <f>'1. Master Data'!F80</f>
        <v>423</v>
      </c>
      <c r="F35" s="3">
        <f>'2. Demand History'!AA80</f>
        <v>2543</v>
      </c>
      <c r="G35" s="4">
        <f t="shared" si="0"/>
        <v>1075689</v>
      </c>
      <c r="H35" s="3">
        <f t="shared" si="1"/>
        <v>31</v>
      </c>
      <c r="I35" s="11">
        <f t="shared" si="2"/>
        <v>51400094</v>
      </c>
      <c r="J35" s="10">
        <f t="shared" si="3"/>
        <v>0.31087184721032279</v>
      </c>
      <c r="K35" s="5" t="str">
        <f t="shared" si="4"/>
        <v>A</v>
      </c>
      <c r="L35" s="8">
        <f>'3. Demand Forecast'!H80</f>
        <v>0.31</v>
      </c>
      <c r="M35" s="5" t="str">
        <f t="shared" si="5"/>
        <v>Y</v>
      </c>
      <c r="N35" s="5" t="str">
        <f t="shared" si="6"/>
        <v>AY</v>
      </c>
    </row>
    <row r="36" spans="1:14" ht="15" customHeight="1" x14ac:dyDescent="0.2">
      <c r="A36" s="3" t="str">
        <f>'1. Master Data'!A33</f>
        <v>NT10029</v>
      </c>
      <c r="B36" s="1" t="str">
        <f>'1. Master Data'!B33</f>
        <v>Edge 379 5G 128GB</v>
      </c>
      <c r="C36" s="3" t="str">
        <f>'1. Master Data'!C33</f>
        <v>Smartphones</v>
      </c>
      <c r="D36" s="3" t="str">
        <f>'1. Master Data'!D33</f>
        <v>East DC</v>
      </c>
      <c r="E36" s="4">
        <f>'1. Master Data'!F33</f>
        <v>674</v>
      </c>
      <c r="F36" s="3">
        <f>'2. Demand History'!AA33</f>
        <v>1560</v>
      </c>
      <c r="G36" s="4">
        <f t="shared" si="0"/>
        <v>1051440</v>
      </c>
      <c r="H36" s="3">
        <f t="shared" si="1"/>
        <v>32</v>
      </c>
      <c r="I36" s="11">
        <f t="shared" si="2"/>
        <v>52451534</v>
      </c>
      <c r="J36" s="10">
        <f t="shared" si="3"/>
        <v>0.31723103976415007</v>
      </c>
      <c r="K36" s="5" t="str">
        <f t="shared" si="4"/>
        <v>A</v>
      </c>
      <c r="L36" s="8">
        <f>'3. Demand Forecast'!H33</f>
        <v>0.33</v>
      </c>
      <c r="M36" s="5" t="str">
        <f t="shared" si="5"/>
        <v>Y</v>
      </c>
      <c r="N36" s="5" t="str">
        <f t="shared" si="6"/>
        <v>AY</v>
      </c>
    </row>
    <row r="37" spans="1:14" ht="15" customHeight="1" x14ac:dyDescent="0.2">
      <c r="A37" s="3" t="str">
        <f>'1. Master Data'!A68</f>
        <v>NT10064</v>
      </c>
      <c r="B37" s="1" t="str">
        <f>'1. Master Data'!B68</f>
        <v>ProBook 948 i7 15in</v>
      </c>
      <c r="C37" s="3" t="str">
        <f>'1. Master Data'!C68</f>
        <v>Laptops</v>
      </c>
      <c r="D37" s="3" t="str">
        <f>'1. Master Data'!D68</f>
        <v>East DC</v>
      </c>
      <c r="E37" s="4">
        <f>'1. Master Data'!F68</f>
        <v>1333</v>
      </c>
      <c r="F37" s="3">
        <f>'2. Demand History'!AA68</f>
        <v>788</v>
      </c>
      <c r="G37" s="4">
        <f t="shared" si="0"/>
        <v>1050404</v>
      </c>
      <c r="H37" s="3">
        <f t="shared" si="1"/>
        <v>33</v>
      </c>
      <c r="I37" s="11">
        <f t="shared" si="2"/>
        <v>53501938</v>
      </c>
      <c r="J37" s="10">
        <f t="shared" si="3"/>
        <v>0.32358396650776872</v>
      </c>
      <c r="K37" s="5" t="str">
        <f t="shared" si="4"/>
        <v>A</v>
      </c>
      <c r="L37" s="8">
        <f>'3. Demand Forecast'!H68</f>
        <v>0.31</v>
      </c>
      <c r="M37" s="5" t="str">
        <f t="shared" si="5"/>
        <v>Y</v>
      </c>
      <c r="N37" s="5" t="str">
        <f t="shared" si="6"/>
        <v>AY</v>
      </c>
    </row>
    <row r="38" spans="1:14" ht="15" customHeight="1" x14ac:dyDescent="0.2">
      <c r="A38" s="3" t="str">
        <f>'1. Master Data'!A406</f>
        <v>NT10402</v>
      </c>
      <c r="B38" s="1" t="str">
        <f>'1. Master Data'!B406</f>
        <v>NovaTab 904 10in</v>
      </c>
      <c r="C38" s="3" t="str">
        <f>'1. Master Data'!C406</f>
        <v>Tablets</v>
      </c>
      <c r="D38" s="3" t="str">
        <f>'1. Master Data'!D406</f>
        <v>West DC</v>
      </c>
      <c r="E38" s="4">
        <f>'1. Master Data'!F406</f>
        <v>220</v>
      </c>
      <c r="F38" s="3">
        <f>'2. Demand History'!AA406</f>
        <v>4768</v>
      </c>
      <c r="G38" s="4">
        <f t="shared" si="0"/>
        <v>1048960</v>
      </c>
      <c r="H38" s="3">
        <f t="shared" si="1"/>
        <v>34</v>
      </c>
      <c r="I38" s="11">
        <f t="shared" si="2"/>
        <v>54550898</v>
      </c>
      <c r="J38" s="10">
        <f t="shared" si="3"/>
        <v>0.32992815982480311</v>
      </c>
      <c r="K38" s="5" t="str">
        <f t="shared" si="4"/>
        <v>A</v>
      </c>
      <c r="L38" s="8">
        <f>'3. Demand Forecast'!H406</f>
        <v>0.27</v>
      </c>
      <c r="M38" s="5" t="str">
        <f t="shared" si="5"/>
        <v>Y</v>
      </c>
      <c r="N38" s="5" t="str">
        <f t="shared" si="6"/>
        <v>AY</v>
      </c>
    </row>
    <row r="39" spans="1:14" ht="15" customHeight="1" x14ac:dyDescent="0.2">
      <c r="A39" s="3" t="str">
        <f>'1. Master Data'!A348</f>
        <v>NT10344</v>
      </c>
      <c r="B39" s="1" t="str">
        <f>'1. Master Data'!B348</f>
        <v>LumiBulb 614 RGB</v>
      </c>
      <c r="C39" s="3" t="str">
        <f>'1. Master Data'!C348</f>
        <v>Smart Home</v>
      </c>
      <c r="D39" s="3" t="str">
        <f>'1. Master Data'!D348</f>
        <v>West DC</v>
      </c>
      <c r="E39" s="4">
        <f>'1. Master Data'!F348</f>
        <v>100</v>
      </c>
      <c r="F39" s="3">
        <f>'2. Demand History'!AA348</f>
        <v>10331</v>
      </c>
      <c r="G39" s="4">
        <f t="shared" si="0"/>
        <v>1033100</v>
      </c>
      <c r="H39" s="3">
        <f t="shared" si="1"/>
        <v>35</v>
      </c>
      <c r="I39" s="11">
        <f t="shared" si="2"/>
        <v>55583998</v>
      </c>
      <c r="J39" s="10">
        <f t="shared" si="3"/>
        <v>0.33617643060331537</v>
      </c>
      <c r="K39" s="5" t="str">
        <f t="shared" si="4"/>
        <v>A</v>
      </c>
      <c r="L39" s="8">
        <f>'3. Demand Forecast'!H348</f>
        <v>7.0000000000000007E-2</v>
      </c>
      <c r="M39" s="5" t="str">
        <f t="shared" si="5"/>
        <v>X</v>
      </c>
      <c r="N39" s="5" t="str">
        <f t="shared" si="6"/>
        <v>AX</v>
      </c>
    </row>
    <row r="40" spans="1:14" ht="15" customHeight="1" x14ac:dyDescent="0.2">
      <c r="A40" s="3" t="str">
        <f>'1. Master Data'!A331</f>
        <v>NT10327</v>
      </c>
      <c r="B40" s="1" t="str">
        <f>'1. Master Data'!B331</f>
        <v>LumiBulb 401 RGB</v>
      </c>
      <c r="C40" s="3" t="str">
        <f>'1. Master Data'!C331</f>
        <v>Smart Home</v>
      </c>
      <c r="D40" s="3" t="str">
        <f>'1. Master Data'!D331</f>
        <v>East DC</v>
      </c>
      <c r="E40" s="4">
        <f>'1. Master Data'!F331</f>
        <v>93</v>
      </c>
      <c r="F40" s="3">
        <f>'2. Demand History'!AA331</f>
        <v>10850</v>
      </c>
      <c r="G40" s="4">
        <f t="shared" si="0"/>
        <v>1009050</v>
      </c>
      <c r="H40" s="3">
        <f t="shared" si="1"/>
        <v>36</v>
      </c>
      <c r="I40" s="11">
        <f t="shared" si="2"/>
        <v>56593048</v>
      </c>
      <c r="J40" s="10">
        <f t="shared" si="3"/>
        <v>0.34227924507341295</v>
      </c>
      <c r="K40" s="5" t="str">
        <f t="shared" si="4"/>
        <v>A</v>
      </c>
      <c r="L40" s="8">
        <f>'3. Demand Forecast'!H331</f>
        <v>0.04</v>
      </c>
      <c r="M40" s="5" t="str">
        <f t="shared" si="5"/>
        <v>X</v>
      </c>
      <c r="N40" s="5" t="str">
        <f t="shared" si="6"/>
        <v>AX</v>
      </c>
    </row>
    <row r="41" spans="1:14" ht="15" customHeight="1" x14ac:dyDescent="0.2">
      <c r="A41" s="3" t="str">
        <f>'1. Master Data'!A138</f>
        <v>NT10134</v>
      </c>
      <c r="B41" s="1" t="str">
        <f>'1. Master Data'!B138</f>
        <v>CinemaMax 312in 8K</v>
      </c>
      <c r="C41" s="3" t="str">
        <f>'1. Master Data'!C138</f>
        <v>TVs</v>
      </c>
      <c r="D41" s="3" t="str">
        <f>'1. Master Data'!D138</f>
        <v>Central DC</v>
      </c>
      <c r="E41" s="4">
        <f>'1. Master Data'!F138</f>
        <v>1402</v>
      </c>
      <c r="F41" s="3">
        <f>'2. Demand History'!AA138</f>
        <v>715</v>
      </c>
      <c r="G41" s="4">
        <f t="shared" si="0"/>
        <v>1002430</v>
      </c>
      <c r="H41" s="3">
        <f t="shared" si="1"/>
        <v>37</v>
      </c>
      <c r="I41" s="11">
        <f t="shared" si="2"/>
        <v>57595478</v>
      </c>
      <c r="J41" s="10">
        <f t="shared" si="3"/>
        <v>0.34834202125820057</v>
      </c>
      <c r="K41" s="5" t="str">
        <f t="shared" si="4"/>
        <v>A</v>
      </c>
      <c r="L41" s="8">
        <f>'3. Demand Forecast'!H138</f>
        <v>0.31</v>
      </c>
      <c r="M41" s="5" t="str">
        <f t="shared" si="5"/>
        <v>Y</v>
      </c>
      <c r="N41" s="5" t="str">
        <f t="shared" si="6"/>
        <v>AY</v>
      </c>
    </row>
    <row r="42" spans="1:14" ht="15" customHeight="1" x14ac:dyDescent="0.2">
      <c r="A42" s="3" t="str">
        <f>'1. Master Data'!A60</f>
        <v>NT10056</v>
      </c>
      <c r="B42" s="1" t="str">
        <f>'1. Master Data'!B60</f>
        <v>ProBook 502 i5 14in</v>
      </c>
      <c r="C42" s="3" t="str">
        <f>'1. Master Data'!C60</f>
        <v>Laptops</v>
      </c>
      <c r="D42" s="3" t="str">
        <f>'1. Master Data'!D60</f>
        <v>West DC</v>
      </c>
      <c r="E42" s="4">
        <f>'1. Master Data'!F60</f>
        <v>1457</v>
      </c>
      <c r="F42" s="3">
        <f>'2. Demand History'!AA60</f>
        <v>686</v>
      </c>
      <c r="G42" s="4">
        <f t="shared" si="0"/>
        <v>999502</v>
      </c>
      <c r="H42" s="3">
        <f t="shared" si="1"/>
        <v>38</v>
      </c>
      <c r="I42" s="11">
        <f t="shared" si="2"/>
        <v>58594980</v>
      </c>
      <c r="J42" s="10">
        <f t="shared" si="3"/>
        <v>0.35438708866664564</v>
      </c>
      <c r="K42" s="5" t="str">
        <f t="shared" si="4"/>
        <v>A</v>
      </c>
      <c r="L42" s="8">
        <f>'3. Demand Forecast'!H60</f>
        <v>0.28999999999999998</v>
      </c>
      <c r="M42" s="5" t="str">
        <f t="shared" si="5"/>
        <v>Y</v>
      </c>
      <c r="N42" s="5" t="str">
        <f t="shared" si="6"/>
        <v>AY</v>
      </c>
    </row>
    <row r="43" spans="1:14" ht="15" customHeight="1" x14ac:dyDescent="0.2">
      <c r="A43" s="3" t="str">
        <f>'1. Master Data'!A96</f>
        <v>NT10092</v>
      </c>
      <c r="B43" s="1" t="str">
        <f>'1. Master Data'!B96</f>
        <v>WorkMate 258 i3 14in</v>
      </c>
      <c r="C43" s="3" t="str">
        <f>'1. Master Data'!C96</f>
        <v>Laptops</v>
      </c>
      <c r="D43" s="3" t="str">
        <f>'1. Master Data'!D96</f>
        <v>West DC</v>
      </c>
      <c r="E43" s="4">
        <f>'1. Master Data'!F96</f>
        <v>1440</v>
      </c>
      <c r="F43" s="3">
        <f>'2. Demand History'!AA96</f>
        <v>690</v>
      </c>
      <c r="G43" s="4">
        <f t="shared" si="0"/>
        <v>993600</v>
      </c>
      <c r="H43" s="3">
        <f t="shared" si="1"/>
        <v>39</v>
      </c>
      <c r="I43" s="11">
        <f t="shared" si="2"/>
        <v>59588580</v>
      </c>
      <c r="J43" s="10">
        <f t="shared" si="3"/>
        <v>0.3603964603107554</v>
      </c>
      <c r="K43" s="5" t="str">
        <f t="shared" si="4"/>
        <v>A</v>
      </c>
      <c r="L43" s="8">
        <f>'3. Demand Forecast'!H96</f>
        <v>0.28999999999999998</v>
      </c>
      <c r="M43" s="5" t="str">
        <f t="shared" si="5"/>
        <v>Y</v>
      </c>
      <c r="N43" s="5" t="str">
        <f t="shared" si="6"/>
        <v>AY</v>
      </c>
    </row>
    <row r="44" spans="1:14" ht="15" customHeight="1" x14ac:dyDescent="0.2">
      <c r="A44" s="3" t="str">
        <f>'1. Master Data'!A5</f>
        <v>NT10001</v>
      </c>
      <c r="B44" s="1" t="str">
        <f>'1. Master Data'!B5</f>
        <v>Nova X427 128GB</v>
      </c>
      <c r="C44" s="3" t="str">
        <f>'1. Master Data'!C5</f>
        <v>Smartphones</v>
      </c>
      <c r="D44" s="3" t="str">
        <f>'1. Master Data'!D5</f>
        <v>West DC</v>
      </c>
      <c r="E44" s="4">
        <f>'1. Master Data'!F5</f>
        <v>865</v>
      </c>
      <c r="F44" s="3">
        <f>'2. Demand History'!AA5</f>
        <v>1141</v>
      </c>
      <c r="G44" s="4">
        <f t="shared" si="0"/>
        <v>986965</v>
      </c>
      <c r="H44" s="3">
        <f t="shared" si="1"/>
        <v>40</v>
      </c>
      <c r="I44" s="11">
        <f t="shared" si="2"/>
        <v>60575545</v>
      </c>
      <c r="J44" s="10">
        <f t="shared" si="3"/>
        <v>0.3663657029483649</v>
      </c>
      <c r="K44" s="5" t="str">
        <f t="shared" si="4"/>
        <v>A</v>
      </c>
      <c r="L44" s="8">
        <f>'3. Demand Forecast'!H5</f>
        <v>0.34</v>
      </c>
      <c r="M44" s="5" t="str">
        <f t="shared" si="5"/>
        <v>Y</v>
      </c>
      <c r="N44" s="5" t="str">
        <f t="shared" si="6"/>
        <v>AY</v>
      </c>
    </row>
    <row r="45" spans="1:14" ht="15" customHeight="1" x14ac:dyDescent="0.2">
      <c r="A45" s="3" t="str">
        <f>'1. Master Data'!A432</f>
        <v>NT10428</v>
      </c>
      <c r="B45" s="1" t="str">
        <f>'1. Master Data'!B432</f>
        <v>DrawPad 284 12in</v>
      </c>
      <c r="C45" s="3" t="str">
        <f>'1. Master Data'!C432</f>
        <v>Tablets</v>
      </c>
      <c r="D45" s="3" t="str">
        <f>'1. Master Data'!D432</f>
        <v>East DC</v>
      </c>
      <c r="E45" s="4">
        <f>'1. Master Data'!F432</f>
        <v>439</v>
      </c>
      <c r="F45" s="3">
        <f>'2. Demand History'!AA432</f>
        <v>2213</v>
      </c>
      <c r="G45" s="4">
        <f t="shared" si="0"/>
        <v>971507</v>
      </c>
      <c r="H45" s="3">
        <f t="shared" si="1"/>
        <v>41</v>
      </c>
      <c r="I45" s="11">
        <f t="shared" si="2"/>
        <v>61547052</v>
      </c>
      <c r="J45" s="10">
        <f t="shared" si="3"/>
        <v>0.37224145437535178</v>
      </c>
      <c r="K45" s="5" t="str">
        <f t="shared" si="4"/>
        <v>A</v>
      </c>
      <c r="L45" s="8">
        <f>'3. Demand Forecast'!H432</f>
        <v>0.26</v>
      </c>
      <c r="M45" s="5" t="str">
        <f t="shared" si="5"/>
        <v>Y</v>
      </c>
      <c r="N45" s="5" t="str">
        <f t="shared" si="6"/>
        <v>AY</v>
      </c>
    </row>
    <row r="46" spans="1:14" ht="15" customHeight="1" x14ac:dyDescent="0.2">
      <c r="A46" s="3" t="str">
        <f>'1. Master Data'!A147</f>
        <v>NT10143</v>
      </c>
      <c r="B46" s="1" t="str">
        <f>'1. Master Data'!B147</f>
        <v>VisionLED 568in 4K</v>
      </c>
      <c r="C46" s="3" t="str">
        <f>'1. Master Data'!C147</f>
        <v>TVs</v>
      </c>
      <c r="D46" s="3" t="str">
        <f>'1. Master Data'!D147</f>
        <v>Central DC</v>
      </c>
      <c r="E46" s="4">
        <f>'1. Master Data'!F147</f>
        <v>1356</v>
      </c>
      <c r="F46" s="3">
        <f>'2. Demand History'!AA147</f>
        <v>705</v>
      </c>
      <c r="G46" s="4">
        <f t="shared" si="0"/>
        <v>955980</v>
      </c>
      <c r="H46" s="3">
        <f t="shared" si="1"/>
        <v>42</v>
      </c>
      <c r="I46" s="11">
        <f t="shared" si="2"/>
        <v>62503032</v>
      </c>
      <c r="J46" s="10">
        <f t="shared" si="3"/>
        <v>0.37802329727424072</v>
      </c>
      <c r="K46" s="5" t="str">
        <f t="shared" si="4"/>
        <v>A</v>
      </c>
      <c r="L46" s="8">
        <f>'3. Demand Forecast'!H147</f>
        <v>0.31</v>
      </c>
      <c r="M46" s="5" t="str">
        <f t="shared" si="5"/>
        <v>Y</v>
      </c>
      <c r="N46" s="5" t="str">
        <f t="shared" si="6"/>
        <v>AY</v>
      </c>
    </row>
    <row r="47" spans="1:14" ht="15" customHeight="1" x14ac:dyDescent="0.2">
      <c r="A47" s="3" t="str">
        <f>'1. Master Data'!A149</f>
        <v>NT10145</v>
      </c>
      <c r="B47" s="1" t="str">
        <f>'1. Master Data'!B149</f>
        <v>CinemaMax 201in 8K</v>
      </c>
      <c r="C47" s="3" t="str">
        <f>'1. Master Data'!C149</f>
        <v>TVs</v>
      </c>
      <c r="D47" s="3" t="str">
        <f>'1. Master Data'!D149</f>
        <v>East DC</v>
      </c>
      <c r="E47" s="4">
        <f>'1. Master Data'!F149</f>
        <v>1435</v>
      </c>
      <c r="F47" s="3">
        <f>'2. Demand History'!AA149</f>
        <v>664</v>
      </c>
      <c r="G47" s="4">
        <f t="shared" si="0"/>
        <v>952840</v>
      </c>
      <c r="H47" s="3">
        <f t="shared" si="1"/>
        <v>43</v>
      </c>
      <c r="I47" s="11">
        <f t="shared" si="2"/>
        <v>63455872</v>
      </c>
      <c r="J47" s="10">
        <f t="shared" si="3"/>
        <v>0.38378614920396448</v>
      </c>
      <c r="K47" s="5" t="str">
        <f t="shared" si="4"/>
        <v>A</v>
      </c>
      <c r="L47" s="8">
        <f>'3. Demand Forecast'!H149</f>
        <v>0.28999999999999998</v>
      </c>
      <c r="M47" s="5" t="str">
        <f t="shared" si="5"/>
        <v>Y</v>
      </c>
      <c r="N47" s="5" t="str">
        <f t="shared" si="6"/>
        <v>AY</v>
      </c>
    </row>
    <row r="48" spans="1:14" ht="15" customHeight="1" x14ac:dyDescent="0.2">
      <c r="A48" s="3" t="str">
        <f>'1. Master Data'!A189</f>
        <v>NT10185</v>
      </c>
      <c r="B48" s="1" t="str">
        <f>'1. Master Data'!B189</f>
        <v>BassMax Speaker 384</v>
      </c>
      <c r="C48" s="3" t="str">
        <f>'1. Master Data'!C189</f>
        <v>Audio</v>
      </c>
      <c r="D48" s="3" t="str">
        <f>'1. Master Data'!D189</f>
        <v>Central DC</v>
      </c>
      <c r="E48" s="4">
        <f>'1. Master Data'!F189</f>
        <v>190</v>
      </c>
      <c r="F48" s="3">
        <f>'2. Demand History'!AA189</f>
        <v>4975</v>
      </c>
      <c r="G48" s="4">
        <f t="shared" si="0"/>
        <v>945250</v>
      </c>
      <c r="H48" s="3">
        <f t="shared" si="1"/>
        <v>44</v>
      </c>
      <c r="I48" s="11">
        <f t="shared" si="2"/>
        <v>64401122</v>
      </c>
      <c r="J48" s="10">
        <f t="shared" si="3"/>
        <v>0.38950309621140689</v>
      </c>
      <c r="K48" s="5" t="str">
        <f t="shared" si="4"/>
        <v>A</v>
      </c>
      <c r="L48" s="8">
        <f>'3. Demand Forecast'!H189</f>
        <v>0.33</v>
      </c>
      <c r="M48" s="5" t="str">
        <f t="shared" si="5"/>
        <v>Y</v>
      </c>
      <c r="N48" s="5" t="str">
        <f t="shared" si="6"/>
        <v>AY</v>
      </c>
    </row>
    <row r="49" spans="1:14" ht="15" customHeight="1" x14ac:dyDescent="0.2">
      <c r="A49" s="3" t="str">
        <f>'1. Master Data'!A253</f>
        <v>NT10249</v>
      </c>
      <c r="B49" s="1" t="str">
        <f>'1. Master Data'!B253</f>
        <v>StepOne Tracker 117</v>
      </c>
      <c r="C49" s="3" t="str">
        <f>'1. Master Data'!C253</f>
        <v>Wearables</v>
      </c>
      <c r="D49" s="3" t="str">
        <f>'1. Master Data'!D253</f>
        <v>Central DC</v>
      </c>
      <c r="E49" s="4">
        <f>'1. Master Data'!F253</f>
        <v>133</v>
      </c>
      <c r="F49" s="3">
        <f>'2. Demand History'!AA253</f>
        <v>7046</v>
      </c>
      <c r="G49" s="4">
        <f t="shared" si="0"/>
        <v>937118</v>
      </c>
      <c r="H49" s="3">
        <f t="shared" si="1"/>
        <v>45</v>
      </c>
      <c r="I49" s="11">
        <f t="shared" si="2"/>
        <v>65338240</v>
      </c>
      <c r="J49" s="10">
        <f t="shared" si="3"/>
        <v>0.3951708602375591</v>
      </c>
      <c r="K49" s="5" t="str">
        <f t="shared" si="4"/>
        <v>A</v>
      </c>
      <c r="L49" s="8">
        <f>'3. Demand Forecast'!H253</f>
        <v>0.26</v>
      </c>
      <c r="M49" s="5" t="str">
        <f t="shared" si="5"/>
        <v>Y</v>
      </c>
      <c r="N49" s="5" t="str">
        <f t="shared" si="6"/>
        <v>AY</v>
      </c>
    </row>
    <row r="50" spans="1:14" ht="15" customHeight="1" x14ac:dyDescent="0.2">
      <c r="A50" s="3" t="str">
        <f>'1. Master Data'!A28</f>
        <v>NT10024</v>
      </c>
      <c r="B50" s="1" t="str">
        <f>'1. Master Data'!B28</f>
        <v>Nova Lite 799 64GB</v>
      </c>
      <c r="C50" s="3" t="str">
        <f>'1. Master Data'!C28</f>
        <v>Smartphones</v>
      </c>
      <c r="D50" s="3" t="str">
        <f>'1. Master Data'!D28</f>
        <v>Central DC</v>
      </c>
      <c r="E50" s="4">
        <f>'1. Master Data'!F28</f>
        <v>583</v>
      </c>
      <c r="F50" s="3">
        <f>'2. Demand History'!AA28</f>
        <v>1588</v>
      </c>
      <c r="G50" s="4">
        <f t="shared" si="0"/>
        <v>925804</v>
      </c>
      <c r="H50" s="3">
        <f t="shared" si="1"/>
        <v>46</v>
      </c>
      <c r="I50" s="11">
        <f t="shared" si="2"/>
        <v>66264044</v>
      </c>
      <c r="J50" s="10">
        <f t="shared" si="3"/>
        <v>0.40077019629392324</v>
      </c>
      <c r="K50" s="5" t="str">
        <f t="shared" si="4"/>
        <v>A</v>
      </c>
      <c r="L50" s="8">
        <f>'3. Demand Forecast'!H28</f>
        <v>0.3</v>
      </c>
      <c r="M50" s="5" t="str">
        <f t="shared" si="5"/>
        <v>Y</v>
      </c>
      <c r="N50" s="5" t="str">
        <f t="shared" si="6"/>
        <v>AY</v>
      </c>
    </row>
    <row r="51" spans="1:14" ht="15" customHeight="1" x14ac:dyDescent="0.2">
      <c r="A51" s="3" t="str">
        <f>'1. Master Data'!A73</f>
        <v>NT10069</v>
      </c>
      <c r="B51" s="1" t="str">
        <f>'1. Master Data'!B73</f>
        <v>CreatorPro 741 i9 16in</v>
      </c>
      <c r="C51" s="3" t="str">
        <f>'1. Master Data'!C73</f>
        <v>Laptops</v>
      </c>
      <c r="D51" s="3" t="str">
        <f>'1. Master Data'!D73</f>
        <v>East DC</v>
      </c>
      <c r="E51" s="4">
        <f>'1. Master Data'!F73</f>
        <v>1079</v>
      </c>
      <c r="F51" s="3">
        <f>'2. Demand History'!AA73</f>
        <v>846</v>
      </c>
      <c r="G51" s="4">
        <f t="shared" si="0"/>
        <v>912834</v>
      </c>
      <c r="H51" s="3">
        <f t="shared" si="1"/>
        <v>47</v>
      </c>
      <c r="I51" s="11">
        <f t="shared" si="2"/>
        <v>67176878</v>
      </c>
      <c r="J51" s="10">
        <f t="shared" si="3"/>
        <v>0.40629108876109243</v>
      </c>
      <c r="K51" s="5" t="str">
        <f t="shared" si="4"/>
        <v>A</v>
      </c>
      <c r="L51" s="8">
        <f>'3. Demand Forecast'!H73</f>
        <v>0.27</v>
      </c>
      <c r="M51" s="5" t="str">
        <f t="shared" si="5"/>
        <v>Y</v>
      </c>
      <c r="N51" s="5" t="str">
        <f t="shared" si="6"/>
        <v>AY</v>
      </c>
    </row>
    <row r="52" spans="1:14" ht="15" customHeight="1" x14ac:dyDescent="0.2">
      <c r="A52" s="3" t="str">
        <f>'1. Master Data'!A37</f>
        <v>NT10033</v>
      </c>
      <c r="B52" s="1" t="str">
        <f>'1. Master Data'!B37</f>
        <v>Pulse 902 Dual SIM</v>
      </c>
      <c r="C52" s="3" t="str">
        <f>'1. Master Data'!C37</f>
        <v>Smartphones</v>
      </c>
      <c r="D52" s="3" t="str">
        <f>'1. Master Data'!D37</f>
        <v>West DC</v>
      </c>
      <c r="E52" s="4">
        <f>'1. Master Data'!F37</f>
        <v>610</v>
      </c>
      <c r="F52" s="3">
        <f>'2. Demand History'!AA37</f>
        <v>1496</v>
      </c>
      <c r="G52" s="4">
        <f t="shared" si="0"/>
        <v>912560</v>
      </c>
      <c r="H52" s="3">
        <f t="shared" si="1"/>
        <v>48</v>
      </c>
      <c r="I52" s="11">
        <f t="shared" si="2"/>
        <v>68089438</v>
      </c>
      <c r="J52" s="10">
        <f t="shared" si="3"/>
        <v>0.41181032405451917</v>
      </c>
      <c r="K52" s="5" t="str">
        <f t="shared" si="4"/>
        <v>A</v>
      </c>
      <c r="L52" s="8">
        <f>'3. Demand Forecast'!H37</f>
        <v>0.31</v>
      </c>
      <c r="M52" s="5" t="str">
        <f t="shared" si="5"/>
        <v>Y</v>
      </c>
      <c r="N52" s="5" t="str">
        <f t="shared" si="6"/>
        <v>AY</v>
      </c>
    </row>
    <row r="53" spans="1:14" ht="15" customHeight="1" x14ac:dyDescent="0.2">
      <c r="A53" s="3" t="str">
        <f>'1. Master Data'!A29</f>
        <v>NT10025</v>
      </c>
      <c r="B53" s="1" t="str">
        <f>'1. Master Data'!B29</f>
        <v>Pulse 733 Dual SIM</v>
      </c>
      <c r="C53" s="3" t="str">
        <f>'1. Master Data'!C29</f>
        <v>Smartphones</v>
      </c>
      <c r="D53" s="3" t="str">
        <f>'1. Master Data'!D29</f>
        <v>Central DC</v>
      </c>
      <c r="E53" s="4">
        <f>'1. Master Data'!F29</f>
        <v>855</v>
      </c>
      <c r="F53" s="3">
        <f>'2. Demand History'!AA29</f>
        <v>1065</v>
      </c>
      <c r="G53" s="4">
        <f t="shared" si="0"/>
        <v>910575</v>
      </c>
      <c r="H53" s="3">
        <f t="shared" si="1"/>
        <v>49</v>
      </c>
      <c r="I53" s="11">
        <f t="shared" si="2"/>
        <v>69000013</v>
      </c>
      <c r="J53" s="10">
        <f t="shared" si="3"/>
        <v>0.41731755391043229</v>
      </c>
      <c r="K53" s="5" t="str">
        <f t="shared" si="4"/>
        <v>A</v>
      </c>
      <c r="L53" s="8">
        <f>'3. Demand Forecast'!H29</f>
        <v>0.26</v>
      </c>
      <c r="M53" s="5" t="str">
        <f t="shared" si="5"/>
        <v>Y</v>
      </c>
      <c r="N53" s="5" t="str">
        <f t="shared" si="6"/>
        <v>AY</v>
      </c>
    </row>
    <row r="54" spans="1:14" ht="15" customHeight="1" x14ac:dyDescent="0.2">
      <c r="A54" s="3" t="str">
        <f>'1. Master Data'!A46</f>
        <v>NT10042</v>
      </c>
      <c r="B54" s="1" t="str">
        <f>'1. Master Data'!B46</f>
        <v>Nova Lite 981 64GB</v>
      </c>
      <c r="C54" s="3" t="str">
        <f>'1. Master Data'!C46</f>
        <v>Smartphones</v>
      </c>
      <c r="D54" s="3" t="str">
        <f>'1. Master Data'!D46</f>
        <v>West DC</v>
      </c>
      <c r="E54" s="4">
        <f>'1. Master Data'!F46</f>
        <v>548</v>
      </c>
      <c r="F54" s="3">
        <f>'2. Demand History'!AA46</f>
        <v>1626</v>
      </c>
      <c r="G54" s="4">
        <f t="shared" si="0"/>
        <v>891048</v>
      </c>
      <c r="H54" s="3">
        <f t="shared" si="1"/>
        <v>50</v>
      </c>
      <c r="I54" s="11">
        <f t="shared" si="2"/>
        <v>69891061</v>
      </c>
      <c r="J54" s="10">
        <f t="shared" si="3"/>
        <v>0.42270668292083963</v>
      </c>
      <c r="K54" s="5" t="str">
        <f t="shared" si="4"/>
        <v>A</v>
      </c>
      <c r="L54" s="8">
        <f>'3. Demand Forecast'!H46</f>
        <v>0.4</v>
      </c>
      <c r="M54" s="5" t="str">
        <f t="shared" si="5"/>
        <v>Y</v>
      </c>
      <c r="N54" s="5" t="str">
        <f t="shared" si="6"/>
        <v>AY</v>
      </c>
    </row>
    <row r="55" spans="1:14" ht="15" customHeight="1" x14ac:dyDescent="0.2">
      <c r="A55" s="3" t="str">
        <f>'1. Master Data'!A154</f>
        <v>NT10150</v>
      </c>
      <c r="B55" s="1" t="str">
        <f>'1. Master Data'!B154</f>
        <v>VisionLED 977in 4K</v>
      </c>
      <c r="C55" s="3" t="str">
        <f>'1. Master Data'!C154</f>
        <v>TVs</v>
      </c>
      <c r="D55" s="3" t="str">
        <f>'1. Master Data'!D154</f>
        <v>Central DC</v>
      </c>
      <c r="E55" s="4">
        <f>'1. Master Data'!F154</f>
        <v>1541</v>
      </c>
      <c r="F55" s="3">
        <f>'2. Demand History'!AA154</f>
        <v>572</v>
      </c>
      <c r="G55" s="4">
        <f t="shared" si="0"/>
        <v>881452</v>
      </c>
      <c r="H55" s="3">
        <f t="shared" si="1"/>
        <v>51</v>
      </c>
      <c r="I55" s="11">
        <f t="shared" si="2"/>
        <v>70772513</v>
      </c>
      <c r="J55" s="10">
        <f t="shared" si="3"/>
        <v>0.42803777456178549</v>
      </c>
      <c r="K55" s="5" t="str">
        <f t="shared" si="4"/>
        <v>A</v>
      </c>
      <c r="L55" s="8">
        <f>'3. Demand Forecast'!H154</f>
        <v>0.28999999999999998</v>
      </c>
      <c r="M55" s="5" t="str">
        <f t="shared" si="5"/>
        <v>Y</v>
      </c>
      <c r="N55" s="5" t="str">
        <f t="shared" si="6"/>
        <v>AY</v>
      </c>
    </row>
    <row r="56" spans="1:14" ht="15" customHeight="1" x14ac:dyDescent="0.2">
      <c r="A56" s="3" t="str">
        <f>'1. Master Data'!A345</f>
        <v>NT10341</v>
      </c>
      <c r="B56" s="1" t="str">
        <f>'1. Master Data'!B345</f>
        <v>ThermoSmart 194</v>
      </c>
      <c r="C56" s="3" t="str">
        <f>'1. Master Data'!C345</f>
        <v>Smart Home</v>
      </c>
      <c r="D56" s="3" t="str">
        <f>'1. Master Data'!D345</f>
        <v>East DC</v>
      </c>
      <c r="E56" s="4">
        <f>'1. Master Data'!F345</f>
        <v>116</v>
      </c>
      <c r="F56" s="3">
        <f>'2. Demand History'!AA345</f>
        <v>7584</v>
      </c>
      <c r="G56" s="4">
        <f t="shared" si="0"/>
        <v>879744</v>
      </c>
      <c r="H56" s="3">
        <f t="shared" si="1"/>
        <v>52</v>
      </c>
      <c r="I56" s="11">
        <f t="shared" si="2"/>
        <v>71652257</v>
      </c>
      <c r="J56" s="10">
        <f t="shared" si="3"/>
        <v>0.43335853608319824</v>
      </c>
      <c r="K56" s="5" t="str">
        <f t="shared" si="4"/>
        <v>A</v>
      </c>
      <c r="L56" s="8">
        <f>'3. Demand Forecast'!H345</f>
        <v>0.05</v>
      </c>
      <c r="M56" s="5" t="str">
        <f t="shared" si="5"/>
        <v>X</v>
      </c>
      <c r="N56" s="5" t="str">
        <f t="shared" si="6"/>
        <v>AX</v>
      </c>
    </row>
    <row r="57" spans="1:14" ht="15" customHeight="1" x14ac:dyDescent="0.2">
      <c r="A57" s="3" t="str">
        <f>'1. Master Data'!A266</f>
        <v>NT10262</v>
      </c>
      <c r="B57" s="1" t="str">
        <f>'1. Master Data'!B266</f>
        <v>GameStation Controller 179</v>
      </c>
      <c r="C57" s="3" t="str">
        <f>'1. Master Data'!C266</f>
        <v>Gaming</v>
      </c>
      <c r="D57" s="3" t="str">
        <f>'1. Master Data'!D266</f>
        <v>East DC</v>
      </c>
      <c r="E57" s="4">
        <f>'1. Master Data'!F266</f>
        <v>333</v>
      </c>
      <c r="F57" s="3">
        <f>'2. Demand History'!AA266</f>
        <v>2520</v>
      </c>
      <c r="G57" s="4">
        <f t="shared" si="0"/>
        <v>839160</v>
      </c>
      <c r="H57" s="3">
        <f t="shared" si="1"/>
        <v>53</v>
      </c>
      <c r="I57" s="11">
        <f t="shared" si="2"/>
        <v>72491417</v>
      </c>
      <c r="J57" s="10">
        <f t="shared" si="3"/>
        <v>0.43843384235219096</v>
      </c>
      <c r="K57" s="5" t="str">
        <f t="shared" si="4"/>
        <v>A</v>
      </c>
      <c r="L57" s="8">
        <f>'3. Demand Forecast'!H266</f>
        <v>0.27</v>
      </c>
      <c r="M57" s="5" t="str">
        <f t="shared" si="5"/>
        <v>Y</v>
      </c>
      <c r="N57" s="5" t="str">
        <f t="shared" si="6"/>
        <v>AY</v>
      </c>
    </row>
    <row r="58" spans="1:14" ht="15" customHeight="1" x14ac:dyDescent="0.2">
      <c r="A58" s="3" t="str">
        <f>'1. Master Data'!A258</f>
        <v>NT10254</v>
      </c>
      <c r="B58" s="1" t="str">
        <f>'1. Master Data'!B258</f>
        <v>ProMouse G406</v>
      </c>
      <c r="C58" s="3" t="str">
        <f>'1. Master Data'!C258</f>
        <v>Gaming</v>
      </c>
      <c r="D58" s="3" t="str">
        <f>'1. Master Data'!D258</f>
        <v>East DC</v>
      </c>
      <c r="E58" s="4">
        <f>'1. Master Data'!F258</f>
        <v>329</v>
      </c>
      <c r="F58" s="3">
        <f>'2. Demand History'!AA258</f>
        <v>2525</v>
      </c>
      <c r="G58" s="4">
        <f t="shared" si="0"/>
        <v>830725</v>
      </c>
      <c r="H58" s="3">
        <f t="shared" si="1"/>
        <v>54</v>
      </c>
      <c r="I58" s="11">
        <f t="shared" si="2"/>
        <v>73322142</v>
      </c>
      <c r="J58" s="10">
        <f t="shared" si="3"/>
        <v>0.44345813307184989</v>
      </c>
      <c r="K58" s="5" t="str">
        <f t="shared" si="4"/>
        <v>A</v>
      </c>
      <c r="L58" s="8">
        <f>'3. Demand Forecast'!H258</f>
        <v>0.32</v>
      </c>
      <c r="M58" s="5" t="str">
        <f t="shared" si="5"/>
        <v>Y</v>
      </c>
      <c r="N58" s="5" t="str">
        <f t="shared" si="6"/>
        <v>AY</v>
      </c>
    </row>
    <row r="59" spans="1:14" ht="15" customHeight="1" x14ac:dyDescent="0.2">
      <c r="A59" s="3" t="str">
        <f>'1. Master Data'!A120</f>
        <v>NT10116</v>
      </c>
      <c r="B59" s="1" t="str">
        <f>'1. Master Data'!B120</f>
        <v>CinemaMax 365in 8K</v>
      </c>
      <c r="C59" s="3" t="str">
        <f>'1. Master Data'!C120</f>
        <v>TVs</v>
      </c>
      <c r="D59" s="3" t="str">
        <f>'1. Master Data'!D120</f>
        <v>West DC</v>
      </c>
      <c r="E59" s="4">
        <f>'1. Master Data'!F120</f>
        <v>1790</v>
      </c>
      <c r="F59" s="3">
        <f>'2. Demand History'!AA120</f>
        <v>454</v>
      </c>
      <c r="G59" s="4">
        <f t="shared" si="0"/>
        <v>812660</v>
      </c>
      <c r="H59" s="3">
        <f t="shared" si="1"/>
        <v>55</v>
      </c>
      <c r="I59" s="11">
        <f t="shared" si="2"/>
        <v>74134802</v>
      </c>
      <c r="J59" s="10">
        <f t="shared" si="3"/>
        <v>0.44837316523801557</v>
      </c>
      <c r="K59" s="5" t="str">
        <f t="shared" si="4"/>
        <v>A</v>
      </c>
      <c r="L59" s="8">
        <f>'3. Demand Forecast'!H120</f>
        <v>0.28999999999999998</v>
      </c>
      <c r="M59" s="5" t="str">
        <f t="shared" si="5"/>
        <v>Y</v>
      </c>
      <c r="N59" s="5" t="str">
        <f t="shared" si="6"/>
        <v>AY</v>
      </c>
    </row>
    <row r="60" spans="1:14" ht="15" customHeight="1" x14ac:dyDescent="0.2">
      <c r="A60" s="3" t="str">
        <f>'1. Master Data'!A88</f>
        <v>NT10084</v>
      </c>
      <c r="B60" s="1" t="str">
        <f>'1. Master Data'!B88</f>
        <v>CreatorPro 984 i9 16in</v>
      </c>
      <c r="C60" s="3" t="str">
        <f>'1. Master Data'!C88</f>
        <v>Laptops</v>
      </c>
      <c r="D60" s="3" t="str">
        <f>'1. Master Data'!D88</f>
        <v>East DC</v>
      </c>
      <c r="E60" s="4">
        <f>'1. Master Data'!F88</f>
        <v>1481</v>
      </c>
      <c r="F60" s="3">
        <f>'2. Demand History'!AA88</f>
        <v>547</v>
      </c>
      <c r="G60" s="4">
        <f t="shared" si="0"/>
        <v>810107</v>
      </c>
      <c r="H60" s="3">
        <f t="shared" si="1"/>
        <v>56</v>
      </c>
      <c r="I60" s="11">
        <f t="shared" si="2"/>
        <v>74944909</v>
      </c>
      <c r="J60" s="10">
        <f t="shared" si="3"/>
        <v>0.4532727566575957</v>
      </c>
      <c r="K60" s="5" t="str">
        <f t="shared" si="4"/>
        <v>A</v>
      </c>
      <c r="L60" s="8">
        <f>'3. Demand Forecast'!H88</f>
        <v>0.32</v>
      </c>
      <c r="M60" s="5" t="str">
        <f t="shared" si="5"/>
        <v>Y</v>
      </c>
      <c r="N60" s="5" t="str">
        <f t="shared" si="6"/>
        <v>AY</v>
      </c>
    </row>
    <row r="61" spans="1:14" ht="15" customHeight="1" x14ac:dyDescent="0.2">
      <c r="A61" s="3" t="str">
        <f>'1. Master Data'!A118</f>
        <v>NT10114</v>
      </c>
      <c r="B61" s="1" t="str">
        <f>'1. Master Data'!B118</f>
        <v>CinemaMax 961in 8K</v>
      </c>
      <c r="C61" s="3" t="str">
        <f>'1. Master Data'!C118</f>
        <v>TVs</v>
      </c>
      <c r="D61" s="3" t="str">
        <f>'1. Master Data'!D118</f>
        <v>Central DC</v>
      </c>
      <c r="E61" s="4">
        <f>'1. Master Data'!F118</f>
        <v>1632</v>
      </c>
      <c r="F61" s="3">
        <f>'2. Demand History'!AA118</f>
        <v>496</v>
      </c>
      <c r="G61" s="4">
        <f t="shared" si="0"/>
        <v>809472</v>
      </c>
      <c r="H61" s="3">
        <f t="shared" si="1"/>
        <v>57</v>
      </c>
      <c r="I61" s="11">
        <f t="shared" si="2"/>
        <v>75754381</v>
      </c>
      <c r="J61" s="10">
        <f t="shared" si="3"/>
        <v>0.45816850754678734</v>
      </c>
      <c r="K61" s="5" t="str">
        <f t="shared" si="4"/>
        <v>A</v>
      </c>
      <c r="L61" s="8">
        <f>'3. Demand Forecast'!H118</f>
        <v>0.28000000000000003</v>
      </c>
      <c r="M61" s="5" t="str">
        <f t="shared" si="5"/>
        <v>Y</v>
      </c>
      <c r="N61" s="5" t="str">
        <f t="shared" si="6"/>
        <v>AY</v>
      </c>
    </row>
    <row r="62" spans="1:14" ht="15" customHeight="1" x14ac:dyDescent="0.2">
      <c r="A62" s="3" t="str">
        <f>'1. Master Data'!A128</f>
        <v>NT10124</v>
      </c>
      <c r="B62" s="1" t="str">
        <f>'1. Master Data'!B128</f>
        <v>VisionLED 486in 4K</v>
      </c>
      <c r="C62" s="3" t="str">
        <f>'1. Master Data'!C128</f>
        <v>TVs</v>
      </c>
      <c r="D62" s="3" t="str">
        <f>'1. Master Data'!D128</f>
        <v>West DC</v>
      </c>
      <c r="E62" s="4">
        <f>'1. Master Data'!F128</f>
        <v>1517</v>
      </c>
      <c r="F62" s="3">
        <f>'2. Demand History'!AA128</f>
        <v>533</v>
      </c>
      <c r="G62" s="4">
        <f t="shared" si="0"/>
        <v>808561</v>
      </c>
      <c r="H62" s="3">
        <f t="shared" si="1"/>
        <v>58</v>
      </c>
      <c r="I62" s="11">
        <f t="shared" si="2"/>
        <v>76562942</v>
      </c>
      <c r="J62" s="10">
        <f t="shared" si="3"/>
        <v>0.46305874863568935</v>
      </c>
      <c r="K62" s="5" t="str">
        <f t="shared" si="4"/>
        <v>A</v>
      </c>
      <c r="L62" s="8">
        <f>'3. Demand Forecast'!H128</f>
        <v>0.31</v>
      </c>
      <c r="M62" s="5" t="str">
        <f t="shared" si="5"/>
        <v>Y</v>
      </c>
      <c r="N62" s="5" t="str">
        <f t="shared" si="6"/>
        <v>AY</v>
      </c>
    </row>
    <row r="63" spans="1:14" ht="15" customHeight="1" x14ac:dyDescent="0.2">
      <c r="A63" s="3" t="str">
        <f>'1. Master Data'!A142</f>
        <v>NT10138</v>
      </c>
      <c r="B63" s="1" t="str">
        <f>'1. Master Data'!B142</f>
        <v>VisionQ 956in QLED</v>
      </c>
      <c r="C63" s="3" t="str">
        <f>'1. Master Data'!C142</f>
        <v>TVs</v>
      </c>
      <c r="D63" s="3" t="str">
        <f>'1. Master Data'!D142</f>
        <v>West DC</v>
      </c>
      <c r="E63" s="4">
        <f>'1. Master Data'!F142</f>
        <v>1715</v>
      </c>
      <c r="F63" s="3">
        <f>'2. Demand History'!AA142</f>
        <v>469</v>
      </c>
      <c r="G63" s="4">
        <f t="shared" si="0"/>
        <v>804335</v>
      </c>
      <c r="H63" s="3">
        <f t="shared" si="1"/>
        <v>59</v>
      </c>
      <c r="I63" s="11">
        <f t="shared" si="2"/>
        <v>77367277</v>
      </c>
      <c r="J63" s="10">
        <f t="shared" si="3"/>
        <v>0.46792343054125002</v>
      </c>
      <c r="K63" s="5" t="str">
        <f t="shared" si="4"/>
        <v>A</v>
      </c>
      <c r="L63" s="8">
        <f>'3. Demand Forecast'!H142</f>
        <v>0.33</v>
      </c>
      <c r="M63" s="5" t="str">
        <f t="shared" si="5"/>
        <v>Y</v>
      </c>
      <c r="N63" s="5" t="str">
        <f t="shared" si="6"/>
        <v>AY</v>
      </c>
    </row>
    <row r="64" spans="1:14" ht="15" customHeight="1" x14ac:dyDescent="0.2">
      <c r="A64" s="3" t="str">
        <f>'1. Master Data'!A368</f>
        <v>NT10364</v>
      </c>
      <c r="B64" s="1" t="str">
        <f>'1. Master Data'!B368</f>
        <v>MirrorlessM 494</v>
      </c>
      <c r="C64" s="3" t="str">
        <f>'1. Master Data'!C368</f>
        <v>Cameras</v>
      </c>
      <c r="D64" s="3" t="str">
        <f>'1. Master Data'!D368</f>
        <v>West DC</v>
      </c>
      <c r="E64" s="4">
        <f>'1. Master Data'!F368</f>
        <v>1041</v>
      </c>
      <c r="F64" s="3">
        <f>'2. Demand History'!AA368</f>
        <v>770</v>
      </c>
      <c r="G64" s="4">
        <f t="shared" si="0"/>
        <v>801570</v>
      </c>
      <c r="H64" s="3">
        <f t="shared" si="1"/>
        <v>60</v>
      </c>
      <c r="I64" s="11">
        <f t="shared" si="2"/>
        <v>78168847</v>
      </c>
      <c r="J64" s="10">
        <f t="shared" si="3"/>
        <v>0.47277138950740244</v>
      </c>
      <c r="K64" s="5" t="str">
        <f t="shared" si="4"/>
        <v>A</v>
      </c>
      <c r="L64" s="8">
        <f>'3. Demand Forecast'!H368</f>
        <v>0.32</v>
      </c>
      <c r="M64" s="5" t="str">
        <f t="shared" si="5"/>
        <v>Y</v>
      </c>
      <c r="N64" s="5" t="str">
        <f t="shared" si="6"/>
        <v>AY</v>
      </c>
    </row>
    <row r="65" spans="1:14" ht="15" customHeight="1" x14ac:dyDescent="0.2">
      <c r="A65" s="3" t="str">
        <f>'1. Master Data'!A295</f>
        <v>NT10291</v>
      </c>
      <c r="B65" s="1" t="str">
        <f>'1. Master Data'!B295</f>
        <v>GameStation Controller 866</v>
      </c>
      <c r="C65" s="3" t="str">
        <f>'1. Master Data'!C295</f>
        <v>Gaming</v>
      </c>
      <c r="D65" s="3" t="str">
        <f>'1. Master Data'!D295</f>
        <v>West DC</v>
      </c>
      <c r="E65" s="4">
        <f>'1. Master Data'!F295</f>
        <v>169</v>
      </c>
      <c r="F65" s="3">
        <f>'2. Demand History'!AA295</f>
        <v>4634</v>
      </c>
      <c r="G65" s="4">
        <f t="shared" si="0"/>
        <v>783146</v>
      </c>
      <c r="H65" s="3">
        <f t="shared" si="1"/>
        <v>61</v>
      </c>
      <c r="I65" s="11">
        <f t="shared" si="2"/>
        <v>78951993</v>
      </c>
      <c r="J65" s="10">
        <f t="shared" si="3"/>
        <v>0.47750791865957432</v>
      </c>
      <c r="K65" s="5" t="str">
        <f t="shared" si="4"/>
        <v>A</v>
      </c>
      <c r="L65" s="8">
        <f>'3. Demand Forecast'!H295</f>
        <v>0.27</v>
      </c>
      <c r="M65" s="5" t="str">
        <f t="shared" si="5"/>
        <v>Y</v>
      </c>
      <c r="N65" s="5" t="str">
        <f t="shared" si="6"/>
        <v>AY</v>
      </c>
    </row>
    <row r="66" spans="1:14" ht="15" customHeight="1" x14ac:dyDescent="0.2">
      <c r="A66" s="3" t="str">
        <f>'1. Master Data'!A334</f>
        <v>NT10330</v>
      </c>
      <c r="B66" s="1" t="str">
        <f>'1. Master Data'!B334</f>
        <v>LumiBulb 508 RGB</v>
      </c>
      <c r="C66" s="3" t="str">
        <f>'1. Master Data'!C334</f>
        <v>Smart Home</v>
      </c>
      <c r="D66" s="3" t="str">
        <f>'1. Master Data'!D334</f>
        <v>Central DC</v>
      </c>
      <c r="E66" s="4">
        <f>'1. Master Data'!F334</f>
        <v>96</v>
      </c>
      <c r="F66" s="3">
        <f>'2. Demand History'!AA334</f>
        <v>8145</v>
      </c>
      <c r="G66" s="4">
        <f t="shared" si="0"/>
        <v>781920</v>
      </c>
      <c r="H66" s="3">
        <f t="shared" si="1"/>
        <v>62</v>
      </c>
      <c r="I66" s="11">
        <f t="shared" si="2"/>
        <v>79733913</v>
      </c>
      <c r="J66" s="10">
        <f t="shared" si="3"/>
        <v>0.48223703286646069</v>
      </c>
      <c r="K66" s="5" t="str">
        <f t="shared" si="4"/>
        <v>A</v>
      </c>
      <c r="L66" s="8">
        <f>'3. Demand Forecast'!H334</f>
        <v>0.05</v>
      </c>
      <c r="M66" s="5" t="str">
        <f t="shared" si="5"/>
        <v>X</v>
      </c>
      <c r="N66" s="5" t="str">
        <f t="shared" si="6"/>
        <v>AX</v>
      </c>
    </row>
    <row r="67" spans="1:14" ht="15" customHeight="1" x14ac:dyDescent="0.2">
      <c r="A67" s="3" t="str">
        <f>'1. Master Data'!A127</f>
        <v>NT10123</v>
      </c>
      <c r="B67" s="1" t="str">
        <f>'1. Master Data'!B127</f>
        <v>VisionQ 624in QLED</v>
      </c>
      <c r="C67" s="3" t="str">
        <f>'1. Master Data'!C127</f>
        <v>TVs</v>
      </c>
      <c r="D67" s="3" t="str">
        <f>'1. Master Data'!D127</f>
        <v>East DC</v>
      </c>
      <c r="E67" s="4">
        <f>'1. Master Data'!F127</f>
        <v>1696</v>
      </c>
      <c r="F67" s="3">
        <f>'2. Demand History'!AA127</f>
        <v>454</v>
      </c>
      <c r="G67" s="4">
        <f t="shared" si="0"/>
        <v>769984</v>
      </c>
      <c r="H67" s="3">
        <f t="shared" si="1"/>
        <v>63</v>
      </c>
      <c r="I67" s="11">
        <f t="shared" si="2"/>
        <v>80503897</v>
      </c>
      <c r="J67" s="10">
        <f t="shared" si="3"/>
        <v>0.48689395719820205</v>
      </c>
      <c r="K67" s="5" t="str">
        <f t="shared" si="4"/>
        <v>A</v>
      </c>
      <c r="L67" s="8">
        <f>'3. Demand Forecast'!H127</f>
        <v>0.35</v>
      </c>
      <c r="M67" s="5" t="str">
        <f t="shared" si="5"/>
        <v>Y</v>
      </c>
      <c r="N67" s="5" t="str">
        <f t="shared" si="6"/>
        <v>AY</v>
      </c>
    </row>
    <row r="68" spans="1:14" ht="15" customHeight="1" x14ac:dyDescent="0.2">
      <c r="A68" s="3" t="str">
        <f>'1. Master Data'!A113</f>
        <v>NT10109</v>
      </c>
      <c r="B68" s="1" t="str">
        <f>'1. Master Data'!B113</f>
        <v>VisionQ 346in QLED</v>
      </c>
      <c r="C68" s="3" t="str">
        <f>'1. Master Data'!C113</f>
        <v>TVs</v>
      </c>
      <c r="D68" s="3" t="str">
        <f>'1. Master Data'!D113</f>
        <v>Central DC</v>
      </c>
      <c r="E68" s="4">
        <f>'1. Master Data'!F113</f>
        <v>1184</v>
      </c>
      <c r="F68" s="3">
        <f>'2. Demand History'!AA113</f>
        <v>643</v>
      </c>
      <c r="G68" s="4">
        <f t="shared" si="0"/>
        <v>761312</v>
      </c>
      <c r="H68" s="3">
        <f t="shared" si="1"/>
        <v>64</v>
      </c>
      <c r="I68" s="11">
        <f t="shared" si="2"/>
        <v>81265209</v>
      </c>
      <c r="J68" s="10">
        <f t="shared" si="3"/>
        <v>0.49149843258580322</v>
      </c>
      <c r="K68" s="5" t="str">
        <f t="shared" si="4"/>
        <v>A</v>
      </c>
      <c r="L68" s="8">
        <f>'3. Demand Forecast'!H113</f>
        <v>0.27</v>
      </c>
      <c r="M68" s="5" t="str">
        <f t="shared" si="5"/>
        <v>Y</v>
      </c>
      <c r="N68" s="5" t="str">
        <f t="shared" si="6"/>
        <v>AY</v>
      </c>
    </row>
    <row r="69" spans="1:14" ht="15" customHeight="1" x14ac:dyDescent="0.2">
      <c r="A69" s="3" t="str">
        <f>'1. Master Data'!A50</f>
        <v>NT10046</v>
      </c>
      <c r="B69" s="1" t="str">
        <f>'1. Master Data'!B50</f>
        <v>Nova Lite 711 64GB</v>
      </c>
      <c r="C69" s="3" t="str">
        <f>'1. Master Data'!C50</f>
        <v>Smartphones</v>
      </c>
      <c r="D69" s="3" t="str">
        <f>'1. Master Data'!D50</f>
        <v>Central DC</v>
      </c>
      <c r="E69" s="4">
        <f>'1. Master Data'!F50</f>
        <v>684</v>
      </c>
      <c r="F69" s="3">
        <f>'2. Demand History'!AA50</f>
        <v>1072</v>
      </c>
      <c r="G69" s="4">
        <f t="shared" ref="G69:G132" si="7">E69*F69</f>
        <v>733248</v>
      </c>
      <c r="H69" s="3">
        <f t="shared" ref="H69:H132" si="8">RANK(G69,G$5:G$504,0)</f>
        <v>65</v>
      </c>
      <c r="I69" s="11">
        <f t="shared" ref="I69:I132" si="9">SUMPRODUCT((H$5:H$504&lt;=H69)*G$5:G$504)</f>
        <v>81998457</v>
      </c>
      <c r="J69" s="10">
        <f t="shared" ref="J69:J132" si="10">I69/SUM(G$5:G$504)</f>
        <v>0.4959331746744709</v>
      </c>
      <c r="K69" s="5" t="str">
        <f t="shared" ref="K69:K132" si="11">IF(J69&lt;=0.8,"A",IF(J69&lt;=0.95,"B","C"))</f>
        <v>A</v>
      </c>
      <c r="L69" s="8">
        <f>'3. Demand Forecast'!H50</f>
        <v>0.32</v>
      </c>
      <c r="M69" s="5" t="str">
        <f t="shared" ref="M69:M132" si="12">IF(L69&lt;=0.25,"X",IF(L69&lt;=0.6,"Y","Z"))</f>
        <v>Y</v>
      </c>
      <c r="N69" s="5" t="str">
        <f t="shared" ref="N69:N132" si="13">K69&amp;M69</f>
        <v>AY</v>
      </c>
    </row>
    <row r="70" spans="1:14" ht="15" customHeight="1" x14ac:dyDescent="0.2">
      <c r="A70" s="3" t="str">
        <f>'1. Master Data'!A163</f>
        <v>NT10159</v>
      </c>
      <c r="B70" s="1" t="str">
        <f>'1. Master Data'!B163</f>
        <v>StudioPods 901 ANC</v>
      </c>
      <c r="C70" s="3" t="str">
        <f>'1. Master Data'!C163</f>
        <v>Audio</v>
      </c>
      <c r="D70" s="3" t="str">
        <f>'1. Master Data'!D163</f>
        <v>West DC</v>
      </c>
      <c r="E70" s="4">
        <f>'1. Master Data'!F163</f>
        <v>107</v>
      </c>
      <c r="F70" s="3">
        <f>'2. Demand History'!AA163</f>
        <v>6750</v>
      </c>
      <c r="G70" s="4">
        <f t="shared" si="7"/>
        <v>722250</v>
      </c>
      <c r="H70" s="3">
        <f t="shared" si="8"/>
        <v>66</v>
      </c>
      <c r="I70" s="11">
        <f t="shared" si="9"/>
        <v>82720707</v>
      </c>
      <c r="J70" s="10">
        <f t="shared" si="10"/>
        <v>0.50030139998642564</v>
      </c>
      <c r="K70" s="5" t="str">
        <f t="shared" si="11"/>
        <v>A</v>
      </c>
      <c r="L70" s="8">
        <f>'3. Demand Forecast'!H163</f>
        <v>0.31</v>
      </c>
      <c r="M70" s="5" t="str">
        <f t="shared" si="12"/>
        <v>Y</v>
      </c>
      <c r="N70" s="5" t="str">
        <f t="shared" si="13"/>
        <v>AY</v>
      </c>
    </row>
    <row r="71" spans="1:14" ht="15" customHeight="1" x14ac:dyDescent="0.2">
      <c r="A71" s="3" t="str">
        <f>'1. Master Data'!A117</f>
        <v>NT10113</v>
      </c>
      <c r="B71" s="1" t="str">
        <f>'1. Master Data'!B117</f>
        <v>VisionLED 323in 4K</v>
      </c>
      <c r="C71" s="3" t="str">
        <f>'1. Master Data'!C117</f>
        <v>TVs</v>
      </c>
      <c r="D71" s="3" t="str">
        <f>'1. Master Data'!D117</f>
        <v>West DC</v>
      </c>
      <c r="E71" s="4">
        <f>'1. Master Data'!F117</f>
        <v>1425</v>
      </c>
      <c r="F71" s="3">
        <f>'2. Demand History'!AA117</f>
        <v>505</v>
      </c>
      <c r="G71" s="4">
        <f t="shared" si="7"/>
        <v>719625</v>
      </c>
      <c r="H71" s="3">
        <f t="shared" si="8"/>
        <v>67</v>
      </c>
      <c r="I71" s="11">
        <f t="shared" si="9"/>
        <v>83440332</v>
      </c>
      <c r="J71" s="10">
        <f t="shared" si="10"/>
        <v>0.50465374909008154</v>
      </c>
      <c r="K71" s="5" t="str">
        <f t="shared" si="11"/>
        <v>A</v>
      </c>
      <c r="L71" s="8">
        <f>'3. Demand Forecast'!H117</f>
        <v>0.3</v>
      </c>
      <c r="M71" s="5" t="str">
        <f t="shared" si="12"/>
        <v>Y</v>
      </c>
      <c r="N71" s="5" t="str">
        <f t="shared" si="13"/>
        <v>AY</v>
      </c>
    </row>
    <row r="72" spans="1:14" ht="15" customHeight="1" x14ac:dyDescent="0.2">
      <c r="A72" s="3" t="str">
        <f>'1. Master Data'!A251</f>
        <v>NT10247</v>
      </c>
      <c r="B72" s="1" t="str">
        <f>'1. Master Data'!B251</f>
        <v>StepOne Tracker 687</v>
      </c>
      <c r="C72" s="3" t="str">
        <f>'1. Master Data'!C251</f>
        <v>Wearables</v>
      </c>
      <c r="D72" s="3" t="str">
        <f>'1. Master Data'!D251</f>
        <v>West DC</v>
      </c>
      <c r="E72" s="4">
        <f>'1. Master Data'!F251</f>
        <v>152</v>
      </c>
      <c r="F72" s="3">
        <f>'2. Demand History'!AA251</f>
        <v>4524</v>
      </c>
      <c r="G72" s="4">
        <f t="shared" si="7"/>
        <v>687648</v>
      </c>
      <c r="H72" s="3">
        <f t="shared" si="8"/>
        <v>68</v>
      </c>
      <c r="I72" s="11">
        <f t="shared" si="9"/>
        <v>84127980</v>
      </c>
      <c r="J72" s="10">
        <f t="shared" si="10"/>
        <v>0.50881269876029978</v>
      </c>
      <c r="K72" s="5" t="str">
        <f t="shared" si="11"/>
        <v>A</v>
      </c>
      <c r="L72" s="8">
        <f>'3. Demand Forecast'!H251</f>
        <v>0.24</v>
      </c>
      <c r="M72" s="5" t="str">
        <f t="shared" si="12"/>
        <v>X</v>
      </c>
      <c r="N72" s="5" t="str">
        <f t="shared" si="13"/>
        <v>AX</v>
      </c>
    </row>
    <row r="73" spans="1:14" ht="15" customHeight="1" x14ac:dyDescent="0.2">
      <c r="A73" s="3" t="str">
        <f>'1. Master Data'!A259</f>
        <v>NT10255</v>
      </c>
      <c r="B73" s="1" t="str">
        <f>'1. Master Data'!B259</f>
        <v>ProMouse G982</v>
      </c>
      <c r="C73" s="3" t="str">
        <f>'1. Master Data'!C259</f>
        <v>Gaming</v>
      </c>
      <c r="D73" s="3" t="str">
        <f>'1. Master Data'!D259</f>
        <v>East DC</v>
      </c>
      <c r="E73" s="4">
        <f>'1. Master Data'!F259</f>
        <v>292</v>
      </c>
      <c r="F73" s="3">
        <f>'2. Demand History'!AA259</f>
        <v>2338</v>
      </c>
      <c r="G73" s="4">
        <f t="shared" si="7"/>
        <v>682696</v>
      </c>
      <c r="H73" s="3">
        <f t="shared" si="8"/>
        <v>69</v>
      </c>
      <c r="I73" s="11">
        <f t="shared" si="9"/>
        <v>84810676</v>
      </c>
      <c r="J73" s="10">
        <f t="shared" si="10"/>
        <v>0.512941698341567</v>
      </c>
      <c r="K73" s="5" t="str">
        <f t="shared" si="11"/>
        <v>A</v>
      </c>
      <c r="L73" s="8">
        <f>'3. Demand Forecast'!H259</f>
        <v>0.25</v>
      </c>
      <c r="M73" s="5" t="str">
        <f t="shared" si="12"/>
        <v>X</v>
      </c>
      <c r="N73" s="5" t="str">
        <f t="shared" si="13"/>
        <v>AX</v>
      </c>
    </row>
    <row r="74" spans="1:14" ht="15" customHeight="1" x14ac:dyDescent="0.2">
      <c r="A74" s="3" t="str">
        <f>'1. Master Data'!A84</f>
        <v>NT10080</v>
      </c>
      <c r="B74" s="1" t="str">
        <f>'1. Master Data'!B84</f>
        <v>UltraSlim 600 Ryzen 5</v>
      </c>
      <c r="C74" s="3" t="str">
        <f>'1. Master Data'!C84</f>
        <v>Laptops</v>
      </c>
      <c r="D74" s="3" t="str">
        <f>'1. Master Data'!D84</f>
        <v>Central DC</v>
      </c>
      <c r="E74" s="4">
        <f>'1. Master Data'!F84</f>
        <v>475</v>
      </c>
      <c r="F74" s="3">
        <f>'2. Demand History'!AA84</f>
        <v>1409</v>
      </c>
      <c r="G74" s="4">
        <f t="shared" si="7"/>
        <v>669275</v>
      </c>
      <c r="H74" s="3">
        <f t="shared" si="8"/>
        <v>70</v>
      </c>
      <c r="I74" s="11">
        <f t="shared" si="9"/>
        <v>85479951</v>
      </c>
      <c r="J74" s="10">
        <f t="shared" si="10"/>
        <v>0.51698952664985165</v>
      </c>
      <c r="K74" s="5" t="str">
        <f t="shared" si="11"/>
        <v>A</v>
      </c>
      <c r="L74" s="8">
        <f>'3. Demand Forecast'!H84</f>
        <v>0.39</v>
      </c>
      <c r="M74" s="5" t="str">
        <f t="shared" si="12"/>
        <v>Y</v>
      </c>
      <c r="N74" s="5" t="str">
        <f t="shared" si="13"/>
        <v>AY</v>
      </c>
    </row>
    <row r="75" spans="1:14" ht="15" customHeight="1" x14ac:dyDescent="0.2">
      <c r="A75" s="3" t="str">
        <f>'1. Master Data'!A45</f>
        <v>NT10041</v>
      </c>
      <c r="B75" s="1" t="str">
        <f>'1. Master Data'!B45</f>
        <v>Nova Lite 722 64GB</v>
      </c>
      <c r="C75" s="3" t="str">
        <f>'1. Master Data'!C45</f>
        <v>Smartphones</v>
      </c>
      <c r="D75" s="3" t="str">
        <f>'1. Master Data'!D45</f>
        <v>East DC</v>
      </c>
      <c r="E75" s="4">
        <f>'1. Master Data'!F45</f>
        <v>723</v>
      </c>
      <c r="F75" s="3">
        <f>'2. Demand History'!AA45</f>
        <v>892</v>
      </c>
      <c r="G75" s="4">
        <f t="shared" si="7"/>
        <v>644916</v>
      </c>
      <c r="H75" s="3">
        <f t="shared" si="8"/>
        <v>71</v>
      </c>
      <c r="I75" s="11">
        <f t="shared" si="9"/>
        <v>86124867</v>
      </c>
      <c r="J75" s="10">
        <f t="shared" si="10"/>
        <v>0.52089002979320176</v>
      </c>
      <c r="K75" s="5" t="str">
        <f t="shared" si="11"/>
        <v>A</v>
      </c>
      <c r="L75" s="8">
        <f>'3. Demand Forecast'!H45</f>
        <v>0.27</v>
      </c>
      <c r="M75" s="5" t="str">
        <f t="shared" si="12"/>
        <v>Y</v>
      </c>
      <c r="N75" s="5" t="str">
        <f t="shared" si="13"/>
        <v>AY</v>
      </c>
    </row>
    <row r="76" spans="1:14" ht="15" customHeight="1" x14ac:dyDescent="0.2">
      <c r="A76" s="3" t="str">
        <f>'1. Master Data'!A132</f>
        <v>NT10128</v>
      </c>
      <c r="B76" s="1" t="str">
        <f>'1. Master Data'!B132</f>
        <v>VisionQ 120in QLED</v>
      </c>
      <c r="C76" s="3" t="str">
        <f>'1. Master Data'!C132</f>
        <v>TVs</v>
      </c>
      <c r="D76" s="3" t="str">
        <f>'1. Master Data'!D132</f>
        <v>West DC</v>
      </c>
      <c r="E76" s="4">
        <f>'1. Master Data'!F132</f>
        <v>905</v>
      </c>
      <c r="F76" s="3">
        <f>'2. Demand History'!AA132</f>
        <v>699</v>
      </c>
      <c r="G76" s="4">
        <f t="shared" si="7"/>
        <v>632595</v>
      </c>
      <c r="H76" s="3">
        <f t="shared" si="8"/>
        <v>72</v>
      </c>
      <c r="I76" s="11">
        <f t="shared" si="9"/>
        <v>86757462</v>
      </c>
      <c r="J76" s="10">
        <f t="shared" si="10"/>
        <v>0.52471601455085637</v>
      </c>
      <c r="K76" s="5" t="str">
        <f t="shared" si="11"/>
        <v>A</v>
      </c>
      <c r="L76" s="8">
        <f>'3. Demand Forecast'!H132</f>
        <v>0.31</v>
      </c>
      <c r="M76" s="5" t="str">
        <f t="shared" si="12"/>
        <v>Y</v>
      </c>
      <c r="N76" s="5" t="str">
        <f t="shared" si="13"/>
        <v>AY</v>
      </c>
    </row>
    <row r="77" spans="1:14" ht="15" customHeight="1" x14ac:dyDescent="0.2">
      <c r="A77" s="3" t="str">
        <f>'1. Master Data'!A145</f>
        <v>NT10141</v>
      </c>
      <c r="B77" s="1" t="str">
        <f>'1. Master Data'!B145</f>
        <v>VisionLED 341in 4K</v>
      </c>
      <c r="C77" s="3" t="str">
        <f>'1. Master Data'!C145</f>
        <v>TVs</v>
      </c>
      <c r="D77" s="3" t="str">
        <f>'1. Master Data'!D145</f>
        <v>East DC</v>
      </c>
      <c r="E77" s="4">
        <f>'1. Master Data'!F145</f>
        <v>1304</v>
      </c>
      <c r="F77" s="3">
        <f>'2. Demand History'!AA145</f>
        <v>485</v>
      </c>
      <c r="G77" s="4">
        <f t="shared" si="7"/>
        <v>632440</v>
      </c>
      <c r="H77" s="3">
        <f t="shared" si="8"/>
        <v>73</v>
      </c>
      <c r="I77" s="11">
        <f t="shared" si="9"/>
        <v>87389902</v>
      </c>
      <c r="J77" s="10">
        <f t="shared" si="10"/>
        <v>0.52854106185621141</v>
      </c>
      <c r="K77" s="5" t="str">
        <f t="shared" si="11"/>
        <v>A</v>
      </c>
      <c r="L77" s="8">
        <f>'3. Demand Forecast'!H145</f>
        <v>0.39</v>
      </c>
      <c r="M77" s="5" t="str">
        <f t="shared" si="12"/>
        <v>Y</v>
      </c>
      <c r="N77" s="5" t="str">
        <f t="shared" si="13"/>
        <v>AY</v>
      </c>
    </row>
    <row r="78" spans="1:14" ht="15" customHeight="1" x14ac:dyDescent="0.2">
      <c r="A78" s="3" t="str">
        <f>'1. Master Data'!A152</f>
        <v>NT10148</v>
      </c>
      <c r="B78" s="1" t="str">
        <f>'1. Master Data'!B152</f>
        <v>CinemaMax 609in 8K</v>
      </c>
      <c r="C78" s="3" t="str">
        <f>'1. Master Data'!C152</f>
        <v>TVs</v>
      </c>
      <c r="D78" s="3" t="str">
        <f>'1. Master Data'!D152</f>
        <v>East DC</v>
      </c>
      <c r="E78" s="4">
        <f>'1. Master Data'!F152</f>
        <v>1273</v>
      </c>
      <c r="F78" s="3">
        <f>'2. Demand History'!AA152</f>
        <v>488</v>
      </c>
      <c r="G78" s="4">
        <f t="shared" si="7"/>
        <v>621224</v>
      </c>
      <c r="H78" s="3">
        <f t="shared" si="8"/>
        <v>74</v>
      </c>
      <c r="I78" s="11">
        <f t="shared" si="9"/>
        <v>88011126</v>
      </c>
      <c r="J78" s="10">
        <f t="shared" si="10"/>
        <v>0.53229827390355489</v>
      </c>
      <c r="K78" s="5" t="str">
        <f t="shared" si="11"/>
        <v>A</v>
      </c>
      <c r="L78" s="8">
        <f>'3. Demand Forecast'!H152</f>
        <v>0.23</v>
      </c>
      <c r="M78" s="5" t="str">
        <f t="shared" si="12"/>
        <v>X</v>
      </c>
      <c r="N78" s="5" t="str">
        <f t="shared" si="13"/>
        <v>AX</v>
      </c>
    </row>
    <row r="79" spans="1:14" ht="15" customHeight="1" x14ac:dyDescent="0.2">
      <c r="A79" s="3" t="str">
        <f>'1. Master Data'!A276</f>
        <v>NT10272</v>
      </c>
      <c r="B79" s="1" t="str">
        <f>'1. Master Data'!B276</f>
        <v>RGB Keyboard K758</v>
      </c>
      <c r="C79" s="3" t="str">
        <f>'1. Master Data'!C276</f>
        <v>Gaming</v>
      </c>
      <c r="D79" s="3" t="str">
        <f>'1. Master Data'!D276</f>
        <v>East DC</v>
      </c>
      <c r="E79" s="4">
        <f>'1. Master Data'!F276</f>
        <v>309</v>
      </c>
      <c r="F79" s="3">
        <f>'2. Demand History'!AA276</f>
        <v>2009</v>
      </c>
      <c r="G79" s="4">
        <f t="shared" si="7"/>
        <v>620781</v>
      </c>
      <c r="H79" s="3">
        <f t="shared" si="8"/>
        <v>75</v>
      </c>
      <c r="I79" s="11">
        <f t="shared" si="9"/>
        <v>88631907</v>
      </c>
      <c r="J79" s="10">
        <f t="shared" si="10"/>
        <v>0.53605280665174537</v>
      </c>
      <c r="K79" s="5" t="str">
        <f t="shared" si="11"/>
        <v>A</v>
      </c>
      <c r="L79" s="8">
        <f>'3. Demand Forecast'!H276</f>
        <v>0.27</v>
      </c>
      <c r="M79" s="5" t="str">
        <f t="shared" si="12"/>
        <v>Y</v>
      </c>
      <c r="N79" s="5" t="str">
        <f t="shared" si="13"/>
        <v>AY</v>
      </c>
    </row>
    <row r="80" spans="1:14" ht="15" customHeight="1" x14ac:dyDescent="0.2">
      <c r="A80" s="3" t="str">
        <f>'1. Master Data'!A75</f>
        <v>NT10071</v>
      </c>
      <c r="B80" s="1" t="str">
        <f>'1. Master Data'!B75</f>
        <v>WorkMate 444 i3 14in</v>
      </c>
      <c r="C80" s="3" t="str">
        <f>'1. Master Data'!C75</f>
        <v>Laptops</v>
      </c>
      <c r="D80" s="3" t="str">
        <f>'1. Master Data'!D75</f>
        <v>West DC</v>
      </c>
      <c r="E80" s="4">
        <f>'1. Master Data'!F75</f>
        <v>1413</v>
      </c>
      <c r="F80" s="3">
        <f>'2. Demand History'!AA75</f>
        <v>438</v>
      </c>
      <c r="G80" s="4">
        <f t="shared" si="7"/>
        <v>618894</v>
      </c>
      <c r="H80" s="3">
        <f t="shared" si="8"/>
        <v>76</v>
      </c>
      <c r="I80" s="11">
        <f t="shared" si="9"/>
        <v>89250801</v>
      </c>
      <c r="J80" s="10">
        <f t="shared" si="10"/>
        <v>0.53979592667419873</v>
      </c>
      <c r="K80" s="5" t="str">
        <f t="shared" si="11"/>
        <v>A</v>
      </c>
      <c r="L80" s="8">
        <f>'3. Demand Forecast'!H75</f>
        <v>0.37</v>
      </c>
      <c r="M80" s="5" t="str">
        <f t="shared" si="12"/>
        <v>Y</v>
      </c>
      <c r="N80" s="5" t="str">
        <f t="shared" si="13"/>
        <v>AY</v>
      </c>
    </row>
    <row r="81" spans="1:14" ht="15" customHeight="1" x14ac:dyDescent="0.2">
      <c r="A81" s="3" t="str">
        <f>'1. Master Data'!A87</f>
        <v>NT10083</v>
      </c>
      <c r="B81" s="1" t="str">
        <f>'1. Master Data'!B87</f>
        <v>CreatorPro 192 i9 16in</v>
      </c>
      <c r="C81" s="3" t="str">
        <f>'1. Master Data'!C87</f>
        <v>Laptops</v>
      </c>
      <c r="D81" s="3" t="str">
        <f>'1. Master Data'!D87</f>
        <v>East DC</v>
      </c>
      <c r="E81" s="4">
        <f>'1. Master Data'!F87</f>
        <v>1051</v>
      </c>
      <c r="F81" s="3">
        <f>'2. Demand History'!AA87</f>
        <v>581</v>
      </c>
      <c r="G81" s="4">
        <f t="shared" si="7"/>
        <v>610631</v>
      </c>
      <c r="H81" s="3">
        <f t="shared" si="8"/>
        <v>77</v>
      </c>
      <c r="I81" s="11">
        <f t="shared" si="9"/>
        <v>89861432</v>
      </c>
      <c r="J81" s="10">
        <f t="shared" si="10"/>
        <v>0.5434890714169669</v>
      </c>
      <c r="K81" s="5" t="str">
        <f t="shared" si="11"/>
        <v>A</v>
      </c>
      <c r="L81" s="8">
        <f>'3. Demand Forecast'!H87</f>
        <v>0.28000000000000003</v>
      </c>
      <c r="M81" s="5" t="str">
        <f t="shared" si="12"/>
        <v>Y</v>
      </c>
      <c r="N81" s="5" t="str">
        <f t="shared" si="13"/>
        <v>AY</v>
      </c>
    </row>
    <row r="82" spans="1:14" ht="15" customHeight="1" x14ac:dyDescent="0.2">
      <c r="A82" s="3" t="str">
        <f>'1. Master Data'!A184</f>
        <v>NT10180</v>
      </c>
      <c r="B82" s="1" t="str">
        <f>'1. Master Data'!B184</f>
        <v>ClipMic 324 Wireless</v>
      </c>
      <c r="C82" s="3" t="str">
        <f>'1. Master Data'!C184</f>
        <v>Audio</v>
      </c>
      <c r="D82" s="3" t="str">
        <f>'1. Master Data'!D184</f>
        <v>West DC</v>
      </c>
      <c r="E82" s="4">
        <f>'1. Master Data'!F184</f>
        <v>230</v>
      </c>
      <c r="F82" s="3">
        <f>'2. Demand History'!AA184</f>
        <v>2607</v>
      </c>
      <c r="G82" s="4">
        <f t="shared" si="7"/>
        <v>599610</v>
      </c>
      <c r="H82" s="3">
        <f t="shared" si="8"/>
        <v>78</v>
      </c>
      <c r="I82" s="11">
        <f t="shared" si="9"/>
        <v>90461042</v>
      </c>
      <c r="J82" s="10">
        <f t="shared" si="10"/>
        <v>0.54711556027719699</v>
      </c>
      <c r="K82" s="5" t="str">
        <f t="shared" si="11"/>
        <v>A</v>
      </c>
      <c r="L82" s="8">
        <f>'3. Demand Forecast'!H184</f>
        <v>0.31</v>
      </c>
      <c r="M82" s="5" t="str">
        <f t="shared" si="12"/>
        <v>Y</v>
      </c>
      <c r="N82" s="5" t="str">
        <f t="shared" si="13"/>
        <v>AY</v>
      </c>
    </row>
    <row r="83" spans="1:14" ht="15" customHeight="1" x14ac:dyDescent="0.2">
      <c r="A83" s="3" t="str">
        <f>'1. Master Data'!A451</f>
        <v>NT10447</v>
      </c>
      <c r="B83" s="1" t="str">
        <f>'1. Master Data'!B451</f>
        <v>DrawPad 840 12in</v>
      </c>
      <c r="C83" s="3" t="str">
        <f>'1. Master Data'!C451</f>
        <v>Tablets</v>
      </c>
      <c r="D83" s="3" t="str">
        <f>'1. Master Data'!D451</f>
        <v>Central DC</v>
      </c>
      <c r="E83" s="4">
        <f>'1. Master Data'!F451</f>
        <v>284</v>
      </c>
      <c r="F83" s="3">
        <f>'2. Demand History'!AA451</f>
        <v>2092</v>
      </c>
      <c r="G83" s="4">
        <f t="shared" si="7"/>
        <v>594128</v>
      </c>
      <c r="H83" s="3">
        <f t="shared" si="8"/>
        <v>79</v>
      </c>
      <c r="I83" s="11">
        <f t="shared" si="9"/>
        <v>91055170</v>
      </c>
      <c r="J83" s="10">
        <f t="shared" si="10"/>
        <v>0.55070889356641972</v>
      </c>
      <c r="K83" s="5" t="str">
        <f t="shared" si="11"/>
        <v>A</v>
      </c>
      <c r="L83" s="8">
        <f>'3. Demand Forecast'!H451</f>
        <v>0.3</v>
      </c>
      <c r="M83" s="5" t="str">
        <f t="shared" si="12"/>
        <v>Y</v>
      </c>
      <c r="N83" s="5" t="str">
        <f t="shared" si="13"/>
        <v>AY</v>
      </c>
    </row>
    <row r="84" spans="1:14" ht="15" customHeight="1" x14ac:dyDescent="0.2">
      <c r="A84" s="3" t="str">
        <f>'1. Master Data'!A296</f>
        <v>NT10292</v>
      </c>
      <c r="B84" s="1" t="str">
        <f>'1. Master Data'!B296</f>
        <v>ArenaHeadset H600</v>
      </c>
      <c r="C84" s="3" t="str">
        <f>'1. Master Data'!C296</f>
        <v>Gaming</v>
      </c>
      <c r="D84" s="3" t="str">
        <f>'1. Master Data'!D296</f>
        <v>East DC</v>
      </c>
      <c r="E84" s="4">
        <f>'1. Master Data'!F296</f>
        <v>299</v>
      </c>
      <c r="F84" s="3">
        <f>'2. Demand History'!AA296</f>
        <v>1978</v>
      </c>
      <c r="G84" s="4">
        <f t="shared" si="7"/>
        <v>591422</v>
      </c>
      <c r="H84" s="3">
        <f t="shared" si="8"/>
        <v>80</v>
      </c>
      <c r="I84" s="11">
        <f t="shared" si="9"/>
        <v>91646592</v>
      </c>
      <c r="J84" s="10">
        <f t="shared" si="10"/>
        <v>0.55428586075291597</v>
      </c>
      <c r="K84" s="5" t="str">
        <f t="shared" si="11"/>
        <v>A</v>
      </c>
      <c r="L84" s="8">
        <f>'3. Demand Forecast'!H296</f>
        <v>0.3</v>
      </c>
      <c r="M84" s="5" t="str">
        <f t="shared" si="12"/>
        <v>Y</v>
      </c>
      <c r="N84" s="5" t="str">
        <f t="shared" si="13"/>
        <v>AY</v>
      </c>
    </row>
    <row r="85" spans="1:14" ht="15" customHeight="1" x14ac:dyDescent="0.2">
      <c r="A85" s="3" t="str">
        <f>'1. Master Data'!A99</f>
        <v>NT10095</v>
      </c>
      <c r="B85" s="1" t="str">
        <f>'1. Master Data'!B99</f>
        <v>ProBook 648 i7 15in</v>
      </c>
      <c r="C85" s="3" t="str">
        <f>'1. Master Data'!C99</f>
        <v>Laptops</v>
      </c>
      <c r="D85" s="3" t="str">
        <f>'1. Master Data'!D99</f>
        <v>East DC</v>
      </c>
      <c r="E85" s="4">
        <f>'1. Master Data'!F99</f>
        <v>1266</v>
      </c>
      <c r="F85" s="3">
        <f>'2. Demand History'!AA99</f>
        <v>467</v>
      </c>
      <c r="G85" s="4">
        <f t="shared" si="7"/>
        <v>591222</v>
      </c>
      <c r="H85" s="3">
        <f t="shared" si="8"/>
        <v>81</v>
      </c>
      <c r="I85" s="11">
        <f t="shared" si="9"/>
        <v>92237814</v>
      </c>
      <c r="J85" s="10">
        <f t="shared" si="10"/>
        <v>0.55786161832354186</v>
      </c>
      <c r="K85" s="5" t="str">
        <f t="shared" si="11"/>
        <v>A</v>
      </c>
      <c r="L85" s="8">
        <f>'3. Demand Forecast'!H99</f>
        <v>0.37</v>
      </c>
      <c r="M85" s="5" t="str">
        <f t="shared" si="12"/>
        <v>Y</v>
      </c>
      <c r="N85" s="5" t="str">
        <f t="shared" si="13"/>
        <v>AY</v>
      </c>
    </row>
    <row r="86" spans="1:14" ht="15" customHeight="1" x14ac:dyDescent="0.2">
      <c r="A86" s="3" t="str">
        <f>'1. Master Data'!A20</f>
        <v>NT10016</v>
      </c>
      <c r="B86" s="1" t="str">
        <f>'1. Master Data'!B20</f>
        <v>Nova Lite 610 64GB</v>
      </c>
      <c r="C86" s="3" t="str">
        <f>'1. Master Data'!C20</f>
        <v>Smartphones</v>
      </c>
      <c r="D86" s="3" t="str">
        <f>'1. Master Data'!D20</f>
        <v>Central DC</v>
      </c>
      <c r="E86" s="4">
        <f>'1. Master Data'!F20</f>
        <v>449</v>
      </c>
      <c r="F86" s="3">
        <f>'2. Demand History'!AA20</f>
        <v>1314</v>
      </c>
      <c r="G86" s="4">
        <f t="shared" si="7"/>
        <v>589986</v>
      </c>
      <c r="H86" s="3">
        <f t="shared" si="8"/>
        <v>82</v>
      </c>
      <c r="I86" s="11">
        <f t="shared" si="9"/>
        <v>92827800</v>
      </c>
      <c r="J86" s="10">
        <f t="shared" si="10"/>
        <v>0.56142990046808872</v>
      </c>
      <c r="K86" s="5" t="str">
        <f t="shared" si="11"/>
        <v>A</v>
      </c>
      <c r="L86" s="8">
        <f>'3. Demand Forecast'!H20</f>
        <v>0.24</v>
      </c>
      <c r="M86" s="5" t="str">
        <f t="shared" si="12"/>
        <v>X</v>
      </c>
      <c r="N86" s="5" t="str">
        <f t="shared" si="13"/>
        <v>AX</v>
      </c>
    </row>
    <row r="87" spans="1:14" ht="15" customHeight="1" x14ac:dyDescent="0.2">
      <c r="A87" s="3" t="str">
        <f>'1. Master Data'!A53</f>
        <v>NT10049</v>
      </c>
      <c r="B87" s="1" t="str">
        <f>'1. Master Data'!B53</f>
        <v>Nova Lite 422 64GB</v>
      </c>
      <c r="C87" s="3" t="str">
        <f>'1. Master Data'!C53</f>
        <v>Smartphones</v>
      </c>
      <c r="D87" s="3" t="str">
        <f>'1. Master Data'!D53</f>
        <v>West DC</v>
      </c>
      <c r="E87" s="4">
        <f>'1. Master Data'!F53</f>
        <v>857</v>
      </c>
      <c r="F87" s="3">
        <f>'2. Demand History'!AA53</f>
        <v>680</v>
      </c>
      <c r="G87" s="4">
        <f t="shared" si="7"/>
        <v>582760</v>
      </c>
      <c r="H87" s="3">
        <f t="shared" si="8"/>
        <v>83</v>
      </c>
      <c r="I87" s="11">
        <f t="shared" si="9"/>
        <v>93410560</v>
      </c>
      <c r="J87" s="10">
        <f t="shared" si="10"/>
        <v>0.5649544791912382</v>
      </c>
      <c r="K87" s="5" t="str">
        <f t="shared" si="11"/>
        <v>A</v>
      </c>
      <c r="L87" s="8">
        <f>'3. Demand Forecast'!H53</f>
        <v>0.25</v>
      </c>
      <c r="M87" s="5" t="str">
        <f t="shared" si="12"/>
        <v>X</v>
      </c>
      <c r="N87" s="5" t="str">
        <f t="shared" si="13"/>
        <v>AX</v>
      </c>
    </row>
    <row r="88" spans="1:14" ht="15" customHeight="1" x14ac:dyDescent="0.2">
      <c r="A88" s="3" t="str">
        <f>'1. Master Data'!A281</f>
        <v>NT10277</v>
      </c>
      <c r="B88" s="1" t="str">
        <f>'1. Master Data'!B281</f>
        <v>RGB Keyboard K367</v>
      </c>
      <c r="C88" s="3" t="str">
        <f>'1. Master Data'!C281</f>
        <v>Gaming</v>
      </c>
      <c r="D88" s="3" t="str">
        <f>'1. Master Data'!D281</f>
        <v>Central DC</v>
      </c>
      <c r="E88" s="4">
        <f>'1. Master Data'!F281</f>
        <v>196</v>
      </c>
      <c r="F88" s="3">
        <f>'2. Demand History'!AA281</f>
        <v>2906</v>
      </c>
      <c r="G88" s="4">
        <f t="shared" si="7"/>
        <v>569576</v>
      </c>
      <c r="H88" s="3">
        <f t="shared" si="8"/>
        <v>84</v>
      </c>
      <c r="I88" s="11">
        <f t="shared" si="9"/>
        <v>93980136</v>
      </c>
      <c r="J88" s="10">
        <f t="shared" si="10"/>
        <v>0.56839932003621152</v>
      </c>
      <c r="K88" s="5" t="str">
        <f t="shared" si="11"/>
        <v>A</v>
      </c>
      <c r="L88" s="8">
        <f>'3. Demand Forecast'!H281</f>
        <v>0.33</v>
      </c>
      <c r="M88" s="5" t="str">
        <f t="shared" si="12"/>
        <v>Y</v>
      </c>
      <c r="N88" s="5" t="str">
        <f t="shared" si="13"/>
        <v>AY</v>
      </c>
    </row>
    <row r="89" spans="1:14" ht="15" customHeight="1" x14ac:dyDescent="0.2">
      <c r="A89" s="3" t="str">
        <f>'1. Master Data'!A77</f>
        <v>NT10073</v>
      </c>
      <c r="B89" s="1" t="str">
        <f>'1. Master Data'!B77</f>
        <v>ProBook 373 i5 14in</v>
      </c>
      <c r="C89" s="3" t="str">
        <f>'1. Master Data'!C77</f>
        <v>Laptops</v>
      </c>
      <c r="D89" s="3" t="str">
        <f>'1. Master Data'!D77</f>
        <v>Central DC</v>
      </c>
      <c r="E89" s="4">
        <f>'1. Master Data'!F77</f>
        <v>1084</v>
      </c>
      <c r="F89" s="3">
        <f>'2. Demand History'!AA77</f>
        <v>525</v>
      </c>
      <c r="G89" s="4">
        <f t="shared" si="7"/>
        <v>569100</v>
      </c>
      <c r="H89" s="3">
        <f t="shared" si="8"/>
        <v>85</v>
      </c>
      <c r="I89" s="11">
        <f t="shared" si="9"/>
        <v>94549236</v>
      </c>
      <c r="J89" s="10">
        <f t="shared" si="10"/>
        <v>0.57184128199541329</v>
      </c>
      <c r="K89" s="5" t="str">
        <f t="shared" si="11"/>
        <v>A</v>
      </c>
      <c r="L89" s="8">
        <f>'3. Demand Forecast'!H77</f>
        <v>0.27</v>
      </c>
      <c r="M89" s="5" t="str">
        <f t="shared" si="12"/>
        <v>Y</v>
      </c>
      <c r="N89" s="5" t="str">
        <f t="shared" si="13"/>
        <v>AY</v>
      </c>
    </row>
    <row r="90" spans="1:14" ht="15" customHeight="1" x14ac:dyDescent="0.2">
      <c r="A90" s="3" t="str">
        <f>'1. Master Data'!A213</f>
        <v>NT10209</v>
      </c>
      <c r="B90" s="1" t="str">
        <f>'1. Master Data'!B213</f>
        <v>FitTrack Band 624</v>
      </c>
      <c r="C90" s="3" t="str">
        <f>'1. Master Data'!C213</f>
        <v>Wearables</v>
      </c>
      <c r="D90" s="3" t="str">
        <f>'1. Master Data'!D213</f>
        <v>West DC</v>
      </c>
      <c r="E90" s="4">
        <f>'1. Master Data'!F213</f>
        <v>119</v>
      </c>
      <c r="F90" s="3">
        <f>'2. Demand History'!AA213</f>
        <v>4697</v>
      </c>
      <c r="G90" s="4">
        <f t="shared" si="7"/>
        <v>558943</v>
      </c>
      <c r="H90" s="3">
        <f t="shared" si="8"/>
        <v>86</v>
      </c>
      <c r="I90" s="11">
        <f t="shared" si="9"/>
        <v>95108179</v>
      </c>
      <c r="J90" s="10">
        <f t="shared" si="10"/>
        <v>0.57522181361263713</v>
      </c>
      <c r="K90" s="5" t="str">
        <f t="shared" si="11"/>
        <v>A</v>
      </c>
      <c r="L90" s="8">
        <f>'3. Demand Forecast'!H213</f>
        <v>0.21</v>
      </c>
      <c r="M90" s="5" t="str">
        <f t="shared" si="12"/>
        <v>X</v>
      </c>
      <c r="N90" s="5" t="str">
        <f t="shared" si="13"/>
        <v>AX</v>
      </c>
    </row>
    <row r="91" spans="1:14" ht="15" customHeight="1" x14ac:dyDescent="0.2">
      <c r="A91" s="3" t="str">
        <f>'1. Master Data'!A15</f>
        <v>NT10011</v>
      </c>
      <c r="B91" s="1" t="str">
        <f>'1. Master Data'!B15</f>
        <v>Edge 790 5G 128GB</v>
      </c>
      <c r="C91" s="3" t="str">
        <f>'1. Master Data'!C15</f>
        <v>Smartphones</v>
      </c>
      <c r="D91" s="3" t="str">
        <f>'1. Master Data'!D15</f>
        <v>Central DC</v>
      </c>
      <c r="E91" s="4">
        <f>'1. Master Data'!F15</f>
        <v>507</v>
      </c>
      <c r="F91" s="3">
        <f>'2. Demand History'!AA15</f>
        <v>1094</v>
      </c>
      <c r="G91" s="4">
        <f t="shared" si="7"/>
        <v>554658</v>
      </c>
      <c r="H91" s="3">
        <f t="shared" si="8"/>
        <v>87</v>
      </c>
      <c r="I91" s="11">
        <f t="shared" si="9"/>
        <v>95662837</v>
      </c>
      <c r="J91" s="10">
        <f t="shared" si="10"/>
        <v>0.57857642920983787</v>
      </c>
      <c r="K91" s="5" t="str">
        <f t="shared" si="11"/>
        <v>A</v>
      </c>
      <c r="L91" s="8">
        <f>'3. Demand Forecast'!H15</f>
        <v>0.33</v>
      </c>
      <c r="M91" s="5" t="str">
        <f t="shared" si="12"/>
        <v>Y</v>
      </c>
      <c r="N91" s="5" t="str">
        <f t="shared" si="13"/>
        <v>AY</v>
      </c>
    </row>
    <row r="92" spans="1:14" ht="15" customHeight="1" x14ac:dyDescent="0.2">
      <c r="A92" s="3" t="str">
        <f>'1. Master Data'!A64</f>
        <v>NT10060</v>
      </c>
      <c r="B92" s="1" t="str">
        <f>'1. Master Data'!B64</f>
        <v>ProBook 839 i7 15in</v>
      </c>
      <c r="C92" s="3" t="str">
        <f>'1. Master Data'!C64</f>
        <v>Laptops</v>
      </c>
      <c r="D92" s="3" t="str">
        <f>'1. Master Data'!D64</f>
        <v>West DC</v>
      </c>
      <c r="E92" s="4">
        <f>'1. Master Data'!F64</f>
        <v>1044</v>
      </c>
      <c r="F92" s="3">
        <f>'2. Demand History'!AA64</f>
        <v>526</v>
      </c>
      <c r="G92" s="4">
        <f t="shared" si="7"/>
        <v>549144</v>
      </c>
      <c r="H92" s="3">
        <f t="shared" si="8"/>
        <v>88</v>
      </c>
      <c r="I92" s="11">
        <f t="shared" si="9"/>
        <v>96211981</v>
      </c>
      <c r="J92" s="10">
        <f t="shared" si="10"/>
        <v>0.58189769569749195</v>
      </c>
      <c r="K92" s="5" t="str">
        <f t="shared" si="11"/>
        <v>A</v>
      </c>
      <c r="L92" s="8">
        <f>'3. Demand Forecast'!H64</f>
        <v>1.04</v>
      </c>
      <c r="M92" s="5" t="str">
        <f t="shared" si="12"/>
        <v>Z</v>
      </c>
      <c r="N92" s="5" t="str">
        <f t="shared" si="13"/>
        <v>AZ</v>
      </c>
    </row>
    <row r="93" spans="1:14" ht="15" customHeight="1" x14ac:dyDescent="0.2">
      <c r="A93" s="3" t="str">
        <f>'1. Master Data'!A264</f>
        <v>NT10260</v>
      </c>
      <c r="B93" s="1" t="str">
        <f>'1. Master Data'!B264</f>
        <v>ArenaHeadset H428</v>
      </c>
      <c r="C93" s="3" t="str">
        <f>'1. Master Data'!C264</f>
        <v>Gaming</v>
      </c>
      <c r="D93" s="3" t="str">
        <f>'1. Master Data'!D264</f>
        <v>East DC</v>
      </c>
      <c r="E93" s="4">
        <f>'1. Master Data'!F264</f>
        <v>276</v>
      </c>
      <c r="F93" s="3">
        <f>'2. Demand History'!AA264</f>
        <v>1985</v>
      </c>
      <c r="G93" s="4">
        <f t="shared" si="7"/>
        <v>547860</v>
      </c>
      <c r="H93" s="3">
        <f t="shared" si="8"/>
        <v>89</v>
      </c>
      <c r="I93" s="11">
        <f t="shared" si="9"/>
        <v>96759841</v>
      </c>
      <c r="J93" s="10">
        <f t="shared" si="10"/>
        <v>0.58521119645125796</v>
      </c>
      <c r="K93" s="5" t="str">
        <f t="shared" si="11"/>
        <v>A</v>
      </c>
      <c r="L93" s="8">
        <f>'3. Demand Forecast'!H264</f>
        <v>0.31</v>
      </c>
      <c r="M93" s="5" t="str">
        <f t="shared" si="12"/>
        <v>Y</v>
      </c>
      <c r="N93" s="5" t="str">
        <f t="shared" si="13"/>
        <v>AY</v>
      </c>
    </row>
    <row r="94" spans="1:14" ht="15" customHeight="1" x14ac:dyDescent="0.2">
      <c r="A94" s="3" t="str">
        <f>'1. Master Data'!A293</f>
        <v>NT10289</v>
      </c>
      <c r="B94" s="1" t="str">
        <f>'1. Master Data'!B293</f>
        <v>ArenaHeadset H623</v>
      </c>
      <c r="C94" s="3" t="str">
        <f>'1. Master Data'!C293</f>
        <v>Gaming</v>
      </c>
      <c r="D94" s="3" t="str">
        <f>'1. Master Data'!D293</f>
        <v>West DC</v>
      </c>
      <c r="E94" s="4">
        <f>'1. Master Data'!F293</f>
        <v>314</v>
      </c>
      <c r="F94" s="3">
        <f>'2. Demand History'!AA293</f>
        <v>1720</v>
      </c>
      <c r="G94" s="4">
        <f t="shared" si="7"/>
        <v>540080</v>
      </c>
      <c r="H94" s="3">
        <f t="shared" si="8"/>
        <v>90</v>
      </c>
      <c r="I94" s="11">
        <f t="shared" si="9"/>
        <v>97299921</v>
      </c>
      <c r="J94" s="10">
        <f t="shared" si="10"/>
        <v>0.58847764314766582</v>
      </c>
      <c r="K94" s="5" t="str">
        <f t="shared" si="11"/>
        <v>A</v>
      </c>
      <c r="L94" s="8">
        <f>'3. Demand Forecast'!H293</f>
        <v>0.3</v>
      </c>
      <c r="M94" s="5" t="str">
        <f t="shared" si="12"/>
        <v>Y</v>
      </c>
      <c r="N94" s="5" t="str">
        <f t="shared" si="13"/>
        <v>AY</v>
      </c>
    </row>
    <row r="95" spans="1:14" ht="15" customHeight="1" x14ac:dyDescent="0.2">
      <c r="A95" s="3" t="str">
        <f>'1. Master Data'!A194</f>
        <v>NT10190</v>
      </c>
      <c r="B95" s="1" t="str">
        <f>'1. Master Data'!B194</f>
        <v>StudioPods 663 ANC</v>
      </c>
      <c r="C95" s="3" t="str">
        <f>'1. Master Data'!C194</f>
        <v>Audio</v>
      </c>
      <c r="D95" s="3" t="str">
        <f>'1. Master Data'!D194</f>
        <v>West DC</v>
      </c>
      <c r="E95" s="4">
        <f>'1. Master Data'!F194</f>
        <v>204</v>
      </c>
      <c r="F95" s="3">
        <f>'2. Demand History'!AA194</f>
        <v>2646</v>
      </c>
      <c r="G95" s="4">
        <f t="shared" si="7"/>
        <v>539784</v>
      </c>
      <c r="H95" s="3">
        <f t="shared" si="8"/>
        <v>91</v>
      </c>
      <c r="I95" s="11">
        <f t="shared" si="9"/>
        <v>97839705</v>
      </c>
      <c r="J95" s="10">
        <f t="shared" si="10"/>
        <v>0.5917422996125854</v>
      </c>
      <c r="K95" s="5" t="str">
        <f t="shared" si="11"/>
        <v>A</v>
      </c>
      <c r="L95" s="8">
        <f>'3. Demand Forecast'!H194</f>
        <v>0.33</v>
      </c>
      <c r="M95" s="5" t="str">
        <f t="shared" si="12"/>
        <v>Y</v>
      </c>
      <c r="N95" s="5" t="str">
        <f t="shared" si="13"/>
        <v>AY</v>
      </c>
    </row>
    <row r="96" spans="1:14" ht="15" customHeight="1" x14ac:dyDescent="0.2">
      <c r="A96" s="3" t="str">
        <f>'1. Master Data'!A453</f>
        <v>NT10449</v>
      </c>
      <c r="B96" s="1" t="str">
        <f>'1. Master Data'!B453</f>
        <v>NovaTab 443 Kids</v>
      </c>
      <c r="C96" s="3" t="str">
        <f>'1. Master Data'!C453</f>
        <v>Tablets</v>
      </c>
      <c r="D96" s="3" t="str">
        <f>'1. Master Data'!D453</f>
        <v>Central DC</v>
      </c>
      <c r="E96" s="4">
        <f>'1. Master Data'!F453</f>
        <v>264</v>
      </c>
      <c r="F96" s="3">
        <f>'2. Demand History'!AA453</f>
        <v>2016</v>
      </c>
      <c r="G96" s="4">
        <f t="shared" si="7"/>
        <v>532224</v>
      </c>
      <c r="H96" s="3">
        <f t="shared" si="8"/>
        <v>92</v>
      </c>
      <c r="I96" s="11">
        <f t="shared" si="9"/>
        <v>98371929</v>
      </c>
      <c r="J96" s="10">
        <f t="shared" si="10"/>
        <v>0.59496123259760425</v>
      </c>
      <c r="K96" s="5" t="str">
        <f t="shared" si="11"/>
        <v>A</v>
      </c>
      <c r="L96" s="8">
        <f>'3. Demand Forecast'!H453</f>
        <v>0.33</v>
      </c>
      <c r="M96" s="5" t="str">
        <f t="shared" si="12"/>
        <v>Y</v>
      </c>
      <c r="N96" s="5" t="str">
        <f t="shared" si="13"/>
        <v>AY</v>
      </c>
    </row>
    <row r="97" spans="1:14" ht="15" customHeight="1" x14ac:dyDescent="0.2">
      <c r="A97" s="3" t="str">
        <f>'1. Master Data'!A409</f>
        <v>NT10405</v>
      </c>
      <c r="B97" s="1" t="str">
        <f>'1. Master Data'!B409</f>
        <v>NovaTab 280 10in</v>
      </c>
      <c r="C97" s="3" t="str">
        <f>'1. Master Data'!C409</f>
        <v>Tablets</v>
      </c>
      <c r="D97" s="3" t="str">
        <f>'1. Master Data'!D409</f>
        <v>Central DC</v>
      </c>
      <c r="E97" s="4">
        <f>'1. Master Data'!F409</f>
        <v>490</v>
      </c>
      <c r="F97" s="3">
        <f>'2. Demand History'!AA409</f>
        <v>1076</v>
      </c>
      <c r="G97" s="4">
        <f t="shared" si="7"/>
        <v>527240</v>
      </c>
      <c r="H97" s="3">
        <f t="shared" si="8"/>
        <v>93</v>
      </c>
      <c r="I97" s="11">
        <f t="shared" si="9"/>
        <v>98899169</v>
      </c>
      <c r="J97" s="10">
        <f t="shared" si="10"/>
        <v>0.59815002195513289</v>
      </c>
      <c r="K97" s="5" t="str">
        <f t="shared" si="11"/>
        <v>A</v>
      </c>
      <c r="L97" s="8">
        <f>'3. Demand Forecast'!H409</f>
        <v>0.25</v>
      </c>
      <c r="M97" s="5" t="str">
        <f t="shared" si="12"/>
        <v>X</v>
      </c>
      <c r="N97" s="5" t="str">
        <f t="shared" si="13"/>
        <v>AX</v>
      </c>
    </row>
    <row r="98" spans="1:14" ht="15" customHeight="1" x14ac:dyDescent="0.2">
      <c r="A98" s="3" t="str">
        <f>'1. Master Data'!A78</f>
        <v>NT10074</v>
      </c>
      <c r="B98" s="1" t="str">
        <f>'1. Master Data'!B78</f>
        <v>WorkMate 446 i3 14in</v>
      </c>
      <c r="C98" s="3" t="str">
        <f>'1. Master Data'!C78</f>
        <v>Laptops</v>
      </c>
      <c r="D98" s="3" t="str">
        <f>'1. Master Data'!D78</f>
        <v>Central DC</v>
      </c>
      <c r="E98" s="4">
        <f>'1. Master Data'!F78</f>
        <v>850</v>
      </c>
      <c r="F98" s="3">
        <f>'2. Demand History'!AA78</f>
        <v>618</v>
      </c>
      <c r="G98" s="4">
        <f t="shared" si="7"/>
        <v>525300</v>
      </c>
      <c r="H98" s="3">
        <f t="shared" si="8"/>
        <v>94</v>
      </c>
      <c r="I98" s="11">
        <f t="shared" si="9"/>
        <v>99424469</v>
      </c>
      <c r="J98" s="10">
        <f t="shared" si="10"/>
        <v>0.60132707803871865</v>
      </c>
      <c r="K98" s="5" t="str">
        <f t="shared" si="11"/>
        <v>A</v>
      </c>
      <c r="L98" s="8">
        <f>'3. Demand Forecast'!H78</f>
        <v>0.28999999999999998</v>
      </c>
      <c r="M98" s="5" t="str">
        <f t="shared" si="12"/>
        <v>Y</v>
      </c>
      <c r="N98" s="5" t="str">
        <f t="shared" si="13"/>
        <v>AY</v>
      </c>
    </row>
    <row r="99" spans="1:14" ht="15" customHeight="1" x14ac:dyDescent="0.2">
      <c r="A99" s="3" t="str">
        <f>'1. Master Data'!A98</f>
        <v>NT10094</v>
      </c>
      <c r="B99" s="1" t="str">
        <f>'1. Master Data'!B98</f>
        <v>ProBook 953 i7 15in</v>
      </c>
      <c r="C99" s="3" t="str">
        <f>'1. Master Data'!C98</f>
        <v>Laptops</v>
      </c>
      <c r="D99" s="3" t="str">
        <f>'1. Master Data'!D98</f>
        <v>Central DC</v>
      </c>
      <c r="E99" s="4">
        <f>'1. Master Data'!F98</f>
        <v>860</v>
      </c>
      <c r="F99" s="3">
        <f>'2. Demand History'!AA98</f>
        <v>610</v>
      </c>
      <c r="G99" s="4">
        <f t="shared" si="7"/>
        <v>524600</v>
      </c>
      <c r="H99" s="3">
        <f t="shared" si="8"/>
        <v>95</v>
      </c>
      <c r="I99" s="11">
        <f t="shared" si="9"/>
        <v>99949069</v>
      </c>
      <c r="J99" s="10">
        <f t="shared" si="10"/>
        <v>0.60449990046675806</v>
      </c>
      <c r="K99" s="5" t="str">
        <f t="shared" si="11"/>
        <v>A</v>
      </c>
      <c r="L99" s="8">
        <f>'3. Demand Forecast'!H98</f>
        <v>0.28000000000000003</v>
      </c>
      <c r="M99" s="5" t="str">
        <f t="shared" si="12"/>
        <v>Y</v>
      </c>
      <c r="N99" s="5" t="str">
        <f t="shared" si="13"/>
        <v>AY</v>
      </c>
    </row>
    <row r="100" spans="1:14" ht="15" customHeight="1" x14ac:dyDescent="0.2">
      <c r="A100" s="3" t="str">
        <f>'1. Master Data'!A74</f>
        <v>NT10070</v>
      </c>
      <c r="B100" s="1" t="str">
        <f>'1. Master Data'!B74</f>
        <v>UltraSlim 400 Ryzen 5</v>
      </c>
      <c r="C100" s="3" t="str">
        <f>'1. Master Data'!C74</f>
        <v>Laptops</v>
      </c>
      <c r="D100" s="3" t="str">
        <f>'1. Master Data'!D74</f>
        <v>Central DC</v>
      </c>
      <c r="E100" s="4">
        <f>'1. Master Data'!F74</f>
        <v>1221</v>
      </c>
      <c r="F100" s="3">
        <f>'2. Demand History'!AA74</f>
        <v>426</v>
      </c>
      <c r="G100" s="4">
        <f t="shared" si="7"/>
        <v>520146</v>
      </c>
      <c r="H100" s="3">
        <f t="shared" si="8"/>
        <v>96</v>
      </c>
      <c r="I100" s="11">
        <f t="shared" si="9"/>
        <v>100469215</v>
      </c>
      <c r="J100" s="10">
        <f t="shared" si="10"/>
        <v>0.60764578474936393</v>
      </c>
      <c r="K100" s="5" t="str">
        <f t="shared" si="11"/>
        <v>A</v>
      </c>
      <c r="L100" s="8">
        <f>'3. Demand Forecast'!H74</f>
        <v>0.27</v>
      </c>
      <c r="M100" s="5" t="str">
        <f t="shared" si="12"/>
        <v>Y</v>
      </c>
      <c r="N100" s="5" t="str">
        <f t="shared" si="13"/>
        <v>AY</v>
      </c>
    </row>
    <row r="101" spans="1:14" ht="15" customHeight="1" x14ac:dyDescent="0.2">
      <c r="A101" s="3" t="str">
        <f>'1. Master Data'!A54</f>
        <v>NT10050</v>
      </c>
      <c r="B101" s="1" t="str">
        <f>'1. Master Data'!B54</f>
        <v>Nova Lite 448 64GB</v>
      </c>
      <c r="C101" s="3" t="str">
        <f>'1. Master Data'!C54</f>
        <v>Smartphones</v>
      </c>
      <c r="D101" s="3" t="str">
        <f>'1. Master Data'!D54</f>
        <v>East DC</v>
      </c>
      <c r="E101" s="4">
        <f>'1. Master Data'!F54</f>
        <v>261</v>
      </c>
      <c r="F101" s="3">
        <f>'2. Demand History'!AA54</f>
        <v>1978</v>
      </c>
      <c r="G101" s="4">
        <f t="shared" si="7"/>
        <v>516258</v>
      </c>
      <c r="H101" s="3">
        <f t="shared" si="8"/>
        <v>97</v>
      </c>
      <c r="I101" s="11">
        <f t="shared" si="9"/>
        <v>100985473</v>
      </c>
      <c r="J101" s="10">
        <f t="shared" si="10"/>
        <v>0.61076815409944929</v>
      </c>
      <c r="K101" s="5" t="str">
        <f t="shared" si="11"/>
        <v>A</v>
      </c>
      <c r="L101" s="8">
        <f>'3. Demand Forecast'!H54</f>
        <v>0.25</v>
      </c>
      <c r="M101" s="5" t="str">
        <f t="shared" si="12"/>
        <v>X</v>
      </c>
      <c r="N101" s="5" t="str">
        <f t="shared" si="13"/>
        <v>AX</v>
      </c>
    </row>
    <row r="102" spans="1:14" ht="15" customHeight="1" x14ac:dyDescent="0.2">
      <c r="A102" s="3" t="str">
        <f>'1. Master Data'!A372</f>
        <v>NT10368</v>
      </c>
      <c r="B102" s="1" t="str">
        <f>'1. Master Data'!B372</f>
        <v>OptiZoom 113 DSLR</v>
      </c>
      <c r="C102" s="3" t="str">
        <f>'1. Master Data'!C372</f>
        <v>Cameras</v>
      </c>
      <c r="D102" s="3" t="str">
        <f>'1. Master Data'!D372</f>
        <v>West DC</v>
      </c>
      <c r="E102" s="4">
        <f>'1. Master Data'!F372</f>
        <v>425</v>
      </c>
      <c r="F102" s="3">
        <f>'2. Demand History'!AA372</f>
        <v>1204</v>
      </c>
      <c r="G102" s="4">
        <f t="shared" si="7"/>
        <v>511700</v>
      </c>
      <c r="H102" s="3">
        <f t="shared" si="8"/>
        <v>98</v>
      </c>
      <c r="I102" s="11">
        <f t="shared" si="9"/>
        <v>101497173</v>
      </c>
      <c r="J102" s="10">
        <f t="shared" si="10"/>
        <v>0.61386295630384835</v>
      </c>
      <c r="K102" s="5" t="str">
        <f t="shared" si="11"/>
        <v>A</v>
      </c>
      <c r="L102" s="8">
        <f>'3. Demand Forecast'!H372</f>
        <v>0.23</v>
      </c>
      <c r="M102" s="5" t="str">
        <f t="shared" si="12"/>
        <v>X</v>
      </c>
      <c r="N102" s="5" t="str">
        <f t="shared" si="13"/>
        <v>AX</v>
      </c>
    </row>
    <row r="103" spans="1:14" ht="15" customHeight="1" x14ac:dyDescent="0.2">
      <c r="A103" s="3" t="str">
        <f>'1. Master Data'!A79</f>
        <v>NT10075</v>
      </c>
      <c r="B103" s="1" t="str">
        <f>'1. Master Data'!B79</f>
        <v>UltraSlim 118 Ryzen 5</v>
      </c>
      <c r="C103" s="3" t="str">
        <f>'1. Master Data'!C79</f>
        <v>Laptops</v>
      </c>
      <c r="D103" s="3" t="str">
        <f>'1. Master Data'!D79</f>
        <v>East DC</v>
      </c>
      <c r="E103" s="4">
        <f>'1. Master Data'!F79</f>
        <v>1454</v>
      </c>
      <c r="F103" s="3">
        <f>'2. Demand History'!AA79</f>
        <v>350</v>
      </c>
      <c r="G103" s="4">
        <f t="shared" si="7"/>
        <v>508900</v>
      </c>
      <c r="H103" s="3">
        <f t="shared" si="8"/>
        <v>99</v>
      </c>
      <c r="I103" s="11">
        <f t="shared" si="9"/>
        <v>102006073</v>
      </c>
      <c r="J103" s="10">
        <f t="shared" si="10"/>
        <v>0.61694082388606197</v>
      </c>
      <c r="K103" s="5" t="str">
        <f t="shared" si="11"/>
        <v>A</v>
      </c>
      <c r="L103" s="8">
        <f>'3. Demand Forecast'!H79</f>
        <v>0.36</v>
      </c>
      <c r="M103" s="5" t="str">
        <f t="shared" si="12"/>
        <v>Y</v>
      </c>
      <c r="N103" s="5" t="str">
        <f t="shared" si="13"/>
        <v>AY</v>
      </c>
    </row>
    <row r="104" spans="1:14" ht="15" customHeight="1" x14ac:dyDescent="0.2">
      <c r="A104" s="3" t="str">
        <f>'1. Master Data'!A10</f>
        <v>NT10006</v>
      </c>
      <c r="B104" s="1" t="str">
        <f>'1. Master Data'!B10</f>
        <v>Edge 244 5G 128GB</v>
      </c>
      <c r="C104" s="3" t="str">
        <f>'1. Master Data'!C10</f>
        <v>Smartphones</v>
      </c>
      <c r="D104" s="3" t="str">
        <f>'1. Master Data'!D10</f>
        <v>Central DC</v>
      </c>
      <c r="E104" s="4">
        <f>'1. Master Data'!F10</f>
        <v>627</v>
      </c>
      <c r="F104" s="3">
        <f>'2. Demand History'!AA10</f>
        <v>794</v>
      </c>
      <c r="G104" s="4">
        <f t="shared" si="7"/>
        <v>497838</v>
      </c>
      <c r="H104" s="3">
        <f t="shared" si="8"/>
        <v>100</v>
      </c>
      <c r="I104" s="11">
        <f t="shared" si="9"/>
        <v>102503911</v>
      </c>
      <c r="J104" s="10">
        <f t="shared" si="10"/>
        <v>0.61995178761448422</v>
      </c>
      <c r="K104" s="5" t="str">
        <f t="shared" si="11"/>
        <v>A</v>
      </c>
      <c r="L104" s="8">
        <f>'3. Demand Forecast'!H10</f>
        <v>0.28999999999999998</v>
      </c>
      <c r="M104" s="5" t="str">
        <f t="shared" si="12"/>
        <v>Y</v>
      </c>
      <c r="N104" s="5" t="str">
        <f t="shared" si="13"/>
        <v>AY</v>
      </c>
    </row>
    <row r="105" spans="1:14" ht="15" customHeight="1" x14ac:dyDescent="0.2">
      <c r="A105" s="3" t="str">
        <f>'1. Master Data'!A492</f>
        <v>NT10488</v>
      </c>
      <c r="B105" s="1" t="str">
        <f>'1. Master Data'!B492</f>
        <v>Phone Case Clear V482</v>
      </c>
      <c r="C105" s="3" t="str">
        <f>'1. Master Data'!C492</f>
        <v>Accessories</v>
      </c>
      <c r="D105" s="3" t="str">
        <f>'1. Master Data'!D492</f>
        <v>West DC</v>
      </c>
      <c r="E105" s="4">
        <f>'1. Master Data'!F492</f>
        <v>27</v>
      </c>
      <c r="F105" s="3">
        <f>'2. Demand History'!AA492</f>
        <v>18335</v>
      </c>
      <c r="G105" s="4">
        <f t="shared" si="7"/>
        <v>495045</v>
      </c>
      <c r="H105" s="3">
        <f t="shared" si="8"/>
        <v>101</v>
      </c>
      <c r="I105" s="11">
        <f t="shared" si="9"/>
        <v>102998956</v>
      </c>
      <c r="J105" s="10">
        <f t="shared" si="10"/>
        <v>0.6229458590572764</v>
      </c>
      <c r="K105" s="5" t="str">
        <f t="shared" si="11"/>
        <v>A</v>
      </c>
      <c r="L105" s="8">
        <f>'3. Demand Forecast'!H492</f>
        <v>0.05</v>
      </c>
      <c r="M105" s="5" t="str">
        <f t="shared" si="12"/>
        <v>X</v>
      </c>
      <c r="N105" s="5" t="str">
        <f t="shared" si="13"/>
        <v>AX</v>
      </c>
    </row>
    <row r="106" spans="1:14" ht="15" customHeight="1" x14ac:dyDescent="0.2">
      <c r="A106" s="3" t="str">
        <f>'1. Master Data'!A385</f>
        <v>NT10381</v>
      </c>
      <c r="B106" s="1" t="str">
        <f>'1. Master Data'!B385</f>
        <v>ActionCam 391 4K</v>
      </c>
      <c r="C106" s="3" t="str">
        <f>'1. Master Data'!C385</f>
        <v>Cameras</v>
      </c>
      <c r="D106" s="3" t="str">
        <f>'1. Master Data'!D385</f>
        <v>Central DC</v>
      </c>
      <c r="E106" s="4">
        <f>'1. Master Data'!F385</f>
        <v>400</v>
      </c>
      <c r="F106" s="3">
        <f>'2. Demand History'!AA385</f>
        <v>1230</v>
      </c>
      <c r="G106" s="4">
        <f t="shared" si="7"/>
        <v>492000</v>
      </c>
      <c r="H106" s="3">
        <f t="shared" si="8"/>
        <v>102</v>
      </c>
      <c r="I106" s="11">
        <f t="shared" si="9"/>
        <v>103490956</v>
      </c>
      <c r="J106" s="10">
        <f t="shared" si="10"/>
        <v>0.62592151409844188</v>
      </c>
      <c r="K106" s="5" t="str">
        <f t="shared" si="11"/>
        <v>A</v>
      </c>
      <c r="L106" s="8">
        <f>'3. Demand Forecast'!H385</f>
        <v>0.23</v>
      </c>
      <c r="M106" s="5" t="str">
        <f t="shared" si="12"/>
        <v>X</v>
      </c>
      <c r="N106" s="5" t="str">
        <f t="shared" si="13"/>
        <v>AX</v>
      </c>
    </row>
    <row r="107" spans="1:14" ht="15" customHeight="1" x14ac:dyDescent="0.2">
      <c r="A107" s="3" t="str">
        <f>'1. Master Data'!A23</f>
        <v>NT10019</v>
      </c>
      <c r="B107" s="1" t="str">
        <f>'1. Master Data'!B23</f>
        <v>Nova Lite 258 64GB</v>
      </c>
      <c r="C107" s="3" t="str">
        <f>'1. Master Data'!C23</f>
        <v>Smartphones</v>
      </c>
      <c r="D107" s="3" t="str">
        <f>'1. Master Data'!D23</f>
        <v>West DC</v>
      </c>
      <c r="E107" s="4">
        <f>'1. Master Data'!F23</f>
        <v>847</v>
      </c>
      <c r="F107" s="3">
        <f>'2. Demand History'!AA23</f>
        <v>577</v>
      </c>
      <c r="G107" s="4">
        <f t="shared" si="7"/>
        <v>488719</v>
      </c>
      <c r="H107" s="3">
        <f t="shared" si="8"/>
        <v>103</v>
      </c>
      <c r="I107" s="11">
        <f t="shared" si="9"/>
        <v>103979675</v>
      </c>
      <c r="J107" s="10">
        <f t="shared" si="10"/>
        <v>0.62887732539125363</v>
      </c>
      <c r="K107" s="5" t="str">
        <f t="shared" si="11"/>
        <v>A</v>
      </c>
      <c r="L107" s="8">
        <f>'3. Demand Forecast'!H23</f>
        <v>0.34</v>
      </c>
      <c r="M107" s="5" t="str">
        <f t="shared" si="12"/>
        <v>Y</v>
      </c>
      <c r="N107" s="5" t="str">
        <f t="shared" si="13"/>
        <v>AY</v>
      </c>
    </row>
    <row r="108" spans="1:14" ht="15" customHeight="1" x14ac:dyDescent="0.2">
      <c r="A108" s="3" t="str">
        <f>'1. Master Data'!A8</f>
        <v>NT10004</v>
      </c>
      <c r="B108" s="1" t="str">
        <f>'1. Master Data'!B8</f>
        <v>Nova Lite 315 64GB</v>
      </c>
      <c r="C108" s="3" t="str">
        <f>'1. Master Data'!C8</f>
        <v>Smartphones</v>
      </c>
      <c r="D108" s="3" t="str">
        <f>'1. Master Data'!D8</f>
        <v>West DC</v>
      </c>
      <c r="E108" s="4">
        <f>'1. Master Data'!F8</f>
        <v>606</v>
      </c>
      <c r="F108" s="3">
        <f>'2. Demand History'!AA8</f>
        <v>804</v>
      </c>
      <c r="G108" s="4">
        <f t="shared" si="7"/>
        <v>487224</v>
      </c>
      <c r="H108" s="3">
        <f t="shared" si="8"/>
        <v>104</v>
      </c>
      <c r="I108" s="11">
        <f t="shared" si="9"/>
        <v>104466899</v>
      </c>
      <c r="J108" s="10">
        <f t="shared" si="10"/>
        <v>0.63182409480543411</v>
      </c>
      <c r="K108" s="5" t="str">
        <f t="shared" si="11"/>
        <v>A</v>
      </c>
      <c r="L108" s="8">
        <f>'3. Demand Forecast'!H8</f>
        <v>0.37</v>
      </c>
      <c r="M108" s="5" t="str">
        <f t="shared" si="12"/>
        <v>Y</v>
      </c>
      <c r="N108" s="5" t="str">
        <f t="shared" si="13"/>
        <v>AY</v>
      </c>
    </row>
    <row r="109" spans="1:14" ht="15" customHeight="1" x14ac:dyDescent="0.2">
      <c r="A109" s="3" t="str">
        <f>'1. Master Data'!A427</f>
        <v>NT10423</v>
      </c>
      <c r="B109" s="1" t="str">
        <f>'1. Master Data'!B427</f>
        <v>NovaTab 987 Kids</v>
      </c>
      <c r="C109" s="3" t="str">
        <f>'1. Master Data'!C427</f>
        <v>Tablets</v>
      </c>
      <c r="D109" s="3" t="str">
        <f>'1. Master Data'!D427</f>
        <v>West DC</v>
      </c>
      <c r="E109" s="4">
        <f>'1. Master Data'!F427</f>
        <v>228</v>
      </c>
      <c r="F109" s="3">
        <f>'2. Demand History'!AA427</f>
        <v>2075</v>
      </c>
      <c r="G109" s="4">
        <f t="shared" si="7"/>
        <v>473100</v>
      </c>
      <c r="H109" s="3">
        <f t="shared" si="8"/>
        <v>105</v>
      </c>
      <c r="I109" s="11">
        <f t="shared" si="9"/>
        <v>104939999</v>
      </c>
      <c r="J109" s="10">
        <f t="shared" si="10"/>
        <v>0.63468544114684744</v>
      </c>
      <c r="K109" s="5" t="str">
        <f t="shared" si="11"/>
        <v>A</v>
      </c>
      <c r="L109" s="8">
        <f>'3. Demand Forecast'!H427</f>
        <v>0.31</v>
      </c>
      <c r="M109" s="5" t="str">
        <f t="shared" si="12"/>
        <v>Y</v>
      </c>
      <c r="N109" s="5" t="str">
        <f t="shared" si="13"/>
        <v>AY</v>
      </c>
    </row>
    <row r="110" spans="1:14" ht="15" customHeight="1" x14ac:dyDescent="0.2">
      <c r="A110" s="3" t="str">
        <f>'1. Master Data'!A44</f>
        <v>NT10040</v>
      </c>
      <c r="B110" s="1" t="str">
        <f>'1. Master Data'!B44</f>
        <v>Nova Lite 898 64GB</v>
      </c>
      <c r="C110" s="3" t="str">
        <f>'1. Master Data'!C44</f>
        <v>Smartphones</v>
      </c>
      <c r="D110" s="3" t="str">
        <f>'1. Master Data'!D44</f>
        <v>Central DC</v>
      </c>
      <c r="E110" s="4">
        <f>'1. Master Data'!F44</f>
        <v>890</v>
      </c>
      <c r="F110" s="3">
        <f>'2. Demand History'!AA44</f>
        <v>531</v>
      </c>
      <c r="G110" s="4">
        <f t="shared" si="7"/>
        <v>472590</v>
      </c>
      <c r="H110" s="3">
        <f t="shared" si="8"/>
        <v>106</v>
      </c>
      <c r="I110" s="11">
        <f t="shared" si="9"/>
        <v>105412589</v>
      </c>
      <c r="J110" s="10">
        <f t="shared" si="10"/>
        <v>0.63754370296779128</v>
      </c>
      <c r="K110" s="5" t="str">
        <f t="shared" si="11"/>
        <v>A</v>
      </c>
      <c r="L110" s="8">
        <f>'3. Demand Forecast'!H44</f>
        <v>0.76</v>
      </c>
      <c r="M110" s="5" t="str">
        <f t="shared" si="12"/>
        <v>Z</v>
      </c>
      <c r="N110" s="5" t="str">
        <f t="shared" si="13"/>
        <v>AZ</v>
      </c>
    </row>
    <row r="111" spans="1:14" ht="15" customHeight="1" x14ac:dyDescent="0.2">
      <c r="A111" s="3" t="str">
        <f>'1. Master Data'!A43</f>
        <v>NT10039</v>
      </c>
      <c r="B111" s="1" t="str">
        <f>'1. Master Data'!B43</f>
        <v>Nova X158 128GB</v>
      </c>
      <c r="C111" s="3" t="str">
        <f>'1. Master Data'!C43</f>
        <v>Smartphones</v>
      </c>
      <c r="D111" s="3" t="str">
        <f>'1. Master Data'!D43</f>
        <v>Central DC</v>
      </c>
      <c r="E111" s="4">
        <f>'1. Master Data'!F43</f>
        <v>273</v>
      </c>
      <c r="F111" s="3">
        <f>'2. Demand History'!AA43</f>
        <v>1715</v>
      </c>
      <c r="G111" s="4">
        <f t="shared" si="7"/>
        <v>468195</v>
      </c>
      <c r="H111" s="3">
        <f t="shared" si="8"/>
        <v>107</v>
      </c>
      <c r="I111" s="11">
        <f t="shared" si="9"/>
        <v>105880784</v>
      </c>
      <c r="J111" s="10">
        <f t="shared" si="10"/>
        <v>0.64037538347998335</v>
      </c>
      <c r="K111" s="5" t="str">
        <f t="shared" si="11"/>
        <v>A</v>
      </c>
      <c r="L111" s="8">
        <f>'3. Demand Forecast'!H43</f>
        <v>0.31</v>
      </c>
      <c r="M111" s="5" t="str">
        <f t="shared" si="12"/>
        <v>Y</v>
      </c>
      <c r="N111" s="5" t="str">
        <f t="shared" si="13"/>
        <v>AY</v>
      </c>
    </row>
    <row r="112" spans="1:14" ht="15" customHeight="1" x14ac:dyDescent="0.2">
      <c r="A112" s="3" t="str">
        <f>'1. Master Data'!A122</f>
        <v>NT10118</v>
      </c>
      <c r="B112" s="1" t="str">
        <f>'1. Master Data'!B122</f>
        <v>VisionOLED 132in 4K</v>
      </c>
      <c r="C112" s="3" t="str">
        <f>'1. Master Data'!C122</f>
        <v>TVs</v>
      </c>
      <c r="D112" s="3" t="str">
        <f>'1. Master Data'!D122</f>
        <v>West DC</v>
      </c>
      <c r="E112" s="4">
        <f>'1. Master Data'!F122</f>
        <v>1090</v>
      </c>
      <c r="F112" s="3">
        <f>'2. Demand History'!AA122</f>
        <v>427</v>
      </c>
      <c r="G112" s="4">
        <f t="shared" si="7"/>
        <v>465430</v>
      </c>
      <c r="H112" s="3">
        <f t="shared" si="8"/>
        <v>108</v>
      </c>
      <c r="I112" s="11">
        <f t="shared" si="9"/>
        <v>106346214</v>
      </c>
      <c r="J112" s="10">
        <f t="shared" si="10"/>
        <v>0.64319034105276718</v>
      </c>
      <c r="K112" s="5" t="str">
        <f t="shared" si="11"/>
        <v>A</v>
      </c>
      <c r="L112" s="8">
        <f>'3. Demand Forecast'!H122</f>
        <v>0.3</v>
      </c>
      <c r="M112" s="5" t="str">
        <f t="shared" si="12"/>
        <v>Y</v>
      </c>
      <c r="N112" s="5" t="str">
        <f t="shared" si="13"/>
        <v>AY</v>
      </c>
    </row>
    <row r="113" spans="1:14" ht="15" customHeight="1" x14ac:dyDescent="0.2">
      <c r="A113" s="3" t="str">
        <f>'1. Master Data'!A414</f>
        <v>NT10410</v>
      </c>
      <c r="B113" s="1" t="str">
        <f>'1. Master Data'!B414</f>
        <v>DrawPad 324 12in</v>
      </c>
      <c r="C113" s="3" t="str">
        <f>'1. Master Data'!C414</f>
        <v>Tablets</v>
      </c>
      <c r="D113" s="3" t="str">
        <f>'1. Master Data'!D414</f>
        <v>Central DC</v>
      </c>
      <c r="E113" s="4">
        <f>'1. Master Data'!F414</f>
        <v>436</v>
      </c>
      <c r="F113" s="3">
        <f>'2. Demand History'!AA414</f>
        <v>1067</v>
      </c>
      <c r="G113" s="4">
        <f t="shared" si="7"/>
        <v>465212</v>
      </c>
      <c r="H113" s="3">
        <f t="shared" si="8"/>
        <v>109</v>
      </c>
      <c r="I113" s="11">
        <f t="shared" si="9"/>
        <v>106811426</v>
      </c>
      <c r="J113" s="10">
        <f t="shared" si="10"/>
        <v>0.64600398014425231</v>
      </c>
      <c r="K113" s="5" t="str">
        <f t="shared" si="11"/>
        <v>A</v>
      </c>
      <c r="L113" s="8">
        <f>'3. Demand Forecast'!H414</f>
        <v>0.34</v>
      </c>
      <c r="M113" s="5" t="str">
        <f t="shared" si="12"/>
        <v>Y</v>
      </c>
      <c r="N113" s="5" t="str">
        <f t="shared" si="13"/>
        <v>AY</v>
      </c>
    </row>
    <row r="114" spans="1:14" ht="15" customHeight="1" x14ac:dyDescent="0.2">
      <c r="A114" s="3" t="str">
        <f>'1. Master Data'!A319</f>
        <v>NT10315</v>
      </c>
      <c r="B114" s="1" t="str">
        <f>'1. Master Data'!B319</f>
        <v>DoorSense 727</v>
      </c>
      <c r="C114" s="3" t="str">
        <f>'1. Master Data'!C319</f>
        <v>Smart Home</v>
      </c>
      <c r="D114" s="3" t="str">
        <f>'1. Master Data'!D319</f>
        <v>Central DC</v>
      </c>
      <c r="E114" s="4">
        <f>'1. Master Data'!F319</f>
        <v>87</v>
      </c>
      <c r="F114" s="3">
        <f>'2. Demand History'!AA319</f>
        <v>5344</v>
      </c>
      <c r="G114" s="4">
        <f t="shared" si="7"/>
        <v>464928</v>
      </c>
      <c r="H114" s="3">
        <f t="shared" si="8"/>
        <v>110</v>
      </c>
      <c r="I114" s="11">
        <f t="shared" si="9"/>
        <v>107276354</v>
      </c>
      <c r="J114" s="10">
        <f t="shared" si="10"/>
        <v>0.64881590158120139</v>
      </c>
      <c r="K114" s="5" t="str">
        <f t="shared" si="11"/>
        <v>A</v>
      </c>
      <c r="L114" s="8">
        <f>'3. Demand Forecast'!H319</f>
        <v>0.03</v>
      </c>
      <c r="M114" s="5" t="str">
        <f t="shared" si="12"/>
        <v>X</v>
      </c>
      <c r="N114" s="5" t="str">
        <f t="shared" si="13"/>
        <v>AX</v>
      </c>
    </row>
    <row r="115" spans="1:14" ht="15" customHeight="1" x14ac:dyDescent="0.2">
      <c r="A115" s="3" t="str">
        <f>'1. Master Data'!A171</f>
        <v>NT10167</v>
      </c>
      <c r="B115" s="1" t="str">
        <f>'1. Master Data'!B171</f>
        <v>WaveBar 750 Soundbar</v>
      </c>
      <c r="C115" s="3" t="str">
        <f>'1. Master Data'!C171</f>
        <v>Audio</v>
      </c>
      <c r="D115" s="3" t="str">
        <f>'1. Master Data'!D171</f>
        <v>East DC</v>
      </c>
      <c r="E115" s="4">
        <f>'1. Master Data'!F171</f>
        <v>88</v>
      </c>
      <c r="F115" s="3">
        <f>'2. Demand History'!AA171</f>
        <v>5267</v>
      </c>
      <c r="G115" s="4">
        <f t="shared" si="7"/>
        <v>463496</v>
      </c>
      <c r="H115" s="3">
        <f t="shared" si="8"/>
        <v>111</v>
      </c>
      <c r="I115" s="11">
        <f t="shared" si="9"/>
        <v>107739850</v>
      </c>
      <c r="J115" s="10">
        <f t="shared" si="10"/>
        <v>0.65161916216851856</v>
      </c>
      <c r="K115" s="5" t="str">
        <f t="shared" si="11"/>
        <v>A</v>
      </c>
      <c r="L115" s="8">
        <f>'3. Demand Forecast'!H171</f>
        <v>0.27</v>
      </c>
      <c r="M115" s="5" t="str">
        <f t="shared" si="12"/>
        <v>Y</v>
      </c>
      <c r="N115" s="5" t="str">
        <f t="shared" si="13"/>
        <v>AY</v>
      </c>
    </row>
    <row r="116" spans="1:14" ht="15" customHeight="1" x14ac:dyDescent="0.2">
      <c r="A116" s="3" t="str">
        <f>'1. Master Data'!A215</f>
        <v>NT10211</v>
      </c>
      <c r="B116" s="1" t="str">
        <f>'1. Master Data'!B215</f>
        <v>PulseRing 157</v>
      </c>
      <c r="C116" s="3" t="str">
        <f>'1. Master Data'!C215</f>
        <v>Wearables</v>
      </c>
      <c r="D116" s="3" t="str">
        <f>'1. Master Data'!D215</f>
        <v>West DC</v>
      </c>
      <c r="E116" s="4">
        <f>'1. Master Data'!F215</f>
        <v>83</v>
      </c>
      <c r="F116" s="3">
        <f>'2. Demand History'!AA215</f>
        <v>5578</v>
      </c>
      <c r="G116" s="4">
        <f t="shared" si="7"/>
        <v>462974</v>
      </c>
      <c r="H116" s="3">
        <f t="shared" si="8"/>
        <v>112</v>
      </c>
      <c r="I116" s="11">
        <f t="shared" si="9"/>
        <v>108202824</v>
      </c>
      <c r="J116" s="10">
        <f t="shared" si="10"/>
        <v>0.65441926565841391</v>
      </c>
      <c r="K116" s="5" t="str">
        <f t="shared" si="11"/>
        <v>A</v>
      </c>
      <c r="L116" s="8">
        <f>'3. Demand Forecast'!H215</f>
        <v>0.34</v>
      </c>
      <c r="M116" s="5" t="str">
        <f t="shared" si="12"/>
        <v>Y</v>
      </c>
      <c r="N116" s="5" t="str">
        <f t="shared" si="13"/>
        <v>AY</v>
      </c>
    </row>
    <row r="117" spans="1:14" ht="15" customHeight="1" x14ac:dyDescent="0.2">
      <c r="A117" s="3" t="str">
        <f>'1. Master Data'!A133</f>
        <v>NT10129</v>
      </c>
      <c r="B117" s="1" t="str">
        <f>'1. Master Data'!B133</f>
        <v>VisionLED 554in 4K</v>
      </c>
      <c r="C117" s="3" t="str">
        <f>'1. Master Data'!C133</f>
        <v>TVs</v>
      </c>
      <c r="D117" s="3" t="str">
        <f>'1. Master Data'!D133</f>
        <v>East DC</v>
      </c>
      <c r="E117" s="4">
        <f>'1. Master Data'!F133</f>
        <v>765</v>
      </c>
      <c r="F117" s="3">
        <f>'2. Demand History'!AA133</f>
        <v>598</v>
      </c>
      <c r="G117" s="4">
        <f t="shared" si="7"/>
        <v>457470</v>
      </c>
      <c r="H117" s="3">
        <f t="shared" si="8"/>
        <v>113</v>
      </c>
      <c r="I117" s="11">
        <f t="shared" si="9"/>
        <v>108660294</v>
      </c>
      <c r="J117" s="10">
        <f t="shared" si="10"/>
        <v>0.65718608051955618</v>
      </c>
      <c r="K117" s="5" t="str">
        <f t="shared" si="11"/>
        <v>A</v>
      </c>
      <c r="L117" s="8">
        <f>'3. Demand Forecast'!H133</f>
        <v>0.28000000000000003</v>
      </c>
      <c r="M117" s="5" t="str">
        <f t="shared" si="12"/>
        <v>Y</v>
      </c>
      <c r="N117" s="5" t="str">
        <f t="shared" si="13"/>
        <v>AY</v>
      </c>
    </row>
    <row r="118" spans="1:14" ht="15" customHeight="1" x14ac:dyDescent="0.2">
      <c r="A118" s="3" t="str">
        <f>'1. Master Data'!A260</f>
        <v>NT10256</v>
      </c>
      <c r="B118" s="1" t="str">
        <f>'1. Master Data'!B260</f>
        <v>RGB Keyboard K272</v>
      </c>
      <c r="C118" s="3" t="str">
        <f>'1. Master Data'!C260</f>
        <v>Gaming</v>
      </c>
      <c r="D118" s="3" t="str">
        <f>'1. Master Data'!D260</f>
        <v>West DC</v>
      </c>
      <c r="E118" s="4">
        <f>'1. Master Data'!F260</f>
        <v>241</v>
      </c>
      <c r="F118" s="3">
        <f>'2. Demand History'!AA260</f>
        <v>1860</v>
      </c>
      <c r="G118" s="4">
        <f t="shared" si="7"/>
        <v>448260</v>
      </c>
      <c r="H118" s="3">
        <f t="shared" si="8"/>
        <v>114</v>
      </c>
      <c r="I118" s="11">
        <f t="shared" si="9"/>
        <v>109108554</v>
      </c>
      <c r="J118" s="10">
        <f t="shared" si="10"/>
        <v>0.65989719256986679</v>
      </c>
      <c r="K118" s="5" t="str">
        <f t="shared" si="11"/>
        <v>A</v>
      </c>
      <c r="L118" s="8">
        <f>'3. Demand Forecast'!H260</f>
        <v>0.24</v>
      </c>
      <c r="M118" s="5" t="str">
        <f t="shared" si="12"/>
        <v>X</v>
      </c>
      <c r="N118" s="5" t="str">
        <f t="shared" si="13"/>
        <v>AX</v>
      </c>
    </row>
    <row r="119" spans="1:14" ht="15" customHeight="1" x14ac:dyDescent="0.2">
      <c r="A119" s="3" t="str">
        <f>'1. Master Data'!A235</f>
        <v>NT10231</v>
      </c>
      <c r="B119" s="1" t="str">
        <f>'1. Master Data'!B235</f>
        <v>NovaWatch 715 GPS</v>
      </c>
      <c r="C119" s="3" t="str">
        <f>'1. Master Data'!C235</f>
        <v>Wearables</v>
      </c>
      <c r="D119" s="3" t="str">
        <f>'1. Master Data'!D235</f>
        <v>West DC</v>
      </c>
      <c r="E119" s="4">
        <f>'1. Master Data'!F235</f>
        <v>155</v>
      </c>
      <c r="F119" s="3">
        <f>'2. Demand History'!AA235</f>
        <v>2884</v>
      </c>
      <c r="G119" s="4">
        <f t="shared" si="7"/>
        <v>447020</v>
      </c>
      <c r="H119" s="3">
        <f t="shared" si="8"/>
        <v>115</v>
      </c>
      <c r="I119" s="11">
        <f t="shared" si="9"/>
        <v>109555574</v>
      </c>
      <c r="J119" s="10">
        <f t="shared" si="10"/>
        <v>0.66260080500178098</v>
      </c>
      <c r="K119" s="5" t="str">
        <f t="shared" si="11"/>
        <v>A</v>
      </c>
      <c r="L119" s="8">
        <f>'3. Demand Forecast'!H235</f>
        <v>0.26</v>
      </c>
      <c r="M119" s="5" t="str">
        <f t="shared" si="12"/>
        <v>Y</v>
      </c>
      <c r="N119" s="5" t="str">
        <f t="shared" si="13"/>
        <v>AY</v>
      </c>
    </row>
    <row r="120" spans="1:14" ht="15" customHeight="1" x14ac:dyDescent="0.2">
      <c r="A120" s="3" t="str">
        <f>'1. Master Data'!A349</f>
        <v>NT10345</v>
      </c>
      <c r="B120" s="1" t="str">
        <f>'1. Master Data'!B349</f>
        <v>SmartPlug Duo 565</v>
      </c>
      <c r="C120" s="3" t="str">
        <f>'1. Master Data'!C349</f>
        <v>Smart Home</v>
      </c>
      <c r="D120" s="3" t="str">
        <f>'1. Master Data'!D349</f>
        <v>Central DC</v>
      </c>
      <c r="E120" s="4">
        <f>'1. Master Data'!F349</f>
        <v>108</v>
      </c>
      <c r="F120" s="3">
        <f>'2. Demand History'!AA349</f>
        <v>4136</v>
      </c>
      <c r="G120" s="4">
        <f t="shared" si="7"/>
        <v>446688</v>
      </c>
      <c r="H120" s="3">
        <f t="shared" si="8"/>
        <v>116</v>
      </c>
      <c r="I120" s="11">
        <f t="shared" si="9"/>
        <v>110002262</v>
      </c>
      <c r="J120" s="10">
        <f t="shared" si="10"/>
        <v>0.66530240947135033</v>
      </c>
      <c r="K120" s="5" t="str">
        <f t="shared" si="11"/>
        <v>A</v>
      </c>
      <c r="L120" s="8">
        <f>'3. Demand Forecast'!H349</f>
        <v>0.06</v>
      </c>
      <c r="M120" s="5" t="str">
        <f t="shared" si="12"/>
        <v>X</v>
      </c>
      <c r="N120" s="5" t="str">
        <f t="shared" si="13"/>
        <v>AX</v>
      </c>
    </row>
    <row r="121" spans="1:14" ht="15" customHeight="1" x14ac:dyDescent="0.2">
      <c r="A121" s="3" t="str">
        <f>'1. Master Data'!A470</f>
        <v>NT10466</v>
      </c>
      <c r="B121" s="1" t="str">
        <f>'1. Master Data'!B470</f>
        <v>USB C Cable 2m V607</v>
      </c>
      <c r="C121" s="3" t="str">
        <f>'1. Master Data'!C470</f>
        <v>Accessories</v>
      </c>
      <c r="D121" s="3" t="str">
        <f>'1. Master Data'!D470</f>
        <v>East DC</v>
      </c>
      <c r="E121" s="4">
        <f>'1. Master Data'!F470</f>
        <v>39</v>
      </c>
      <c r="F121" s="3">
        <f>'2. Demand History'!AA470</f>
        <v>11434</v>
      </c>
      <c r="G121" s="4">
        <f t="shared" si="7"/>
        <v>445926</v>
      </c>
      <c r="H121" s="3">
        <f t="shared" si="8"/>
        <v>117</v>
      </c>
      <c r="I121" s="11">
        <f t="shared" si="9"/>
        <v>110448188</v>
      </c>
      <c r="J121" s="10">
        <f t="shared" si="10"/>
        <v>0.66799940530445345</v>
      </c>
      <c r="K121" s="5" t="str">
        <f t="shared" si="11"/>
        <v>A</v>
      </c>
      <c r="L121" s="8">
        <f>'3. Demand Forecast'!H470</f>
        <v>0.88</v>
      </c>
      <c r="M121" s="5" t="str">
        <f t="shared" si="12"/>
        <v>Z</v>
      </c>
      <c r="N121" s="5" t="str">
        <f t="shared" si="13"/>
        <v>AZ</v>
      </c>
    </row>
    <row r="122" spans="1:14" ht="15" customHeight="1" x14ac:dyDescent="0.2">
      <c r="A122" s="3" t="str">
        <f>'1. Master Data'!A362</f>
        <v>NT10358</v>
      </c>
      <c r="B122" s="1" t="str">
        <f>'1. Master Data'!B362</f>
        <v>MirrorlessM 145</v>
      </c>
      <c r="C122" s="3" t="str">
        <f>'1. Master Data'!C362</f>
        <v>Cameras</v>
      </c>
      <c r="D122" s="3" t="str">
        <f>'1. Master Data'!D362</f>
        <v>Central DC</v>
      </c>
      <c r="E122" s="4">
        <f>'1. Master Data'!F362</f>
        <v>1149</v>
      </c>
      <c r="F122" s="3">
        <f>'2. Demand History'!AA362</f>
        <v>388</v>
      </c>
      <c r="G122" s="4">
        <f t="shared" si="7"/>
        <v>445812</v>
      </c>
      <c r="H122" s="3">
        <f t="shared" si="8"/>
        <v>118</v>
      </c>
      <c r="I122" s="11">
        <f t="shared" si="9"/>
        <v>110894000</v>
      </c>
      <c r="J122" s="10">
        <f t="shared" si="10"/>
        <v>0.67069571165651054</v>
      </c>
      <c r="K122" s="5" t="str">
        <f t="shared" si="11"/>
        <v>A</v>
      </c>
      <c r="L122" s="8">
        <f>'3. Demand Forecast'!H362</f>
        <v>0.31</v>
      </c>
      <c r="M122" s="5" t="str">
        <f t="shared" si="12"/>
        <v>Y</v>
      </c>
      <c r="N122" s="5" t="str">
        <f t="shared" si="13"/>
        <v>AY</v>
      </c>
    </row>
    <row r="123" spans="1:14" ht="15" customHeight="1" x14ac:dyDescent="0.2">
      <c r="A123" s="3" t="str">
        <f>'1. Master Data'!A6</f>
        <v>NT10002</v>
      </c>
      <c r="B123" s="1" t="str">
        <f>'1. Master Data'!B6</f>
        <v>Pulse 962 Dual SIM</v>
      </c>
      <c r="C123" s="3" t="str">
        <f>'1. Master Data'!C6</f>
        <v>Smartphones</v>
      </c>
      <c r="D123" s="3" t="str">
        <f>'1. Master Data'!D6</f>
        <v>East DC</v>
      </c>
      <c r="E123" s="4">
        <f>'1. Master Data'!F6</f>
        <v>701</v>
      </c>
      <c r="F123" s="3">
        <f>'2. Demand History'!AA6</f>
        <v>634</v>
      </c>
      <c r="G123" s="4">
        <f t="shared" si="7"/>
        <v>444434</v>
      </c>
      <c r="H123" s="3">
        <f t="shared" si="8"/>
        <v>119</v>
      </c>
      <c r="I123" s="11">
        <f t="shared" si="9"/>
        <v>111338434</v>
      </c>
      <c r="J123" s="10">
        <f t="shared" si="10"/>
        <v>0.67338368375522051</v>
      </c>
      <c r="K123" s="5" t="str">
        <f t="shared" si="11"/>
        <v>A</v>
      </c>
      <c r="L123" s="8">
        <f>'3. Demand Forecast'!H6</f>
        <v>0.3</v>
      </c>
      <c r="M123" s="5" t="str">
        <f t="shared" si="12"/>
        <v>Y</v>
      </c>
      <c r="N123" s="5" t="str">
        <f t="shared" si="13"/>
        <v>AY</v>
      </c>
    </row>
    <row r="124" spans="1:14" ht="15" customHeight="1" x14ac:dyDescent="0.2">
      <c r="A124" s="3" t="str">
        <f>'1. Master Data'!A112</f>
        <v>NT10108</v>
      </c>
      <c r="B124" s="1" t="str">
        <f>'1. Master Data'!B112</f>
        <v>CinemaMax 594in 8K</v>
      </c>
      <c r="C124" s="3" t="str">
        <f>'1. Master Data'!C112</f>
        <v>TVs</v>
      </c>
      <c r="D124" s="3" t="str">
        <f>'1. Master Data'!D112</f>
        <v>East DC</v>
      </c>
      <c r="E124" s="4">
        <f>'1. Master Data'!F112</f>
        <v>747</v>
      </c>
      <c r="F124" s="3">
        <f>'2. Demand History'!AA112</f>
        <v>585</v>
      </c>
      <c r="G124" s="4">
        <f t="shared" si="7"/>
        <v>436995</v>
      </c>
      <c r="H124" s="3">
        <f t="shared" si="8"/>
        <v>120</v>
      </c>
      <c r="I124" s="11">
        <f t="shared" si="9"/>
        <v>111775429</v>
      </c>
      <c r="J124" s="10">
        <f t="shared" si="10"/>
        <v>0.67602666419163127</v>
      </c>
      <c r="K124" s="5" t="str">
        <f t="shared" si="11"/>
        <v>A</v>
      </c>
      <c r="L124" s="8">
        <f>'3. Demand Forecast'!H112</f>
        <v>0.85</v>
      </c>
      <c r="M124" s="5" t="str">
        <f t="shared" si="12"/>
        <v>Z</v>
      </c>
      <c r="N124" s="5" t="str">
        <f t="shared" si="13"/>
        <v>AZ</v>
      </c>
    </row>
    <row r="125" spans="1:14" ht="15" customHeight="1" x14ac:dyDescent="0.2">
      <c r="A125" s="3" t="str">
        <f>'1. Master Data'!A201</f>
        <v>NT10197</v>
      </c>
      <c r="B125" s="1" t="str">
        <f>'1. Master Data'!B201</f>
        <v>ClipMic 231 Wireless</v>
      </c>
      <c r="C125" s="3" t="str">
        <f>'1. Master Data'!C201</f>
        <v>Audio</v>
      </c>
      <c r="D125" s="3" t="str">
        <f>'1. Master Data'!D201</f>
        <v>West DC</v>
      </c>
      <c r="E125" s="4">
        <f>'1. Master Data'!F201</f>
        <v>83</v>
      </c>
      <c r="F125" s="3">
        <f>'2. Demand History'!AA201</f>
        <v>5251</v>
      </c>
      <c r="G125" s="4">
        <f t="shared" si="7"/>
        <v>435833</v>
      </c>
      <c r="H125" s="3">
        <f t="shared" si="8"/>
        <v>121</v>
      </c>
      <c r="I125" s="11">
        <f t="shared" si="9"/>
        <v>112211262</v>
      </c>
      <c r="J125" s="10">
        <f t="shared" si="10"/>
        <v>0.67866261675983508</v>
      </c>
      <c r="K125" s="5" t="str">
        <f t="shared" si="11"/>
        <v>A</v>
      </c>
      <c r="L125" s="8">
        <f>'3. Demand Forecast'!H201</f>
        <v>0.39</v>
      </c>
      <c r="M125" s="5" t="str">
        <f t="shared" si="12"/>
        <v>Y</v>
      </c>
      <c r="N125" s="5" t="str">
        <f t="shared" si="13"/>
        <v>AY</v>
      </c>
    </row>
    <row r="126" spans="1:14" ht="15" customHeight="1" x14ac:dyDescent="0.2">
      <c r="A126" s="3" t="str">
        <f>'1. Master Data'!A282</f>
        <v>NT10278</v>
      </c>
      <c r="B126" s="1" t="str">
        <f>'1. Master Data'!B282</f>
        <v>GameStation Controller 520</v>
      </c>
      <c r="C126" s="3" t="str">
        <f>'1. Master Data'!C282</f>
        <v>Gaming</v>
      </c>
      <c r="D126" s="3" t="str">
        <f>'1. Master Data'!D282</f>
        <v>West DC</v>
      </c>
      <c r="E126" s="4">
        <f>'1. Master Data'!F282</f>
        <v>232</v>
      </c>
      <c r="F126" s="3">
        <f>'2. Demand History'!AA282</f>
        <v>1877</v>
      </c>
      <c r="G126" s="4">
        <f t="shared" si="7"/>
        <v>435464</v>
      </c>
      <c r="H126" s="3">
        <f t="shared" si="8"/>
        <v>122</v>
      </c>
      <c r="I126" s="11">
        <f t="shared" si="9"/>
        <v>112646726</v>
      </c>
      <c r="J126" s="10">
        <f t="shared" si="10"/>
        <v>0.68129633758675801</v>
      </c>
      <c r="K126" s="5" t="str">
        <f t="shared" si="11"/>
        <v>A</v>
      </c>
      <c r="L126" s="8">
        <f>'3. Demand Forecast'!H282</f>
        <v>0.35</v>
      </c>
      <c r="M126" s="5" t="str">
        <f t="shared" si="12"/>
        <v>Y</v>
      </c>
      <c r="N126" s="5" t="str">
        <f t="shared" si="13"/>
        <v>AY</v>
      </c>
    </row>
    <row r="127" spans="1:14" ht="15" customHeight="1" x14ac:dyDescent="0.2">
      <c r="A127" s="3" t="str">
        <f>'1. Master Data'!A190</f>
        <v>NT10186</v>
      </c>
      <c r="B127" s="1" t="str">
        <f>'1. Master Data'!B190</f>
        <v>StudioPods 276 ANC</v>
      </c>
      <c r="C127" s="3" t="str">
        <f>'1. Master Data'!C190</f>
        <v>Audio</v>
      </c>
      <c r="D127" s="3" t="str">
        <f>'1. Master Data'!D190</f>
        <v>East DC</v>
      </c>
      <c r="E127" s="4">
        <f>'1. Master Data'!F190</f>
        <v>179</v>
      </c>
      <c r="F127" s="3">
        <f>'2. Demand History'!AA190</f>
        <v>2420</v>
      </c>
      <c r="G127" s="4">
        <f t="shared" si="7"/>
        <v>433180</v>
      </c>
      <c r="H127" s="3">
        <f t="shared" si="8"/>
        <v>123</v>
      </c>
      <c r="I127" s="11">
        <f t="shared" si="9"/>
        <v>113079906</v>
      </c>
      <c r="J127" s="10">
        <f t="shared" si="10"/>
        <v>0.68391624460044109</v>
      </c>
      <c r="K127" s="5" t="str">
        <f t="shared" si="11"/>
        <v>A</v>
      </c>
      <c r="L127" s="8">
        <f>'3. Demand Forecast'!H190</f>
        <v>0.28999999999999998</v>
      </c>
      <c r="M127" s="5" t="str">
        <f t="shared" si="12"/>
        <v>Y</v>
      </c>
      <c r="N127" s="5" t="str">
        <f t="shared" si="13"/>
        <v>AY</v>
      </c>
    </row>
    <row r="128" spans="1:14" ht="15" customHeight="1" x14ac:dyDescent="0.2">
      <c r="A128" s="3" t="str">
        <f>'1. Master Data'!A444</f>
        <v>NT10440</v>
      </c>
      <c r="B128" s="1" t="str">
        <f>'1. Master Data'!B444</f>
        <v>DrawPad 640 12in</v>
      </c>
      <c r="C128" s="3" t="str">
        <f>'1. Master Data'!C444</f>
        <v>Tablets</v>
      </c>
      <c r="D128" s="3" t="str">
        <f>'1. Master Data'!D444</f>
        <v>Central DC</v>
      </c>
      <c r="E128" s="4">
        <f>'1. Master Data'!F444</f>
        <v>379</v>
      </c>
      <c r="F128" s="3">
        <f>'2. Demand History'!AA444</f>
        <v>1140</v>
      </c>
      <c r="G128" s="4">
        <f t="shared" si="7"/>
        <v>432060</v>
      </c>
      <c r="H128" s="3">
        <f t="shared" si="8"/>
        <v>124</v>
      </c>
      <c r="I128" s="11">
        <f t="shared" si="9"/>
        <v>113511966</v>
      </c>
      <c r="J128" s="10">
        <f t="shared" si="10"/>
        <v>0.68652937776524992</v>
      </c>
      <c r="K128" s="5" t="str">
        <f t="shared" si="11"/>
        <v>A</v>
      </c>
      <c r="L128" s="8">
        <f>'3. Demand Forecast'!H444</f>
        <v>0.28999999999999998</v>
      </c>
      <c r="M128" s="5" t="str">
        <f t="shared" si="12"/>
        <v>Y</v>
      </c>
      <c r="N128" s="5" t="str">
        <f t="shared" si="13"/>
        <v>AY</v>
      </c>
    </row>
    <row r="129" spans="1:14" ht="15" customHeight="1" x14ac:dyDescent="0.2">
      <c r="A129" s="3" t="str">
        <f>'1. Master Data'!A91</f>
        <v>NT10087</v>
      </c>
      <c r="B129" s="1" t="str">
        <f>'1. Master Data'!B91</f>
        <v>UltraSlim 766 Ryzen 5</v>
      </c>
      <c r="C129" s="3" t="str">
        <f>'1. Master Data'!C91</f>
        <v>Laptops</v>
      </c>
      <c r="D129" s="3" t="str">
        <f>'1. Master Data'!D91</f>
        <v>West DC</v>
      </c>
      <c r="E129" s="4">
        <f>'1. Master Data'!F91</f>
        <v>1504</v>
      </c>
      <c r="F129" s="3">
        <f>'2. Demand History'!AA91</f>
        <v>286</v>
      </c>
      <c r="G129" s="4">
        <f t="shared" si="7"/>
        <v>430144</v>
      </c>
      <c r="H129" s="3">
        <f t="shared" si="8"/>
        <v>125</v>
      </c>
      <c r="I129" s="11">
        <f t="shared" si="9"/>
        <v>113942110</v>
      </c>
      <c r="J129" s="10">
        <f t="shared" si="10"/>
        <v>0.68913092281002042</v>
      </c>
      <c r="K129" s="5" t="str">
        <f t="shared" si="11"/>
        <v>A</v>
      </c>
      <c r="L129" s="8">
        <f>'3. Demand Forecast'!H91</f>
        <v>0.33</v>
      </c>
      <c r="M129" s="5" t="str">
        <f t="shared" si="12"/>
        <v>Y</v>
      </c>
      <c r="N129" s="5" t="str">
        <f t="shared" si="13"/>
        <v>AY</v>
      </c>
    </row>
    <row r="130" spans="1:14" ht="15" customHeight="1" x14ac:dyDescent="0.2">
      <c r="A130" s="3" t="str">
        <f>'1. Master Data'!A322</f>
        <v>NT10318</v>
      </c>
      <c r="B130" s="1" t="str">
        <f>'1. Master Data'!B322</f>
        <v>DoorSense 390</v>
      </c>
      <c r="C130" s="3" t="str">
        <f>'1. Master Data'!C322</f>
        <v>Smart Home</v>
      </c>
      <c r="D130" s="3" t="str">
        <f>'1. Master Data'!D322</f>
        <v>West DC</v>
      </c>
      <c r="E130" s="4">
        <f>'1. Master Data'!F322</f>
        <v>51</v>
      </c>
      <c r="F130" s="3">
        <f>'2. Demand History'!AA322</f>
        <v>8333</v>
      </c>
      <c r="G130" s="4">
        <f t="shared" si="7"/>
        <v>424983</v>
      </c>
      <c r="H130" s="3">
        <f t="shared" si="8"/>
        <v>126</v>
      </c>
      <c r="I130" s="11">
        <f t="shared" si="9"/>
        <v>114367093</v>
      </c>
      <c r="J130" s="10">
        <f t="shared" si="10"/>
        <v>0.69170125371725544</v>
      </c>
      <c r="K130" s="5" t="str">
        <f t="shared" si="11"/>
        <v>A</v>
      </c>
      <c r="L130" s="8">
        <f>'3. Demand Forecast'!H322</f>
        <v>0.06</v>
      </c>
      <c r="M130" s="5" t="str">
        <f t="shared" si="12"/>
        <v>X</v>
      </c>
      <c r="N130" s="5" t="str">
        <f t="shared" si="13"/>
        <v>AX</v>
      </c>
    </row>
    <row r="131" spans="1:14" ht="15" customHeight="1" x14ac:dyDescent="0.2">
      <c r="A131" s="3" t="str">
        <f>'1. Master Data'!A83</f>
        <v>NT10079</v>
      </c>
      <c r="B131" s="1" t="str">
        <f>'1. Master Data'!B83</f>
        <v>CreatorPro 851 i9 16in</v>
      </c>
      <c r="C131" s="3" t="str">
        <f>'1. Master Data'!C83</f>
        <v>Laptops</v>
      </c>
      <c r="D131" s="3" t="str">
        <f>'1. Master Data'!D83</f>
        <v>Central DC</v>
      </c>
      <c r="E131" s="4">
        <f>'1. Master Data'!F83</f>
        <v>1098</v>
      </c>
      <c r="F131" s="3">
        <f>'2. Demand History'!AA83</f>
        <v>386</v>
      </c>
      <c r="G131" s="4">
        <f t="shared" si="7"/>
        <v>423828</v>
      </c>
      <c r="H131" s="3">
        <f t="shared" si="8"/>
        <v>127</v>
      </c>
      <c r="I131" s="11">
        <f t="shared" si="9"/>
        <v>114790921</v>
      </c>
      <c r="J131" s="10">
        <f t="shared" si="10"/>
        <v>0.69426459909283889</v>
      </c>
      <c r="K131" s="5" t="str">
        <f t="shared" si="11"/>
        <v>A</v>
      </c>
      <c r="L131" s="8">
        <f>'3. Demand Forecast'!H83</f>
        <v>0.32</v>
      </c>
      <c r="M131" s="5" t="str">
        <f t="shared" si="12"/>
        <v>Y</v>
      </c>
      <c r="N131" s="5" t="str">
        <f t="shared" si="13"/>
        <v>AY</v>
      </c>
    </row>
    <row r="132" spans="1:14" ht="15" customHeight="1" x14ac:dyDescent="0.2">
      <c r="A132" s="3" t="str">
        <f>'1. Master Data'!A31</f>
        <v>NT10027</v>
      </c>
      <c r="B132" s="1" t="str">
        <f>'1. Master Data'!B31</f>
        <v>Nova X763 128GB</v>
      </c>
      <c r="C132" s="3" t="str">
        <f>'1. Master Data'!C31</f>
        <v>Smartphones</v>
      </c>
      <c r="D132" s="3" t="str">
        <f>'1. Master Data'!D31</f>
        <v>East DC</v>
      </c>
      <c r="E132" s="4">
        <f>'1. Master Data'!F31</f>
        <v>443</v>
      </c>
      <c r="F132" s="3">
        <f>'2. Demand History'!AA31</f>
        <v>953</v>
      </c>
      <c r="G132" s="4">
        <f t="shared" si="7"/>
        <v>422179</v>
      </c>
      <c r="H132" s="3">
        <f t="shared" si="8"/>
        <v>128</v>
      </c>
      <c r="I132" s="11">
        <f t="shared" si="9"/>
        <v>115213100</v>
      </c>
      <c r="J132" s="10">
        <f t="shared" si="10"/>
        <v>0.69681797118557098</v>
      </c>
      <c r="K132" s="5" t="str">
        <f t="shared" si="11"/>
        <v>A</v>
      </c>
      <c r="L132" s="8">
        <f>'3. Demand Forecast'!H31</f>
        <v>0.33</v>
      </c>
      <c r="M132" s="5" t="str">
        <f t="shared" si="12"/>
        <v>Y</v>
      </c>
      <c r="N132" s="5" t="str">
        <f t="shared" si="13"/>
        <v>AY</v>
      </c>
    </row>
    <row r="133" spans="1:14" ht="15" customHeight="1" x14ac:dyDescent="0.2">
      <c r="A133" s="3" t="str">
        <f>'1. Master Data'!A38</f>
        <v>NT10034</v>
      </c>
      <c r="B133" s="1" t="str">
        <f>'1. Master Data'!B38</f>
        <v>Pulse 910 Dual SIM</v>
      </c>
      <c r="C133" s="3" t="str">
        <f>'1. Master Data'!C38</f>
        <v>Smartphones</v>
      </c>
      <c r="D133" s="3" t="str">
        <f>'1. Master Data'!D38</f>
        <v>West DC</v>
      </c>
      <c r="E133" s="4">
        <f>'1. Master Data'!F38</f>
        <v>885</v>
      </c>
      <c r="F133" s="3">
        <f>'2. Demand History'!AA38</f>
        <v>475</v>
      </c>
      <c r="G133" s="4">
        <f t="shared" ref="G133:G196" si="14">E133*F133</f>
        <v>420375</v>
      </c>
      <c r="H133" s="3">
        <f t="shared" ref="H133:H196" si="15">RANK(G133,G$5:G$504,0)</f>
        <v>129</v>
      </c>
      <c r="I133" s="11">
        <f t="shared" ref="I133:I196" si="16">SUMPRODUCT((H$5:H$504&lt;=H133)*G$5:G$504)</f>
        <v>115633475</v>
      </c>
      <c r="J133" s="10">
        <f t="shared" ref="J133:J196" si="17">I133/SUM(G$5:G$504)</f>
        <v>0.69936043254315217</v>
      </c>
      <c r="K133" s="5" t="str">
        <f t="shared" ref="K133:K196" si="18">IF(J133&lt;=0.8,"A",IF(J133&lt;=0.95,"B","C"))</f>
        <v>A</v>
      </c>
      <c r="L133" s="8">
        <f>'3. Demand Forecast'!H38</f>
        <v>0.92</v>
      </c>
      <c r="M133" s="5" t="str">
        <f t="shared" ref="M133:M196" si="19">IF(L133&lt;=0.25,"X",IF(L133&lt;=0.6,"Y","Z"))</f>
        <v>Z</v>
      </c>
      <c r="N133" s="5" t="str">
        <f t="shared" ref="N133:N196" si="20">K133&amp;M133</f>
        <v>AZ</v>
      </c>
    </row>
    <row r="134" spans="1:14" ht="15" customHeight="1" x14ac:dyDescent="0.2">
      <c r="A134" s="3" t="str">
        <f>'1. Master Data'!A65</f>
        <v>NT10061</v>
      </c>
      <c r="B134" s="1" t="str">
        <f>'1. Master Data'!B65</f>
        <v>ProBook 962 i5 14in</v>
      </c>
      <c r="C134" s="3" t="str">
        <f>'1. Master Data'!C65</f>
        <v>Laptops</v>
      </c>
      <c r="D134" s="3" t="str">
        <f>'1. Master Data'!D65</f>
        <v>West DC</v>
      </c>
      <c r="E134" s="4">
        <f>'1. Master Data'!F65</f>
        <v>1153</v>
      </c>
      <c r="F134" s="3">
        <f>'2. Demand History'!AA65</f>
        <v>360</v>
      </c>
      <c r="G134" s="4">
        <f t="shared" si="14"/>
        <v>415080</v>
      </c>
      <c r="H134" s="3">
        <f t="shared" si="15"/>
        <v>130</v>
      </c>
      <c r="I134" s="11">
        <f t="shared" si="16"/>
        <v>116048555</v>
      </c>
      <c r="J134" s="10">
        <f t="shared" si="17"/>
        <v>0.70187086932056464</v>
      </c>
      <c r="K134" s="5" t="str">
        <f t="shared" si="18"/>
        <v>A</v>
      </c>
      <c r="L134" s="8">
        <f>'3. Demand Forecast'!H65</f>
        <v>0.37</v>
      </c>
      <c r="M134" s="5" t="str">
        <f t="shared" si="19"/>
        <v>Y</v>
      </c>
      <c r="N134" s="5" t="str">
        <f t="shared" si="20"/>
        <v>AY</v>
      </c>
    </row>
    <row r="135" spans="1:14" ht="15" customHeight="1" x14ac:dyDescent="0.2">
      <c r="A135" s="3" t="str">
        <f>'1. Master Data'!A159</f>
        <v>NT10155</v>
      </c>
      <c r="B135" s="1" t="str">
        <f>'1. Master Data'!B159</f>
        <v>ClipMic 416 Wireless</v>
      </c>
      <c r="C135" s="3" t="str">
        <f>'1. Master Data'!C159</f>
        <v>Audio</v>
      </c>
      <c r="D135" s="3" t="str">
        <f>'1. Master Data'!D159</f>
        <v>West DC</v>
      </c>
      <c r="E135" s="4">
        <f>'1. Master Data'!F159</f>
        <v>43</v>
      </c>
      <c r="F135" s="3">
        <f>'2. Demand History'!AA159</f>
        <v>9491</v>
      </c>
      <c r="G135" s="4">
        <f t="shared" si="14"/>
        <v>408113</v>
      </c>
      <c r="H135" s="3">
        <f t="shared" si="15"/>
        <v>131</v>
      </c>
      <c r="I135" s="11">
        <f t="shared" si="16"/>
        <v>116456668</v>
      </c>
      <c r="J135" s="10">
        <f t="shared" si="17"/>
        <v>0.70433916912913208</v>
      </c>
      <c r="K135" s="5" t="str">
        <f t="shared" si="18"/>
        <v>A</v>
      </c>
      <c r="L135" s="8">
        <f>'3. Demand Forecast'!H159</f>
        <v>0.3</v>
      </c>
      <c r="M135" s="5" t="str">
        <f t="shared" si="19"/>
        <v>Y</v>
      </c>
      <c r="N135" s="5" t="str">
        <f t="shared" si="20"/>
        <v>AY</v>
      </c>
    </row>
    <row r="136" spans="1:14" ht="15" customHeight="1" x14ac:dyDescent="0.2">
      <c r="A136" s="3" t="str">
        <f>'1. Master Data'!A307</f>
        <v>NT10303</v>
      </c>
      <c r="B136" s="1" t="str">
        <f>'1. Master Data'!B307</f>
        <v>DoorSense 328</v>
      </c>
      <c r="C136" s="3" t="str">
        <f>'1. Master Data'!C307</f>
        <v>Smart Home</v>
      </c>
      <c r="D136" s="3" t="str">
        <f>'1. Master Data'!D307</f>
        <v>East DC</v>
      </c>
      <c r="E136" s="4">
        <f>'1. Master Data'!F307</f>
        <v>111</v>
      </c>
      <c r="F136" s="3">
        <f>'2. Demand History'!AA307</f>
        <v>3675</v>
      </c>
      <c r="G136" s="4">
        <f t="shared" si="14"/>
        <v>407925</v>
      </c>
      <c r="H136" s="3">
        <f t="shared" si="15"/>
        <v>132</v>
      </c>
      <c r="I136" s="11">
        <f t="shared" si="16"/>
        <v>116864593</v>
      </c>
      <c r="J136" s="10">
        <f t="shared" si="17"/>
        <v>0.70680633189878128</v>
      </c>
      <c r="K136" s="5" t="str">
        <f t="shared" si="18"/>
        <v>A</v>
      </c>
      <c r="L136" s="8">
        <f>'3. Demand Forecast'!H307</f>
        <v>0.08</v>
      </c>
      <c r="M136" s="5" t="str">
        <f t="shared" si="19"/>
        <v>X</v>
      </c>
      <c r="N136" s="5" t="str">
        <f t="shared" si="20"/>
        <v>AX</v>
      </c>
    </row>
    <row r="137" spans="1:14" ht="15" customHeight="1" x14ac:dyDescent="0.2">
      <c r="A137" s="3" t="str">
        <f>'1. Master Data'!A278</f>
        <v>NT10274</v>
      </c>
      <c r="B137" s="1" t="str">
        <f>'1. Master Data'!B278</f>
        <v>StreamCam S111</v>
      </c>
      <c r="C137" s="3" t="str">
        <f>'1. Master Data'!C278</f>
        <v>Gaming</v>
      </c>
      <c r="D137" s="3" t="str">
        <f>'1. Master Data'!D278</f>
        <v>West DC</v>
      </c>
      <c r="E137" s="4">
        <f>'1. Master Data'!F278</f>
        <v>156</v>
      </c>
      <c r="F137" s="3">
        <f>'2. Demand History'!AA278</f>
        <v>2593</v>
      </c>
      <c r="G137" s="4">
        <f t="shared" si="14"/>
        <v>404508</v>
      </c>
      <c r="H137" s="3">
        <f t="shared" si="15"/>
        <v>133</v>
      </c>
      <c r="I137" s="11">
        <f t="shared" si="16"/>
        <v>117269101</v>
      </c>
      <c r="J137" s="10">
        <f t="shared" si="17"/>
        <v>0.70925282838128489</v>
      </c>
      <c r="K137" s="5" t="str">
        <f t="shared" si="18"/>
        <v>A</v>
      </c>
      <c r="L137" s="8">
        <f>'3. Demand Forecast'!H278</f>
        <v>0.34</v>
      </c>
      <c r="M137" s="5" t="str">
        <f t="shared" si="19"/>
        <v>Y</v>
      </c>
      <c r="N137" s="5" t="str">
        <f t="shared" si="20"/>
        <v>AY</v>
      </c>
    </row>
    <row r="138" spans="1:14" ht="15" customHeight="1" x14ac:dyDescent="0.2">
      <c r="A138" s="3" t="str">
        <f>'1. Master Data'!A56</f>
        <v>NT10052</v>
      </c>
      <c r="B138" s="1" t="str">
        <f>'1. Master Data'!B56</f>
        <v>ProBook 483 i7 15in</v>
      </c>
      <c r="C138" s="3" t="str">
        <f>'1. Master Data'!C56</f>
        <v>Laptops</v>
      </c>
      <c r="D138" s="3" t="str">
        <f>'1. Master Data'!D56</f>
        <v>West DC</v>
      </c>
      <c r="E138" s="4">
        <f>'1. Master Data'!F56</f>
        <v>1337</v>
      </c>
      <c r="F138" s="3">
        <f>'2. Demand History'!AA56</f>
        <v>302</v>
      </c>
      <c r="G138" s="4">
        <f t="shared" si="14"/>
        <v>403774</v>
      </c>
      <c r="H138" s="3">
        <f t="shared" si="15"/>
        <v>134</v>
      </c>
      <c r="I138" s="11">
        <f t="shared" si="16"/>
        <v>117672875</v>
      </c>
      <c r="J138" s="10">
        <f t="shared" si="17"/>
        <v>0.7116948855735441</v>
      </c>
      <c r="K138" s="5" t="str">
        <f t="shared" si="18"/>
        <v>A</v>
      </c>
      <c r="L138" s="8">
        <f>'3. Demand Forecast'!H56</f>
        <v>0.97</v>
      </c>
      <c r="M138" s="5" t="str">
        <f t="shared" si="19"/>
        <v>Z</v>
      </c>
      <c r="N138" s="5" t="str">
        <f t="shared" si="20"/>
        <v>AZ</v>
      </c>
    </row>
    <row r="139" spans="1:14" ht="15" customHeight="1" x14ac:dyDescent="0.2">
      <c r="A139" s="3" t="str">
        <f>'1. Master Data'!A297</f>
        <v>NT10293</v>
      </c>
      <c r="B139" s="1" t="str">
        <f>'1. Master Data'!B297</f>
        <v>GameStation Controller 501</v>
      </c>
      <c r="C139" s="3" t="str">
        <f>'1. Master Data'!C297</f>
        <v>Gaming</v>
      </c>
      <c r="D139" s="3" t="str">
        <f>'1. Master Data'!D297</f>
        <v>Central DC</v>
      </c>
      <c r="E139" s="4">
        <f>'1. Master Data'!F297</f>
        <v>175</v>
      </c>
      <c r="F139" s="3">
        <f>'2. Demand History'!AA297</f>
        <v>2303</v>
      </c>
      <c r="G139" s="4">
        <f t="shared" si="14"/>
        <v>403025</v>
      </c>
      <c r="H139" s="3">
        <f t="shared" si="15"/>
        <v>135</v>
      </c>
      <c r="I139" s="11">
        <f t="shared" si="16"/>
        <v>118075900</v>
      </c>
      <c r="J139" s="10">
        <f t="shared" si="17"/>
        <v>0.71413241275436878</v>
      </c>
      <c r="K139" s="5" t="str">
        <f t="shared" si="18"/>
        <v>A</v>
      </c>
      <c r="L139" s="8">
        <f>'3. Demand Forecast'!H297</f>
        <v>0.36</v>
      </c>
      <c r="M139" s="5" t="str">
        <f t="shared" si="19"/>
        <v>Y</v>
      </c>
      <c r="N139" s="5" t="str">
        <f t="shared" si="20"/>
        <v>AY</v>
      </c>
    </row>
    <row r="140" spans="1:14" ht="15" customHeight="1" x14ac:dyDescent="0.2">
      <c r="A140" s="3" t="str">
        <f>'1. Master Data'!A24</f>
        <v>NT10020</v>
      </c>
      <c r="B140" s="1" t="str">
        <f>'1. Master Data'!B24</f>
        <v>Nova X658 Pro 256GB</v>
      </c>
      <c r="C140" s="3" t="str">
        <f>'1. Master Data'!C24</f>
        <v>Smartphones</v>
      </c>
      <c r="D140" s="3" t="str">
        <f>'1. Master Data'!D24</f>
        <v>West DC</v>
      </c>
      <c r="E140" s="4">
        <f>'1. Master Data'!F24</f>
        <v>852</v>
      </c>
      <c r="F140" s="3">
        <f>'2. Demand History'!AA24</f>
        <v>472</v>
      </c>
      <c r="G140" s="4">
        <f t="shared" si="14"/>
        <v>402144</v>
      </c>
      <c r="H140" s="3">
        <f t="shared" si="15"/>
        <v>136</v>
      </c>
      <c r="I140" s="11">
        <f t="shared" si="16"/>
        <v>118478044</v>
      </c>
      <c r="J140" s="10">
        <f t="shared" si="17"/>
        <v>0.71656461157728435</v>
      </c>
      <c r="K140" s="5" t="str">
        <f t="shared" si="18"/>
        <v>A</v>
      </c>
      <c r="L140" s="8">
        <f>'3. Demand Forecast'!H24</f>
        <v>0.35</v>
      </c>
      <c r="M140" s="5" t="str">
        <f t="shared" si="19"/>
        <v>Y</v>
      </c>
      <c r="N140" s="5" t="str">
        <f t="shared" si="20"/>
        <v>AY</v>
      </c>
    </row>
    <row r="141" spans="1:14" ht="15" customHeight="1" x14ac:dyDescent="0.2">
      <c r="A141" s="3" t="str">
        <f>'1. Master Data'!A450</f>
        <v>NT10446</v>
      </c>
      <c r="B141" s="1" t="str">
        <f>'1. Master Data'!B450</f>
        <v>NovaTab 935 Kids</v>
      </c>
      <c r="C141" s="3" t="str">
        <f>'1. Master Data'!C450</f>
        <v>Tablets</v>
      </c>
      <c r="D141" s="3" t="str">
        <f>'1. Master Data'!D450</f>
        <v>West DC</v>
      </c>
      <c r="E141" s="4">
        <f>'1. Master Data'!F450</f>
        <v>387</v>
      </c>
      <c r="F141" s="3">
        <f>'2. Demand History'!AA450</f>
        <v>1031</v>
      </c>
      <c r="G141" s="4">
        <f t="shared" si="14"/>
        <v>398997</v>
      </c>
      <c r="H141" s="3">
        <f t="shared" si="15"/>
        <v>137</v>
      </c>
      <c r="I141" s="11">
        <f t="shared" si="16"/>
        <v>118877041</v>
      </c>
      <c r="J141" s="10">
        <f t="shared" si="17"/>
        <v>0.71897777709447919</v>
      </c>
      <c r="K141" s="5" t="str">
        <f t="shared" si="18"/>
        <v>A</v>
      </c>
      <c r="L141" s="8">
        <f>'3. Demand Forecast'!H450</f>
        <v>0.3</v>
      </c>
      <c r="M141" s="5" t="str">
        <f t="shared" si="19"/>
        <v>Y</v>
      </c>
      <c r="N141" s="5" t="str">
        <f t="shared" si="20"/>
        <v>AY</v>
      </c>
    </row>
    <row r="142" spans="1:14" ht="15" customHeight="1" x14ac:dyDescent="0.2">
      <c r="A142" s="3" t="str">
        <f>'1. Master Data'!A410</f>
        <v>NT10406</v>
      </c>
      <c r="B142" s="1" t="str">
        <f>'1. Master Data'!B410</f>
        <v>DrawPad 936 12in</v>
      </c>
      <c r="C142" s="3" t="str">
        <f>'1. Master Data'!C410</f>
        <v>Tablets</v>
      </c>
      <c r="D142" s="3" t="str">
        <f>'1. Master Data'!D410</f>
        <v>Central DC</v>
      </c>
      <c r="E142" s="4">
        <f>'1. Master Data'!F410</f>
        <v>464</v>
      </c>
      <c r="F142" s="3">
        <f>'2. Demand History'!AA410</f>
        <v>857</v>
      </c>
      <c r="G142" s="4">
        <f t="shared" si="14"/>
        <v>397648</v>
      </c>
      <c r="H142" s="3">
        <f t="shared" si="15"/>
        <v>138</v>
      </c>
      <c r="I142" s="11">
        <f t="shared" si="16"/>
        <v>119274689</v>
      </c>
      <c r="J142" s="10">
        <f t="shared" si="17"/>
        <v>0.72138278375262832</v>
      </c>
      <c r="K142" s="5" t="str">
        <f t="shared" si="18"/>
        <v>A</v>
      </c>
      <c r="L142" s="8">
        <f>'3. Demand Forecast'!H410</f>
        <v>0.37</v>
      </c>
      <c r="M142" s="5" t="str">
        <f t="shared" si="19"/>
        <v>Y</v>
      </c>
      <c r="N142" s="5" t="str">
        <f t="shared" si="20"/>
        <v>AY</v>
      </c>
    </row>
    <row r="143" spans="1:14" ht="15" customHeight="1" x14ac:dyDescent="0.2">
      <c r="A143" s="3" t="str">
        <f>'1. Master Data'!A166</f>
        <v>NT10162</v>
      </c>
      <c r="B143" s="1" t="str">
        <f>'1. Master Data'!B166</f>
        <v>ClipMic 567 Wireless</v>
      </c>
      <c r="C143" s="3" t="str">
        <f>'1. Master Data'!C166</f>
        <v>Audio</v>
      </c>
      <c r="D143" s="3" t="str">
        <f>'1. Master Data'!D166</f>
        <v>East DC</v>
      </c>
      <c r="E143" s="4">
        <f>'1. Master Data'!F166</f>
        <v>171</v>
      </c>
      <c r="F143" s="3">
        <f>'2. Demand History'!AA166</f>
        <v>2315</v>
      </c>
      <c r="G143" s="4">
        <f t="shared" si="14"/>
        <v>395865</v>
      </c>
      <c r="H143" s="3">
        <f t="shared" si="15"/>
        <v>139</v>
      </c>
      <c r="I143" s="11">
        <f t="shared" si="16"/>
        <v>119670554</v>
      </c>
      <c r="J143" s="10">
        <f t="shared" si="17"/>
        <v>0.72377700668529288</v>
      </c>
      <c r="K143" s="5" t="str">
        <f t="shared" si="18"/>
        <v>A</v>
      </c>
      <c r="L143" s="8">
        <f>'3. Demand Forecast'!H166</f>
        <v>0.3</v>
      </c>
      <c r="M143" s="5" t="str">
        <f t="shared" si="19"/>
        <v>Y</v>
      </c>
      <c r="N143" s="5" t="str">
        <f t="shared" si="20"/>
        <v>AY</v>
      </c>
    </row>
    <row r="144" spans="1:14" ht="15" customHeight="1" x14ac:dyDescent="0.2">
      <c r="A144" s="3" t="str">
        <f>'1. Master Data'!A191</f>
        <v>NT10187</v>
      </c>
      <c r="B144" s="1" t="str">
        <f>'1. Master Data'!B191</f>
        <v>StudioPods 868 ANC</v>
      </c>
      <c r="C144" s="3" t="str">
        <f>'1. Master Data'!C191</f>
        <v>Audio</v>
      </c>
      <c r="D144" s="3" t="str">
        <f>'1. Master Data'!D191</f>
        <v>East DC</v>
      </c>
      <c r="E144" s="4">
        <f>'1. Master Data'!F191</f>
        <v>123</v>
      </c>
      <c r="F144" s="3">
        <f>'2. Demand History'!AA191</f>
        <v>3190</v>
      </c>
      <c r="G144" s="4">
        <f t="shared" si="14"/>
        <v>392370</v>
      </c>
      <c r="H144" s="3">
        <f t="shared" si="15"/>
        <v>140</v>
      </c>
      <c r="I144" s="11">
        <f t="shared" si="16"/>
        <v>120062924</v>
      </c>
      <c r="J144" s="10">
        <f t="shared" si="17"/>
        <v>0.72615009158062238</v>
      </c>
      <c r="K144" s="5" t="str">
        <f t="shared" si="18"/>
        <v>A</v>
      </c>
      <c r="L144" s="8">
        <f>'3. Demand Forecast'!H191</f>
        <v>0.27</v>
      </c>
      <c r="M144" s="5" t="str">
        <f t="shared" si="19"/>
        <v>Y</v>
      </c>
      <c r="N144" s="5" t="str">
        <f t="shared" si="20"/>
        <v>AY</v>
      </c>
    </row>
    <row r="145" spans="1:14" ht="15" customHeight="1" x14ac:dyDescent="0.2">
      <c r="A145" s="3" t="str">
        <f>'1. Master Data'!A111</f>
        <v>NT10107</v>
      </c>
      <c r="B145" s="1" t="str">
        <f>'1. Master Data'!B111</f>
        <v>VisionOLED 709in 4K</v>
      </c>
      <c r="C145" s="3" t="str">
        <f>'1. Master Data'!C111</f>
        <v>TVs</v>
      </c>
      <c r="D145" s="3" t="str">
        <f>'1. Master Data'!D111</f>
        <v>West DC</v>
      </c>
      <c r="E145" s="4">
        <f>'1. Master Data'!F111</f>
        <v>686</v>
      </c>
      <c r="F145" s="3">
        <f>'2. Demand History'!AA111</f>
        <v>571</v>
      </c>
      <c r="G145" s="4">
        <f t="shared" si="14"/>
        <v>391706</v>
      </c>
      <c r="H145" s="3">
        <f t="shared" si="15"/>
        <v>141</v>
      </c>
      <c r="I145" s="11">
        <f t="shared" si="16"/>
        <v>120454630</v>
      </c>
      <c r="J145" s="10">
        <f t="shared" si="17"/>
        <v>0.72851916055126209</v>
      </c>
      <c r="K145" s="5" t="str">
        <f t="shared" si="18"/>
        <v>A</v>
      </c>
      <c r="L145" s="8">
        <f>'3. Demand Forecast'!H111</f>
        <v>0.28999999999999998</v>
      </c>
      <c r="M145" s="5" t="str">
        <f t="shared" si="19"/>
        <v>Y</v>
      </c>
      <c r="N145" s="5" t="str">
        <f t="shared" si="20"/>
        <v>AY</v>
      </c>
    </row>
    <row r="146" spans="1:14" ht="15" customHeight="1" x14ac:dyDescent="0.2">
      <c r="A146" s="3" t="str">
        <f>'1. Master Data'!A114</f>
        <v>NT10110</v>
      </c>
      <c r="B146" s="1" t="str">
        <f>'1. Master Data'!B114</f>
        <v>VisionOLED 643in 4K</v>
      </c>
      <c r="C146" s="3" t="str">
        <f>'1. Master Data'!C114</f>
        <v>TVs</v>
      </c>
      <c r="D146" s="3" t="str">
        <f>'1. Master Data'!D114</f>
        <v>West DC</v>
      </c>
      <c r="E146" s="4">
        <f>'1. Master Data'!F114</f>
        <v>1054</v>
      </c>
      <c r="F146" s="3">
        <f>'2. Demand History'!AA114</f>
        <v>368</v>
      </c>
      <c r="G146" s="4">
        <f t="shared" si="14"/>
        <v>387872</v>
      </c>
      <c r="H146" s="3">
        <f t="shared" si="15"/>
        <v>142</v>
      </c>
      <c r="I146" s="11">
        <f t="shared" si="16"/>
        <v>120842502</v>
      </c>
      <c r="J146" s="10">
        <f t="shared" si="17"/>
        <v>0.73086504118566642</v>
      </c>
      <c r="K146" s="5" t="str">
        <f t="shared" si="18"/>
        <v>A</v>
      </c>
      <c r="L146" s="8">
        <f>'3. Demand Forecast'!H114</f>
        <v>0.76</v>
      </c>
      <c r="M146" s="5" t="str">
        <f t="shared" si="19"/>
        <v>Z</v>
      </c>
      <c r="N146" s="5" t="str">
        <f t="shared" si="20"/>
        <v>AZ</v>
      </c>
    </row>
    <row r="147" spans="1:14" ht="15" customHeight="1" x14ac:dyDescent="0.2">
      <c r="A147" s="3" t="str">
        <f>'1. Master Data'!A35</f>
        <v>NT10031</v>
      </c>
      <c r="B147" s="1" t="str">
        <f>'1. Master Data'!B35</f>
        <v>Nova Lite 631 64GB</v>
      </c>
      <c r="C147" s="3" t="str">
        <f>'1. Master Data'!C35</f>
        <v>Smartphones</v>
      </c>
      <c r="D147" s="3" t="str">
        <f>'1. Master Data'!D35</f>
        <v>Central DC</v>
      </c>
      <c r="E147" s="4">
        <f>'1. Master Data'!F35</f>
        <v>372</v>
      </c>
      <c r="F147" s="3">
        <f>'2. Demand History'!AA35</f>
        <v>1026</v>
      </c>
      <c r="G147" s="4">
        <f t="shared" si="14"/>
        <v>381672</v>
      </c>
      <c r="H147" s="3">
        <f t="shared" si="15"/>
        <v>143</v>
      </c>
      <c r="I147" s="11">
        <f t="shared" si="16"/>
        <v>121224174</v>
      </c>
      <c r="J147" s="10">
        <f t="shared" si="17"/>
        <v>0.73317342372808858</v>
      </c>
      <c r="K147" s="5" t="str">
        <f t="shared" si="18"/>
        <v>A</v>
      </c>
      <c r="L147" s="8">
        <f>'3. Demand Forecast'!H35</f>
        <v>0.28000000000000003</v>
      </c>
      <c r="M147" s="5" t="str">
        <f t="shared" si="19"/>
        <v>Y</v>
      </c>
      <c r="N147" s="5" t="str">
        <f t="shared" si="20"/>
        <v>AY</v>
      </c>
    </row>
    <row r="148" spans="1:14" ht="15" customHeight="1" x14ac:dyDescent="0.2">
      <c r="A148" s="3" t="str">
        <f>'1. Master Data'!A7</f>
        <v>NT10003</v>
      </c>
      <c r="B148" s="1" t="str">
        <f>'1. Master Data'!B7</f>
        <v>Nova Lite 936 64GB</v>
      </c>
      <c r="C148" s="3" t="str">
        <f>'1. Master Data'!C7</f>
        <v>Smartphones</v>
      </c>
      <c r="D148" s="3" t="str">
        <f>'1. Master Data'!D7</f>
        <v>West DC</v>
      </c>
      <c r="E148" s="4">
        <f>'1. Master Data'!F7</f>
        <v>261</v>
      </c>
      <c r="F148" s="3">
        <f>'2. Demand History'!AA7</f>
        <v>1450</v>
      </c>
      <c r="G148" s="4">
        <f t="shared" si="14"/>
        <v>378450</v>
      </c>
      <c r="H148" s="3">
        <f t="shared" si="15"/>
        <v>144</v>
      </c>
      <c r="I148" s="11">
        <f t="shared" si="16"/>
        <v>121602624</v>
      </c>
      <c r="J148" s="10">
        <f t="shared" si="17"/>
        <v>0.73546231935883877</v>
      </c>
      <c r="K148" s="5" t="str">
        <f t="shared" si="18"/>
        <v>A</v>
      </c>
      <c r="L148" s="8">
        <f>'3. Demand Forecast'!H7</f>
        <v>0.31</v>
      </c>
      <c r="M148" s="5" t="str">
        <f t="shared" si="19"/>
        <v>Y</v>
      </c>
      <c r="N148" s="5" t="str">
        <f t="shared" si="20"/>
        <v>AY</v>
      </c>
    </row>
    <row r="149" spans="1:14" ht="15" customHeight="1" x14ac:dyDescent="0.2">
      <c r="A149" s="3" t="str">
        <f>'1. Master Data'!A426</f>
        <v>NT10422</v>
      </c>
      <c r="B149" s="1" t="str">
        <f>'1. Master Data'!B426</f>
        <v>NovaTab 444 Kids</v>
      </c>
      <c r="C149" s="3" t="str">
        <f>'1. Master Data'!C426</f>
        <v>Tablets</v>
      </c>
      <c r="D149" s="3" t="str">
        <f>'1. Master Data'!D426</f>
        <v>West DC</v>
      </c>
      <c r="E149" s="4">
        <f>'1. Master Data'!F426</f>
        <v>141</v>
      </c>
      <c r="F149" s="3">
        <f>'2. Demand History'!AA426</f>
        <v>2624</v>
      </c>
      <c r="G149" s="4">
        <f t="shared" si="14"/>
        <v>369984</v>
      </c>
      <c r="H149" s="3">
        <f t="shared" si="15"/>
        <v>145</v>
      </c>
      <c r="I149" s="11">
        <f t="shared" si="16"/>
        <v>121972608</v>
      </c>
      <c r="J149" s="10">
        <f t="shared" si="17"/>
        <v>0.73770001194979518</v>
      </c>
      <c r="K149" s="5" t="str">
        <f t="shared" si="18"/>
        <v>A</v>
      </c>
      <c r="L149" s="8">
        <f>'3. Demand Forecast'!H426</f>
        <v>0.28000000000000003</v>
      </c>
      <c r="M149" s="5" t="str">
        <f t="shared" si="19"/>
        <v>Y</v>
      </c>
      <c r="N149" s="5" t="str">
        <f t="shared" si="20"/>
        <v>AY</v>
      </c>
    </row>
    <row r="150" spans="1:14" ht="15" customHeight="1" x14ac:dyDescent="0.2">
      <c r="A150" s="3" t="str">
        <f>'1. Master Data'!A21</f>
        <v>NT10017</v>
      </c>
      <c r="B150" s="1" t="str">
        <f>'1. Master Data'!B21</f>
        <v>Nova X194 128GB</v>
      </c>
      <c r="C150" s="3" t="str">
        <f>'1. Master Data'!C21</f>
        <v>Smartphones</v>
      </c>
      <c r="D150" s="3" t="str">
        <f>'1. Master Data'!D21</f>
        <v>East DC</v>
      </c>
      <c r="E150" s="4">
        <f>'1. Master Data'!F21</f>
        <v>844</v>
      </c>
      <c r="F150" s="3">
        <f>'2. Demand History'!AA21</f>
        <v>430</v>
      </c>
      <c r="G150" s="4">
        <f t="shared" si="14"/>
        <v>362920</v>
      </c>
      <c r="H150" s="3">
        <f t="shared" si="15"/>
        <v>146</v>
      </c>
      <c r="I150" s="11">
        <f t="shared" si="16"/>
        <v>122335528</v>
      </c>
      <c r="J150" s="10">
        <f t="shared" si="17"/>
        <v>0.73989498090820938</v>
      </c>
      <c r="K150" s="5" t="str">
        <f t="shared" si="18"/>
        <v>A</v>
      </c>
      <c r="L150" s="8">
        <f>'3. Demand Forecast'!H21</f>
        <v>0.39</v>
      </c>
      <c r="M150" s="5" t="str">
        <f t="shared" si="19"/>
        <v>Y</v>
      </c>
      <c r="N150" s="5" t="str">
        <f t="shared" si="20"/>
        <v>AY</v>
      </c>
    </row>
    <row r="151" spans="1:14" ht="15" customHeight="1" x14ac:dyDescent="0.2">
      <c r="A151" s="3" t="str">
        <f>'1. Master Data'!A62</f>
        <v>NT10058</v>
      </c>
      <c r="B151" s="1" t="str">
        <f>'1. Master Data'!B62</f>
        <v>CreatorPro 778 i9 16in</v>
      </c>
      <c r="C151" s="3" t="str">
        <f>'1. Master Data'!C62</f>
        <v>Laptops</v>
      </c>
      <c r="D151" s="3" t="str">
        <f>'1. Master Data'!D62</f>
        <v>East DC</v>
      </c>
      <c r="E151" s="4">
        <f>'1. Master Data'!F62</f>
        <v>999</v>
      </c>
      <c r="F151" s="3">
        <f>'2. Demand History'!AA62</f>
        <v>360</v>
      </c>
      <c r="G151" s="4">
        <f t="shared" si="14"/>
        <v>359640</v>
      </c>
      <c r="H151" s="3">
        <f t="shared" si="15"/>
        <v>147</v>
      </c>
      <c r="I151" s="11">
        <f t="shared" si="16"/>
        <v>122695168</v>
      </c>
      <c r="J151" s="10">
        <f t="shared" si="17"/>
        <v>0.74207011216634911</v>
      </c>
      <c r="K151" s="5" t="str">
        <f t="shared" si="18"/>
        <v>A</v>
      </c>
      <c r="L151" s="8">
        <f>'3. Demand Forecast'!H62</f>
        <v>0.35</v>
      </c>
      <c r="M151" s="5" t="str">
        <f t="shared" si="19"/>
        <v>Y</v>
      </c>
      <c r="N151" s="5" t="str">
        <f t="shared" si="20"/>
        <v>AY</v>
      </c>
    </row>
    <row r="152" spans="1:14" ht="15" customHeight="1" x14ac:dyDescent="0.2">
      <c r="A152" s="3" t="str">
        <f>'1. Master Data'!A311</f>
        <v>NT10307</v>
      </c>
      <c r="B152" s="1" t="str">
        <f>'1. Master Data'!B311</f>
        <v>DoorSense 809</v>
      </c>
      <c r="C152" s="3" t="str">
        <f>'1. Master Data'!C311</f>
        <v>Smart Home</v>
      </c>
      <c r="D152" s="3" t="str">
        <f>'1. Master Data'!D311</f>
        <v>East DC</v>
      </c>
      <c r="E152" s="4">
        <f>'1. Master Data'!F311</f>
        <v>115</v>
      </c>
      <c r="F152" s="3">
        <f>'2. Demand History'!AA311</f>
        <v>3068</v>
      </c>
      <c r="G152" s="4">
        <f t="shared" si="14"/>
        <v>352820</v>
      </c>
      <c r="H152" s="3">
        <f t="shared" si="15"/>
        <v>148</v>
      </c>
      <c r="I152" s="11">
        <f t="shared" si="16"/>
        <v>123047988</v>
      </c>
      <c r="J152" s="10">
        <f t="shared" si="17"/>
        <v>0.7442039955233084</v>
      </c>
      <c r="K152" s="5" t="str">
        <f t="shared" si="18"/>
        <v>A</v>
      </c>
      <c r="L152" s="8">
        <f>'3. Demand Forecast'!H311</f>
        <v>0.03</v>
      </c>
      <c r="M152" s="5" t="str">
        <f t="shared" si="19"/>
        <v>X</v>
      </c>
      <c r="N152" s="5" t="str">
        <f t="shared" si="20"/>
        <v>AX</v>
      </c>
    </row>
    <row r="153" spans="1:14" ht="15" customHeight="1" x14ac:dyDescent="0.2">
      <c r="A153" s="3" t="str">
        <f>'1. Master Data'!A164</f>
        <v>NT10160</v>
      </c>
      <c r="B153" s="1" t="str">
        <f>'1. Master Data'!B164</f>
        <v>StudioPods 653 ANC</v>
      </c>
      <c r="C153" s="3" t="str">
        <f>'1. Master Data'!C164</f>
        <v>Audio</v>
      </c>
      <c r="D153" s="3" t="str">
        <f>'1. Master Data'!D164</f>
        <v>Central DC</v>
      </c>
      <c r="E153" s="4">
        <f>'1. Master Data'!F164</f>
        <v>212</v>
      </c>
      <c r="F153" s="3">
        <f>'2. Demand History'!AA164</f>
        <v>1651</v>
      </c>
      <c r="G153" s="4">
        <f t="shared" si="14"/>
        <v>350012</v>
      </c>
      <c r="H153" s="3">
        <f t="shared" si="15"/>
        <v>149</v>
      </c>
      <c r="I153" s="11">
        <f t="shared" si="16"/>
        <v>123398000</v>
      </c>
      <c r="J153" s="10">
        <f t="shared" si="17"/>
        <v>0.74632089587344752</v>
      </c>
      <c r="K153" s="5" t="str">
        <f t="shared" si="18"/>
        <v>A</v>
      </c>
      <c r="L153" s="8">
        <f>'3. Demand Forecast'!H164</f>
        <v>0.3</v>
      </c>
      <c r="M153" s="5" t="str">
        <f t="shared" si="19"/>
        <v>Y</v>
      </c>
      <c r="N153" s="5" t="str">
        <f t="shared" si="20"/>
        <v>AY</v>
      </c>
    </row>
    <row r="154" spans="1:14" ht="15" customHeight="1" x14ac:dyDescent="0.2">
      <c r="A154" s="3" t="str">
        <f>'1. Master Data'!A71</f>
        <v>NT10067</v>
      </c>
      <c r="B154" s="1" t="str">
        <f>'1. Master Data'!B71</f>
        <v>UltraSlim 877 Ryzen 5</v>
      </c>
      <c r="C154" s="3" t="str">
        <f>'1. Master Data'!C71</f>
        <v>Laptops</v>
      </c>
      <c r="D154" s="3" t="str">
        <f>'1. Master Data'!D71</f>
        <v>West DC</v>
      </c>
      <c r="E154" s="4">
        <f>'1. Master Data'!F71</f>
        <v>1181</v>
      </c>
      <c r="F154" s="3">
        <f>'2. Demand History'!AA71</f>
        <v>293</v>
      </c>
      <c r="G154" s="4">
        <f t="shared" si="14"/>
        <v>346033</v>
      </c>
      <c r="H154" s="3">
        <f t="shared" si="15"/>
        <v>150</v>
      </c>
      <c r="I154" s="11">
        <f t="shared" si="16"/>
        <v>123744033</v>
      </c>
      <c r="J154" s="10">
        <f t="shared" si="17"/>
        <v>0.74841373091584507</v>
      </c>
      <c r="K154" s="5" t="str">
        <f t="shared" si="18"/>
        <v>A</v>
      </c>
      <c r="L154" s="8">
        <f>'3. Demand Forecast'!H71</f>
        <v>0.27</v>
      </c>
      <c r="M154" s="5" t="str">
        <f t="shared" si="19"/>
        <v>Y</v>
      </c>
      <c r="N154" s="5" t="str">
        <f t="shared" si="20"/>
        <v>AY</v>
      </c>
    </row>
    <row r="155" spans="1:14" ht="15" customHeight="1" x14ac:dyDescent="0.2">
      <c r="A155" s="3" t="str">
        <f>'1. Master Data'!A126</f>
        <v>NT10122</v>
      </c>
      <c r="B155" s="1" t="str">
        <f>'1. Master Data'!B126</f>
        <v>VisionLED 242in 4K</v>
      </c>
      <c r="C155" s="3" t="str">
        <f>'1. Master Data'!C126</f>
        <v>TVs</v>
      </c>
      <c r="D155" s="3" t="str">
        <f>'1. Master Data'!D126</f>
        <v>Central DC</v>
      </c>
      <c r="E155" s="4">
        <f>'1. Master Data'!F126</f>
        <v>483</v>
      </c>
      <c r="F155" s="3">
        <f>'2. Demand History'!AA126</f>
        <v>714</v>
      </c>
      <c r="G155" s="4">
        <f t="shared" si="14"/>
        <v>344862</v>
      </c>
      <c r="H155" s="3">
        <f t="shared" si="15"/>
        <v>151</v>
      </c>
      <c r="I155" s="11">
        <f t="shared" si="16"/>
        <v>124088895</v>
      </c>
      <c r="J155" s="10">
        <f t="shared" si="17"/>
        <v>0.75049948365732144</v>
      </c>
      <c r="K155" s="5" t="str">
        <f t="shared" si="18"/>
        <v>A</v>
      </c>
      <c r="L155" s="8">
        <f>'3. Demand Forecast'!H126</f>
        <v>0.3</v>
      </c>
      <c r="M155" s="5" t="str">
        <f t="shared" si="19"/>
        <v>Y</v>
      </c>
      <c r="N155" s="5" t="str">
        <f t="shared" si="20"/>
        <v>AY</v>
      </c>
    </row>
    <row r="156" spans="1:14" ht="15" customHeight="1" x14ac:dyDescent="0.2">
      <c r="A156" s="3" t="str">
        <f>'1. Master Data'!A472</f>
        <v>NT10468</v>
      </c>
      <c r="B156" s="1" t="str">
        <f>'1. Master Data'!B472</f>
        <v>Car Mount V982</v>
      </c>
      <c r="C156" s="3" t="str">
        <f>'1. Master Data'!C472</f>
        <v>Accessories</v>
      </c>
      <c r="D156" s="3" t="str">
        <f>'1. Master Data'!D472</f>
        <v>West DC</v>
      </c>
      <c r="E156" s="4">
        <f>'1. Master Data'!F472</f>
        <v>29</v>
      </c>
      <c r="F156" s="3">
        <f>'2. Demand History'!AA472</f>
        <v>11852</v>
      </c>
      <c r="G156" s="4">
        <f t="shared" si="14"/>
        <v>343708</v>
      </c>
      <c r="H156" s="3">
        <f t="shared" si="15"/>
        <v>152</v>
      </c>
      <c r="I156" s="11">
        <f t="shared" si="16"/>
        <v>124432603</v>
      </c>
      <c r="J156" s="10">
        <f t="shared" si="17"/>
        <v>0.75257825691522573</v>
      </c>
      <c r="K156" s="5" t="str">
        <f t="shared" si="18"/>
        <v>A</v>
      </c>
      <c r="L156" s="8">
        <f>'3. Demand Forecast'!H472</f>
        <v>0.05</v>
      </c>
      <c r="M156" s="5" t="str">
        <f t="shared" si="19"/>
        <v>X</v>
      </c>
      <c r="N156" s="5" t="str">
        <f t="shared" si="20"/>
        <v>AX</v>
      </c>
    </row>
    <row r="157" spans="1:14" ht="15" customHeight="1" x14ac:dyDescent="0.2">
      <c r="A157" s="3" t="str">
        <f>'1. Master Data'!A94</f>
        <v>NT10090</v>
      </c>
      <c r="B157" s="1" t="str">
        <f>'1. Master Data'!B94</f>
        <v>ProBook 568 i7 15in</v>
      </c>
      <c r="C157" s="3" t="str">
        <f>'1. Master Data'!C94</f>
        <v>Laptops</v>
      </c>
      <c r="D157" s="3" t="str">
        <f>'1. Master Data'!D94</f>
        <v>Central DC</v>
      </c>
      <c r="E157" s="4">
        <f>'1. Master Data'!F94</f>
        <v>509</v>
      </c>
      <c r="F157" s="3">
        <f>'2. Demand History'!AA94</f>
        <v>675</v>
      </c>
      <c r="G157" s="4">
        <f t="shared" si="14"/>
        <v>343575</v>
      </c>
      <c r="H157" s="3">
        <f t="shared" si="15"/>
        <v>153</v>
      </c>
      <c r="I157" s="11">
        <f t="shared" si="16"/>
        <v>124776178</v>
      </c>
      <c r="J157" s="10">
        <f t="shared" si="17"/>
        <v>0.75465622577857616</v>
      </c>
      <c r="K157" s="5" t="str">
        <f t="shared" si="18"/>
        <v>A</v>
      </c>
      <c r="L157" s="8">
        <f>'3. Demand Forecast'!H94</f>
        <v>0.2</v>
      </c>
      <c r="M157" s="5" t="str">
        <f t="shared" si="19"/>
        <v>X</v>
      </c>
      <c r="N157" s="5" t="str">
        <f t="shared" si="20"/>
        <v>AX</v>
      </c>
    </row>
    <row r="158" spans="1:14" ht="15" customHeight="1" x14ac:dyDescent="0.2">
      <c r="A158" s="3" t="str">
        <f>'1. Master Data'!A69</f>
        <v>NT10065</v>
      </c>
      <c r="B158" s="1" t="str">
        <f>'1. Master Data'!B69</f>
        <v>ProBook 927 i5 14in</v>
      </c>
      <c r="C158" s="3" t="str">
        <f>'1. Master Data'!C69</f>
        <v>Laptops</v>
      </c>
      <c r="D158" s="3" t="str">
        <f>'1. Master Data'!D69</f>
        <v>East DC</v>
      </c>
      <c r="E158" s="4">
        <f>'1. Master Data'!F69</f>
        <v>1039</v>
      </c>
      <c r="F158" s="3">
        <f>'2. Demand History'!AA69</f>
        <v>330</v>
      </c>
      <c r="G158" s="4">
        <f t="shared" si="14"/>
        <v>342870</v>
      </c>
      <c r="H158" s="3">
        <f t="shared" si="15"/>
        <v>154</v>
      </c>
      <c r="I158" s="11">
        <f t="shared" si="16"/>
        <v>125119048</v>
      </c>
      <c r="J158" s="10">
        <f t="shared" si="17"/>
        <v>0.75672993074598349</v>
      </c>
      <c r="K158" s="5" t="str">
        <f t="shared" si="18"/>
        <v>A</v>
      </c>
      <c r="L158" s="8">
        <f>'3. Demand Forecast'!H69</f>
        <v>0.32</v>
      </c>
      <c r="M158" s="5" t="str">
        <f t="shared" si="19"/>
        <v>Y</v>
      </c>
      <c r="N158" s="5" t="str">
        <f t="shared" si="20"/>
        <v>AY</v>
      </c>
    </row>
    <row r="159" spans="1:14" ht="15" customHeight="1" x14ac:dyDescent="0.2">
      <c r="A159" s="3" t="str">
        <f>'1. Master Data'!A193</f>
        <v>NT10189</v>
      </c>
      <c r="B159" s="1" t="str">
        <f>'1. Master Data'!B193</f>
        <v>ClipMic 886 Wireless</v>
      </c>
      <c r="C159" s="3" t="str">
        <f>'1. Master Data'!C193</f>
        <v>Audio</v>
      </c>
      <c r="D159" s="3" t="str">
        <f>'1. Master Data'!D193</f>
        <v>West DC</v>
      </c>
      <c r="E159" s="4">
        <f>'1. Master Data'!F193</f>
        <v>212</v>
      </c>
      <c r="F159" s="3">
        <f>'2. Demand History'!AA193</f>
        <v>1617</v>
      </c>
      <c r="G159" s="4">
        <f t="shared" si="14"/>
        <v>342804</v>
      </c>
      <c r="H159" s="3">
        <f t="shared" si="15"/>
        <v>155</v>
      </c>
      <c r="I159" s="11">
        <f t="shared" si="16"/>
        <v>125461852</v>
      </c>
      <c r="J159" s="10">
        <f t="shared" si="17"/>
        <v>0.75880323654015358</v>
      </c>
      <c r="K159" s="5" t="str">
        <f t="shared" si="18"/>
        <v>A</v>
      </c>
      <c r="L159" s="8">
        <f>'3. Demand Forecast'!H193</f>
        <v>0.28999999999999998</v>
      </c>
      <c r="M159" s="5" t="str">
        <f t="shared" si="19"/>
        <v>Y</v>
      </c>
      <c r="N159" s="5" t="str">
        <f t="shared" si="20"/>
        <v>AY</v>
      </c>
    </row>
    <row r="160" spans="1:14" ht="15" customHeight="1" x14ac:dyDescent="0.2">
      <c r="A160" s="3" t="str">
        <f>'1. Master Data'!A90</f>
        <v>NT10086</v>
      </c>
      <c r="B160" s="1" t="str">
        <f>'1. Master Data'!B90</f>
        <v>ProBook 626 i7 15in</v>
      </c>
      <c r="C160" s="3" t="str">
        <f>'1. Master Data'!C90</f>
        <v>Laptops</v>
      </c>
      <c r="D160" s="3" t="str">
        <f>'1. Master Data'!D90</f>
        <v>Central DC</v>
      </c>
      <c r="E160" s="4">
        <f>'1. Master Data'!F90</f>
        <v>1400</v>
      </c>
      <c r="F160" s="3">
        <f>'2. Demand History'!AA90</f>
        <v>242</v>
      </c>
      <c r="G160" s="4">
        <f t="shared" si="14"/>
        <v>338800</v>
      </c>
      <c r="H160" s="3">
        <f t="shared" si="15"/>
        <v>156</v>
      </c>
      <c r="I160" s="11">
        <f t="shared" si="16"/>
        <v>125800652</v>
      </c>
      <c r="J160" s="10">
        <f t="shared" si="17"/>
        <v>0.7608523258245985</v>
      </c>
      <c r="K160" s="5" t="str">
        <f t="shared" si="18"/>
        <v>A</v>
      </c>
      <c r="L160" s="8">
        <f>'3. Demand Forecast'!H90</f>
        <v>0.33</v>
      </c>
      <c r="M160" s="5" t="str">
        <f t="shared" si="19"/>
        <v>Y</v>
      </c>
      <c r="N160" s="5" t="str">
        <f t="shared" si="20"/>
        <v>AY</v>
      </c>
    </row>
    <row r="161" spans="1:14" ht="15" customHeight="1" x14ac:dyDescent="0.2">
      <c r="A161" s="3" t="str">
        <f>'1. Master Data'!A25</f>
        <v>NT10021</v>
      </c>
      <c r="B161" s="1" t="str">
        <f>'1. Master Data'!B25</f>
        <v>Pulse 397 Dual SIM</v>
      </c>
      <c r="C161" s="3" t="str">
        <f>'1. Master Data'!C25</f>
        <v>Smartphones</v>
      </c>
      <c r="D161" s="3" t="str">
        <f>'1. Master Data'!D25</f>
        <v>Central DC</v>
      </c>
      <c r="E161" s="4">
        <f>'1. Master Data'!F25</f>
        <v>413</v>
      </c>
      <c r="F161" s="3">
        <f>'2. Demand History'!AA25</f>
        <v>813</v>
      </c>
      <c r="G161" s="4">
        <f t="shared" si="14"/>
        <v>335769</v>
      </c>
      <c r="H161" s="3">
        <f t="shared" si="15"/>
        <v>157</v>
      </c>
      <c r="I161" s="11">
        <f t="shared" si="16"/>
        <v>126136421</v>
      </c>
      <c r="J161" s="10">
        <f t="shared" si="17"/>
        <v>0.76288308338052746</v>
      </c>
      <c r="K161" s="5" t="str">
        <f t="shared" si="18"/>
        <v>A</v>
      </c>
      <c r="L161" s="8">
        <f>'3. Demand Forecast'!H25</f>
        <v>0.33</v>
      </c>
      <c r="M161" s="5" t="str">
        <f t="shared" si="19"/>
        <v>Y</v>
      </c>
      <c r="N161" s="5" t="str">
        <f t="shared" si="20"/>
        <v>AY</v>
      </c>
    </row>
    <row r="162" spans="1:14" ht="15" customHeight="1" x14ac:dyDescent="0.2">
      <c r="A162" s="3" t="str">
        <f>'1. Master Data'!A320</f>
        <v>NT10316</v>
      </c>
      <c r="B162" s="1" t="str">
        <f>'1. Master Data'!B320</f>
        <v>HomeCam 100 1080p</v>
      </c>
      <c r="C162" s="3" t="str">
        <f>'1. Master Data'!C320</f>
        <v>Smart Home</v>
      </c>
      <c r="D162" s="3" t="str">
        <f>'1. Master Data'!D320</f>
        <v>East DC</v>
      </c>
      <c r="E162" s="4">
        <f>'1. Master Data'!F320</f>
        <v>103</v>
      </c>
      <c r="F162" s="3">
        <f>'2. Demand History'!AA320</f>
        <v>3216</v>
      </c>
      <c r="G162" s="4">
        <f t="shared" si="14"/>
        <v>331248</v>
      </c>
      <c r="H162" s="3">
        <f t="shared" si="15"/>
        <v>158</v>
      </c>
      <c r="I162" s="11">
        <f t="shared" si="16"/>
        <v>126467669</v>
      </c>
      <c r="J162" s="10">
        <f t="shared" si="17"/>
        <v>0.76488649756970628</v>
      </c>
      <c r="K162" s="5" t="str">
        <f t="shared" si="18"/>
        <v>A</v>
      </c>
      <c r="L162" s="8">
        <f>'3. Demand Forecast'!H320</f>
        <v>7.0000000000000007E-2</v>
      </c>
      <c r="M162" s="5" t="str">
        <f t="shared" si="19"/>
        <v>X</v>
      </c>
      <c r="N162" s="5" t="str">
        <f t="shared" si="20"/>
        <v>AX</v>
      </c>
    </row>
    <row r="163" spans="1:14" ht="15" customHeight="1" x14ac:dyDescent="0.2">
      <c r="A163" s="3" t="str">
        <f>'1. Master Data'!A102</f>
        <v>NT10098</v>
      </c>
      <c r="B163" s="1" t="str">
        <f>'1. Master Data'!B102</f>
        <v>ProBook 660 i5 14in</v>
      </c>
      <c r="C163" s="3" t="str">
        <f>'1. Master Data'!C102</f>
        <v>Laptops</v>
      </c>
      <c r="D163" s="3" t="str">
        <f>'1. Master Data'!D102</f>
        <v>East DC</v>
      </c>
      <c r="E163" s="4">
        <f>'1. Master Data'!F102</f>
        <v>950</v>
      </c>
      <c r="F163" s="3">
        <f>'2. Demand History'!AA102</f>
        <v>347</v>
      </c>
      <c r="G163" s="4">
        <f t="shared" si="14"/>
        <v>329650</v>
      </c>
      <c r="H163" s="3">
        <f t="shared" si="15"/>
        <v>159</v>
      </c>
      <c r="I163" s="11">
        <f t="shared" si="16"/>
        <v>126797319</v>
      </c>
      <c r="J163" s="10">
        <f t="shared" si="17"/>
        <v>0.76688024692808066</v>
      </c>
      <c r="K163" s="5" t="str">
        <f t="shared" si="18"/>
        <v>A</v>
      </c>
      <c r="L163" s="8">
        <f>'3. Demand Forecast'!H102</f>
        <v>0.34</v>
      </c>
      <c r="M163" s="5" t="str">
        <f t="shared" si="19"/>
        <v>Y</v>
      </c>
      <c r="N163" s="5" t="str">
        <f t="shared" si="20"/>
        <v>AY</v>
      </c>
    </row>
    <row r="164" spans="1:14" ht="15" customHeight="1" x14ac:dyDescent="0.2">
      <c r="A164" s="3" t="str">
        <f>'1. Master Data'!A373</f>
        <v>NT10369</v>
      </c>
      <c r="B164" s="1" t="str">
        <f>'1. Master Data'!B373</f>
        <v>ActionCam 161 4K</v>
      </c>
      <c r="C164" s="3" t="str">
        <f>'1. Master Data'!C373</f>
        <v>Cameras</v>
      </c>
      <c r="D164" s="3" t="str">
        <f>'1. Master Data'!D373</f>
        <v>Central DC</v>
      </c>
      <c r="E164" s="4">
        <f>'1. Master Data'!F373</f>
        <v>698</v>
      </c>
      <c r="F164" s="3">
        <f>'2. Demand History'!AA373</f>
        <v>469</v>
      </c>
      <c r="G164" s="4">
        <f t="shared" si="14"/>
        <v>327362</v>
      </c>
      <c r="H164" s="3">
        <f t="shared" si="15"/>
        <v>160</v>
      </c>
      <c r="I164" s="11">
        <f t="shared" si="16"/>
        <v>127124681</v>
      </c>
      <c r="J164" s="10">
        <f t="shared" si="17"/>
        <v>0.76886015828089782</v>
      </c>
      <c r="K164" s="5" t="str">
        <f t="shared" si="18"/>
        <v>A</v>
      </c>
      <c r="L164" s="8">
        <f>'3. Demand Forecast'!H373</f>
        <v>0.31</v>
      </c>
      <c r="M164" s="5" t="str">
        <f t="shared" si="19"/>
        <v>Y</v>
      </c>
      <c r="N164" s="5" t="str">
        <f t="shared" si="20"/>
        <v>AY</v>
      </c>
    </row>
    <row r="165" spans="1:14" ht="15" customHeight="1" x14ac:dyDescent="0.2">
      <c r="A165" s="3" t="str">
        <f>'1. Master Data'!A125</f>
        <v>NT10121</v>
      </c>
      <c r="B165" s="1" t="str">
        <f>'1. Master Data'!B125</f>
        <v>VisionOLED 942in 4K</v>
      </c>
      <c r="C165" s="3" t="str">
        <f>'1. Master Data'!C125</f>
        <v>TVs</v>
      </c>
      <c r="D165" s="3" t="str">
        <f>'1. Master Data'!D125</f>
        <v>Central DC</v>
      </c>
      <c r="E165" s="4">
        <f>'1. Master Data'!F125</f>
        <v>605</v>
      </c>
      <c r="F165" s="3">
        <f>'2. Demand History'!AA125</f>
        <v>535</v>
      </c>
      <c r="G165" s="4">
        <f t="shared" si="14"/>
        <v>323675</v>
      </c>
      <c r="H165" s="3">
        <f t="shared" si="15"/>
        <v>161</v>
      </c>
      <c r="I165" s="11">
        <f t="shared" si="16"/>
        <v>127448356</v>
      </c>
      <c r="J165" s="10">
        <f t="shared" si="17"/>
        <v>0.77081777036514421</v>
      </c>
      <c r="K165" s="5" t="str">
        <f t="shared" si="18"/>
        <v>A</v>
      </c>
      <c r="L165" s="8">
        <f>'3. Demand Forecast'!H125</f>
        <v>0.3</v>
      </c>
      <c r="M165" s="5" t="str">
        <f t="shared" si="19"/>
        <v>Y</v>
      </c>
      <c r="N165" s="5" t="str">
        <f t="shared" si="20"/>
        <v>AY</v>
      </c>
    </row>
    <row r="166" spans="1:14" ht="15" customHeight="1" x14ac:dyDescent="0.2">
      <c r="A166" s="3" t="str">
        <f>'1. Master Data'!A81</f>
        <v>NT10077</v>
      </c>
      <c r="B166" s="1" t="str">
        <f>'1. Master Data'!B81</f>
        <v>ProBook 720 i7 15in</v>
      </c>
      <c r="C166" s="3" t="str">
        <f>'1. Master Data'!C81</f>
        <v>Laptops</v>
      </c>
      <c r="D166" s="3" t="str">
        <f>'1. Master Data'!D81</f>
        <v>West DC</v>
      </c>
      <c r="E166" s="4">
        <f>'1. Master Data'!F81</f>
        <v>572</v>
      </c>
      <c r="F166" s="3">
        <f>'2. Demand History'!AA81</f>
        <v>561</v>
      </c>
      <c r="G166" s="4">
        <f t="shared" si="14"/>
        <v>320892</v>
      </c>
      <c r="H166" s="3">
        <f t="shared" si="15"/>
        <v>162</v>
      </c>
      <c r="I166" s="11">
        <f t="shared" si="16"/>
        <v>127769248</v>
      </c>
      <c r="J166" s="10">
        <f t="shared" si="17"/>
        <v>0.77275855064455412</v>
      </c>
      <c r="K166" s="5" t="str">
        <f t="shared" si="18"/>
        <v>A</v>
      </c>
      <c r="L166" s="8">
        <f>'3. Demand Forecast'!H81</f>
        <v>0.28999999999999998</v>
      </c>
      <c r="M166" s="5" t="str">
        <f t="shared" si="19"/>
        <v>Y</v>
      </c>
      <c r="N166" s="5" t="str">
        <f t="shared" si="20"/>
        <v>AY</v>
      </c>
    </row>
    <row r="167" spans="1:14" ht="15" customHeight="1" x14ac:dyDescent="0.2">
      <c r="A167" s="3" t="str">
        <f>'1. Master Data'!A299</f>
        <v>NT10295</v>
      </c>
      <c r="B167" s="1" t="str">
        <f>'1. Master Data'!B299</f>
        <v>StreamCam S188</v>
      </c>
      <c r="C167" s="3" t="str">
        <f>'1. Master Data'!C299</f>
        <v>Gaming</v>
      </c>
      <c r="D167" s="3" t="str">
        <f>'1. Master Data'!D299</f>
        <v>Central DC</v>
      </c>
      <c r="E167" s="4">
        <f>'1. Master Data'!F299</f>
        <v>90</v>
      </c>
      <c r="F167" s="3">
        <f>'2. Demand History'!AA299</f>
        <v>3519</v>
      </c>
      <c r="G167" s="4">
        <f t="shared" si="14"/>
        <v>316710</v>
      </c>
      <c r="H167" s="3">
        <f t="shared" si="15"/>
        <v>163</v>
      </c>
      <c r="I167" s="11">
        <f t="shared" si="16"/>
        <v>128085958</v>
      </c>
      <c r="J167" s="10">
        <f t="shared" si="17"/>
        <v>0.77467403785611411</v>
      </c>
      <c r="K167" s="5" t="str">
        <f t="shared" si="18"/>
        <v>A</v>
      </c>
      <c r="L167" s="8">
        <f>'3. Demand Forecast'!H299</f>
        <v>0.31</v>
      </c>
      <c r="M167" s="5" t="str">
        <f t="shared" si="19"/>
        <v>Y</v>
      </c>
      <c r="N167" s="5" t="str">
        <f t="shared" si="20"/>
        <v>AY</v>
      </c>
    </row>
    <row r="168" spans="1:14" ht="15" customHeight="1" x14ac:dyDescent="0.2">
      <c r="A168" s="3" t="str">
        <f>'1. Master Data'!A49</f>
        <v>NT10045</v>
      </c>
      <c r="B168" s="1" t="str">
        <f>'1. Master Data'!B49</f>
        <v>Nova X674 Pro 256GB</v>
      </c>
      <c r="C168" s="3" t="str">
        <f>'1. Master Data'!C49</f>
        <v>Smartphones</v>
      </c>
      <c r="D168" s="3" t="str">
        <f>'1. Master Data'!D49</f>
        <v>West DC</v>
      </c>
      <c r="E168" s="4">
        <f>'1. Master Data'!F49</f>
        <v>365</v>
      </c>
      <c r="F168" s="3">
        <f>'2. Demand History'!AA49</f>
        <v>828</v>
      </c>
      <c r="G168" s="4">
        <f t="shared" si="14"/>
        <v>302220</v>
      </c>
      <c r="H168" s="3">
        <f t="shared" si="15"/>
        <v>164</v>
      </c>
      <c r="I168" s="11">
        <f t="shared" si="16"/>
        <v>128388178</v>
      </c>
      <c r="J168" s="10">
        <f t="shared" si="17"/>
        <v>0.77650188839786416</v>
      </c>
      <c r="K168" s="5" t="str">
        <f t="shared" si="18"/>
        <v>A</v>
      </c>
      <c r="L168" s="8">
        <f>'3. Demand Forecast'!H49</f>
        <v>0.25</v>
      </c>
      <c r="M168" s="5" t="str">
        <f t="shared" si="19"/>
        <v>X</v>
      </c>
      <c r="N168" s="5" t="str">
        <f t="shared" si="20"/>
        <v>AX</v>
      </c>
    </row>
    <row r="169" spans="1:14" ht="15" customHeight="1" x14ac:dyDescent="0.2">
      <c r="A169" s="3" t="str">
        <f>'1. Master Data'!A346</f>
        <v>NT10342</v>
      </c>
      <c r="B169" s="1" t="str">
        <f>'1. Master Data'!B346</f>
        <v>SmartPlug Duo 426</v>
      </c>
      <c r="C169" s="3" t="str">
        <f>'1. Master Data'!C346</f>
        <v>Smart Home</v>
      </c>
      <c r="D169" s="3" t="str">
        <f>'1. Master Data'!D346</f>
        <v>West DC</v>
      </c>
      <c r="E169" s="4">
        <f>'1. Master Data'!F346</f>
        <v>97</v>
      </c>
      <c r="F169" s="3">
        <f>'2. Demand History'!AA346</f>
        <v>3112</v>
      </c>
      <c r="G169" s="4">
        <f t="shared" si="14"/>
        <v>301864</v>
      </c>
      <c r="H169" s="3">
        <f t="shared" si="15"/>
        <v>165</v>
      </c>
      <c r="I169" s="11">
        <f t="shared" si="16"/>
        <v>128690042</v>
      </c>
      <c r="J169" s="10">
        <f t="shared" si="17"/>
        <v>0.77832758582336492</v>
      </c>
      <c r="K169" s="5" t="str">
        <f t="shared" si="18"/>
        <v>A</v>
      </c>
      <c r="L169" s="8">
        <f>'3. Demand Forecast'!H346</f>
        <v>0.05</v>
      </c>
      <c r="M169" s="5" t="str">
        <f t="shared" si="19"/>
        <v>X</v>
      </c>
      <c r="N169" s="5" t="str">
        <f t="shared" si="20"/>
        <v>AX</v>
      </c>
    </row>
    <row r="170" spans="1:14" ht="15" customHeight="1" x14ac:dyDescent="0.2">
      <c r="A170" s="3" t="str">
        <f>'1. Master Data'!A61</f>
        <v>NT10057</v>
      </c>
      <c r="B170" s="1" t="str">
        <f>'1. Master Data'!B61</f>
        <v>ProBook 187 i5 14in</v>
      </c>
      <c r="C170" s="3" t="str">
        <f>'1. Master Data'!C61</f>
        <v>Laptops</v>
      </c>
      <c r="D170" s="3" t="str">
        <f>'1. Master Data'!D61</f>
        <v>West DC</v>
      </c>
      <c r="E170" s="4">
        <f>'1. Master Data'!F61</f>
        <v>1083</v>
      </c>
      <c r="F170" s="3">
        <f>'2. Demand History'!AA61</f>
        <v>274</v>
      </c>
      <c r="G170" s="4">
        <f t="shared" si="14"/>
        <v>296742</v>
      </c>
      <c r="H170" s="3">
        <f t="shared" si="15"/>
        <v>166</v>
      </c>
      <c r="I170" s="11">
        <f t="shared" si="16"/>
        <v>128986784</v>
      </c>
      <c r="J170" s="10">
        <f t="shared" si="17"/>
        <v>0.78012230498642487</v>
      </c>
      <c r="K170" s="5" t="str">
        <f t="shared" si="18"/>
        <v>A</v>
      </c>
      <c r="L170" s="8">
        <f>'3. Demand Forecast'!H61</f>
        <v>0.93</v>
      </c>
      <c r="M170" s="5" t="str">
        <f t="shared" si="19"/>
        <v>Z</v>
      </c>
      <c r="N170" s="5" t="str">
        <f t="shared" si="20"/>
        <v>AZ</v>
      </c>
    </row>
    <row r="171" spans="1:14" ht="15" customHeight="1" x14ac:dyDescent="0.2">
      <c r="A171" s="3" t="str">
        <f>'1. Master Data'!A187</f>
        <v>NT10183</v>
      </c>
      <c r="B171" s="1" t="str">
        <f>'1. Master Data'!B187</f>
        <v>WaveBar 576 Soundbar</v>
      </c>
      <c r="C171" s="3" t="str">
        <f>'1. Master Data'!C187</f>
        <v>Audio</v>
      </c>
      <c r="D171" s="3" t="str">
        <f>'1. Master Data'!D187</f>
        <v>Central DC</v>
      </c>
      <c r="E171" s="4">
        <f>'1. Master Data'!F187</f>
        <v>168</v>
      </c>
      <c r="F171" s="3">
        <f>'2. Demand History'!AA187</f>
        <v>1754</v>
      </c>
      <c r="G171" s="4">
        <f t="shared" si="14"/>
        <v>294672</v>
      </c>
      <c r="H171" s="3">
        <f t="shared" si="15"/>
        <v>167</v>
      </c>
      <c r="I171" s="11">
        <f t="shared" si="16"/>
        <v>129281456</v>
      </c>
      <c r="J171" s="10">
        <f t="shared" si="17"/>
        <v>0.78190450462522632</v>
      </c>
      <c r="K171" s="5" t="str">
        <f t="shared" si="18"/>
        <v>A</v>
      </c>
      <c r="L171" s="8">
        <f>'3. Demand Forecast'!H187</f>
        <v>0.21</v>
      </c>
      <c r="M171" s="5" t="str">
        <f t="shared" si="19"/>
        <v>X</v>
      </c>
      <c r="N171" s="5" t="str">
        <f t="shared" si="20"/>
        <v>AX</v>
      </c>
    </row>
    <row r="172" spans="1:14" ht="15" customHeight="1" x14ac:dyDescent="0.2">
      <c r="A172" s="3" t="str">
        <f>'1. Master Data'!A192</f>
        <v>NT10188</v>
      </c>
      <c r="B172" s="1" t="str">
        <f>'1. Master Data'!B192</f>
        <v>SoundCore Buds 506</v>
      </c>
      <c r="C172" s="3" t="str">
        <f>'1. Master Data'!C192</f>
        <v>Audio</v>
      </c>
      <c r="D172" s="3" t="str">
        <f>'1. Master Data'!D192</f>
        <v>West DC</v>
      </c>
      <c r="E172" s="4">
        <f>'1. Master Data'!F192</f>
        <v>238</v>
      </c>
      <c r="F172" s="3">
        <f>'2. Demand History'!AA192</f>
        <v>1227</v>
      </c>
      <c r="G172" s="4">
        <f t="shared" si="14"/>
        <v>292026</v>
      </c>
      <c r="H172" s="3">
        <f t="shared" si="15"/>
        <v>168</v>
      </c>
      <c r="I172" s="11">
        <f t="shared" si="16"/>
        <v>129573482</v>
      </c>
      <c r="J172" s="10">
        <f t="shared" si="17"/>
        <v>0.78367070104606251</v>
      </c>
      <c r="K172" s="5" t="str">
        <f t="shared" si="18"/>
        <v>A</v>
      </c>
      <c r="L172" s="8">
        <f>'3. Demand Forecast'!H192</f>
        <v>0.25</v>
      </c>
      <c r="M172" s="5" t="str">
        <f t="shared" si="19"/>
        <v>X</v>
      </c>
      <c r="N172" s="5" t="str">
        <f t="shared" si="20"/>
        <v>AX</v>
      </c>
    </row>
    <row r="173" spans="1:14" ht="15" customHeight="1" x14ac:dyDescent="0.2">
      <c r="A173" s="3" t="str">
        <f>'1. Master Data'!A130</f>
        <v>NT10126</v>
      </c>
      <c r="B173" s="1" t="str">
        <f>'1. Master Data'!B130</f>
        <v>VisionOLED 780in 4K</v>
      </c>
      <c r="C173" s="3" t="str">
        <f>'1. Master Data'!C130</f>
        <v>TVs</v>
      </c>
      <c r="D173" s="3" t="str">
        <f>'1. Master Data'!D130</f>
        <v>West DC</v>
      </c>
      <c r="E173" s="4">
        <f>'1. Master Data'!F130</f>
        <v>625</v>
      </c>
      <c r="F173" s="3">
        <f>'2. Demand History'!AA130</f>
        <v>467</v>
      </c>
      <c r="G173" s="4">
        <f t="shared" si="14"/>
        <v>291875</v>
      </c>
      <c r="H173" s="3">
        <f t="shared" si="15"/>
        <v>169</v>
      </c>
      <c r="I173" s="11">
        <f t="shared" si="16"/>
        <v>129865357</v>
      </c>
      <c r="J173" s="10">
        <f t="shared" si="17"/>
        <v>0.78543598420691652</v>
      </c>
      <c r="K173" s="5" t="str">
        <f t="shared" si="18"/>
        <v>A</v>
      </c>
      <c r="L173" s="8">
        <f>'3. Demand Forecast'!H130</f>
        <v>0.31</v>
      </c>
      <c r="M173" s="5" t="str">
        <f t="shared" si="19"/>
        <v>Y</v>
      </c>
      <c r="N173" s="5" t="str">
        <f t="shared" si="20"/>
        <v>AY</v>
      </c>
    </row>
    <row r="174" spans="1:14" ht="15" customHeight="1" x14ac:dyDescent="0.2">
      <c r="A174" s="3" t="str">
        <f>'1. Master Data'!A11</f>
        <v>NT10007</v>
      </c>
      <c r="B174" s="1" t="str">
        <f>'1. Master Data'!B11</f>
        <v>Pulse 667 Dual SIM</v>
      </c>
      <c r="C174" s="3" t="str">
        <f>'1. Master Data'!C11</f>
        <v>Smartphones</v>
      </c>
      <c r="D174" s="3" t="str">
        <f>'1. Master Data'!D11</f>
        <v>Central DC</v>
      </c>
      <c r="E174" s="4">
        <f>'1. Master Data'!F11</f>
        <v>685</v>
      </c>
      <c r="F174" s="3">
        <f>'2. Demand History'!AA11</f>
        <v>413</v>
      </c>
      <c r="G174" s="4">
        <f t="shared" si="14"/>
        <v>282905</v>
      </c>
      <c r="H174" s="3">
        <f t="shared" si="15"/>
        <v>170</v>
      </c>
      <c r="I174" s="11">
        <f t="shared" si="16"/>
        <v>130148262</v>
      </c>
      <c r="J174" s="10">
        <f t="shared" si="17"/>
        <v>0.78714701609598337</v>
      </c>
      <c r="K174" s="5" t="str">
        <f t="shared" si="18"/>
        <v>A</v>
      </c>
      <c r="L174" s="8">
        <f>'3. Demand Forecast'!H11</f>
        <v>0.35</v>
      </c>
      <c r="M174" s="5" t="str">
        <f t="shared" si="19"/>
        <v>Y</v>
      </c>
      <c r="N174" s="5" t="str">
        <f t="shared" si="20"/>
        <v>AY</v>
      </c>
    </row>
    <row r="175" spans="1:14" ht="15" customHeight="1" x14ac:dyDescent="0.2">
      <c r="A175" s="3" t="str">
        <f>'1. Master Data'!A248</f>
        <v>NT10244</v>
      </c>
      <c r="B175" s="1" t="str">
        <f>'1. Master Data'!B248</f>
        <v>FitTrack Band 588</v>
      </c>
      <c r="C175" s="3" t="str">
        <f>'1. Master Data'!C248</f>
        <v>Wearables</v>
      </c>
      <c r="D175" s="3" t="str">
        <f>'1. Master Data'!D248</f>
        <v>East DC</v>
      </c>
      <c r="E175" s="4">
        <f>'1. Master Data'!F248</f>
        <v>153</v>
      </c>
      <c r="F175" s="3">
        <f>'2. Demand History'!AA248</f>
        <v>1842</v>
      </c>
      <c r="G175" s="4">
        <f t="shared" si="14"/>
        <v>281826</v>
      </c>
      <c r="H175" s="3">
        <f t="shared" si="15"/>
        <v>171</v>
      </c>
      <c r="I175" s="11">
        <f t="shared" si="16"/>
        <v>130430088</v>
      </c>
      <c r="J175" s="10">
        <f t="shared" si="17"/>
        <v>0.78885152210742959</v>
      </c>
      <c r="K175" s="5" t="str">
        <f t="shared" si="18"/>
        <v>A</v>
      </c>
      <c r="L175" s="8">
        <f>'3. Demand Forecast'!H248</f>
        <v>0.3</v>
      </c>
      <c r="M175" s="5" t="str">
        <f t="shared" si="19"/>
        <v>Y</v>
      </c>
      <c r="N175" s="5" t="str">
        <f t="shared" si="20"/>
        <v>AY</v>
      </c>
    </row>
    <row r="176" spans="1:14" ht="15" customHeight="1" x14ac:dyDescent="0.2">
      <c r="A176" s="3" t="str">
        <f>'1. Master Data'!A136</f>
        <v>NT10132</v>
      </c>
      <c r="B176" s="1" t="str">
        <f>'1. Master Data'!B136</f>
        <v>VisionOLED 815in 4K</v>
      </c>
      <c r="C176" s="3" t="str">
        <f>'1. Master Data'!C136</f>
        <v>TVs</v>
      </c>
      <c r="D176" s="3" t="str">
        <f>'1. Master Data'!D136</f>
        <v>Central DC</v>
      </c>
      <c r="E176" s="4">
        <f>'1. Master Data'!F136</f>
        <v>1126</v>
      </c>
      <c r="F176" s="3">
        <f>'2. Demand History'!AA136</f>
        <v>248</v>
      </c>
      <c r="G176" s="4">
        <f t="shared" si="14"/>
        <v>279248</v>
      </c>
      <c r="H176" s="3">
        <f t="shared" si="15"/>
        <v>172</v>
      </c>
      <c r="I176" s="11">
        <f t="shared" si="16"/>
        <v>130709336</v>
      </c>
      <c r="J176" s="10">
        <f t="shared" si="17"/>
        <v>0.79054043617030634</v>
      </c>
      <c r="K176" s="5" t="str">
        <f t="shared" si="18"/>
        <v>A</v>
      </c>
      <c r="L176" s="8">
        <f>'3. Demand Forecast'!H136</f>
        <v>0.34</v>
      </c>
      <c r="M176" s="5" t="str">
        <f t="shared" si="19"/>
        <v>Y</v>
      </c>
      <c r="N176" s="5" t="str">
        <f t="shared" si="20"/>
        <v>AY</v>
      </c>
    </row>
    <row r="177" spans="1:14" ht="15" customHeight="1" x14ac:dyDescent="0.2">
      <c r="A177" s="3" t="str">
        <f>'1. Master Data'!A275</f>
        <v>NT10271</v>
      </c>
      <c r="B177" s="1" t="str">
        <f>'1. Master Data'!B275</f>
        <v>GameStation Controller 390</v>
      </c>
      <c r="C177" s="3" t="str">
        <f>'1. Master Data'!C275</f>
        <v>Gaming</v>
      </c>
      <c r="D177" s="3" t="str">
        <f>'1. Master Data'!D275</f>
        <v>East DC</v>
      </c>
      <c r="E177" s="4">
        <f>'1. Master Data'!F275</f>
        <v>58</v>
      </c>
      <c r="F177" s="3">
        <f>'2. Demand History'!AA275</f>
        <v>4782</v>
      </c>
      <c r="G177" s="4">
        <f t="shared" si="14"/>
        <v>277356</v>
      </c>
      <c r="H177" s="3">
        <f t="shared" si="15"/>
        <v>173</v>
      </c>
      <c r="I177" s="11">
        <f t="shared" si="16"/>
        <v>130986692</v>
      </c>
      <c r="J177" s="10">
        <f t="shared" si="17"/>
        <v>0.79221790726704922</v>
      </c>
      <c r="K177" s="5" t="str">
        <f t="shared" si="18"/>
        <v>A</v>
      </c>
      <c r="L177" s="8">
        <f>'3. Demand Forecast'!H275</f>
        <v>0.31</v>
      </c>
      <c r="M177" s="5" t="str">
        <f t="shared" si="19"/>
        <v>Y</v>
      </c>
      <c r="N177" s="5" t="str">
        <f t="shared" si="20"/>
        <v>AY</v>
      </c>
    </row>
    <row r="178" spans="1:14" ht="15" customHeight="1" x14ac:dyDescent="0.2">
      <c r="A178" s="3" t="str">
        <f>'1. Master Data'!A396</f>
        <v>NT10392</v>
      </c>
      <c r="B178" s="1" t="str">
        <f>'1. Master Data'!B396</f>
        <v>OptiZoom 988 DSLR</v>
      </c>
      <c r="C178" s="3" t="str">
        <f>'1. Master Data'!C396</f>
        <v>Cameras</v>
      </c>
      <c r="D178" s="3" t="str">
        <f>'1. Master Data'!D396</f>
        <v>West DC</v>
      </c>
      <c r="E178" s="4">
        <f>'1. Master Data'!F396</f>
        <v>731</v>
      </c>
      <c r="F178" s="3">
        <f>'2. Demand History'!AA396</f>
        <v>376</v>
      </c>
      <c r="G178" s="4">
        <f t="shared" si="14"/>
        <v>274856</v>
      </c>
      <c r="H178" s="3">
        <f t="shared" si="15"/>
        <v>174</v>
      </c>
      <c r="I178" s="11">
        <f t="shared" si="16"/>
        <v>131261548</v>
      </c>
      <c r="J178" s="10">
        <f t="shared" si="17"/>
        <v>0.79388025816541219</v>
      </c>
      <c r="K178" s="5" t="str">
        <f t="shared" si="18"/>
        <v>A</v>
      </c>
      <c r="L178" s="8">
        <f>'3. Demand Forecast'!H396</f>
        <v>0.27</v>
      </c>
      <c r="M178" s="5" t="str">
        <f t="shared" si="19"/>
        <v>Y</v>
      </c>
      <c r="N178" s="5" t="str">
        <f t="shared" si="20"/>
        <v>AY</v>
      </c>
    </row>
    <row r="179" spans="1:14" ht="15" customHeight="1" x14ac:dyDescent="0.2">
      <c r="A179" s="3" t="str">
        <f>'1. Master Data'!A327</f>
        <v>NT10323</v>
      </c>
      <c r="B179" s="1" t="str">
        <f>'1. Master Data'!B327</f>
        <v>SmartPlug Duo 798</v>
      </c>
      <c r="C179" s="3" t="str">
        <f>'1. Master Data'!C327</f>
        <v>Smart Home</v>
      </c>
      <c r="D179" s="3" t="str">
        <f>'1. Master Data'!D327</f>
        <v>West DC</v>
      </c>
      <c r="E179" s="4">
        <f>'1. Master Data'!F327</f>
        <v>72</v>
      </c>
      <c r="F179" s="3">
        <f>'2. Demand History'!AA327</f>
        <v>3788</v>
      </c>
      <c r="G179" s="4">
        <f t="shared" si="14"/>
        <v>272736</v>
      </c>
      <c r="H179" s="3">
        <f t="shared" si="15"/>
        <v>175</v>
      </c>
      <c r="I179" s="11">
        <f t="shared" si="16"/>
        <v>131534284</v>
      </c>
      <c r="J179" s="10">
        <f t="shared" si="17"/>
        <v>0.79552978713554889</v>
      </c>
      <c r="K179" s="5" t="str">
        <f t="shared" si="18"/>
        <v>A</v>
      </c>
      <c r="L179" s="8">
        <f>'3. Demand Forecast'!H327</f>
        <v>0.04</v>
      </c>
      <c r="M179" s="5" t="str">
        <f t="shared" si="19"/>
        <v>X</v>
      </c>
      <c r="N179" s="5" t="str">
        <f t="shared" si="20"/>
        <v>AX</v>
      </c>
    </row>
    <row r="180" spans="1:14" ht="15" customHeight="1" x14ac:dyDescent="0.2">
      <c r="A180" s="3" t="str">
        <f>'1. Master Data'!A197</f>
        <v>NT10193</v>
      </c>
      <c r="B180" s="1" t="str">
        <f>'1. Master Data'!B197</f>
        <v>SoundCore Buds 879</v>
      </c>
      <c r="C180" s="3" t="str">
        <f>'1. Master Data'!C197</f>
        <v>Audio</v>
      </c>
      <c r="D180" s="3" t="str">
        <f>'1. Master Data'!D197</f>
        <v>East DC</v>
      </c>
      <c r="E180" s="4">
        <f>'1. Master Data'!F197</f>
        <v>145</v>
      </c>
      <c r="F180" s="3">
        <f>'2. Demand History'!AA197</f>
        <v>1875</v>
      </c>
      <c r="G180" s="4">
        <f t="shared" si="14"/>
        <v>271875</v>
      </c>
      <c r="H180" s="3">
        <f t="shared" si="15"/>
        <v>176</v>
      </c>
      <c r="I180" s="11">
        <f t="shared" si="16"/>
        <v>131806159</v>
      </c>
      <c r="J180" s="10">
        <f t="shared" si="17"/>
        <v>0.79717410870936367</v>
      </c>
      <c r="K180" s="5" t="str">
        <f t="shared" si="18"/>
        <v>A</v>
      </c>
      <c r="L180" s="8">
        <f>'3. Demand Forecast'!H197</f>
        <v>0.28999999999999998</v>
      </c>
      <c r="M180" s="5" t="str">
        <f t="shared" si="19"/>
        <v>Y</v>
      </c>
      <c r="N180" s="5" t="str">
        <f t="shared" si="20"/>
        <v>AY</v>
      </c>
    </row>
    <row r="181" spans="1:14" ht="15" customHeight="1" x14ac:dyDescent="0.2">
      <c r="A181" s="3" t="str">
        <f>'1. Master Data'!A86</f>
        <v>NT10082</v>
      </c>
      <c r="B181" s="1" t="str">
        <f>'1. Master Data'!B86</f>
        <v>CreatorPro 155 i9 16in</v>
      </c>
      <c r="C181" s="3" t="str">
        <f>'1. Master Data'!C86</f>
        <v>Laptops</v>
      </c>
      <c r="D181" s="3" t="str">
        <f>'1. Master Data'!D86</f>
        <v>Central DC</v>
      </c>
      <c r="E181" s="4">
        <f>'1. Master Data'!F86</f>
        <v>1442</v>
      </c>
      <c r="F181" s="3">
        <f>'2. Demand History'!AA86</f>
        <v>188</v>
      </c>
      <c r="G181" s="4">
        <f t="shared" si="14"/>
        <v>271096</v>
      </c>
      <c r="H181" s="3">
        <f t="shared" si="15"/>
        <v>177</v>
      </c>
      <c r="I181" s="11">
        <f t="shared" si="16"/>
        <v>132077255</v>
      </c>
      <c r="J181" s="10">
        <f t="shared" si="17"/>
        <v>0.79881371882936325</v>
      </c>
      <c r="K181" s="5" t="str">
        <f t="shared" si="18"/>
        <v>A</v>
      </c>
      <c r="L181" s="8">
        <f>'3. Demand Forecast'!H86</f>
        <v>0.28000000000000003</v>
      </c>
      <c r="M181" s="5" t="str">
        <f t="shared" si="19"/>
        <v>Y</v>
      </c>
      <c r="N181" s="5" t="str">
        <f t="shared" si="20"/>
        <v>AY</v>
      </c>
    </row>
    <row r="182" spans="1:14" ht="15" customHeight="1" x14ac:dyDescent="0.2">
      <c r="A182" s="3" t="str">
        <f>'1. Master Data'!A200</f>
        <v>NT10196</v>
      </c>
      <c r="B182" s="1" t="str">
        <f>'1. Master Data'!B200</f>
        <v>ClipMic 380 Wireless</v>
      </c>
      <c r="C182" s="3" t="str">
        <f>'1. Master Data'!C200</f>
        <v>Audio</v>
      </c>
      <c r="D182" s="3" t="str">
        <f>'1. Master Data'!D200</f>
        <v>East DC</v>
      </c>
      <c r="E182" s="4">
        <f>'1. Master Data'!F200</f>
        <v>132</v>
      </c>
      <c r="F182" s="3">
        <f>'2. Demand History'!AA200</f>
        <v>2016</v>
      </c>
      <c r="G182" s="4">
        <f t="shared" si="14"/>
        <v>266112</v>
      </c>
      <c r="H182" s="3">
        <f t="shared" si="15"/>
        <v>178</v>
      </c>
      <c r="I182" s="11">
        <f t="shared" si="16"/>
        <v>132343367</v>
      </c>
      <c r="J182" s="10">
        <f t="shared" si="17"/>
        <v>0.80042318532187262</v>
      </c>
      <c r="K182" s="5" t="str">
        <f t="shared" si="18"/>
        <v>B</v>
      </c>
      <c r="L182" s="8">
        <f>'3. Demand Forecast'!H200</f>
        <v>0.28999999999999998</v>
      </c>
      <c r="M182" s="5" t="str">
        <f t="shared" si="19"/>
        <v>Y</v>
      </c>
      <c r="N182" s="5" t="str">
        <f t="shared" si="20"/>
        <v>BY</v>
      </c>
    </row>
    <row r="183" spans="1:14" ht="15" customHeight="1" x14ac:dyDescent="0.2">
      <c r="A183" s="3" t="str">
        <f>'1. Master Data'!A458</f>
        <v>NT10454</v>
      </c>
      <c r="B183" s="1" t="str">
        <f>'1. Master Data'!B458</f>
        <v>Wall Charger 65W V714</v>
      </c>
      <c r="C183" s="3" t="str">
        <f>'1. Master Data'!C458</f>
        <v>Accessories</v>
      </c>
      <c r="D183" s="3" t="str">
        <f>'1. Master Data'!D458</f>
        <v>Central DC</v>
      </c>
      <c r="E183" s="4">
        <f>'1. Master Data'!F458</f>
        <v>24</v>
      </c>
      <c r="F183" s="3">
        <f>'2. Demand History'!AA458</f>
        <v>11044</v>
      </c>
      <c r="G183" s="4">
        <f t="shared" si="14"/>
        <v>265056</v>
      </c>
      <c r="H183" s="3">
        <f t="shared" si="15"/>
        <v>179</v>
      </c>
      <c r="I183" s="11">
        <f t="shared" si="16"/>
        <v>132608423</v>
      </c>
      <c r="J183" s="10">
        <f t="shared" si="17"/>
        <v>0.80202626504258645</v>
      </c>
      <c r="K183" s="5" t="str">
        <f t="shared" si="18"/>
        <v>B</v>
      </c>
      <c r="L183" s="8">
        <f>'3. Demand Forecast'!H458</f>
        <v>0.06</v>
      </c>
      <c r="M183" s="5" t="str">
        <f t="shared" si="19"/>
        <v>X</v>
      </c>
      <c r="N183" s="5" t="str">
        <f t="shared" si="20"/>
        <v>BX</v>
      </c>
    </row>
    <row r="184" spans="1:14" ht="15" customHeight="1" x14ac:dyDescent="0.2">
      <c r="A184" s="3" t="str">
        <f>'1. Master Data'!A411</f>
        <v>NT10407</v>
      </c>
      <c r="B184" s="1" t="str">
        <f>'1. Master Data'!B411</f>
        <v>DrawPad 201 12in</v>
      </c>
      <c r="C184" s="3" t="str">
        <f>'1. Master Data'!C411</f>
        <v>Tablets</v>
      </c>
      <c r="D184" s="3" t="str">
        <f>'1. Master Data'!D411</f>
        <v>West DC</v>
      </c>
      <c r="E184" s="4">
        <f>'1. Master Data'!F411</f>
        <v>260</v>
      </c>
      <c r="F184" s="3">
        <f>'2. Demand History'!AA411</f>
        <v>1012</v>
      </c>
      <c r="G184" s="4">
        <f t="shared" si="14"/>
        <v>263120</v>
      </c>
      <c r="H184" s="3">
        <f t="shared" si="15"/>
        <v>180</v>
      </c>
      <c r="I184" s="11">
        <f t="shared" si="16"/>
        <v>132871543</v>
      </c>
      <c r="J184" s="10">
        <f t="shared" si="17"/>
        <v>0.80361763568167477</v>
      </c>
      <c r="K184" s="5" t="str">
        <f t="shared" si="18"/>
        <v>B</v>
      </c>
      <c r="L184" s="8">
        <f>'3. Demand Forecast'!H411</f>
        <v>0.27</v>
      </c>
      <c r="M184" s="5" t="str">
        <f t="shared" si="19"/>
        <v>Y</v>
      </c>
      <c r="N184" s="5" t="str">
        <f t="shared" si="20"/>
        <v>BY</v>
      </c>
    </row>
    <row r="185" spans="1:14" ht="15" customHeight="1" x14ac:dyDescent="0.2">
      <c r="A185" s="3" t="str">
        <f>'1. Master Data'!A456</f>
        <v>NT10452</v>
      </c>
      <c r="B185" s="1" t="str">
        <f>'1. Master Data'!B456</f>
        <v>Phone Case Clear V585</v>
      </c>
      <c r="C185" s="3" t="str">
        <f>'1. Master Data'!C456</f>
        <v>Accessories</v>
      </c>
      <c r="D185" s="3" t="str">
        <f>'1. Master Data'!D456</f>
        <v>West DC</v>
      </c>
      <c r="E185" s="4">
        <f>'1. Master Data'!F456</f>
        <v>38</v>
      </c>
      <c r="F185" s="3">
        <f>'2. Demand History'!AA456</f>
        <v>6904</v>
      </c>
      <c r="G185" s="4">
        <f t="shared" si="14"/>
        <v>262352</v>
      </c>
      <c r="H185" s="3">
        <f t="shared" si="15"/>
        <v>181</v>
      </c>
      <c r="I185" s="11">
        <f t="shared" si="16"/>
        <v>133133895</v>
      </c>
      <c r="J185" s="10">
        <f t="shared" si="17"/>
        <v>0.80520436139582074</v>
      </c>
      <c r="K185" s="5" t="str">
        <f t="shared" si="18"/>
        <v>B</v>
      </c>
      <c r="L185" s="8">
        <f>'3. Demand Forecast'!H456</f>
        <v>7.0000000000000007E-2</v>
      </c>
      <c r="M185" s="5" t="str">
        <f t="shared" si="19"/>
        <v>X</v>
      </c>
      <c r="N185" s="5" t="str">
        <f t="shared" si="20"/>
        <v>BX</v>
      </c>
    </row>
    <row r="186" spans="1:14" ht="15" customHeight="1" x14ac:dyDescent="0.2">
      <c r="A186" s="3" t="str">
        <f>'1. Master Data'!A19</f>
        <v>NT10015</v>
      </c>
      <c r="B186" s="1" t="str">
        <f>'1. Master Data'!B19</f>
        <v>Edge 805 5G 128GB</v>
      </c>
      <c r="C186" s="3" t="str">
        <f>'1. Master Data'!C19</f>
        <v>Smartphones</v>
      </c>
      <c r="D186" s="3" t="str">
        <f>'1. Master Data'!D19</f>
        <v>East DC</v>
      </c>
      <c r="E186" s="4">
        <f>'1. Master Data'!F19</f>
        <v>437</v>
      </c>
      <c r="F186" s="3">
        <f>'2. Demand History'!AA19</f>
        <v>600</v>
      </c>
      <c r="G186" s="4">
        <f t="shared" si="14"/>
        <v>262200</v>
      </c>
      <c r="H186" s="3">
        <f t="shared" si="15"/>
        <v>182</v>
      </c>
      <c r="I186" s="11">
        <f t="shared" si="16"/>
        <v>133396095</v>
      </c>
      <c r="J186" s="10">
        <f t="shared" si="17"/>
        <v>0.80679016780190527</v>
      </c>
      <c r="K186" s="5" t="str">
        <f t="shared" si="18"/>
        <v>B</v>
      </c>
      <c r="L186" s="8">
        <f>'3. Demand Forecast'!H19</f>
        <v>0.28999999999999998</v>
      </c>
      <c r="M186" s="5" t="str">
        <f t="shared" si="19"/>
        <v>Y</v>
      </c>
      <c r="N186" s="5" t="str">
        <f t="shared" si="20"/>
        <v>BY</v>
      </c>
    </row>
    <row r="187" spans="1:14" ht="15" customHeight="1" x14ac:dyDescent="0.2">
      <c r="A187" s="3" t="str">
        <f>'1. Master Data'!A212</f>
        <v>NT10208</v>
      </c>
      <c r="B187" s="1" t="str">
        <f>'1. Master Data'!B212</f>
        <v>NovaWatch 308 GPS</v>
      </c>
      <c r="C187" s="3" t="str">
        <f>'1. Master Data'!C212</f>
        <v>Wearables</v>
      </c>
      <c r="D187" s="3" t="str">
        <f>'1. Master Data'!D212</f>
        <v>Central DC</v>
      </c>
      <c r="E187" s="4">
        <f>'1. Master Data'!F212</f>
        <v>73</v>
      </c>
      <c r="F187" s="3">
        <f>'2. Demand History'!AA212</f>
        <v>3579</v>
      </c>
      <c r="G187" s="4">
        <f t="shared" si="14"/>
        <v>261267</v>
      </c>
      <c r="H187" s="3">
        <f t="shared" si="15"/>
        <v>183</v>
      </c>
      <c r="I187" s="11">
        <f t="shared" si="16"/>
        <v>133657362</v>
      </c>
      <c r="J187" s="10">
        <f t="shared" si="17"/>
        <v>0.8083703313499544</v>
      </c>
      <c r="K187" s="5" t="str">
        <f t="shared" si="18"/>
        <v>B</v>
      </c>
      <c r="L187" s="8">
        <f>'3. Demand Forecast'!H212</f>
        <v>0.28999999999999998</v>
      </c>
      <c r="M187" s="5" t="str">
        <f t="shared" si="19"/>
        <v>Y</v>
      </c>
      <c r="N187" s="5" t="str">
        <f t="shared" si="20"/>
        <v>BY</v>
      </c>
    </row>
    <row r="188" spans="1:14" ht="15" customHeight="1" x14ac:dyDescent="0.2">
      <c r="A188" s="3" t="str">
        <f>'1. Master Data'!A144</f>
        <v>NT10140</v>
      </c>
      <c r="B188" s="1" t="str">
        <f>'1. Master Data'!B144</f>
        <v>VisionQ 974in QLED</v>
      </c>
      <c r="C188" s="3" t="str">
        <f>'1. Master Data'!C144</f>
        <v>TVs</v>
      </c>
      <c r="D188" s="3" t="str">
        <f>'1. Master Data'!D144</f>
        <v>East DC</v>
      </c>
      <c r="E188" s="4">
        <f>'1. Master Data'!F144</f>
        <v>1497</v>
      </c>
      <c r="F188" s="3">
        <f>'2. Demand History'!AA144</f>
        <v>174</v>
      </c>
      <c r="G188" s="4">
        <f t="shared" si="14"/>
        <v>260478</v>
      </c>
      <c r="H188" s="3">
        <f t="shared" si="15"/>
        <v>184</v>
      </c>
      <c r="I188" s="11">
        <f t="shared" si="16"/>
        <v>133917840</v>
      </c>
      <c r="J188" s="10">
        <f t="shared" si="17"/>
        <v>0.80994572296339484</v>
      </c>
      <c r="K188" s="5" t="str">
        <f t="shared" si="18"/>
        <v>B</v>
      </c>
      <c r="L188" s="8">
        <f>'3. Demand Forecast'!H144</f>
        <v>0.28000000000000003</v>
      </c>
      <c r="M188" s="5" t="str">
        <f t="shared" si="19"/>
        <v>Y</v>
      </c>
      <c r="N188" s="5" t="str">
        <f t="shared" si="20"/>
        <v>BY</v>
      </c>
    </row>
    <row r="189" spans="1:14" ht="15" customHeight="1" x14ac:dyDescent="0.2">
      <c r="A189" s="3" t="str">
        <f>'1. Master Data'!A363</f>
        <v>NT10359</v>
      </c>
      <c r="B189" s="1" t="str">
        <f>'1. Master Data'!B363</f>
        <v>ActionCam 776 4K</v>
      </c>
      <c r="C189" s="3" t="str">
        <f>'1. Master Data'!C363</f>
        <v>Cameras</v>
      </c>
      <c r="D189" s="3" t="str">
        <f>'1. Master Data'!D363</f>
        <v>West DC</v>
      </c>
      <c r="E189" s="4">
        <f>'1. Master Data'!F363</f>
        <v>519</v>
      </c>
      <c r="F189" s="3">
        <f>'2. Demand History'!AA363</f>
        <v>487</v>
      </c>
      <c r="G189" s="4">
        <f t="shared" si="14"/>
        <v>252753</v>
      </c>
      <c r="H189" s="3">
        <f t="shared" si="15"/>
        <v>185</v>
      </c>
      <c r="I189" s="11">
        <f t="shared" si="16"/>
        <v>134170593</v>
      </c>
      <c r="J189" s="10">
        <f t="shared" si="17"/>
        <v>0.8114743931638414</v>
      </c>
      <c r="K189" s="5" t="str">
        <f t="shared" si="18"/>
        <v>B</v>
      </c>
      <c r="L189" s="8">
        <f>'3. Demand Forecast'!H363</f>
        <v>0.35</v>
      </c>
      <c r="M189" s="5" t="str">
        <f t="shared" si="19"/>
        <v>Y</v>
      </c>
      <c r="N189" s="5" t="str">
        <f t="shared" si="20"/>
        <v>BY</v>
      </c>
    </row>
    <row r="190" spans="1:14" ht="15" customHeight="1" x14ac:dyDescent="0.2">
      <c r="A190" s="3" t="str">
        <f>'1. Master Data'!A9</f>
        <v>NT10005</v>
      </c>
      <c r="B190" s="1" t="str">
        <f>'1. Master Data'!B9</f>
        <v>Pulse 753 Dual SIM</v>
      </c>
      <c r="C190" s="3" t="str">
        <f>'1. Master Data'!C9</f>
        <v>Smartphones</v>
      </c>
      <c r="D190" s="3" t="str">
        <f>'1. Master Data'!D9</f>
        <v>Central DC</v>
      </c>
      <c r="E190" s="4">
        <f>'1. Master Data'!F9</f>
        <v>598</v>
      </c>
      <c r="F190" s="3">
        <f>'2. Demand History'!AA9</f>
        <v>422</v>
      </c>
      <c r="G190" s="4">
        <f t="shared" si="14"/>
        <v>252356</v>
      </c>
      <c r="H190" s="3">
        <f t="shared" si="15"/>
        <v>186</v>
      </c>
      <c r="I190" s="11">
        <f t="shared" si="16"/>
        <v>134422949</v>
      </c>
      <c r="J190" s="10">
        <f t="shared" si="17"/>
        <v>0.81300066227678525</v>
      </c>
      <c r="K190" s="5" t="str">
        <f t="shared" si="18"/>
        <v>B</v>
      </c>
      <c r="L190" s="8">
        <f>'3. Demand Forecast'!H9</f>
        <v>0.28000000000000003</v>
      </c>
      <c r="M190" s="5" t="str">
        <f t="shared" si="19"/>
        <v>Y</v>
      </c>
      <c r="N190" s="5" t="str">
        <f t="shared" si="20"/>
        <v>BY</v>
      </c>
    </row>
    <row r="191" spans="1:14" ht="15" customHeight="1" x14ac:dyDescent="0.2">
      <c r="A191" s="3" t="str">
        <f>'1. Master Data'!A89</f>
        <v>NT10085</v>
      </c>
      <c r="B191" s="1" t="str">
        <f>'1. Master Data'!B89</f>
        <v>CreatorPro 319 i9 16in</v>
      </c>
      <c r="C191" s="3" t="str">
        <f>'1. Master Data'!C89</f>
        <v>Laptops</v>
      </c>
      <c r="D191" s="3" t="str">
        <f>'1. Master Data'!D89</f>
        <v>West DC</v>
      </c>
      <c r="E191" s="4">
        <f>'1. Master Data'!F89</f>
        <v>893</v>
      </c>
      <c r="F191" s="3">
        <f>'2. Demand History'!AA89</f>
        <v>280</v>
      </c>
      <c r="G191" s="4">
        <f t="shared" si="14"/>
        <v>250040</v>
      </c>
      <c r="H191" s="3">
        <f t="shared" si="15"/>
        <v>187</v>
      </c>
      <c r="I191" s="11">
        <f t="shared" si="16"/>
        <v>134672989</v>
      </c>
      <c r="J191" s="10">
        <f t="shared" si="17"/>
        <v>0.81451292403794984</v>
      </c>
      <c r="K191" s="5" t="str">
        <f t="shared" si="18"/>
        <v>B</v>
      </c>
      <c r="L191" s="8">
        <f>'3. Demand Forecast'!H89</f>
        <v>0.33</v>
      </c>
      <c r="M191" s="5" t="str">
        <f t="shared" si="19"/>
        <v>Y</v>
      </c>
      <c r="N191" s="5" t="str">
        <f t="shared" si="20"/>
        <v>BY</v>
      </c>
    </row>
    <row r="192" spans="1:14" ht="15" customHeight="1" x14ac:dyDescent="0.2">
      <c r="A192" s="3" t="str">
        <f>'1. Master Data'!A158</f>
        <v>NT10154</v>
      </c>
      <c r="B192" s="1" t="str">
        <f>'1. Master Data'!B158</f>
        <v>StudioPods 523 ANC</v>
      </c>
      <c r="C192" s="3" t="str">
        <f>'1. Master Data'!C158</f>
        <v>Audio</v>
      </c>
      <c r="D192" s="3" t="str">
        <f>'1. Master Data'!D158</f>
        <v>Central DC</v>
      </c>
      <c r="E192" s="4">
        <f>'1. Master Data'!F158</f>
        <v>196</v>
      </c>
      <c r="F192" s="3">
        <f>'2. Demand History'!AA158</f>
        <v>1274</v>
      </c>
      <c r="G192" s="4">
        <f t="shared" si="14"/>
        <v>249704</v>
      </c>
      <c r="H192" s="3">
        <f t="shared" si="15"/>
        <v>188</v>
      </c>
      <c r="I192" s="11">
        <f t="shared" si="16"/>
        <v>134922693</v>
      </c>
      <c r="J192" s="10">
        <f t="shared" si="17"/>
        <v>0.81602315364445221</v>
      </c>
      <c r="K192" s="5" t="str">
        <f t="shared" si="18"/>
        <v>B</v>
      </c>
      <c r="L192" s="8">
        <f>'3. Demand Forecast'!H158</f>
        <v>0.34</v>
      </c>
      <c r="M192" s="5" t="str">
        <f t="shared" si="19"/>
        <v>Y</v>
      </c>
      <c r="N192" s="5" t="str">
        <f t="shared" si="20"/>
        <v>BY</v>
      </c>
    </row>
    <row r="193" spans="1:14" ht="15" customHeight="1" x14ac:dyDescent="0.2">
      <c r="A193" s="3" t="str">
        <f>'1. Master Data'!A217</f>
        <v>NT10213</v>
      </c>
      <c r="B193" s="1" t="str">
        <f>'1. Master Data'!B217</f>
        <v>NovaWatch 372 GPS</v>
      </c>
      <c r="C193" s="3" t="str">
        <f>'1. Master Data'!C217</f>
        <v>Wearables</v>
      </c>
      <c r="D193" s="3" t="str">
        <f>'1. Master Data'!D217</f>
        <v>Central DC</v>
      </c>
      <c r="E193" s="4">
        <f>'1. Master Data'!F217</f>
        <v>66</v>
      </c>
      <c r="F193" s="3">
        <f>'2. Demand History'!AA217</f>
        <v>3751</v>
      </c>
      <c r="G193" s="4">
        <f t="shared" si="14"/>
        <v>247566</v>
      </c>
      <c r="H193" s="3">
        <f t="shared" si="15"/>
        <v>189</v>
      </c>
      <c r="I193" s="11">
        <f t="shared" si="16"/>
        <v>135170259</v>
      </c>
      <c r="J193" s="10">
        <f t="shared" si="17"/>
        <v>0.81752045245730021</v>
      </c>
      <c r="K193" s="5" t="str">
        <f t="shared" si="18"/>
        <v>B</v>
      </c>
      <c r="L193" s="8">
        <f>'3. Demand Forecast'!H217</f>
        <v>0.33</v>
      </c>
      <c r="M193" s="5" t="str">
        <f t="shared" si="19"/>
        <v>Y</v>
      </c>
      <c r="N193" s="5" t="str">
        <f t="shared" si="20"/>
        <v>BY</v>
      </c>
    </row>
    <row r="194" spans="1:14" ht="15" customHeight="1" x14ac:dyDescent="0.2">
      <c r="A194" s="3" t="str">
        <f>'1. Master Data'!A286</f>
        <v>NT10282</v>
      </c>
      <c r="B194" s="1" t="str">
        <f>'1. Master Data'!B286</f>
        <v>ProMouse G176</v>
      </c>
      <c r="C194" s="3" t="str">
        <f>'1. Master Data'!C286</f>
        <v>Gaming</v>
      </c>
      <c r="D194" s="3" t="str">
        <f>'1. Master Data'!D286</f>
        <v>East DC</v>
      </c>
      <c r="E194" s="4">
        <f>'1. Master Data'!F286</f>
        <v>138</v>
      </c>
      <c r="F194" s="3">
        <f>'2. Demand History'!AA286</f>
        <v>1779</v>
      </c>
      <c r="G194" s="4">
        <f t="shared" si="14"/>
        <v>245502</v>
      </c>
      <c r="H194" s="3">
        <f t="shared" si="15"/>
        <v>190</v>
      </c>
      <c r="I194" s="11">
        <f t="shared" si="16"/>
        <v>135415761</v>
      </c>
      <c r="J194" s="10">
        <f t="shared" si="17"/>
        <v>0.81900526803436557</v>
      </c>
      <c r="K194" s="5" t="str">
        <f t="shared" si="18"/>
        <v>B</v>
      </c>
      <c r="L194" s="8">
        <f>'3. Demand Forecast'!H286</f>
        <v>0.22</v>
      </c>
      <c r="M194" s="5" t="str">
        <f t="shared" si="19"/>
        <v>X</v>
      </c>
      <c r="N194" s="5" t="str">
        <f t="shared" si="20"/>
        <v>BX</v>
      </c>
    </row>
    <row r="195" spans="1:14" ht="15" customHeight="1" x14ac:dyDescent="0.2">
      <c r="A195" s="3" t="str">
        <f>'1. Master Data'!A415</f>
        <v>NT10411</v>
      </c>
      <c r="B195" s="1" t="str">
        <f>'1. Master Data'!B415</f>
        <v>NovaTab 602 10in</v>
      </c>
      <c r="C195" s="3" t="str">
        <f>'1. Master Data'!C415</f>
        <v>Tablets</v>
      </c>
      <c r="D195" s="3" t="str">
        <f>'1. Master Data'!D415</f>
        <v>East DC</v>
      </c>
      <c r="E195" s="4">
        <f>'1. Master Data'!F415</f>
        <v>220</v>
      </c>
      <c r="F195" s="3">
        <f>'2. Demand History'!AA415</f>
        <v>1083</v>
      </c>
      <c r="G195" s="4">
        <f t="shared" si="14"/>
        <v>238260</v>
      </c>
      <c r="H195" s="3">
        <f t="shared" si="15"/>
        <v>191</v>
      </c>
      <c r="I195" s="11">
        <f t="shared" si="16"/>
        <v>135654021</v>
      </c>
      <c r="J195" s="10">
        <f t="shared" si="17"/>
        <v>0.8204462834207642</v>
      </c>
      <c r="K195" s="5" t="str">
        <f t="shared" si="18"/>
        <v>B</v>
      </c>
      <c r="L195" s="8">
        <f>'3. Demand Forecast'!H415</f>
        <v>0.3</v>
      </c>
      <c r="M195" s="5" t="str">
        <f t="shared" si="19"/>
        <v>Y</v>
      </c>
      <c r="N195" s="5" t="str">
        <f t="shared" si="20"/>
        <v>BY</v>
      </c>
    </row>
    <row r="196" spans="1:14" ht="15" customHeight="1" x14ac:dyDescent="0.2">
      <c r="A196" s="3" t="str">
        <f>'1. Master Data'!A66</f>
        <v>NT10062</v>
      </c>
      <c r="B196" s="1" t="str">
        <f>'1. Master Data'!B66</f>
        <v>CreatorPro 354 i9 16in</v>
      </c>
      <c r="C196" s="3" t="str">
        <f>'1. Master Data'!C66</f>
        <v>Laptops</v>
      </c>
      <c r="D196" s="3" t="str">
        <f>'1. Master Data'!D66</f>
        <v>Central DC</v>
      </c>
      <c r="E196" s="4">
        <f>'1. Master Data'!F66</f>
        <v>1068</v>
      </c>
      <c r="F196" s="3">
        <f>'2. Demand History'!AA66</f>
        <v>223</v>
      </c>
      <c r="G196" s="4">
        <f t="shared" si="14"/>
        <v>238164</v>
      </c>
      <c r="H196" s="3">
        <f t="shared" si="15"/>
        <v>192</v>
      </c>
      <c r="I196" s="11">
        <f t="shared" si="16"/>
        <v>135892185</v>
      </c>
      <c r="J196" s="10">
        <f t="shared" si="17"/>
        <v>0.82188671819154491</v>
      </c>
      <c r="K196" s="5" t="str">
        <f t="shared" si="18"/>
        <v>B</v>
      </c>
      <c r="L196" s="8">
        <f>'3. Demand Forecast'!H66</f>
        <v>0.3</v>
      </c>
      <c r="M196" s="5" t="str">
        <f t="shared" si="19"/>
        <v>Y</v>
      </c>
      <c r="N196" s="5" t="str">
        <f t="shared" si="20"/>
        <v>BY</v>
      </c>
    </row>
    <row r="197" spans="1:14" ht="15" customHeight="1" x14ac:dyDescent="0.2">
      <c r="A197" s="3" t="str">
        <f>'1. Master Data'!A335</f>
        <v>NT10331</v>
      </c>
      <c r="B197" s="1" t="str">
        <f>'1. Master Data'!B335</f>
        <v>ThermoSmart 793</v>
      </c>
      <c r="C197" s="3" t="str">
        <f>'1. Master Data'!C335</f>
        <v>Smart Home</v>
      </c>
      <c r="D197" s="3" t="str">
        <f>'1. Master Data'!D335</f>
        <v>West DC</v>
      </c>
      <c r="E197" s="4">
        <f>'1. Master Data'!F335</f>
        <v>77</v>
      </c>
      <c r="F197" s="3">
        <f>'2. Demand History'!AA335</f>
        <v>3053</v>
      </c>
      <c r="G197" s="4">
        <f t="shared" ref="G197:G260" si="21">E197*F197</f>
        <v>235081</v>
      </c>
      <c r="H197" s="3">
        <f t="shared" ref="H197:H260" si="22">RANK(G197,G$5:G$504,0)</f>
        <v>193</v>
      </c>
      <c r="I197" s="11">
        <f t="shared" ref="I197:I260" si="23">SUMPRODUCT((H$5:H$504&lt;=H197)*G$5:G$504)</f>
        <v>136127266</v>
      </c>
      <c r="J197" s="10">
        <f t="shared" ref="J197:J260" si="24">I197/SUM(G$5:G$504)</f>
        <v>0.82330850673368361</v>
      </c>
      <c r="K197" s="5" t="str">
        <f t="shared" ref="K197:K260" si="25">IF(J197&lt;=0.8,"A",IF(J197&lt;=0.95,"B","C"))</f>
        <v>B</v>
      </c>
      <c r="L197" s="8">
        <f>'3. Demand Forecast'!H335</f>
        <v>0.1</v>
      </c>
      <c r="M197" s="5" t="str">
        <f t="shared" ref="M197:M260" si="26">IF(L197&lt;=0.25,"X",IF(L197&lt;=0.6,"Y","Z"))</f>
        <v>X</v>
      </c>
      <c r="N197" s="5" t="str">
        <f t="shared" ref="N197:N260" si="27">K197&amp;M197</f>
        <v>BX</v>
      </c>
    </row>
    <row r="198" spans="1:14" ht="15" customHeight="1" x14ac:dyDescent="0.2">
      <c r="A198" s="3" t="str">
        <f>'1. Master Data'!A173</f>
        <v>NT10169</v>
      </c>
      <c r="B198" s="1" t="str">
        <f>'1. Master Data'!B173</f>
        <v>StudioPods 131 ANC</v>
      </c>
      <c r="C198" s="3" t="str">
        <f>'1. Master Data'!C173</f>
        <v>Audio</v>
      </c>
      <c r="D198" s="3" t="str">
        <f>'1. Master Data'!D173</f>
        <v>East DC</v>
      </c>
      <c r="E198" s="4">
        <f>'1. Master Data'!F173</f>
        <v>134</v>
      </c>
      <c r="F198" s="3">
        <f>'2. Demand History'!AA173</f>
        <v>1746</v>
      </c>
      <c r="G198" s="4">
        <f t="shared" si="21"/>
        <v>233964</v>
      </c>
      <c r="H198" s="3">
        <f t="shared" si="22"/>
        <v>194</v>
      </c>
      <c r="I198" s="11">
        <f t="shared" si="23"/>
        <v>136361230</v>
      </c>
      <c r="J198" s="10">
        <f t="shared" si="24"/>
        <v>0.82472353957118605</v>
      </c>
      <c r="K198" s="5" t="str">
        <f t="shared" si="25"/>
        <v>B</v>
      </c>
      <c r="L198" s="8">
        <f>'3. Demand Forecast'!H173</f>
        <v>0.28999999999999998</v>
      </c>
      <c r="M198" s="5" t="str">
        <f t="shared" si="26"/>
        <v>Y</v>
      </c>
      <c r="N198" s="5" t="str">
        <f t="shared" si="27"/>
        <v>BY</v>
      </c>
    </row>
    <row r="199" spans="1:14" ht="15" customHeight="1" x14ac:dyDescent="0.2">
      <c r="A199" s="3" t="str">
        <f>'1. Master Data'!A289</f>
        <v>NT10285</v>
      </c>
      <c r="B199" s="1" t="str">
        <f>'1. Master Data'!B289</f>
        <v>ArenaHeadset H548</v>
      </c>
      <c r="C199" s="3" t="str">
        <f>'1. Master Data'!C289</f>
        <v>Gaming</v>
      </c>
      <c r="D199" s="3" t="str">
        <f>'1. Master Data'!D289</f>
        <v>Central DC</v>
      </c>
      <c r="E199" s="4">
        <f>'1. Master Data'!F289</f>
        <v>94</v>
      </c>
      <c r="F199" s="3">
        <f>'2. Demand History'!AA289</f>
        <v>2483</v>
      </c>
      <c r="G199" s="4">
        <f t="shared" si="21"/>
        <v>233402</v>
      </c>
      <c r="H199" s="3">
        <f t="shared" si="22"/>
        <v>195</v>
      </c>
      <c r="I199" s="11">
        <f t="shared" si="23"/>
        <v>136594632</v>
      </c>
      <c r="J199" s="10">
        <f t="shared" si="24"/>
        <v>0.82613517338809284</v>
      </c>
      <c r="K199" s="5" t="str">
        <f t="shared" si="25"/>
        <v>B</v>
      </c>
      <c r="L199" s="8">
        <f>'3. Demand Forecast'!H289</f>
        <v>0.32</v>
      </c>
      <c r="M199" s="5" t="str">
        <f t="shared" si="26"/>
        <v>Y</v>
      </c>
      <c r="N199" s="5" t="str">
        <f t="shared" si="27"/>
        <v>BY</v>
      </c>
    </row>
    <row r="200" spans="1:14" ht="15" customHeight="1" x14ac:dyDescent="0.2">
      <c r="A200" s="3" t="str">
        <f>'1. Master Data'!A393</f>
        <v>NT10389</v>
      </c>
      <c r="B200" s="1" t="str">
        <f>'1. Master Data'!B393</f>
        <v>MirrorlessM 942</v>
      </c>
      <c r="C200" s="3" t="str">
        <f>'1. Master Data'!C393</f>
        <v>Cameras</v>
      </c>
      <c r="D200" s="3" t="str">
        <f>'1. Master Data'!D393</f>
        <v>Central DC</v>
      </c>
      <c r="E200" s="4">
        <f>'1. Master Data'!F393</f>
        <v>599</v>
      </c>
      <c r="F200" s="3">
        <f>'2. Demand History'!AA393</f>
        <v>389</v>
      </c>
      <c r="G200" s="4">
        <f t="shared" si="21"/>
        <v>233011</v>
      </c>
      <c r="H200" s="3">
        <f t="shared" si="22"/>
        <v>196</v>
      </c>
      <c r="I200" s="11">
        <f t="shared" si="23"/>
        <v>136827643</v>
      </c>
      <c r="J200" s="10">
        <f t="shared" si="24"/>
        <v>0.82754444240597291</v>
      </c>
      <c r="K200" s="5" t="str">
        <f t="shared" si="25"/>
        <v>B</v>
      </c>
      <c r="L200" s="8">
        <f>'3. Demand Forecast'!H393</f>
        <v>0.33</v>
      </c>
      <c r="M200" s="5" t="str">
        <f t="shared" si="26"/>
        <v>Y</v>
      </c>
      <c r="N200" s="5" t="str">
        <f t="shared" si="27"/>
        <v>BY</v>
      </c>
    </row>
    <row r="201" spans="1:14" ht="15" customHeight="1" x14ac:dyDescent="0.2">
      <c r="A201" s="3" t="str">
        <f>'1. Master Data'!A352</f>
        <v>NT10348</v>
      </c>
      <c r="B201" s="1" t="str">
        <f>'1. Master Data'!B352</f>
        <v>HomeCam 160 1080p</v>
      </c>
      <c r="C201" s="3" t="str">
        <f>'1. Master Data'!C352</f>
        <v>Smart Home</v>
      </c>
      <c r="D201" s="3" t="str">
        <f>'1. Master Data'!D352</f>
        <v>Central DC</v>
      </c>
      <c r="E201" s="4">
        <f>'1. Master Data'!F352</f>
        <v>61</v>
      </c>
      <c r="F201" s="3">
        <f>'2. Demand History'!AA352</f>
        <v>3751</v>
      </c>
      <c r="G201" s="4">
        <f t="shared" si="21"/>
        <v>228811</v>
      </c>
      <c r="H201" s="3">
        <f t="shared" si="22"/>
        <v>197</v>
      </c>
      <c r="I201" s="11">
        <f t="shared" si="23"/>
        <v>137056454</v>
      </c>
      <c r="J201" s="10">
        <f t="shared" si="24"/>
        <v>0.82892830949057472</v>
      </c>
      <c r="K201" s="5" t="str">
        <f t="shared" si="25"/>
        <v>B</v>
      </c>
      <c r="L201" s="8">
        <f>'3. Demand Forecast'!H352</f>
        <v>0.06</v>
      </c>
      <c r="M201" s="5" t="str">
        <f t="shared" si="26"/>
        <v>X</v>
      </c>
      <c r="N201" s="5" t="str">
        <f t="shared" si="27"/>
        <v>BX</v>
      </c>
    </row>
    <row r="202" spans="1:14" ht="15" customHeight="1" x14ac:dyDescent="0.2">
      <c r="A202" s="3" t="str">
        <f>'1. Master Data'!A279</f>
        <v>NT10275</v>
      </c>
      <c r="B202" s="1" t="str">
        <f>'1. Master Data'!B279</f>
        <v>ArenaHeadset H478</v>
      </c>
      <c r="C202" s="3" t="str">
        <f>'1. Master Data'!C279</f>
        <v>Gaming</v>
      </c>
      <c r="D202" s="3" t="str">
        <f>'1. Master Data'!D279</f>
        <v>Central DC</v>
      </c>
      <c r="E202" s="4">
        <f>'1. Master Data'!F279</f>
        <v>201</v>
      </c>
      <c r="F202" s="3">
        <f>'2. Demand History'!AA279</f>
        <v>1138</v>
      </c>
      <c r="G202" s="4">
        <f t="shared" si="21"/>
        <v>228738</v>
      </c>
      <c r="H202" s="3">
        <f t="shared" si="22"/>
        <v>198</v>
      </c>
      <c r="I202" s="11">
        <f t="shared" si="23"/>
        <v>137285192</v>
      </c>
      <c r="J202" s="10">
        <f t="shared" si="24"/>
        <v>0.83031173506538392</v>
      </c>
      <c r="K202" s="5" t="str">
        <f t="shared" si="25"/>
        <v>B</v>
      </c>
      <c r="L202" s="8">
        <f>'3. Demand Forecast'!H279</f>
        <v>0.3</v>
      </c>
      <c r="M202" s="5" t="str">
        <f t="shared" si="26"/>
        <v>Y</v>
      </c>
      <c r="N202" s="5" t="str">
        <f t="shared" si="27"/>
        <v>BY</v>
      </c>
    </row>
    <row r="203" spans="1:14" ht="15" customHeight="1" x14ac:dyDescent="0.2">
      <c r="A203" s="3" t="str">
        <f>'1. Master Data'!A195</f>
        <v>NT10191</v>
      </c>
      <c r="B203" s="1" t="str">
        <f>'1. Master Data'!B195</f>
        <v>BassMax Speaker 416</v>
      </c>
      <c r="C203" s="3" t="str">
        <f>'1. Master Data'!C195</f>
        <v>Audio</v>
      </c>
      <c r="D203" s="3" t="str">
        <f>'1. Master Data'!D195</f>
        <v>West DC</v>
      </c>
      <c r="E203" s="4">
        <f>'1. Master Data'!F195</f>
        <v>230</v>
      </c>
      <c r="F203" s="3">
        <f>'2. Demand History'!AA195</f>
        <v>992</v>
      </c>
      <c r="G203" s="4">
        <f t="shared" si="21"/>
        <v>228160</v>
      </c>
      <c r="H203" s="3">
        <f t="shared" si="22"/>
        <v>199</v>
      </c>
      <c r="I203" s="11">
        <f t="shared" si="23"/>
        <v>137513352</v>
      </c>
      <c r="J203" s="10">
        <f t="shared" si="24"/>
        <v>0.83169166485032764</v>
      </c>
      <c r="K203" s="5" t="str">
        <f t="shared" si="25"/>
        <v>B</v>
      </c>
      <c r="L203" s="8">
        <f>'3. Demand Forecast'!H195</f>
        <v>0.28999999999999998</v>
      </c>
      <c r="M203" s="5" t="str">
        <f t="shared" si="26"/>
        <v>Y</v>
      </c>
      <c r="N203" s="5" t="str">
        <f t="shared" si="27"/>
        <v>BY</v>
      </c>
    </row>
    <row r="204" spans="1:14" ht="15" customHeight="1" x14ac:dyDescent="0.2">
      <c r="A204" s="3" t="str">
        <f>'1. Master Data'!A392</f>
        <v>NT10388</v>
      </c>
      <c r="B204" s="1" t="str">
        <f>'1. Master Data'!B392</f>
        <v>MirrorlessM 748</v>
      </c>
      <c r="C204" s="3" t="str">
        <f>'1. Master Data'!C392</f>
        <v>Cameras</v>
      </c>
      <c r="D204" s="3" t="str">
        <f>'1. Master Data'!D392</f>
        <v>East DC</v>
      </c>
      <c r="E204" s="4">
        <f>'1. Master Data'!F392</f>
        <v>826</v>
      </c>
      <c r="F204" s="3">
        <f>'2. Demand History'!AA392</f>
        <v>276</v>
      </c>
      <c r="G204" s="4">
        <f t="shared" si="21"/>
        <v>227976</v>
      </c>
      <c r="H204" s="3">
        <f t="shared" si="22"/>
        <v>200</v>
      </c>
      <c r="I204" s="11">
        <f t="shared" si="23"/>
        <v>137741328</v>
      </c>
      <c r="J204" s="10">
        <f t="shared" si="24"/>
        <v>0.8330704817886706</v>
      </c>
      <c r="K204" s="5" t="str">
        <f t="shared" si="25"/>
        <v>B</v>
      </c>
      <c r="L204" s="8">
        <f>'3. Demand Forecast'!H392</f>
        <v>0.24</v>
      </c>
      <c r="M204" s="5" t="str">
        <f t="shared" si="26"/>
        <v>X</v>
      </c>
      <c r="N204" s="5" t="str">
        <f t="shared" si="27"/>
        <v>BX</v>
      </c>
    </row>
    <row r="205" spans="1:14" ht="15" customHeight="1" x14ac:dyDescent="0.2">
      <c r="A205" s="3" t="str">
        <f>'1. Master Data'!A284</f>
        <v>NT10280</v>
      </c>
      <c r="B205" s="1" t="str">
        <f>'1. Master Data'!B284</f>
        <v>ProMouse G327</v>
      </c>
      <c r="C205" s="3" t="str">
        <f>'1. Master Data'!C284</f>
        <v>Gaming</v>
      </c>
      <c r="D205" s="3" t="str">
        <f>'1. Master Data'!D284</f>
        <v>East DC</v>
      </c>
      <c r="E205" s="4">
        <f>'1. Master Data'!F284</f>
        <v>160</v>
      </c>
      <c r="F205" s="3">
        <f>'2. Demand History'!AA284</f>
        <v>1419</v>
      </c>
      <c r="G205" s="4">
        <f t="shared" si="21"/>
        <v>227040</v>
      </c>
      <c r="H205" s="3">
        <f t="shared" si="22"/>
        <v>201</v>
      </c>
      <c r="I205" s="11">
        <f t="shared" si="23"/>
        <v>137968368</v>
      </c>
      <c r="J205" s="10">
        <f t="shared" si="24"/>
        <v>0.83444363772474017</v>
      </c>
      <c r="K205" s="5" t="str">
        <f t="shared" si="25"/>
        <v>B</v>
      </c>
      <c r="L205" s="8">
        <f>'3. Demand Forecast'!H284</f>
        <v>0.33</v>
      </c>
      <c r="M205" s="5" t="str">
        <f t="shared" si="26"/>
        <v>Y</v>
      </c>
      <c r="N205" s="5" t="str">
        <f t="shared" si="27"/>
        <v>BY</v>
      </c>
    </row>
    <row r="206" spans="1:14" ht="15" customHeight="1" x14ac:dyDescent="0.2">
      <c r="A206" s="3" t="str">
        <f>'1. Master Data'!A93</f>
        <v>NT10089</v>
      </c>
      <c r="B206" s="1" t="str">
        <f>'1. Master Data'!B93</f>
        <v>UltraSlim 908 Ryzen 5</v>
      </c>
      <c r="C206" s="3" t="str">
        <f>'1. Master Data'!C93</f>
        <v>Laptops</v>
      </c>
      <c r="D206" s="3" t="str">
        <f>'1. Master Data'!D93</f>
        <v>Central DC</v>
      </c>
      <c r="E206" s="4">
        <f>'1. Master Data'!F93</f>
        <v>685</v>
      </c>
      <c r="F206" s="3">
        <f>'2. Demand History'!AA93</f>
        <v>331</v>
      </c>
      <c r="G206" s="4">
        <f t="shared" si="21"/>
        <v>226735</v>
      </c>
      <c r="H206" s="3">
        <f t="shared" si="22"/>
        <v>202</v>
      </c>
      <c r="I206" s="11">
        <f t="shared" si="23"/>
        <v>138195103</v>
      </c>
      <c r="J206" s="10">
        <f t="shared" si="24"/>
        <v>0.83581494899660735</v>
      </c>
      <c r="K206" s="5" t="str">
        <f t="shared" si="25"/>
        <v>B</v>
      </c>
      <c r="L206" s="8">
        <f>'3. Demand Forecast'!H93</f>
        <v>0.31</v>
      </c>
      <c r="M206" s="5" t="str">
        <f t="shared" si="26"/>
        <v>Y</v>
      </c>
      <c r="N206" s="5" t="str">
        <f t="shared" si="27"/>
        <v>BY</v>
      </c>
    </row>
    <row r="207" spans="1:14" ht="15" customHeight="1" x14ac:dyDescent="0.2">
      <c r="A207" s="3" t="str">
        <f>'1. Master Data'!A13</f>
        <v>NT10009</v>
      </c>
      <c r="B207" s="1" t="str">
        <f>'1. Master Data'!B13</f>
        <v>Nova X689 128GB</v>
      </c>
      <c r="C207" s="3" t="str">
        <f>'1. Master Data'!C13</f>
        <v>Smartphones</v>
      </c>
      <c r="D207" s="3" t="str">
        <f>'1. Master Data'!D13</f>
        <v>West DC</v>
      </c>
      <c r="E207" s="4">
        <f>'1. Master Data'!F13</f>
        <v>382</v>
      </c>
      <c r="F207" s="3">
        <f>'2. Demand History'!AA13</f>
        <v>593</v>
      </c>
      <c r="G207" s="4">
        <f t="shared" si="21"/>
        <v>226526</v>
      </c>
      <c r="H207" s="3">
        <f t="shared" si="22"/>
        <v>203</v>
      </c>
      <c r="I207" s="11">
        <f t="shared" si="23"/>
        <v>138421629</v>
      </c>
      <c r="J207" s="10">
        <f t="shared" si="24"/>
        <v>0.83718499621988995</v>
      </c>
      <c r="K207" s="5" t="str">
        <f t="shared" si="25"/>
        <v>B</v>
      </c>
      <c r="L207" s="8">
        <f>'3. Demand Forecast'!H13</f>
        <v>0.27</v>
      </c>
      <c r="M207" s="5" t="str">
        <f t="shared" si="26"/>
        <v>Y</v>
      </c>
      <c r="N207" s="5" t="str">
        <f t="shared" si="27"/>
        <v>BY</v>
      </c>
    </row>
    <row r="208" spans="1:14" ht="15" customHeight="1" x14ac:dyDescent="0.2">
      <c r="A208" s="3" t="str">
        <f>'1. Master Data'!A302</f>
        <v>NT10298</v>
      </c>
      <c r="B208" s="1" t="str">
        <f>'1. Master Data'!B302</f>
        <v>StreamCam S283</v>
      </c>
      <c r="C208" s="3" t="str">
        <f>'1. Master Data'!C302</f>
        <v>Gaming</v>
      </c>
      <c r="D208" s="3" t="str">
        <f>'1. Master Data'!D302</f>
        <v>Central DC</v>
      </c>
      <c r="E208" s="4">
        <f>'1. Master Data'!F302</f>
        <v>291</v>
      </c>
      <c r="F208" s="3">
        <f>'2. Demand History'!AA302</f>
        <v>768</v>
      </c>
      <c r="G208" s="4">
        <f t="shared" si="21"/>
        <v>223488</v>
      </c>
      <c r="H208" s="3">
        <f t="shared" si="22"/>
        <v>204</v>
      </c>
      <c r="I208" s="11">
        <f t="shared" si="23"/>
        <v>138645117</v>
      </c>
      <c r="J208" s="10">
        <f t="shared" si="24"/>
        <v>0.83853666937810123</v>
      </c>
      <c r="K208" s="5" t="str">
        <f t="shared" si="25"/>
        <v>B</v>
      </c>
      <c r="L208" s="8">
        <f>'3. Demand Forecast'!H302</f>
        <v>0.28999999999999998</v>
      </c>
      <c r="M208" s="5" t="str">
        <f t="shared" si="26"/>
        <v>Y</v>
      </c>
      <c r="N208" s="5" t="str">
        <f t="shared" si="27"/>
        <v>BY</v>
      </c>
    </row>
    <row r="209" spans="1:14" ht="15" customHeight="1" x14ac:dyDescent="0.2">
      <c r="A209" s="3" t="str">
        <f>'1. Master Data'!A141</f>
        <v>NT10137</v>
      </c>
      <c r="B209" s="1" t="str">
        <f>'1. Master Data'!B141</f>
        <v>VisionLED 726in 4K</v>
      </c>
      <c r="C209" s="3" t="str">
        <f>'1. Master Data'!C141</f>
        <v>TVs</v>
      </c>
      <c r="D209" s="3" t="str">
        <f>'1. Master Data'!D141</f>
        <v>West DC</v>
      </c>
      <c r="E209" s="4">
        <f>'1. Master Data'!F141</f>
        <v>374</v>
      </c>
      <c r="F209" s="3">
        <f>'2. Demand History'!AA141</f>
        <v>597</v>
      </c>
      <c r="G209" s="4">
        <f t="shared" si="21"/>
        <v>223278</v>
      </c>
      <c r="H209" s="3">
        <f t="shared" si="22"/>
        <v>205</v>
      </c>
      <c r="I209" s="11">
        <f t="shared" si="23"/>
        <v>138868395</v>
      </c>
      <c r="J209" s="10">
        <f t="shared" si="24"/>
        <v>0.83988707243964877</v>
      </c>
      <c r="K209" s="5" t="str">
        <f t="shared" si="25"/>
        <v>B</v>
      </c>
      <c r="L209" s="8">
        <f>'3. Demand Forecast'!H141</f>
        <v>0.31</v>
      </c>
      <c r="M209" s="5" t="str">
        <f t="shared" si="26"/>
        <v>Y</v>
      </c>
      <c r="N209" s="5" t="str">
        <f t="shared" si="27"/>
        <v>BY</v>
      </c>
    </row>
    <row r="210" spans="1:14" ht="15" customHeight="1" x14ac:dyDescent="0.2">
      <c r="A210" s="3" t="str">
        <f>'1. Master Data'!A384</f>
        <v>NT10380</v>
      </c>
      <c r="B210" s="1" t="str">
        <f>'1. Master Data'!B384</f>
        <v>ActionCam 649 4K</v>
      </c>
      <c r="C210" s="3" t="str">
        <f>'1. Master Data'!C384</f>
        <v>Cameras</v>
      </c>
      <c r="D210" s="3" t="str">
        <f>'1. Master Data'!D384</f>
        <v>West DC</v>
      </c>
      <c r="E210" s="4">
        <f>'1. Master Data'!F384</f>
        <v>226</v>
      </c>
      <c r="F210" s="3">
        <f>'2. Demand History'!AA384</f>
        <v>985</v>
      </c>
      <c r="G210" s="4">
        <f t="shared" si="21"/>
        <v>222610</v>
      </c>
      <c r="H210" s="3">
        <f t="shared" si="22"/>
        <v>206</v>
      </c>
      <c r="I210" s="11">
        <f t="shared" si="23"/>
        <v>139091005</v>
      </c>
      <c r="J210" s="10">
        <f t="shared" si="24"/>
        <v>0.84123343538418904</v>
      </c>
      <c r="K210" s="5" t="str">
        <f t="shared" si="25"/>
        <v>B</v>
      </c>
      <c r="L210" s="8">
        <f>'3. Demand Forecast'!H384</f>
        <v>0.3</v>
      </c>
      <c r="M210" s="5" t="str">
        <f t="shared" si="26"/>
        <v>Y</v>
      </c>
      <c r="N210" s="5" t="str">
        <f t="shared" si="27"/>
        <v>BY</v>
      </c>
    </row>
    <row r="211" spans="1:14" ht="15" customHeight="1" x14ac:dyDescent="0.2">
      <c r="A211" s="3" t="str">
        <f>'1. Master Data'!A398</f>
        <v>NT10394</v>
      </c>
      <c r="B211" s="1" t="str">
        <f>'1. Master Data'!B398</f>
        <v>MirrorlessM 247</v>
      </c>
      <c r="C211" s="3" t="str">
        <f>'1. Master Data'!C398</f>
        <v>Cameras</v>
      </c>
      <c r="D211" s="3" t="str">
        <f>'1. Master Data'!D398</f>
        <v>Central DC</v>
      </c>
      <c r="E211" s="4">
        <f>'1. Master Data'!F398</f>
        <v>656</v>
      </c>
      <c r="F211" s="3">
        <f>'2. Demand History'!AA398</f>
        <v>339</v>
      </c>
      <c r="G211" s="4">
        <f t="shared" si="21"/>
        <v>222384</v>
      </c>
      <c r="H211" s="3">
        <f t="shared" si="22"/>
        <v>207</v>
      </c>
      <c r="I211" s="11">
        <f t="shared" si="23"/>
        <v>139313389</v>
      </c>
      <c r="J211" s="10">
        <f t="shared" si="24"/>
        <v>0.84257843146279587</v>
      </c>
      <c r="K211" s="5" t="str">
        <f t="shared" si="25"/>
        <v>B</v>
      </c>
      <c r="L211" s="8">
        <f>'3. Demand Forecast'!H398</f>
        <v>0.36</v>
      </c>
      <c r="M211" s="5" t="str">
        <f t="shared" si="26"/>
        <v>Y</v>
      </c>
      <c r="N211" s="5" t="str">
        <f t="shared" si="27"/>
        <v>BY</v>
      </c>
    </row>
    <row r="212" spans="1:14" ht="15" customHeight="1" x14ac:dyDescent="0.2">
      <c r="A212" s="3" t="str">
        <f>'1. Master Data'!A317</f>
        <v>NT10313</v>
      </c>
      <c r="B212" s="1" t="str">
        <f>'1. Master Data'!B317</f>
        <v>DoorSense 989</v>
      </c>
      <c r="C212" s="3" t="str">
        <f>'1. Master Data'!C317</f>
        <v>Smart Home</v>
      </c>
      <c r="D212" s="3" t="str">
        <f>'1. Master Data'!D317</f>
        <v>East DC</v>
      </c>
      <c r="E212" s="4">
        <f>'1. Master Data'!F317</f>
        <v>69</v>
      </c>
      <c r="F212" s="3">
        <f>'2. Demand History'!AA317</f>
        <v>3195</v>
      </c>
      <c r="G212" s="4">
        <f t="shared" si="21"/>
        <v>220455</v>
      </c>
      <c r="H212" s="3">
        <f t="shared" si="22"/>
        <v>208</v>
      </c>
      <c r="I212" s="11">
        <f t="shared" si="23"/>
        <v>139533844</v>
      </c>
      <c r="J212" s="10">
        <f t="shared" si="24"/>
        <v>0.84391176079633268</v>
      </c>
      <c r="K212" s="5" t="str">
        <f t="shared" si="25"/>
        <v>B</v>
      </c>
      <c r="L212" s="8">
        <f>'3. Demand Forecast'!H317</f>
        <v>7.0000000000000007E-2</v>
      </c>
      <c r="M212" s="5" t="str">
        <f t="shared" si="26"/>
        <v>X</v>
      </c>
      <c r="N212" s="5" t="str">
        <f t="shared" si="27"/>
        <v>BX</v>
      </c>
    </row>
    <row r="213" spans="1:14" ht="15" customHeight="1" x14ac:dyDescent="0.2">
      <c r="A213" s="3" t="str">
        <f>'1. Master Data'!A219</f>
        <v>NT10215</v>
      </c>
      <c r="B213" s="1" t="str">
        <f>'1. Master Data'!B219</f>
        <v>FitTrack Band 640</v>
      </c>
      <c r="C213" s="3" t="str">
        <f>'1. Master Data'!C219</f>
        <v>Wearables</v>
      </c>
      <c r="D213" s="3" t="str">
        <f>'1. Master Data'!D219</f>
        <v>East DC</v>
      </c>
      <c r="E213" s="4">
        <f>'1. Master Data'!F219</f>
        <v>104</v>
      </c>
      <c r="F213" s="3">
        <f>'2. Demand History'!AA219</f>
        <v>2112</v>
      </c>
      <c r="G213" s="4">
        <f t="shared" si="21"/>
        <v>219648</v>
      </c>
      <c r="H213" s="3">
        <f t="shared" si="22"/>
        <v>209</v>
      </c>
      <c r="I213" s="11">
        <f t="shared" si="23"/>
        <v>139753492</v>
      </c>
      <c r="J213" s="10">
        <f t="shared" si="24"/>
        <v>0.84524020932983257</v>
      </c>
      <c r="K213" s="5" t="str">
        <f t="shared" si="25"/>
        <v>B</v>
      </c>
      <c r="L213" s="8">
        <f>'3. Demand Forecast'!H219</f>
        <v>0.31</v>
      </c>
      <c r="M213" s="5" t="str">
        <f t="shared" si="26"/>
        <v>Y</v>
      </c>
      <c r="N213" s="5" t="str">
        <f t="shared" si="27"/>
        <v>BY</v>
      </c>
    </row>
    <row r="214" spans="1:14" ht="15" customHeight="1" x14ac:dyDescent="0.2">
      <c r="A214" s="3" t="str">
        <f>'1. Master Data'!A395</f>
        <v>NT10391</v>
      </c>
      <c r="B214" s="1" t="str">
        <f>'1. Master Data'!B395</f>
        <v>OptiZoom 169 DSLR</v>
      </c>
      <c r="C214" s="3" t="str">
        <f>'1. Master Data'!C395</f>
        <v>Cameras</v>
      </c>
      <c r="D214" s="3" t="str">
        <f>'1. Master Data'!D395</f>
        <v>East DC</v>
      </c>
      <c r="E214" s="4">
        <f>'1. Master Data'!F395</f>
        <v>686</v>
      </c>
      <c r="F214" s="3">
        <f>'2. Demand History'!AA395</f>
        <v>319</v>
      </c>
      <c r="G214" s="4">
        <f t="shared" si="21"/>
        <v>218834</v>
      </c>
      <c r="H214" s="3">
        <f t="shared" si="22"/>
        <v>210</v>
      </c>
      <c r="I214" s="11">
        <f t="shared" si="23"/>
        <v>139972326</v>
      </c>
      <c r="J214" s="10">
        <f t="shared" si="24"/>
        <v>0.84656373472673985</v>
      </c>
      <c r="K214" s="5" t="str">
        <f t="shared" si="25"/>
        <v>B</v>
      </c>
      <c r="L214" s="8">
        <f>'3. Demand Forecast'!H395</f>
        <v>0.32</v>
      </c>
      <c r="M214" s="5" t="str">
        <f t="shared" si="26"/>
        <v>Y</v>
      </c>
      <c r="N214" s="5" t="str">
        <f t="shared" si="27"/>
        <v>BY</v>
      </c>
    </row>
    <row r="215" spans="1:14" ht="15" customHeight="1" x14ac:dyDescent="0.2">
      <c r="A215" s="3" t="str">
        <f>'1. Master Data'!A435</f>
        <v>NT10431</v>
      </c>
      <c r="B215" s="1" t="str">
        <f>'1. Master Data'!B435</f>
        <v>NovaTab 339 10in</v>
      </c>
      <c r="C215" s="3" t="str">
        <f>'1. Master Data'!C435</f>
        <v>Tablets</v>
      </c>
      <c r="D215" s="3" t="str">
        <f>'1. Master Data'!D435</f>
        <v>West DC</v>
      </c>
      <c r="E215" s="4">
        <f>'1. Master Data'!F435</f>
        <v>476</v>
      </c>
      <c r="F215" s="3">
        <f>'2. Demand History'!AA435</f>
        <v>454</v>
      </c>
      <c r="G215" s="4">
        <f t="shared" si="21"/>
        <v>216104</v>
      </c>
      <c r="H215" s="3">
        <f t="shared" si="22"/>
        <v>211</v>
      </c>
      <c r="I215" s="11">
        <f t="shared" si="23"/>
        <v>140188430</v>
      </c>
      <c r="J215" s="10">
        <f t="shared" si="24"/>
        <v>0.8478707488670163</v>
      </c>
      <c r="K215" s="5" t="str">
        <f t="shared" si="25"/>
        <v>B</v>
      </c>
      <c r="L215" s="8">
        <f>'3. Demand Forecast'!H435</f>
        <v>0.21</v>
      </c>
      <c r="M215" s="5" t="str">
        <f t="shared" si="26"/>
        <v>X</v>
      </c>
      <c r="N215" s="5" t="str">
        <f t="shared" si="27"/>
        <v>BX</v>
      </c>
    </row>
    <row r="216" spans="1:14" ht="15" customHeight="1" x14ac:dyDescent="0.2">
      <c r="A216" s="3" t="str">
        <f>'1. Master Data'!A101</f>
        <v>NT10097</v>
      </c>
      <c r="B216" s="1" t="str">
        <f>'1. Master Data'!B101</f>
        <v>ProBook 462 i5 14in</v>
      </c>
      <c r="C216" s="3" t="str">
        <f>'1. Master Data'!C101</f>
        <v>Laptops</v>
      </c>
      <c r="D216" s="3" t="str">
        <f>'1. Master Data'!D101</f>
        <v>Central DC</v>
      </c>
      <c r="E216" s="4">
        <f>'1. Master Data'!F101</f>
        <v>752</v>
      </c>
      <c r="F216" s="3">
        <f>'2. Demand History'!AA101</f>
        <v>287</v>
      </c>
      <c r="G216" s="4">
        <f t="shared" si="21"/>
        <v>215824</v>
      </c>
      <c r="H216" s="3">
        <f t="shared" si="22"/>
        <v>212</v>
      </c>
      <c r="I216" s="11">
        <f t="shared" si="23"/>
        <v>140404254</v>
      </c>
      <c r="J216" s="10">
        <f t="shared" si="24"/>
        <v>0.84917606954507419</v>
      </c>
      <c r="K216" s="5" t="str">
        <f t="shared" si="25"/>
        <v>B</v>
      </c>
      <c r="L216" s="8">
        <f>'3. Demand Forecast'!H101</f>
        <v>0.37</v>
      </c>
      <c r="M216" s="5" t="str">
        <f t="shared" si="26"/>
        <v>Y</v>
      </c>
      <c r="N216" s="5" t="str">
        <f t="shared" si="27"/>
        <v>BY</v>
      </c>
    </row>
    <row r="217" spans="1:14" ht="15" customHeight="1" x14ac:dyDescent="0.2">
      <c r="A217" s="3" t="str">
        <f>'1. Master Data'!A236</f>
        <v>NT10232</v>
      </c>
      <c r="B217" s="1" t="str">
        <f>'1. Master Data'!B236</f>
        <v>FitTrack Band 981</v>
      </c>
      <c r="C217" s="3" t="str">
        <f>'1. Master Data'!C236</f>
        <v>Wearables</v>
      </c>
      <c r="D217" s="3" t="str">
        <f>'1. Master Data'!D236</f>
        <v>West DC</v>
      </c>
      <c r="E217" s="4">
        <f>'1. Master Data'!F236</f>
        <v>79</v>
      </c>
      <c r="F217" s="3">
        <f>'2. Demand History'!AA236</f>
        <v>2716</v>
      </c>
      <c r="G217" s="4">
        <f t="shared" si="21"/>
        <v>214564</v>
      </c>
      <c r="H217" s="3">
        <f t="shared" si="22"/>
        <v>213</v>
      </c>
      <c r="I217" s="11">
        <f t="shared" si="23"/>
        <v>140618818</v>
      </c>
      <c r="J217" s="10">
        <f t="shared" si="24"/>
        <v>0.85047376964314869</v>
      </c>
      <c r="K217" s="5" t="str">
        <f t="shared" si="25"/>
        <v>B</v>
      </c>
      <c r="L217" s="8">
        <f>'3. Demand Forecast'!H236</f>
        <v>0.31</v>
      </c>
      <c r="M217" s="5" t="str">
        <f t="shared" si="26"/>
        <v>Y</v>
      </c>
      <c r="N217" s="5" t="str">
        <f t="shared" si="27"/>
        <v>BY</v>
      </c>
    </row>
    <row r="218" spans="1:14" ht="15" customHeight="1" x14ac:dyDescent="0.2">
      <c r="A218" s="3" t="str">
        <f>'1. Master Data'!A27</f>
        <v>NT10023</v>
      </c>
      <c r="B218" s="1" t="str">
        <f>'1. Master Data'!B27</f>
        <v>Edge 175 5G 128GB</v>
      </c>
      <c r="C218" s="3" t="str">
        <f>'1. Master Data'!C27</f>
        <v>Smartphones</v>
      </c>
      <c r="D218" s="3" t="str">
        <f>'1. Master Data'!D27</f>
        <v>Central DC</v>
      </c>
      <c r="E218" s="4">
        <f>'1. Master Data'!F27</f>
        <v>611</v>
      </c>
      <c r="F218" s="3">
        <f>'2. Demand History'!AA27</f>
        <v>350</v>
      </c>
      <c r="G218" s="4">
        <f t="shared" si="21"/>
        <v>213850</v>
      </c>
      <c r="H218" s="3">
        <f t="shared" si="22"/>
        <v>214</v>
      </c>
      <c r="I218" s="11">
        <f t="shared" si="23"/>
        <v>140832668</v>
      </c>
      <c r="J218" s="10">
        <f t="shared" si="24"/>
        <v>0.85176715141256587</v>
      </c>
      <c r="K218" s="5" t="str">
        <f t="shared" si="25"/>
        <v>B</v>
      </c>
      <c r="L218" s="8">
        <f>'3. Demand Forecast'!H27</f>
        <v>0.33</v>
      </c>
      <c r="M218" s="5" t="str">
        <f t="shared" si="26"/>
        <v>Y</v>
      </c>
      <c r="N218" s="5" t="str">
        <f t="shared" si="27"/>
        <v>BY</v>
      </c>
    </row>
    <row r="219" spans="1:14" ht="15" customHeight="1" x14ac:dyDescent="0.2">
      <c r="A219" s="3" t="str">
        <f>'1. Master Data'!A294</f>
        <v>NT10290</v>
      </c>
      <c r="B219" s="1" t="str">
        <f>'1. Master Data'!B294</f>
        <v>GameStation Controller 601</v>
      </c>
      <c r="C219" s="3" t="str">
        <f>'1. Master Data'!C294</f>
        <v>Gaming</v>
      </c>
      <c r="D219" s="3" t="str">
        <f>'1. Master Data'!D294</f>
        <v>Central DC</v>
      </c>
      <c r="E219" s="4">
        <f>'1. Master Data'!F294</f>
        <v>196</v>
      </c>
      <c r="F219" s="3">
        <f>'2. Demand History'!AA294</f>
        <v>1057</v>
      </c>
      <c r="G219" s="4">
        <f t="shared" si="21"/>
        <v>207172</v>
      </c>
      <c r="H219" s="3">
        <f t="shared" si="22"/>
        <v>215</v>
      </c>
      <c r="I219" s="11">
        <f t="shared" si="23"/>
        <v>141039840</v>
      </c>
      <c r="J219" s="10">
        <f t="shared" si="24"/>
        <v>0.85302014410807059</v>
      </c>
      <c r="K219" s="5" t="str">
        <f t="shared" si="25"/>
        <v>B</v>
      </c>
      <c r="L219" s="8">
        <f>'3. Demand Forecast'!H294</f>
        <v>0.32</v>
      </c>
      <c r="M219" s="5" t="str">
        <f t="shared" si="26"/>
        <v>Y</v>
      </c>
      <c r="N219" s="5" t="str">
        <f t="shared" si="27"/>
        <v>BY</v>
      </c>
    </row>
    <row r="220" spans="1:14" ht="15" customHeight="1" x14ac:dyDescent="0.2">
      <c r="A220" s="3" t="str">
        <f>'1. Master Data'!A360</f>
        <v>NT10356</v>
      </c>
      <c r="B220" s="1" t="str">
        <f>'1. Master Data'!B360</f>
        <v>TravelShot 546 Compact</v>
      </c>
      <c r="C220" s="3" t="str">
        <f>'1. Master Data'!C360</f>
        <v>Cameras</v>
      </c>
      <c r="D220" s="3" t="str">
        <f>'1. Master Data'!D360</f>
        <v>West DC</v>
      </c>
      <c r="E220" s="4">
        <f>'1. Master Data'!F360</f>
        <v>1016</v>
      </c>
      <c r="F220" s="3">
        <f>'2. Demand History'!AA360</f>
        <v>203</v>
      </c>
      <c r="G220" s="4">
        <f t="shared" si="21"/>
        <v>206248</v>
      </c>
      <c r="H220" s="3">
        <f t="shared" si="22"/>
        <v>216</v>
      </c>
      <c r="I220" s="11">
        <f t="shared" si="23"/>
        <v>141246088</v>
      </c>
      <c r="J220" s="10">
        <f t="shared" si="24"/>
        <v>0.85426754837825414</v>
      </c>
      <c r="K220" s="5" t="str">
        <f t="shared" si="25"/>
        <v>B</v>
      </c>
      <c r="L220" s="8">
        <f>'3. Demand Forecast'!H360</f>
        <v>0.28999999999999998</v>
      </c>
      <c r="M220" s="5" t="str">
        <f t="shared" si="26"/>
        <v>Y</v>
      </c>
      <c r="N220" s="5" t="str">
        <f t="shared" si="27"/>
        <v>BY</v>
      </c>
    </row>
    <row r="221" spans="1:14" ht="15" customHeight="1" x14ac:dyDescent="0.2">
      <c r="A221" s="3" t="str">
        <f>'1. Master Data'!A137</f>
        <v>NT10133</v>
      </c>
      <c r="B221" s="1" t="str">
        <f>'1. Master Data'!B137</f>
        <v>VisionOLED 919in 4K</v>
      </c>
      <c r="C221" s="3" t="str">
        <f>'1. Master Data'!C137</f>
        <v>TVs</v>
      </c>
      <c r="D221" s="3" t="str">
        <f>'1. Master Data'!D137</f>
        <v>West DC</v>
      </c>
      <c r="E221" s="4">
        <f>'1. Master Data'!F137</f>
        <v>1088</v>
      </c>
      <c r="F221" s="3">
        <f>'2. Demand History'!AA137</f>
        <v>189</v>
      </c>
      <c r="G221" s="4">
        <f t="shared" si="21"/>
        <v>205632</v>
      </c>
      <c r="H221" s="3">
        <f t="shared" si="22"/>
        <v>217</v>
      </c>
      <c r="I221" s="11">
        <f t="shared" si="23"/>
        <v>141451720</v>
      </c>
      <c r="J221" s="10">
        <f t="shared" si="24"/>
        <v>0.8555112270315568</v>
      </c>
      <c r="K221" s="5" t="str">
        <f t="shared" si="25"/>
        <v>B</v>
      </c>
      <c r="L221" s="8">
        <f>'3. Demand Forecast'!H137</f>
        <v>0.3</v>
      </c>
      <c r="M221" s="5" t="str">
        <f t="shared" si="26"/>
        <v>Y</v>
      </c>
      <c r="N221" s="5" t="str">
        <f t="shared" si="27"/>
        <v>BY</v>
      </c>
    </row>
    <row r="222" spans="1:14" ht="15" customHeight="1" x14ac:dyDescent="0.2">
      <c r="A222" s="3" t="str">
        <f>'1. Master Data'!A467</f>
        <v>NT10463</v>
      </c>
      <c r="B222" s="1" t="str">
        <f>'1. Master Data'!B467</f>
        <v>HDMI Cable 4K V901</v>
      </c>
      <c r="C222" s="3" t="str">
        <f>'1. Master Data'!C467</f>
        <v>Accessories</v>
      </c>
      <c r="D222" s="3" t="str">
        <f>'1. Master Data'!D467</f>
        <v>West DC</v>
      </c>
      <c r="E222" s="4">
        <f>'1. Master Data'!F467</f>
        <v>36</v>
      </c>
      <c r="F222" s="3">
        <f>'2. Demand History'!AA467</f>
        <v>5564</v>
      </c>
      <c r="G222" s="4">
        <f t="shared" si="21"/>
        <v>200304</v>
      </c>
      <c r="H222" s="3">
        <f t="shared" si="22"/>
        <v>218</v>
      </c>
      <c r="I222" s="11">
        <f t="shared" si="23"/>
        <v>141652024</v>
      </c>
      <c r="J222" s="10">
        <f t="shared" si="24"/>
        <v>0.85672268151807229</v>
      </c>
      <c r="K222" s="5" t="str">
        <f t="shared" si="25"/>
        <v>B</v>
      </c>
      <c r="L222" s="8">
        <f>'3. Demand Forecast'!H467</f>
        <v>0.11</v>
      </c>
      <c r="M222" s="5" t="str">
        <f t="shared" si="26"/>
        <v>X</v>
      </c>
      <c r="N222" s="5" t="str">
        <f t="shared" si="27"/>
        <v>BX</v>
      </c>
    </row>
    <row r="223" spans="1:14" ht="15" customHeight="1" x14ac:dyDescent="0.2">
      <c r="A223" s="3" t="str">
        <f>'1. Master Data'!A487</f>
        <v>NT10483</v>
      </c>
      <c r="B223" s="1" t="str">
        <f>'1. Master Data'!B487</f>
        <v>Laptop Sleeve 15in V271</v>
      </c>
      <c r="C223" s="3" t="str">
        <f>'1. Master Data'!C487</f>
        <v>Accessories</v>
      </c>
      <c r="D223" s="3" t="str">
        <f>'1. Master Data'!D487</f>
        <v>West DC</v>
      </c>
      <c r="E223" s="4">
        <f>'1. Master Data'!F487</f>
        <v>40</v>
      </c>
      <c r="F223" s="3">
        <f>'2. Demand History'!AA487</f>
        <v>4980</v>
      </c>
      <c r="G223" s="4">
        <f t="shared" si="21"/>
        <v>199200</v>
      </c>
      <c r="H223" s="3">
        <f t="shared" si="22"/>
        <v>219</v>
      </c>
      <c r="I223" s="11">
        <f t="shared" si="23"/>
        <v>141851224</v>
      </c>
      <c r="J223" s="10">
        <f t="shared" si="24"/>
        <v>0.85792745892498312</v>
      </c>
      <c r="K223" s="5" t="str">
        <f t="shared" si="25"/>
        <v>B</v>
      </c>
      <c r="L223" s="8">
        <f>'3. Demand Forecast'!H487</f>
        <v>0.05</v>
      </c>
      <c r="M223" s="5" t="str">
        <f t="shared" si="26"/>
        <v>X</v>
      </c>
      <c r="N223" s="5" t="str">
        <f t="shared" si="27"/>
        <v>BX</v>
      </c>
    </row>
    <row r="224" spans="1:14" ht="15" customHeight="1" x14ac:dyDescent="0.2">
      <c r="A224" s="3" t="str">
        <f>'1. Master Data'!A47</f>
        <v>NT10043</v>
      </c>
      <c r="B224" s="1" t="str">
        <f>'1. Master Data'!B47</f>
        <v>Edge 999 5G 128GB</v>
      </c>
      <c r="C224" s="3" t="str">
        <f>'1. Master Data'!C47</f>
        <v>Smartphones</v>
      </c>
      <c r="D224" s="3" t="str">
        <f>'1. Master Data'!D47</f>
        <v>East DC</v>
      </c>
      <c r="E224" s="4">
        <f>'1. Master Data'!F47</f>
        <v>588</v>
      </c>
      <c r="F224" s="3">
        <f>'2. Demand History'!AA47</f>
        <v>337</v>
      </c>
      <c r="G224" s="4">
        <f t="shared" si="21"/>
        <v>198156</v>
      </c>
      <c r="H224" s="3">
        <f t="shared" si="22"/>
        <v>220</v>
      </c>
      <c r="I224" s="11">
        <f t="shared" si="23"/>
        <v>142049380</v>
      </c>
      <c r="J224" s="10">
        <f t="shared" si="24"/>
        <v>0.85912592213705063</v>
      </c>
      <c r="K224" s="5" t="str">
        <f t="shared" si="25"/>
        <v>B</v>
      </c>
      <c r="L224" s="8">
        <f>'3. Demand Forecast'!H47</f>
        <v>0.34</v>
      </c>
      <c r="M224" s="5" t="str">
        <f t="shared" si="26"/>
        <v>Y</v>
      </c>
      <c r="N224" s="5" t="str">
        <f t="shared" si="27"/>
        <v>BY</v>
      </c>
    </row>
    <row r="225" spans="1:14" ht="15" customHeight="1" x14ac:dyDescent="0.2">
      <c r="A225" s="3" t="str">
        <f>'1. Master Data'!A241</f>
        <v>NT10237</v>
      </c>
      <c r="B225" s="1" t="str">
        <f>'1. Master Data'!B241</f>
        <v>NovaWatch 728 GPS</v>
      </c>
      <c r="C225" s="3" t="str">
        <f>'1. Master Data'!C241</f>
        <v>Wearables</v>
      </c>
      <c r="D225" s="3" t="str">
        <f>'1. Master Data'!D241</f>
        <v>Central DC</v>
      </c>
      <c r="E225" s="4">
        <f>'1. Master Data'!F241</f>
        <v>90</v>
      </c>
      <c r="F225" s="3">
        <f>'2. Demand History'!AA241</f>
        <v>2196</v>
      </c>
      <c r="G225" s="4">
        <f t="shared" si="21"/>
        <v>197640</v>
      </c>
      <c r="H225" s="3">
        <f t="shared" si="22"/>
        <v>221</v>
      </c>
      <c r="I225" s="11">
        <f t="shared" si="23"/>
        <v>142247020</v>
      </c>
      <c r="J225" s="10">
        <f t="shared" si="24"/>
        <v>0.86032126454017244</v>
      </c>
      <c r="K225" s="5" t="str">
        <f t="shared" si="25"/>
        <v>B</v>
      </c>
      <c r="L225" s="8">
        <f>'3. Demand Forecast'!H241</f>
        <v>0.28999999999999998</v>
      </c>
      <c r="M225" s="5" t="str">
        <f t="shared" si="26"/>
        <v>Y</v>
      </c>
      <c r="N225" s="5" t="str">
        <f t="shared" si="27"/>
        <v>BY</v>
      </c>
    </row>
    <row r="226" spans="1:14" ht="15" customHeight="1" x14ac:dyDescent="0.2">
      <c r="A226" s="3" t="str">
        <f>'1. Master Data'!A104</f>
        <v>NT10100</v>
      </c>
      <c r="B226" s="1" t="str">
        <f>'1. Master Data'!B104</f>
        <v>ProBook 467 i7 15in</v>
      </c>
      <c r="C226" s="3" t="str">
        <f>'1. Master Data'!C104</f>
        <v>Laptops</v>
      </c>
      <c r="D226" s="3" t="str">
        <f>'1. Master Data'!D104</f>
        <v>Central DC</v>
      </c>
      <c r="E226" s="4">
        <f>'1. Master Data'!F104</f>
        <v>498</v>
      </c>
      <c r="F226" s="3">
        <f>'2. Demand History'!AA104</f>
        <v>393</v>
      </c>
      <c r="G226" s="4">
        <f t="shared" si="21"/>
        <v>195714</v>
      </c>
      <c r="H226" s="3">
        <f t="shared" si="22"/>
        <v>222</v>
      </c>
      <c r="I226" s="11">
        <f t="shared" si="23"/>
        <v>142442734</v>
      </c>
      <c r="J226" s="10">
        <f t="shared" si="24"/>
        <v>0.86150495834246243</v>
      </c>
      <c r="K226" s="5" t="str">
        <f t="shared" si="25"/>
        <v>B</v>
      </c>
      <c r="L226" s="8">
        <f>'3. Demand Forecast'!H104</f>
        <v>0.97</v>
      </c>
      <c r="M226" s="5" t="str">
        <f t="shared" si="26"/>
        <v>Z</v>
      </c>
      <c r="N226" s="5" t="str">
        <f t="shared" si="27"/>
        <v>BZ</v>
      </c>
    </row>
    <row r="227" spans="1:14" ht="15" customHeight="1" x14ac:dyDescent="0.2">
      <c r="A227" s="3" t="str">
        <f>'1. Master Data'!A214</f>
        <v>NT10210</v>
      </c>
      <c r="B227" s="1" t="str">
        <f>'1. Master Data'!B214</f>
        <v>FitTrack Band 399</v>
      </c>
      <c r="C227" s="3" t="str">
        <f>'1. Master Data'!C214</f>
        <v>Wearables</v>
      </c>
      <c r="D227" s="3" t="str">
        <f>'1. Master Data'!D214</f>
        <v>Central DC</v>
      </c>
      <c r="E227" s="4">
        <f>'1. Master Data'!F214</f>
        <v>128</v>
      </c>
      <c r="F227" s="3">
        <f>'2. Demand History'!AA214</f>
        <v>1528</v>
      </c>
      <c r="G227" s="4">
        <f t="shared" si="21"/>
        <v>195584</v>
      </c>
      <c r="H227" s="3">
        <f t="shared" si="22"/>
        <v>223</v>
      </c>
      <c r="I227" s="11">
        <f t="shared" si="23"/>
        <v>142638318</v>
      </c>
      <c r="J227" s="10">
        <f t="shared" si="24"/>
        <v>0.86268786589443658</v>
      </c>
      <c r="K227" s="5" t="str">
        <f t="shared" si="25"/>
        <v>B</v>
      </c>
      <c r="L227" s="8">
        <f>'3. Demand Forecast'!H214</f>
        <v>0.3</v>
      </c>
      <c r="M227" s="5" t="str">
        <f t="shared" si="26"/>
        <v>Y</v>
      </c>
      <c r="N227" s="5" t="str">
        <f t="shared" si="27"/>
        <v>BY</v>
      </c>
    </row>
    <row r="228" spans="1:14" ht="15" customHeight="1" x14ac:dyDescent="0.2">
      <c r="A228" s="3" t="str">
        <f>'1. Master Data'!A429</f>
        <v>NT10425</v>
      </c>
      <c r="B228" s="1" t="str">
        <f>'1. Master Data'!B429</f>
        <v>NovaTab 147 10in</v>
      </c>
      <c r="C228" s="3" t="str">
        <f>'1. Master Data'!C429</f>
        <v>Tablets</v>
      </c>
      <c r="D228" s="3" t="str">
        <f>'1. Master Data'!D429</f>
        <v>Central DC</v>
      </c>
      <c r="E228" s="4">
        <f>'1. Master Data'!F429</f>
        <v>251</v>
      </c>
      <c r="F228" s="3">
        <f>'2. Demand History'!AA429</f>
        <v>778</v>
      </c>
      <c r="G228" s="4">
        <f t="shared" si="21"/>
        <v>195278</v>
      </c>
      <c r="H228" s="3">
        <f t="shared" si="22"/>
        <v>224</v>
      </c>
      <c r="I228" s="11">
        <f t="shared" si="23"/>
        <v>142833596</v>
      </c>
      <c r="J228" s="10">
        <f t="shared" si="24"/>
        <v>0.86386892273412907</v>
      </c>
      <c r="K228" s="5" t="str">
        <f t="shared" si="25"/>
        <v>B</v>
      </c>
      <c r="L228" s="8">
        <f>'3. Demand Forecast'!H429</f>
        <v>0.3</v>
      </c>
      <c r="M228" s="5" t="str">
        <f t="shared" si="26"/>
        <v>Y</v>
      </c>
      <c r="N228" s="5" t="str">
        <f t="shared" si="27"/>
        <v>BY</v>
      </c>
    </row>
    <row r="229" spans="1:14" ht="15" customHeight="1" x14ac:dyDescent="0.2">
      <c r="A229" s="3" t="str">
        <f>'1. Master Data'!A210</f>
        <v>NT10206</v>
      </c>
      <c r="B229" s="1" t="str">
        <f>'1. Master Data'!B210</f>
        <v>NovaWatch 145 GPS</v>
      </c>
      <c r="C229" s="3" t="str">
        <f>'1. Master Data'!C210</f>
        <v>Wearables</v>
      </c>
      <c r="D229" s="3" t="str">
        <f>'1. Master Data'!D210</f>
        <v>East DC</v>
      </c>
      <c r="E229" s="4">
        <f>'1. Master Data'!F210</f>
        <v>132</v>
      </c>
      <c r="F229" s="3">
        <f>'2. Demand History'!AA210</f>
        <v>1471</v>
      </c>
      <c r="G229" s="4">
        <f t="shared" si="21"/>
        <v>194172</v>
      </c>
      <c r="H229" s="3">
        <f t="shared" si="22"/>
        <v>225</v>
      </c>
      <c r="I229" s="11">
        <f t="shared" si="23"/>
        <v>143027768</v>
      </c>
      <c r="J229" s="10">
        <f t="shared" si="24"/>
        <v>0.86504329039805838</v>
      </c>
      <c r="K229" s="5" t="str">
        <f t="shared" si="25"/>
        <v>B</v>
      </c>
      <c r="L229" s="8">
        <f>'3. Demand Forecast'!H210</f>
        <v>0.25</v>
      </c>
      <c r="M229" s="5" t="str">
        <f t="shared" si="26"/>
        <v>X</v>
      </c>
      <c r="N229" s="5" t="str">
        <f t="shared" si="27"/>
        <v>BX</v>
      </c>
    </row>
    <row r="230" spans="1:14" ht="15" customHeight="1" x14ac:dyDescent="0.2">
      <c r="A230" s="3" t="str">
        <f>'1. Master Data'!A459</f>
        <v>NT10455</v>
      </c>
      <c r="B230" s="1" t="str">
        <f>'1. Master Data'!B459</f>
        <v>Power Bank 10K V715</v>
      </c>
      <c r="C230" s="3" t="str">
        <f>'1. Master Data'!C459</f>
        <v>Accessories</v>
      </c>
      <c r="D230" s="3" t="str">
        <f>'1. Master Data'!D459</f>
        <v>West DC</v>
      </c>
      <c r="E230" s="4">
        <f>'1. Master Data'!F459</f>
        <v>24</v>
      </c>
      <c r="F230" s="3">
        <f>'2. Demand History'!AA459</f>
        <v>8057</v>
      </c>
      <c r="G230" s="4">
        <f t="shared" si="21"/>
        <v>193368</v>
      </c>
      <c r="H230" s="3">
        <f t="shared" si="22"/>
        <v>226</v>
      </c>
      <c r="I230" s="11">
        <f t="shared" si="23"/>
        <v>143221136</v>
      </c>
      <c r="J230" s="10">
        <f t="shared" si="24"/>
        <v>0.86621279540618856</v>
      </c>
      <c r="K230" s="5" t="str">
        <f t="shared" si="25"/>
        <v>B</v>
      </c>
      <c r="L230" s="8">
        <f>'3. Demand Forecast'!H459</f>
        <v>7.0000000000000007E-2</v>
      </c>
      <c r="M230" s="5" t="str">
        <f t="shared" si="26"/>
        <v>X</v>
      </c>
      <c r="N230" s="5" t="str">
        <f t="shared" si="27"/>
        <v>BX</v>
      </c>
    </row>
    <row r="231" spans="1:14" ht="15" customHeight="1" x14ac:dyDescent="0.2">
      <c r="A231" s="3" t="str">
        <f>'1. Master Data'!A174</f>
        <v>NT10170</v>
      </c>
      <c r="B231" s="1" t="str">
        <f>'1. Master Data'!B174</f>
        <v>SoundCore Buds 475</v>
      </c>
      <c r="C231" s="3" t="str">
        <f>'1. Master Data'!C174</f>
        <v>Audio</v>
      </c>
      <c r="D231" s="3" t="str">
        <f>'1. Master Data'!D174</f>
        <v>East DC</v>
      </c>
      <c r="E231" s="4">
        <f>'1. Master Data'!F174</f>
        <v>156</v>
      </c>
      <c r="F231" s="3">
        <f>'2. Demand History'!AA174</f>
        <v>1223</v>
      </c>
      <c r="G231" s="4">
        <f t="shared" si="21"/>
        <v>190788</v>
      </c>
      <c r="H231" s="3">
        <f t="shared" si="22"/>
        <v>227</v>
      </c>
      <c r="I231" s="11">
        <f t="shared" si="23"/>
        <v>143411924</v>
      </c>
      <c r="J231" s="10">
        <f t="shared" si="24"/>
        <v>0.86736669636959074</v>
      </c>
      <c r="K231" s="5" t="str">
        <f t="shared" si="25"/>
        <v>B</v>
      </c>
      <c r="L231" s="8">
        <f>'3. Demand Forecast'!H174</f>
        <v>0.37</v>
      </c>
      <c r="M231" s="5" t="str">
        <f t="shared" si="26"/>
        <v>Y</v>
      </c>
      <c r="N231" s="5" t="str">
        <f t="shared" si="27"/>
        <v>BY</v>
      </c>
    </row>
    <row r="232" spans="1:14" ht="15" customHeight="1" x14ac:dyDescent="0.2">
      <c r="A232" s="3" t="str">
        <f>'1. Master Data'!A314</f>
        <v>NT10310</v>
      </c>
      <c r="B232" s="1" t="str">
        <f>'1. Master Data'!B314</f>
        <v>HomeCam 583 1080p</v>
      </c>
      <c r="C232" s="3" t="str">
        <f>'1. Master Data'!C314</f>
        <v>Smart Home</v>
      </c>
      <c r="D232" s="3" t="str">
        <f>'1. Master Data'!D314</f>
        <v>Central DC</v>
      </c>
      <c r="E232" s="4">
        <f>'1. Master Data'!F314</f>
        <v>103</v>
      </c>
      <c r="F232" s="3">
        <f>'2. Demand History'!AA314</f>
        <v>1849</v>
      </c>
      <c r="G232" s="4">
        <f t="shared" si="21"/>
        <v>190447</v>
      </c>
      <c r="H232" s="3">
        <f t="shared" si="22"/>
        <v>228</v>
      </c>
      <c r="I232" s="11">
        <f t="shared" si="23"/>
        <v>143602371</v>
      </c>
      <c r="J232" s="10">
        <f t="shared" si="24"/>
        <v>0.86851853493793396</v>
      </c>
      <c r="K232" s="5" t="str">
        <f t="shared" si="25"/>
        <v>B</v>
      </c>
      <c r="L232" s="8">
        <f>'3. Demand Forecast'!H314</f>
        <v>0.05</v>
      </c>
      <c r="M232" s="5" t="str">
        <f t="shared" si="26"/>
        <v>X</v>
      </c>
      <c r="N232" s="5" t="str">
        <f t="shared" si="27"/>
        <v>BX</v>
      </c>
    </row>
    <row r="233" spans="1:14" ht="15" customHeight="1" x14ac:dyDescent="0.2">
      <c r="A233" s="3" t="str">
        <f>'1. Master Data'!A490</f>
        <v>NT10486</v>
      </c>
      <c r="B233" s="1" t="str">
        <f>'1. Master Data'!B490</f>
        <v>HDMI Cable 4K V465</v>
      </c>
      <c r="C233" s="3" t="str">
        <f>'1. Master Data'!C490</f>
        <v>Accessories</v>
      </c>
      <c r="D233" s="3" t="str">
        <f>'1. Master Data'!D490</f>
        <v>East DC</v>
      </c>
      <c r="E233" s="4">
        <f>'1. Master Data'!F490</f>
        <v>16</v>
      </c>
      <c r="F233" s="3">
        <f>'2. Demand History'!AA490</f>
        <v>11853</v>
      </c>
      <c r="G233" s="4">
        <f t="shared" si="21"/>
        <v>189648</v>
      </c>
      <c r="H233" s="3">
        <f t="shared" si="22"/>
        <v>229</v>
      </c>
      <c r="I233" s="11">
        <f t="shared" si="23"/>
        <v>143792019</v>
      </c>
      <c r="J233" s="10">
        <f t="shared" si="24"/>
        <v>0.86966554109087491</v>
      </c>
      <c r="K233" s="5" t="str">
        <f t="shared" si="25"/>
        <v>B</v>
      </c>
      <c r="L233" s="8">
        <f>'3. Demand Forecast'!H490</f>
        <v>0.05</v>
      </c>
      <c r="M233" s="5" t="str">
        <f t="shared" si="26"/>
        <v>X</v>
      </c>
      <c r="N233" s="5" t="str">
        <f t="shared" si="27"/>
        <v>BX</v>
      </c>
    </row>
    <row r="234" spans="1:14" ht="15" customHeight="1" x14ac:dyDescent="0.2">
      <c r="A234" s="3" t="str">
        <f>'1. Master Data'!A109</f>
        <v>NT10105</v>
      </c>
      <c r="B234" s="1" t="str">
        <f>'1. Master Data'!B109</f>
        <v>VisionLED 850in 4K</v>
      </c>
      <c r="C234" s="3" t="str">
        <f>'1. Master Data'!C109</f>
        <v>TVs</v>
      </c>
      <c r="D234" s="3" t="str">
        <f>'1. Master Data'!D109</f>
        <v>Central DC</v>
      </c>
      <c r="E234" s="4">
        <f>'1. Master Data'!F109</f>
        <v>613</v>
      </c>
      <c r="F234" s="3">
        <f>'2. Demand History'!AA109</f>
        <v>309</v>
      </c>
      <c r="G234" s="4">
        <f t="shared" si="21"/>
        <v>189417</v>
      </c>
      <c r="H234" s="3">
        <f t="shared" si="22"/>
        <v>230</v>
      </c>
      <c r="I234" s="11">
        <f t="shared" si="23"/>
        <v>143981436</v>
      </c>
      <c r="J234" s="10">
        <f t="shared" si="24"/>
        <v>0.87081115013748556</v>
      </c>
      <c r="K234" s="5" t="str">
        <f t="shared" si="25"/>
        <v>B</v>
      </c>
      <c r="L234" s="8">
        <f>'3. Demand Forecast'!H109</f>
        <v>0.28000000000000003</v>
      </c>
      <c r="M234" s="5" t="str">
        <f t="shared" si="26"/>
        <v>Y</v>
      </c>
      <c r="N234" s="5" t="str">
        <f t="shared" si="27"/>
        <v>BY</v>
      </c>
    </row>
    <row r="235" spans="1:14" ht="15" customHeight="1" x14ac:dyDescent="0.2">
      <c r="A235" s="3" t="str">
        <f>'1. Master Data'!A344</f>
        <v>NT10340</v>
      </c>
      <c r="B235" s="1" t="str">
        <f>'1. Master Data'!B344</f>
        <v>LumiBulb 802 RGB</v>
      </c>
      <c r="C235" s="3" t="str">
        <f>'1. Master Data'!C344</f>
        <v>Smart Home</v>
      </c>
      <c r="D235" s="3" t="str">
        <f>'1. Master Data'!D344</f>
        <v>East DC</v>
      </c>
      <c r="E235" s="4">
        <f>'1. Master Data'!F344</f>
        <v>116</v>
      </c>
      <c r="F235" s="3">
        <f>'2. Demand History'!AA344</f>
        <v>1625</v>
      </c>
      <c r="G235" s="4">
        <f t="shared" si="21"/>
        <v>188500</v>
      </c>
      <c r="H235" s="3">
        <f t="shared" si="22"/>
        <v>231</v>
      </c>
      <c r="I235" s="11">
        <f t="shared" si="23"/>
        <v>144169936</v>
      </c>
      <c r="J235" s="10">
        <f t="shared" si="24"/>
        <v>0.87195121309533041</v>
      </c>
      <c r="K235" s="5" t="str">
        <f t="shared" si="25"/>
        <v>B</v>
      </c>
      <c r="L235" s="8">
        <f>'3. Demand Forecast'!H344</f>
        <v>1.04</v>
      </c>
      <c r="M235" s="5" t="str">
        <f t="shared" si="26"/>
        <v>Z</v>
      </c>
      <c r="N235" s="5" t="str">
        <f t="shared" si="27"/>
        <v>BZ</v>
      </c>
    </row>
    <row r="236" spans="1:14" ht="15" customHeight="1" x14ac:dyDescent="0.2">
      <c r="A236" s="3" t="str">
        <f>'1. Master Data'!A176</f>
        <v>NT10172</v>
      </c>
      <c r="B236" s="1" t="str">
        <f>'1. Master Data'!B176</f>
        <v>BassMax Speaker 274</v>
      </c>
      <c r="C236" s="3" t="str">
        <f>'1. Master Data'!C176</f>
        <v>Audio</v>
      </c>
      <c r="D236" s="3" t="str">
        <f>'1. Master Data'!D176</f>
        <v>West DC</v>
      </c>
      <c r="E236" s="4">
        <f>'1. Master Data'!F176</f>
        <v>156</v>
      </c>
      <c r="F236" s="3">
        <f>'2. Demand History'!AA176</f>
        <v>1204</v>
      </c>
      <c r="G236" s="4">
        <f t="shared" si="21"/>
        <v>187824</v>
      </c>
      <c r="H236" s="3">
        <f t="shared" si="22"/>
        <v>232</v>
      </c>
      <c r="I236" s="11">
        <f t="shared" si="23"/>
        <v>144357760</v>
      </c>
      <c r="J236" s="10">
        <f t="shared" si="24"/>
        <v>0.87308718755153336</v>
      </c>
      <c r="K236" s="5" t="str">
        <f t="shared" si="25"/>
        <v>B</v>
      </c>
      <c r="L236" s="8">
        <f>'3. Demand Forecast'!H176</f>
        <v>1.1299999999999999</v>
      </c>
      <c r="M236" s="5" t="str">
        <f t="shared" si="26"/>
        <v>Z</v>
      </c>
      <c r="N236" s="5" t="str">
        <f t="shared" si="27"/>
        <v>BZ</v>
      </c>
    </row>
    <row r="237" spans="1:14" ht="15" customHeight="1" x14ac:dyDescent="0.2">
      <c r="A237" s="3" t="str">
        <f>'1. Master Data'!A438</f>
        <v>NT10434</v>
      </c>
      <c r="B237" s="1" t="str">
        <f>'1. Master Data'!B438</f>
        <v>NovaTab 373 Kids</v>
      </c>
      <c r="C237" s="3" t="str">
        <f>'1. Master Data'!C438</f>
        <v>Tablets</v>
      </c>
      <c r="D237" s="3" t="str">
        <f>'1. Master Data'!D438</f>
        <v>East DC</v>
      </c>
      <c r="E237" s="4">
        <f>'1. Master Data'!F438</f>
        <v>232</v>
      </c>
      <c r="F237" s="3">
        <f>'2. Demand History'!AA438</f>
        <v>809</v>
      </c>
      <c r="G237" s="4">
        <f t="shared" si="21"/>
        <v>187688</v>
      </c>
      <c r="H237" s="3">
        <f t="shared" si="22"/>
        <v>233</v>
      </c>
      <c r="I237" s="11">
        <f t="shared" si="23"/>
        <v>144545448</v>
      </c>
      <c r="J237" s="10">
        <f t="shared" si="24"/>
        <v>0.87422233946894456</v>
      </c>
      <c r="K237" s="5" t="str">
        <f t="shared" si="25"/>
        <v>B</v>
      </c>
      <c r="L237" s="8">
        <f>'3. Demand Forecast'!H438</f>
        <v>0.31</v>
      </c>
      <c r="M237" s="5" t="str">
        <f t="shared" si="26"/>
        <v>Y</v>
      </c>
      <c r="N237" s="5" t="str">
        <f t="shared" si="27"/>
        <v>BY</v>
      </c>
    </row>
    <row r="238" spans="1:14" ht="15" customHeight="1" x14ac:dyDescent="0.2">
      <c r="A238" s="3" t="str">
        <f>'1. Master Data'!A449</f>
        <v>NT10445</v>
      </c>
      <c r="B238" s="1" t="str">
        <f>'1. Master Data'!B449</f>
        <v>DrawPad 495 12in</v>
      </c>
      <c r="C238" s="3" t="str">
        <f>'1. Master Data'!C449</f>
        <v>Tablets</v>
      </c>
      <c r="D238" s="3" t="str">
        <f>'1. Master Data'!D449</f>
        <v>Central DC</v>
      </c>
      <c r="E238" s="4">
        <f>'1. Master Data'!F449</f>
        <v>160</v>
      </c>
      <c r="F238" s="3">
        <f>'2. Demand History'!AA449</f>
        <v>1168</v>
      </c>
      <c r="G238" s="4">
        <f t="shared" si="21"/>
        <v>186880</v>
      </c>
      <c r="H238" s="3">
        <f t="shared" si="22"/>
        <v>234</v>
      </c>
      <c r="I238" s="11">
        <f t="shared" si="23"/>
        <v>144732328</v>
      </c>
      <c r="J238" s="10">
        <f t="shared" si="24"/>
        <v>0.87535260453823927</v>
      </c>
      <c r="K238" s="5" t="str">
        <f t="shared" si="25"/>
        <v>B</v>
      </c>
      <c r="L238" s="8">
        <f>'3. Demand Forecast'!H449</f>
        <v>0.31</v>
      </c>
      <c r="M238" s="5" t="str">
        <f t="shared" si="26"/>
        <v>Y</v>
      </c>
      <c r="N238" s="5" t="str">
        <f t="shared" si="27"/>
        <v>BY</v>
      </c>
    </row>
    <row r="239" spans="1:14" ht="15" customHeight="1" x14ac:dyDescent="0.2">
      <c r="A239" s="3" t="str">
        <f>'1. Master Data'!A474</f>
        <v>NT10470</v>
      </c>
      <c r="B239" s="1" t="str">
        <f>'1. Master Data'!B474</f>
        <v>Power Bank 10K V409</v>
      </c>
      <c r="C239" s="3" t="str">
        <f>'1. Master Data'!C474</f>
        <v>Accessories</v>
      </c>
      <c r="D239" s="3" t="str">
        <f>'1. Master Data'!D474</f>
        <v>Central DC</v>
      </c>
      <c r="E239" s="4">
        <f>'1. Master Data'!F474</f>
        <v>17</v>
      </c>
      <c r="F239" s="3">
        <f>'2. Demand History'!AA474</f>
        <v>10905</v>
      </c>
      <c r="G239" s="4">
        <f t="shared" si="21"/>
        <v>185385</v>
      </c>
      <c r="H239" s="3">
        <f t="shared" si="22"/>
        <v>235</v>
      </c>
      <c r="I239" s="11">
        <f t="shared" si="23"/>
        <v>144917713</v>
      </c>
      <c r="J239" s="10">
        <f t="shared" si="24"/>
        <v>0.87647382772890281</v>
      </c>
      <c r="K239" s="5" t="str">
        <f t="shared" si="25"/>
        <v>B</v>
      </c>
      <c r="L239" s="8">
        <f>'3. Demand Forecast'!H474</f>
        <v>7.0000000000000007E-2</v>
      </c>
      <c r="M239" s="5" t="str">
        <f t="shared" si="26"/>
        <v>X</v>
      </c>
      <c r="N239" s="5" t="str">
        <f t="shared" si="27"/>
        <v>BX</v>
      </c>
    </row>
    <row r="240" spans="1:14" ht="15" customHeight="1" x14ac:dyDescent="0.2">
      <c r="A240" s="3" t="str">
        <f>'1. Master Data'!A333</f>
        <v>NT10329</v>
      </c>
      <c r="B240" s="1" t="str">
        <f>'1. Master Data'!B333</f>
        <v>HomeCam 272 1080p</v>
      </c>
      <c r="C240" s="3" t="str">
        <f>'1. Master Data'!C333</f>
        <v>Smart Home</v>
      </c>
      <c r="D240" s="3" t="str">
        <f>'1. Master Data'!D333</f>
        <v>Central DC</v>
      </c>
      <c r="E240" s="4">
        <f>'1. Master Data'!F333</f>
        <v>53</v>
      </c>
      <c r="F240" s="3">
        <f>'2. Demand History'!AA333</f>
        <v>3492</v>
      </c>
      <c r="G240" s="4">
        <f t="shared" si="21"/>
        <v>185076</v>
      </c>
      <c r="H240" s="3">
        <f t="shared" si="22"/>
        <v>236</v>
      </c>
      <c r="I240" s="11">
        <f t="shared" si="23"/>
        <v>145102789</v>
      </c>
      <c r="J240" s="10">
        <f t="shared" si="24"/>
        <v>0.8775931820630466</v>
      </c>
      <c r="K240" s="5" t="str">
        <f t="shared" si="25"/>
        <v>B</v>
      </c>
      <c r="L240" s="8">
        <f>'3. Demand Forecast'!H333</f>
        <v>0.1</v>
      </c>
      <c r="M240" s="5" t="str">
        <f t="shared" si="26"/>
        <v>X</v>
      </c>
      <c r="N240" s="5" t="str">
        <f t="shared" si="27"/>
        <v>BX</v>
      </c>
    </row>
    <row r="241" spans="1:14" ht="15" customHeight="1" x14ac:dyDescent="0.2">
      <c r="A241" s="3" t="str">
        <f>'1. Master Data'!A134</f>
        <v>NT10130</v>
      </c>
      <c r="B241" s="1" t="str">
        <f>'1. Master Data'!B134</f>
        <v>CinemaMax 380in 8K</v>
      </c>
      <c r="C241" s="3" t="str">
        <f>'1. Master Data'!C134</f>
        <v>TVs</v>
      </c>
      <c r="D241" s="3" t="str">
        <f>'1. Master Data'!D134</f>
        <v>West DC</v>
      </c>
      <c r="E241" s="4">
        <f>'1. Master Data'!F134</f>
        <v>1209</v>
      </c>
      <c r="F241" s="3">
        <f>'2. Demand History'!AA134</f>
        <v>152</v>
      </c>
      <c r="G241" s="4">
        <f t="shared" si="21"/>
        <v>183768</v>
      </c>
      <c r="H241" s="3">
        <f t="shared" si="22"/>
        <v>237</v>
      </c>
      <c r="I241" s="11">
        <f t="shared" si="23"/>
        <v>145286557</v>
      </c>
      <c r="J241" s="10">
        <f t="shared" si="24"/>
        <v>0.87870462550939799</v>
      </c>
      <c r="K241" s="5" t="str">
        <f t="shared" si="25"/>
        <v>B</v>
      </c>
      <c r="L241" s="8">
        <f>'3. Demand Forecast'!H134</f>
        <v>0.25</v>
      </c>
      <c r="M241" s="5" t="str">
        <f t="shared" si="26"/>
        <v>X</v>
      </c>
      <c r="N241" s="5" t="str">
        <f t="shared" si="27"/>
        <v>BX</v>
      </c>
    </row>
    <row r="242" spans="1:14" ht="15" customHeight="1" x14ac:dyDescent="0.2">
      <c r="A242" s="3" t="str">
        <f>'1. Master Data'!A300</f>
        <v>NT10296</v>
      </c>
      <c r="B242" s="1" t="str">
        <f>'1. Master Data'!B300</f>
        <v>GameStation Controller 420</v>
      </c>
      <c r="C242" s="3" t="str">
        <f>'1. Master Data'!C300</f>
        <v>Gaming</v>
      </c>
      <c r="D242" s="3" t="str">
        <f>'1. Master Data'!D300</f>
        <v>West DC</v>
      </c>
      <c r="E242" s="4">
        <f>'1. Master Data'!F300</f>
        <v>271</v>
      </c>
      <c r="F242" s="3">
        <f>'2. Demand History'!AA300</f>
        <v>651</v>
      </c>
      <c r="G242" s="4">
        <f t="shared" si="21"/>
        <v>176421</v>
      </c>
      <c r="H242" s="3">
        <f t="shared" si="22"/>
        <v>238</v>
      </c>
      <c r="I242" s="11">
        <f t="shared" si="23"/>
        <v>145462978</v>
      </c>
      <c r="J242" s="10">
        <f t="shared" si="24"/>
        <v>0.87977163371675049</v>
      </c>
      <c r="K242" s="5" t="str">
        <f t="shared" si="25"/>
        <v>B</v>
      </c>
      <c r="L242" s="8">
        <f>'3. Demand Forecast'!H300</f>
        <v>0.34</v>
      </c>
      <c r="M242" s="5" t="str">
        <f t="shared" si="26"/>
        <v>Y</v>
      </c>
      <c r="N242" s="5" t="str">
        <f t="shared" si="27"/>
        <v>BY</v>
      </c>
    </row>
    <row r="243" spans="1:14" ht="15" customHeight="1" x14ac:dyDescent="0.2">
      <c r="A243" s="3" t="str">
        <f>'1. Master Data'!A443</f>
        <v>NT10439</v>
      </c>
      <c r="B243" s="1" t="str">
        <f>'1. Master Data'!B443</f>
        <v>NovaTab 758 10in</v>
      </c>
      <c r="C243" s="3" t="str">
        <f>'1. Master Data'!C443</f>
        <v>Tablets</v>
      </c>
      <c r="D243" s="3" t="str">
        <f>'1. Master Data'!D443</f>
        <v>Central DC</v>
      </c>
      <c r="E243" s="4">
        <f>'1. Master Data'!F443</f>
        <v>340</v>
      </c>
      <c r="F243" s="3">
        <f>'2. Demand History'!AA443</f>
        <v>515</v>
      </c>
      <c r="G243" s="4">
        <f t="shared" si="21"/>
        <v>175100</v>
      </c>
      <c r="H243" s="3">
        <f t="shared" si="22"/>
        <v>239</v>
      </c>
      <c r="I243" s="11">
        <f t="shared" si="23"/>
        <v>145638078</v>
      </c>
      <c r="J243" s="10">
        <f t="shared" si="24"/>
        <v>0.88083065241127911</v>
      </c>
      <c r="K243" s="5" t="str">
        <f t="shared" si="25"/>
        <v>B</v>
      </c>
      <c r="L243" s="8">
        <f>'3. Demand Forecast'!H443</f>
        <v>0.31</v>
      </c>
      <c r="M243" s="5" t="str">
        <f t="shared" si="26"/>
        <v>Y</v>
      </c>
      <c r="N243" s="5" t="str">
        <f t="shared" si="27"/>
        <v>BY</v>
      </c>
    </row>
    <row r="244" spans="1:14" ht="15" customHeight="1" x14ac:dyDescent="0.2">
      <c r="A244" s="3" t="str">
        <f>'1. Master Data'!A309</f>
        <v>NT10305</v>
      </c>
      <c r="B244" s="1" t="str">
        <f>'1. Master Data'!B309</f>
        <v>ThermoSmart 203</v>
      </c>
      <c r="C244" s="3" t="str">
        <f>'1. Master Data'!C309</f>
        <v>Smart Home</v>
      </c>
      <c r="D244" s="3" t="str">
        <f>'1. Master Data'!D309</f>
        <v>Central DC</v>
      </c>
      <c r="E244" s="4">
        <f>'1. Master Data'!F309</f>
        <v>54</v>
      </c>
      <c r="F244" s="3">
        <f>'2. Demand History'!AA309</f>
        <v>3219</v>
      </c>
      <c r="G244" s="4">
        <f t="shared" si="21"/>
        <v>173826</v>
      </c>
      <c r="H244" s="3">
        <f t="shared" si="22"/>
        <v>240</v>
      </c>
      <c r="I244" s="11">
        <f t="shared" si="23"/>
        <v>145811904</v>
      </c>
      <c r="J244" s="10">
        <f t="shared" si="24"/>
        <v>0.88188196585271328</v>
      </c>
      <c r="K244" s="5" t="str">
        <f t="shared" si="25"/>
        <v>B</v>
      </c>
      <c r="L244" s="8">
        <f>'3. Demand Forecast'!H309</f>
        <v>0.08</v>
      </c>
      <c r="M244" s="5" t="str">
        <f t="shared" si="26"/>
        <v>X</v>
      </c>
      <c r="N244" s="5" t="str">
        <f t="shared" si="27"/>
        <v>BX</v>
      </c>
    </row>
    <row r="245" spans="1:14" ht="15" customHeight="1" x14ac:dyDescent="0.2">
      <c r="A245" s="3" t="str">
        <f>'1. Master Data'!A57</f>
        <v>NT10053</v>
      </c>
      <c r="B245" s="1" t="str">
        <f>'1. Master Data'!B57</f>
        <v>CreatorPro 419 i9 16in</v>
      </c>
      <c r="C245" s="3" t="str">
        <f>'1. Master Data'!C57</f>
        <v>Laptops</v>
      </c>
      <c r="D245" s="3" t="str">
        <f>'1. Master Data'!D57</f>
        <v>West DC</v>
      </c>
      <c r="E245" s="4">
        <f>'1. Master Data'!F57</f>
        <v>1240</v>
      </c>
      <c r="F245" s="3">
        <f>'2. Demand History'!AA57</f>
        <v>140</v>
      </c>
      <c r="G245" s="4">
        <f t="shared" si="21"/>
        <v>173600</v>
      </c>
      <c r="H245" s="3">
        <f t="shared" si="22"/>
        <v>241</v>
      </c>
      <c r="I245" s="11">
        <f t="shared" si="23"/>
        <v>145985504</v>
      </c>
      <c r="J245" s="10">
        <f t="shared" si="24"/>
        <v>0.88293191242821401</v>
      </c>
      <c r="K245" s="5" t="str">
        <f t="shared" si="25"/>
        <v>B</v>
      </c>
      <c r="L245" s="8">
        <f>'3. Demand Forecast'!H57</f>
        <v>0.28000000000000003</v>
      </c>
      <c r="M245" s="5" t="str">
        <f t="shared" si="26"/>
        <v>Y</v>
      </c>
      <c r="N245" s="5" t="str">
        <f t="shared" si="27"/>
        <v>BY</v>
      </c>
    </row>
    <row r="246" spans="1:14" ht="15" customHeight="1" x14ac:dyDescent="0.2">
      <c r="A246" s="3" t="str">
        <f>'1. Master Data'!A199</f>
        <v>NT10195</v>
      </c>
      <c r="B246" s="1" t="str">
        <f>'1. Master Data'!B199</f>
        <v>ClipMic 425 Wireless</v>
      </c>
      <c r="C246" s="3" t="str">
        <f>'1. Master Data'!C199</f>
        <v>Audio</v>
      </c>
      <c r="D246" s="3" t="str">
        <f>'1. Master Data'!D199</f>
        <v>East DC</v>
      </c>
      <c r="E246" s="4">
        <f>'1. Master Data'!F199</f>
        <v>172</v>
      </c>
      <c r="F246" s="3">
        <f>'2. Demand History'!AA199</f>
        <v>1008</v>
      </c>
      <c r="G246" s="4">
        <f t="shared" si="21"/>
        <v>173376</v>
      </c>
      <c r="H246" s="3">
        <f t="shared" si="22"/>
        <v>242</v>
      </c>
      <c r="I246" s="11">
        <f t="shared" si="23"/>
        <v>146158880</v>
      </c>
      <c r="J246" s="10">
        <f t="shared" si="24"/>
        <v>0.88398050423393981</v>
      </c>
      <c r="K246" s="5" t="str">
        <f t="shared" si="25"/>
        <v>B</v>
      </c>
      <c r="L246" s="8">
        <f>'3. Demand Forecast'!H199</f>
        <v>0.7</v>
      </c>
      <c r="M246" s="5" t="str">
        <f t="shared" si="26"/>
        <v>Z</v>
      </c>
      <c r="N246" s="5" t="str">
        <f t="shared" si="27"/>
        <v>BZ</v>
      </c>
    </row>
    <row r="247" spans="1:14" ht="15" customHeight="1" x14ac:dyDescent="0.2">
      <c r="A247" s="3" t="str">
        <f>'1. Master Data'!A59</f>
        <v>NT10055</v>
      </c>
      <c r="B247" s="1" t="str">
        <f>'1. Master Data'!B59</f>
        <v>UltraSlim 241 Ryzen 5</v>
      </c>
      <c r="C247" s="3" t="str">
        <f>'1. Master Data'!C59</f>
        <v>Laptops</v>
      </c>
      <c r="D247" s="3" t="str">
        <f>'1. Master Data'!D59</f>
        <v>West DC</v>
      </c>
      <c r="E247" s="4">
        <f>'1. Master Data'!F59</f>
        <v>1492</v>
      </c>
      <c r="F247" s="3">
        <f>'2. Demand History'!AA59</f>
        <v>116</v>
      </c>
      <c r="G247" s="4">
        <f t="shared" si="21"/>
        <v>173072</v>
      </c>
      <c r="H247" s="3">
        <f t="shared" si="22"/>
        <v>243</v>
      </c>
      <c r="I247" s="11">
        <f t="shared" si="23"/>
        <v>146331952</v>
      </c>
      <c r="J247" s="10">
        <f t="shared" si="24"/>
        <v>0.8850272574235426</v>
      </c>
      <c r="K247" s="5" t="str">
        <f t="shared" si="25"/>
        <v>B</v>
      </c>
      <c r="L247" s="8">
        <f>'3. Demand Forecast'!H59</f>
        <v>0.26</v>
      </c>
      <c r="M247" s="5" t="str">
        <f t="shared" si="26"/>
        <v>Y</v>
      </c>
      <c r="N247" s="5" t="str">
        <f t="shared" si="27"/>
        <v>BY</v>
      </c>
    </row>
    <row r="248" spans="1:14" ht="15" customHeight="1" x14ac:dyDescent="0.2">
      <c r="A248" s="3" t="str">
        <f>'1. Master Data'!A454</f>
        <v>NT10450</v>
      </c>
      <c r="B248" s="1" t="str">
        <f>'1. Master Data'!B454</f>
        <v>DrawPad 744 12in</v>
      </c>
      <c r="C248" s="3" t="str">
        <f>'1. Master Data'!C454</f>
        <v>Tablets</v>
      </c>
      <c r="D248" s="3" t="str">
        <f>'1. Master Data'!D454</f>
        <v>Central DC</v>
      </c>
      <c r="E248" s="4">
        <f>'1. Master Data'!F454</f>
        <v>182</v>
      </c>
      <c r="F248" s="3">
        <f>'2. Demand History'!AA454</f>
        <v>948</v>
      </c>
      <c r="G248" s="4">
        <f t="shared" si="21"/>
        <v>172536</v>
      </c>
      <c r="H248" s="3">
        <f t="shared" si="22"/>
        <v>244</v>
      </c>
      <c r="I248" s="11">
        <f t="shared" si="23"/>
        <v>146504488</v>
      </c>
      <c r="J248" s="10">
        <f t="shared" si="24"/>
        <v>0.88607076884261282</v>
      </c>
      <c r="K248" s="5" t="str">
        <f t="shared" si="25"/>
        <v>B</v>
      </c>
      <c r="L248" s="8">
        <f>'3. Demand Forecast'!H454</f>
        <v>0.32</v>
      </c>
      <c r="M248" s="5" t="str">
        <f t="shared" si="26"/>
        <v>Y</v>
      </c>
      <c r="N248" s="5" t="str">
        <f t="shared" si="27"/>
        <v>BY</v>
      </c>
    </row>
    <row r="249" spans="1:14" ht="15" customHeight="1" x14ac:dyDescent="0.2">
      <c r="A249" s="3" t="str">
        <f>'1. Master Data'!A36</f>
        <v>NT10032</v>
      </c>
      <c r="B249" s="1" t="str">
        <f>'1. Master Data'!B36</f>
        <v>Nova X968 128GB</v>
      </c>
      <c r="C249" s="3" t="str">
        <f>'1. Master Data'!C36</f>
        <v>Smartphones</v>
      </c>
      <c r="D249" s="3" t="str">
        <f>'1. Master Data'!D36</f>
        <v>Central DC</v>
      </c>
      <c r="E249" s="4">
        <f>'1. Master Data'!F36</f>
        <v>255</v>
      </c>
      <c r="F249" s="3">
        <f>'2. Demand History'!AA36</f>
        <v>675</v>
      </c>
      <c r="G249" s="4">
        <f t="shared" si="21"/>
        <v>172125</v>
      </c>
      <c r="H249" s="3">
        <f t="shared" si="22"/>
        <v>245</v>
      </c>
      <c r="I249" s="11">
        <f t="shared" si="23"/>
        <v>146676613</v>
      </c>
      <c r="J249" s="10">
        <f t="shared" si="24"/>
        <v>0.88711179450106936</v>
      </c>
      <c r="K249" s="5" t="str">
        <f t="shared" si="25"/>
        <v>B</v>
      </c>
      <c r="L249" s="8">
        <f>'3. Demand Forecast'!H36</f>
        <v>0.32</v>
      </c>
      <c r="M249" s="5" t="str">
        <f t="shared" si="26"/>
        <v>Y</v>
      </c>
      <c r="N249" s="5" t="str">
        <f t="shared" si="27"/>
        <v>BY</v>
      </c>
    </row>
    <row r="250" spans="1:14" ht="15" customHeight="1" x14ac:dyDescent="0.2">
      <c r="A250" s="3" t="str">
        <f>'1. Master Data'!A355</f>
        <v>NT10351</v>
      </c>
      <c r="B250" s="1" t="str">
        <f>'1. Master Data'!B355</f>
        <v>MirrorlessM 131</v>
      </c>
      <c r="C250" s="3" t="str">
        <f>'1. Master Data'!C355</f>
        <v>Cameras</v>
      </c>
      <c r="D250" s="3" t="str">
        <f>'1. Master Data'!D355</f>
        <v>Central DC</v>
      </c>
      <c r="E250" s="4">
        <f>'1. Master Data'!F355</f>
        <v>1114</v>
      </c>
      <c r="F250" s="3">
        <f>'2. Demand History'!AA355</f>
        <v>154</v>
      </c>
      <c r="G250" s="4">
        <f t="shared" si="21"/>
        <v>171556</v>
      </c>
      <c r="H250" s="3">
        <f t="shared" si="22"/>
        <v>246</v>
      </c>
      <c r="I250" s="11">
        <f t="shared" si="23"/>
        <v>146848169</v>
      </c>
      <c r="J250" s="10">
        <f t="shared" si="24"/>
        <v>0.88814937880237455</v>
      </c>
      <c r="K250" s="5" t="str">
        <f t="shared" si="25"/>
        <v>B</v>
      </c>
      <c r="L250" s="8">
        <f>'3. Demand Forecast'!H355</f>
        <v>0.31</v>
      </c>
      <c r="M250" s="5" t="str">
        <f t="shared" si="26"/>
        <v>Y</v>
      </c>
      <c r="N250" s="5" t="str">
        <f t="shared" si="27"/>
        <v>BY</v>
      </c>
    </row>
    <row r="251" spans="1:14" ht="15" customHeight="1" x14ac:dyDescent="0.2">
      <c r="A251" s="3" t="str">
        <f>'1. Master Data'!A262</f>
        <v>NT10258</v>
      </c>
      <c r="B251" s="1" t="str">
        <f>'1. Master Data'!B262</f>
        <v>StreamCam S379</v>
      </c>
      <c r="C251" s="3" t="str">
        <f>'1. Master Data'!C262</f>
        <v>Gaming</v>
      </c>
      <c r="D251" s="3" t="str">
        <f>'1. Master Data'!D262</f>
        <v>West DC</v>
      </c>
      <c r="E251" s="4">
        <f>'1. Master Data'!F262</f>
        <v>210</v>
      </c>
      <c r="F251" s="3">
        <f>'2. Demand History'!AA262</f>
        <v>814</v>
      </c>
      <c r="G251" s="4">
        <f t="shared" si="21"/>
        <v>170940</v>
      </c>
      <c r="H251" s="3">
        <f t="shared" si="22"/>
        <v>247</v>
      </c>
      <c r="I251" s="11">
        <f t="shared" si="23"/>
        <v>147019109</v>
      </c>
      <c r="J251" s="10">
        <f t="shared" si="24"/>
        <v>0.88918323748679906</v>
      </c>
      <c r="K251" s="5" t="str">
        <f t="shared" si="25"/>
        <v>B</v>
      </c>
      <c r="L251" s="8">
        <f>'3. Demand Forecast'!H262</f>
        <v>0.26</v>
      </c>
      <c r="M251" s="5" t="str">
        <f t="shared" si="26"/>
        <v>Y</v>
      </c>
      <c r="N251" s="5" t="str">
        <f t="shared" si="27"/>
        <v>BY</v>
      </c>
    </row>
    <row r="252" spans="1:14" ht="15" customHeight="1" x14ac:dyDescent="0.2">
      <c r="A252" s="3" t="str">
        <f>'1. Master Data'!A172</f>
        <v>NT10168</v>
      </c>
      <c r="B252" s="1" t="str">
        <f>'1. Master Data'!B172</f>
        <v>StudioPods 858 ANC</v>
      </c>
      <c r="C252" s="3" t="str">
        <f>'1. Master Data'!C172</f>
        <v>Audio</v>
      </c>
      <c r="D252" s="3" t="str">
        <f>'1. Master Data'!D172</f>
        <v>West DC</v>
      </c>
      <c r="E252" s="4">
        <f>'1. Master Data'!F172</f>
        <v>174</v>
      </c>
      <c r="F252" s="3">
        <f>'2. Demand History'!AA172</f>
        <v>977</v>
      </c>
      <c r="G252" s="4">
        <f t="shared" si="21"/>
        <v>169998</v>
      </c>
      <c r="H252" s="3">
        <f t="shared" si="22"/>
        <v>248</v>
      </c>
      <c r="I252" s="11">
        <f t="shared" si="23"/>
        <v>147189107</v>
      </c>
      <c r="J252" s="10">
        <f t="shared" si="24"/>
        <v>0.89021139888047385</v>
      </c>
      <c r="K252" s="5" t="str">
        <f t="shared" si="25"/>
        <v>B</v>
      </c>
      <c r="L252" s="8">
        <f>'3. Demand Forecast'!H172</f>
        <v>0.32</v>
      </c>
      <c r="M252" s="5" t="str">
        <f t="shared" si="26"/>
        <v>Y</v>
      </c>
      <c r="N252" s="5" t="str">
        <f t="shared" si="27"/>
        <v>BY</v>
      </c>
    </row>
    <row r="253" spans="1:14" ht="15" customHeight="1" x14ac:dyDescent="0.2">
      <c r="A253" s="3" t="str">
        <f>'1. Master Data'!A481</f>
        <v>NT10477</v>
      </c>
      <c r="B253" s="1" t="str">
        <f>'1. Master Data'!B481</f>
        <v>Laptop Sleeve 15in V301</v>
      </c>
      <c r="C253" s="3" t="str">
        <f>'1. Master Data'!C481</f>
        <v>Accessories</v>
      </c>
      <c r="D253" s="3" t="str">
        <f>'1. Master Data'!D481</f>
        <v>East DC</v>
      </c>
      <c r="E253" s="4">
        <f>'1. Master Data'!F481</f>
        <v>23</v>
      </c>
      <c r="F253" s="3">
        <f>'2. Demand History'!AA481</f>
        <v>7320</v>
      </c>
      <c r="G253" s="4">
        <f t="shared" si="21"/>
        <v>168360</v>
      </c>
      <c r="H253" s="3">
        <f t="shared" si="22"/>
        <v>249</v>
      </c>
      <c r="I253" s="11">
        <f t="shared" si="23"/>
        <v>147357467</v>
      </c>
      <c r="J253" s="10">
        <f t="shared" si="24"/>
        <v>0.89122965352017025</v>
      </c>
      <c r="K253" s="5" t="str">
        <f t="shared" si="25"/>
        <v>B</v>
      </c>
      <c r="L253" s="8">
        <f>'3. Demand Forecast'!H481</f>
        <v>0.08</v>
      </c>
      <c r="M253" s="5" t="str">
        <f t="shared" si="26"/>
        <v>X</v>
      </c>
      <c r="N253" s="5" t="str">
        <f t="shared" si="27"/>
        <v>BX</v>
      </c>
    </row>
    <row r="254" spans="1:14" ht="15" customHeight="1" x14ac:dyDescent="0.2">
      <c r="A254" s="3" t="str">
        <f>'1. Master Data'!A378</f>
        <v>NT10374</v>
      </c>
      <c r="B254" s="1" t="str">
        <f>'1. Master Data'!B378</f>
        <v>OptiZoom 250 DSLR</v>
      </c>
      <c r="C254" s="3" t="str">
        <f>'1. Master Data'!C378</f>
        <v>Cameras</v>
      </c>
      <c r="D254" s="3" t="str">
        <f>'1. Master Data'!D378</f>
        <v>East DC</v>
      </c>
      <c r="E254" s="4">
        <f>'1. Master Data'!F378</f>
        <v>817</v>
      </c>
      <c r="F254" s="3">
        <f>'2. Demand History'!AA378</f>
        <v>203</v>
      </c>
      <c r="G254" s="4">
        <f t="shared" si="21"/>
        <v>165851</v>
      </c>
      <c r="H254" s="3">
        <f t="shared" si="22"/>
        <v>250</v>
      </c>
      <c r="I254" s="11">
        <f t="shared" si="23"/>
        <v>147523318</v>
      </c>
      <c r="J254" s="10">
        <f t="shared" si="24"/>
        <v>0.89223273352877264</v>
      </c>
      <c r="K254" s="5" t="str">
        <f t="shared" si="25"/>
        <v>B</v>
      </c>
      <c r="L254" s="8">
        <f>'3. Demand Forecast'!H378</f>
        <v>0.21</v>
      </c>
      <c r="M254" s="5" t="str">
        <f t="shared" si="26"/>
        <v>X</v>
      </c>
      <c r="N254" s="5" t="str">
        <f t="shared" si="27"/>
        <v>BX</v>
      </c>
    </row>
    <row r="255" spans="1:14" ht="15" customHeight="1" x14ac:dyDescent="0.2">
      <c r="A255" s="3" t="str">
        <f>'1. Master Data'!A416</f>
        <v>NT10412</v>
      </c>
      <c r="B255" s="1" t="str">
        <f>'1. Master Data'!B416</f>
        <v>NovaTab 225 Kids</v>
      </c>
      <c r="C255" s="3" t="str">
        <f>'1. Master Data'!C416</f>
        <v>Tablets</v>
      </c>
      <c r="D255" s="3" t="str">
        <f>'1. Master Data'!D416</f>
        <v>Central DC</v>
      </c>
      <c r="E255" s="4">
        <f>'1. Master Data'!F416</f>
        <v>230</v>
      </c>
      <c r="F255" s="3">
        <f>'2. Demand History'!AA416</f>
        <v>715</v>
      </c>
      <c r="G255" s="4">
        <f t="shared" si="21"/>
        <v>164450</v>
      </c>
      <c r="H255" s="3">
        <f t="shared" si="22"/>
        <v>251</v>
      </c>
      <c r="I255" s="11">
        <f t="shared" si="23"/>
        <v>147687768</v>
      </c>
      <c r="J255" s="10">
        <f t="shared" si="24"/>
        <v>0.89322734017820282</v>
      </c>
      <c r="K255" s="5" t="str">
        <f t="shared" si="25"/>
        <v>B</v>
      </c>
      <c r="L255" s="8">
        <f>'3. Demand Forecast'!H416</f>
        <v>0.28999999999999998</v>
      </c>
      <c r="M255" s="5" t="str">
        <f t="shared" si="26"/>
        <v>Y</v>
      </c>
      <c r="N255" s="5" t="str">
        <f t="shared" si="27"/>
        <v>BY</v>
      </c>
    </row>
    <row r="256" spans="1:14" ht="15" customHeight="1" x14ac:dyDescent="0.2">
      <c r="A256" s="3" t="str">
        <f>'1. Master Data'!A350</f>
        <v>NT10346</v>
      </c>
      <c r="B256" s="1" t="str">
        <f>'1. Master Data'!B350</f>
        <v>HomeCam 482 1080p</v>
      </c>
      <c r="C256" s="3" t="str">
        <f>'1. Master Data'!C350</f>
        <v>Smart Home</v>
      </c>
      <c r="D256" s="3" t="str">
        <f>'1. Master Data'!D350</f>
        <v>Central DC</v>
      </c>
      <c r="E256" s="4">
        <f>'1. Master Data'!F350</f>
        <v>53</v>
      </c>
      <c r="F256" s="3">
        <f>'2. Demand History'!AA350</f>
        <v>3074</v>
      </c>
      <c r="G256" s="4">
        <f t="shared" si="21"/>
        <v>162922</v>
      </c>
      <c r="H256" s="3">
        <f t="shared" si="22"/>
        <v>252</v>
      </c>
      <c r="I256" s="11">
        <f t="shared" si="23"/>
        <v>147850690</v>
      </c>
      <c r="J256" s="10">
        <f t="shared" si="24"/>
        <v>0.89421270536238318</v>
      </c>
      <c r="K256" s="5" t="str">
        <f t="shared" si="25"/>
        <v>B</v>
      </c>
      <c r="L256" s="8">
        <f>'3. Demand Forecast'!H350</f>
        <v>7.0000000000000007E-2</v>
      </c>
      <c r="M256" s="5" t="str">
        <f t="shared" si="26"/>
        <v>X</v>
      </c>
      <c r="N256" s="5" t="str">
        <f t="shared" si="27"/>
        <v>BX</v>
      </c>
    </row>
    <row r="257" spans="1:14" ht="15" customHeight="1" x14ac:dyDescent="0.2">
      <c r="A257" s="3" t="str">
        <f>'1. Master Data'!A421</f>
        <v>NT10417</v>
      </c>
      <c r="B257" s="1" t="str">
        <f>'1. Master Data'!B421</f>
        <v>DrawPad 569 12in</v>
      </c>
      <c r="C257" s="3" t="str">
        <f>'1. Master Data'!C421</f>
        <v>Tablets</v>
      </c>
      <c r="D257" s="3" t="str">
        <f>'1. Master Data'!D421</f>
        <v>West DC</v>
      </c>
      <c r="E257" s="4">
        <f>'1. Master Data'!F421</f>
        <v>226</v>
      </c>
      <c r="F257" s="3">
        <f>'2. Demand History'!AA421</f>
        <v>718</v>
      </c>
      <c r="G257" s="4">
        <f t="shared" si="21"/>
        <v>162268</v>
      </c>
      <c r="H257" s="3">
        <f t="shared" si="22"/>
        <v>253</v>
      </c>
      <c r="I257" s="11">
        <f t="shared" si="23"/>
        <v>148012958</v>
      </c>
      <c r="J257" s="10">
        <f t="shared" si="24"/>
        <v>0.89519411510266744</v>
      </c>
      <c r="K257" s="5" t="str">
        <f t="shared" si="25"/>
        <v>B</v>
      </c>
      <c r="L257" s="8">
        <f>'3. Demand Forecast'!H421</f>
        <v>0.28000000000000003</v>
      </c>
      <c r="M257" s="5" t="str">
        <f t="shared" si="26"/>
        <v>Y</v>
      </c>
      <c r="N257" s="5" t="str">
        <f t="shared" si="27"/>
        <v>BY</v>
      </c>
    </row>
    <row r="258" spans="1:14" ht="15" customHeight="1" x14ac:dyDescent="0.2">
      <c r="A258" s="3" t="str">
        <f>'1. Master Data'!A178</f>
        <v>NT10174</v>
      </c>
      <c r="B258" s="1" t="str">
        <f>'1. Master Data'!B178</f>
        <v>ClipMic 238 Wireless</v>
      </c>
      <c r="C258" s="3" t="str">
        <f>'1. Master Data'!C178</f>
        <v>Audio</v>
      </c>
      <c r="D258" s="3" t="str">
        <f>'1. Master Data'!D178</f>
        <v>East DC</v>
      </c>
      <c r="E258" s="4">
        <f>'1. Master Data'!F178</f>
        <v>219</v>
      </c>
      <c r="F258" s="3">
        <f>'2. Demand History'!AA178</f>
        <v>714</v>
      </c>
      <c r="G258" s="4">
        <f t="shared" si="21"/>
        <v>156366</v>
      </c>
      <c r="H258" s="3">
        <f t="shared" si="22"/>
        <v>254</v>
      </c>
      <c r="I258" s="11">
        <f t="shared" si="23"/>
        <v>148169324</v>
      </c>
      <c r="J258" s="10">
        <f t="shared" si="24"/>
        <v>0.89613982907861633</v>
      </c>
      <c r="K258" s="5" t="str">
        <f t="shared" si="25"/>
        <v>B</v>
      </c>
      <c r="L258" s="8">
        <f>'3. Demand Forecast'!H178</f>
        <v>0.3</v>
      </c>
      <c r="M258" s="5" t="str">
        <f t="shared" si="26"/>
        <v>Y</v>
      </c>
      <c r="N258" s="5" t="str">
        <f t="shared" si="27"/>
        <v>BY</v>
      </c>
    </row>
    <row r="259" spans="1:14" ht="15" customHeight="1" x14ac:dyDescent="0.2">
      <c r="A259" s="3" t="str">
        <f>'1. Master Data'!A328</f>
        <v>NT10324</v>
      </c>
      <c r="B259" s="1" t="str">
        <f>'1. Master Data'!B328</f>
        <v>HomeCam 916 1080p</v>
      </c>
      <c r="C259" s="3" t="str">
        <f>'1. Master Data'!C328</f>
        <v>Smart Home</v>
      </c>
      <c r="D259" s="3" t="str">
        <f>'1. Master Data'!D328</f>
        <v>West DC</v>
      </c>
      <c r="E259" s="4">
        <f>'1. Master Data'!F328</f>
        <v>53</v>
      </c>
      <c r="F259" s="3">
        <f>'2. Demand History'!AA328</f>
        <v>2940</v>
      </c>
      <c r="G259" s="4">
        <f t="shared" si="21"/>
        <v>155820</v>
      </c>
      <c r="H259" s="3">
        <f t="shared" si="22"/>
        <v>255</v>
      </c>
      <c r="I259" s="11">
        <f t="shared" si="23"/>
        <v>148325144</v>
      </c>
      <c r="J259" s="10">
        <f t="shared" si="24"/>
        <v>0.89708224080323917</v>
      </c>
      <c r="K259" s="5" t="str">
        <f t="shared" si="25"/>
        <v>B</v>
      </c>
      <c r="L259" s="8">
        <f>'3. Demand Forecast'!H328</f>
        <v>0.03</v>
      </c>
      <c r="M259" s="5" t="str">
        <f t="shared" si="26"/>
        <v>X</v>
      </c>
      <c r="N259" s="5" t="str">
        <f t="shared" si="27"/>
        <v>BX</v>
      </c>
    </row>
    <row r="260" spans="1:14" ht="15" customHeight="1" x14ac:dyDescent="0.2">
      <c r="A260" s="3" t="str">
        <f>'1. Master Data'!A161</f>
        <v>NT10157</v>
      </c>
      <c r="B260" s="1" t="str">
        <f>'1. Master Data'!B161</f>
        <v>WaveBar 726 Soundbar</v>
      </c>
      <c r="C260" s="3" t="str">
        <f>'1. Master Data'!C161</f>
        <v>Audio</v>
      </c>
      <c r="D260" s="3" t="str">
        <f>'1. Master Data'!D161</f>
        <v>Central DC</v>
      </c>
      <c r="E260" s="4">
        <f>'1. Master Data'!F161</f>
        <v>111</v>
      </c>
      <c r="F260" s="3">
        <f>'2. Demand History'!AA161</f>
        <v>1384</v>
      </c>
      <c r="G260" s="4">
        <f t="shared" si="21"/>
        <v>153624</v>
      </c>
      <c r="H260" s="3">
        <f t="shared" si="22"/>
        <v>256</v>
      </c>
      <c r="I260" s="11">
        <f t="shared" si="23"/>
        <v>148478768</v>
      </c>
      <c r="J260" s="10">
        <f t="shared" si="24"/>
        <v>0.89801137094560501</v>
      </c>
      <c r="K260" s="5" t="str">
        <f t="shared" si="25"/>
        <v>B</v>
      </c>
      <c r="L260" s="8">
        <f>'3. Demand Forecast'!H161</f>
        <v>0.34</v>
      </c>
      <c r="M260" s="5" t="str">
        <f t="shared" si="26"/>
        <v>Y</v>
      </c>
      <c r="N260" s="5" t="str">
        <f t="shared" si="27"/>
        <v>BY</v>
      </c>
    </row>
    <row r="261" spans="1:14" ht="15" customHeight="1" x14ac:dyDescent="0.2">
      <c r="A261" s="3" t="str">
        <f>'1. Master Data'!A105</f>
        <v>NT10101</v>
      </c>
      <c r="B261" s="1" t="str">
        <f>'1. Master Data'!B105</f>
        <v>VisionQ 798in QLED</v>
      </c>
      <c r="C261" s="3" t="str">
        <f>'1. Master Data'!C105</f>
        <v>TVs</v>
      </c>
      <c r="D261" s="3" t="str">
        <f>'1. Master Data'!D105</f>
        <v>West DC</v>
      </c>
      <c r="E261" s="4">
        <f>'1. Master Data'!F105</f>
        <v>1259</v>
      </c>
      <c r="F261" s="3">
        <f>'2. Demand History'!AA105</f>
        <v>122</v>
      </c>
      <c r="G261" s="4">
        <f t="shared" ref="G261:G324" si="28">E261*F261</f>
        <v>153598</v>
      </c>
      <c r="H261" s="3">
        <f t="shared" ref="H261:H324" si="29">RANK(G261,G$5:G$504,0)</f>
        <v>257</v>
      </c>
      <c r="I261" s="11">
        <f t="shared" ref="I261:I324" si="30">SUMPRODUCT((H$5:H$504&lt;=H261)*G$5:G$504)</f>
        <v>148632366</v>
      </c>
      <c r="J261" s="10">
        <f t="shared" ref="J261:J324" si="31">I261/SUM(G$5:G$504)</f>
        <v>0.89894034383790766</v>
      </c>
      <c r="K261" s="5" t="str">
        <f t="shared" ref="K261:K324" si="32">IF(J261&lt;=0.8,"A",IF(J261&lt;=0.95,"B","C"))</f>
        <v>B</v>
      </c>
      <c r="L261" s="8">
        <f>'3. Demand Forecast'!H105</f>
        <v>0.36</v>
      </c>
      <c r="M261" s="5" t="str">
        <f t="shared" ref="M261:M324" si="33">IF(L261&lt;=0.25,"X",IF(L261&lt;=0.6,"Y","Z"))</f>
        <v>Y</v>
      </c>
      <c r="N261" s="5" t="str">
        <f t="shared" ref="N261:N324" si="34">K261&amp;M261</f>
        <v>BY</v>
      </c>
    </row>
    <row r="262" spans="1:14" ht="15" customHeight="1" x14ac:dyDescent="0.2">
      <c r="A262" s="3" t="str">
        <f>'1. Master Data'!A261</f>
        <v>NT10257</v>
      </c>
      <c r="B262" s="1" t="str">
        <f>'1. Master Data'!B261</f>
        <v>RGB Keyboard K999</v>
      </c>
      <c r="C262" s="3" t="str">
        <f>'1. Master Data'!C261</f>
        <v>Gaming</v>
      </c>
      <c r="D262" s="3" t="str">
        <f>'1. Master Data'!D261</f>
        <v>East DC</v>
      </c>
      <c r="E262" s="4">
        <f>'1. Master Data'!F261</f>
        <v>65</v>
      </c>
      <c r="F262" s="3">
        <f>'2. Demand History'!AA261</f>
        <v>2353</v>
      </c>
      <c r="G262" s="4">
        <f t="shared" si="28"/>
        <v>152945</v>
      </c>
      <c r="H262" s="3">
        <f t="shared" si="29"/>
        <v>258</v>
      </c>
      <c r="I262" s="11">
        <f t="shared" si="30"/>
        <v>148785311</v>
      </c>
      <c r="J262" s="10">
        <f t="shared" si="31"/>
        <v>0.8998653673343936</v>
      </c>
      <c r="K262" s="5" t="str">
        <f t="shared" si="32"/>
        <v>B</v>
      </c>
      <c r="L262" s="8">
        <f>'3. Demand Forecast'!H261</f>
        <v>0.32</v>
      </c>
      <c r="M262" s="5" t="str">
        <f t="shared" si="33"/>
        <v>Y</v>
      </c>
      <c r="N262" s="5" t="str">
        <f t="shared" si="34"/>
        <v>BY</v>
      </c>
    </row>
    <row r="263" spans="1:14" ht="15" customHeight="1" x14ac:dyDescent="0.2">
      <c r="A263" s="3" t="str">
        <f>'1. Master Data'!A312</f>
        <v>NT10308</v>
      </c>
      <c r="B263" s="1" t="str">
        <f>'1. Master Data'!B312</f>
        <v>LumiBulb 477 RGB</v>
      </c>
      <c r="C263" s="3" t="str">
        <f>'1. Master Data'!C312</f>
        <v>Smart Home</v>
      </c>
      <c r="D263" s="3" t="str">
        <f>'1. Master Data'!D312</f>
        <v>East DC</v>
      </c>
      <c r="E263" s="4">
        <f>'1. Master Data'!F312</f>
        <v>117</v>
      </c>
      <c r="F263" s="3">
        <f>'2. Demand History'!AA312</f>
        <v>1303</v>
      </c>
      <c r="G263" s="4">
        <f t="shared" si="28"/>
        <v>152451</v>
      </c>
      <c r="H263" s="3">
        <f t="shared" si="29"/>
        <v>259</v>
      </c>
      <c r="I263" s="11">
        <f t="shared" si="30"/>
        <v>148937762</v>
      </c>
      <c r="J263" s="10">
        <f t="shared" si="31"/>
        <v>0.90078740307967964</v>
      </c>
      <c r="K263" s="5" t="str">
        <f t="shared" si="32"/>
        <v>B</v>
      </c>
      <c r="L263" s="8">
        <f>'3. Demand Forecast'!H312</f>
        <v>0.04</v>
      </c>
      <c r="M263" s="5" t="str">
        <f t="shared" si="33"/>
        <v>X</v>
      </c>
      <c r="N263" s="5" t="str">
        <f t="shared" si="34"/>
        <v>BX</v>
      </c>
    </row>
    <row r="264" spans="1:14" ht="15" customHeight="1" x14ac:dyDescent="0.2">
      <c r="A264" s="3" t="str">
        <f>'1. Master Data'!A462</f>
        <v>NT10458</v>
      </c>
      <c r="B264" s="1" t="str">
        <f>'1. Master Data'!B462</f>
        <v>Screen Guard 376</v>
      </c>
      <c r="C264" s="3" t="str">
        <f>'1. Master Data'!C462</f>
        <v>Accessories</v>
      </c>
      <c r="D264" s="3" t="str">
        <f>'1. Master Data'!D462</f>
        <v>West DC</v>
      </c>
      <c r="E264" s="4">
        <f>'1. Master Data'!F462</f>
        <v>37</v>
      </c>
      <c r="F264" s="3">
        <f>'2. Demand History'!AA462</f>
        <v>4114</v>
      </c>
      <c r="G264" s="4">
        <f t="shared" si="28"/>
        <v>152218</v>
      </c>
      <c r="H264" s="3">
        <f t="shared" si="29"/>
        <v>260</v>
      </c>
      <c r="I264" s="11">
        <f t="shared" si="30"/>
        <v>149089980</v>
      </c>
      <c r="J264" s="10">
        <f t="shared" si="31"/>
        <v>0.90170802962247654</v>
      </c>
      <c r="K264" s="5" t="str">
        <f t="shared" si="32"/>
        <v>B</v>
      </c>
      <c r="L264" s="8">
        <f>'3. Demand Forecast'!H462</f>
        <v>0.06</v>
      </c>
      <c r="M264" s="5" t="str">
        <f t="shared" si="33"/>
        <v>X</v>
      </c>
      <c r="N264" s="5" t="str">
        <f t="shared" si="34"/>
        <v>BX</v>
      </c>
    </row>
    <row r="265" spans="1:14" ht="15" customHeight="1" x14ac:dyDescent="0.2">
      <c r="A265" s="3" t="str">
        <f>'1. Master Data'!A131</f>
        <v>NT10127</v>
      </c>
      <c r="B265" s="1" t="str">
        <f>'1. Master Data'!B131</f>
        <v>CinemaMax 215in 8K</v>
      </c>
      <c r="C265" s="3" t="str">
        <f>'1. Master Data'!C131</f>
        <v>TVs</v>
      </c>
      <c r="D265" s="3" t="str">
        <f>'1. Master Data'!D131</f>
        <v>Central DC</v>
      </c>
      <c r="E265" s="4">
        <f>'1. Master Data'!F131</f>
        <v>308</v>
      </c>
      <c r="F265" s="3">
        <f>'2. Demand History'!AA131</f>
        <v>493</v>
      </c>
      <c r="G265" s="4">
        <f t="shared" si="28"/>
        <v>151844</v>
      </c>
      <c r="H265" s="3">
        <f t="shared" si="29"/>
        <v>261</v>
      </c>
      <c r="I265" s="11">
        <f t="shared" si="30"/>
        <v>149241824</v>
      </c>
      <c r="J265" s="10">
        <f t="shared" si="31"/>
        <v>0.90262639418359591</v>
      </c>
      <c r="K265" s="5" t="str">
        <f t="shared" si="32"/>
        <v>B</v>
      </c>
      <c r="L265" s="8">
        <f>'3. Demand Forecast'!H131</f>
        <v>0.28000000000000003</v>
      </c>
      <c r="M265" s="5" t="str">
        <f t="shared" si="33"/>
        <v>Y</v>
      </c>
      <c r="N265" s="5" t="str">
        <f t="shared" si="34"/>
        <v>BY</v>
      </c>
    </row>
    <row r="266" spans="1:14" ht="15" customHeight="1" x14ac:dyDescent="0.2">
      <c r="A266" s="3" t="str">
        <f>'1. Master Data'!A439</f>
        <v>NT10435</v>
      </c>
      <c r="B266" s="1" t="str">
        <f>'1. Master Data'!B439</f>
        <v>NovaTab 789 Kids</v>
      </c>
      <c r="C266" s="3" t="str">
        <f>'1. Master Data'!C439</f>
        <v>Tablets</v>
      </c>
      <c r="D266" s="3" t="str">
        <f>'1. Master Data'!D439</f>
        <v>West DC</v>
      </c>
      <c r="E266" s="4">
        <f>'1. Master Data'!F439</f>
        <v>388</v>
      </c>
      <c r="F266" s="3">
        <f>'2. Demand History'!AA439</f>
        <v>390</v>
      </c>
      <c r="G266" s="4">
        <f t="shared" si="28"/>
        <v>151320</v>
      </c>
      <c r="H266" s="3">
        <f t="shared" si="29"/>
        <v>262</v>
      </c>
      <c r="I266" s="11">
        <f t="shared" si="30"/>
        <v>149393144</v>
      </c>
      <c r="J266" s="10">
        <f t="shared" si="31"/>
        <v>0.90354158955113495</v>
      </c>
      <c r="K266" s="5" t="str">
        <f t="shared" si="32"/>
        <v>B</v>
      </c>
      <c r="L266" s="8">
        <f>'3. Demand Forecast'!H439</f>
        <v>0.28999999999999998</v>
      </c>
      <c r="M266" s="5" t="str">
        <f t="shared" si="33"/>
        <v>Y</v>
      </c>
      <c r="N266" s="5" t="str">
        <f t="shared" si="34"/>
        <v>BY</v>
      </c>
    </row>
    <row r="267" spans="1:14" ht="15" customHeight="1" x14ac:dyDescent="0.2">
      <c r="A267" s="3" t="str">
        <f>'1. Master Data'!A82</f>
        <v>NT10078</v>
      </c>
      <c r="B267" s="1" t="str">
        <f>'1. Master Data'!B82</f>
        <v>CreatorPro 672 i9 16in</v>
      </c>
      <c r="C267" s="3" t="str">
        <f>'1. Master Data'!C82</f>
        <v>Laptops</v>
      </c>
      <c r="D267" s="3" t="str">
        <f>'1. Master Data'!D82</f>
        <v>East DC</v>
      </c>
      <c r="E267" s="4">
        <f>'1. Master Data'!F82</f>
        <v>457</v>
      </c>
      <c r="F267" s="3">
        <f>'2. Demand History'!AA82</f>
        <v>328</v>
      </c>
      <c r="G267" s="4">
        <f t="shared" si="28"/>
        <v>149896</v>
      </c>
      <c r="H267" s="3">
        <f t="shared" si="29"/>
        <v>263</v>
      </c>
      <c r="I267" s="11">
        <f t="shared" si="30"/>
        <v>149543040</v>
      </c>
      <c r="J267" s="10">
        <f t="shared" si="31"/>
        <v>0.90444817245367659</v>
      </c>
      <c r="K267" s="5" t="str">
        <f t="shared" si="32"/>
        <v>B</v>
      </c>
      <c r="L267" s="8">
        <f>'3. Demand Forecast'!H82</f>
        <v>0.32</v>
      </c>
      <c r="M267" s="5" t="str">
        <f t="shared" si="33"/>
        <v>Y</v>
      </c>
      <c r="N267" s="5" t="str">
        <f t="shared" si="34"/>
        <v>BY</v>
      </c>
    </row>
    <row r="268" spans="1:14" ht="15" customHeight="1" x14ac:dyDescent="0.2">
      <c r="A268" s="3" t="str">
        <f>'1. Master Data'!A424</f>
        <v>NT10420</v>
      </c>
      <c r="B268" s="1" t="str">
        <f>'1. Master Data'!B424</f>
        <v>DrawPad 714 12in</v>
      </c>
      <c r="C268" s="3" t="str">
        <f>'1. Master Data'!C424</f>
        <v>Tablets</v>
      </c>
      <c r="D268" s="3" t="str">
        <f>'1. Master Data'!D424</f>
        <v>East DC</v>
      </c>
      <c r="E268" s="4">
        <f>'1. Master Data'!F424</f>
        <v>219</v>
      </c>
      <c r="F268" s="3">
        <f>'2. Demand History'!AA424</f>
        <v>681</v>
      </c>
      <c r="G268" s="4">
        <f t="shared" si="28"/>
        <v>149139</v>
      </c>
      <c r="H268" s="3">
        <f t="shared" si="29"/>
        <v>264</v>
      </c>
      <c r="I268" s="11">
        <f t="shared" si="30"/>
        <v>149692179</v>
      </c>
      <c r="J268" s="10">
        <f t="shared" si="31"/>
        <v>0.90535017696014897</v>
      </c>
      <c r="K268" s="5" t="str">
        <f t="shared" si="32"/>
        <v>B</v>
      </c>
      <c r="L268" s="8">
        <f>'3. Demand Forecast'!H424</f>
        <v>0.24</v>
      </c>
      <c r="M268" s="5" t="str">
        <f t="shared" si="33"/>
        <v>X</v>
      </c>
      <c r="N268" s="5" t="str">
        <f t="shared" si="34"/>
        <v>BX</v>
      </c>
    </row>
    <row r="269" spans="1:14" ht="15" customHeight="1" x14ac:dyDescent="0.2">
      <c r="A269" s="3" t="str">
        <f>'1. Master Data'!A484</f>
        <v>NT10480</v>
      </c>
      <c r="B269" s="1" t="str">
        <f>'1. Master Data'!B484</f>
        <v>Wall Charger 65W V886</v>
      </c>
      <c r="C269" s="3" t="str">
        <f>'1. Master Data'!C484</f>
        <v>Accessories</v>
      </c>
      <c r="D269" s="3" t="str">
        <f>'1. Master Data'!D484</f>
        <v>West DC</v>
      </c>
      <c r="E269" s="4">
        <f>'1. Master Data'!F484</f>
        <v>23</v>
      </c>
      <c r="F269" s="3">
        <f>'2. Demand History'!AA484</f>
        <v>6460</v>
      </c>
      <c r="G269" s="4">
        <f t="shared" si="28"/>
        <v>148580</v>
      </c>
      <c r="H269" s="3">
        <f t="shared" si="29"/>
        <v>265</v>
      </c>
      <c r="I269" s="11">
        <f t="shared" si="30"/>
        <v>149840759</v>
      </c>
      <c r="J269" s="10">
        <f t="shared" si="31"/>
        <v>0.90624880059026347</v>
      </c>
      <c r="K269" s="5" t="str">
        <f t="shared" si="32"/>
        <v>B</v>
      </c>
      <c r="L269" s="8">
        <f>'3. Demand Forecast'!H484</f>
        <v>0.05</v>
      </c>
      <c r="M269" s="5" t="str">
        <f t="shared" si="33"/>
        <v>X</v>
      </c>
      <c r="N269" s="5" t="str">
        <f t="shared" si="34"/>
        <v>BX</v>
      </c>
    </row>
    <row r="270" spans="1:14" ht="15" customHeight="1" x14ac:dyDescent="0.2">
      <c r="A270" s="3" t="str">
        <f>'1. Master Data'!A482</f>
        <v>NT10478</v>
      </c>
      <c r="B270" s="1" t="str">
        <f>'1. Master Data'!B482</f>
        <v>Power Bank 10K V365</v>
      </c>
      <c r="C270" s="3" t="str">
        <f>'1. Master Data'!C482</f>
        <v>Accessories</v>
      </c>
      <c r="D270" s="3" t="str">
        <f>'1. Master Data'!D482</f>
        <v>East DC</v>
      </c>
      <c r="E270" s="4">
        <f>'1. Master Data'!F482</f>
        <v>22</v>
      </c>
      <c r="F270" s="3">
        <f>'2. Demand History'!AA482</f>
        <v>6717</v>
      </c>
      <c r="G270" s="4">
        <f t="shared" si="28"/>
        <v>147774</v>
      </c>
      <c r="H270" s="3">
        <f t="shared" si="29"/>
        <v>266</v>
      </c>
      <c r="I270" s="11">
        <f t="shared" si="30"/>
        <v>149988533</v>
      </c>
      <c r="J270" s="10">
        <f t="shared" si="31"/>
        <v>0.90714254946842043</v>
      </c>
      <c r="K270" s="5" t="str">
        <f t="shared" si="32"/>
        <v>B</v>
      </c>
      <c r="L270" s="8">
        <f>'3. Demand Forecast'!H482</f>
        <v>0.06</v>
      </c>
      <c r="M270" s="5" t="str">
        <f t="shared" si="33"/>
        <v>X</v>
      </c>
      <c r="N270" s="5" t="str">
        <f t="shared" si="34"/>
        <v>BX</v>
      </c>
    </row>
    <row r="271" spans="1:14" ht="15" customHeight="1" x14ac:dyDescent="0.2">
      <c r="A271" s="3" t="str">
        <f>'1. Master Data'!A106</f>
        <v>NT10102</v>
      </c>
      <c r="B271" s="1" t="str">
        <f>'1. Master Data'!B106</f>
        <v>VisionLED 933in 4K</v>
      </c>
      <c r="C271" s="3" t="str">
        <f>'1. Master Data'!C106</f>
        <v>TVs</v>
      </c>
      <c r="D271" s="3" t="str">
        <f>'1. Master Data'!D106</f>
        <v>Central DC</v>
      </c>
      <c r="E271" s="4">
        <f>'1. Master Data'!F106</f>
        <v>376</v>
      </c>
      <c r="F271" s="3">
        <f>'2. Demand History'!AA106</f>
        <v>391</v>
      </c>
      <c r="G271" s="4">
        <f t="shared" si="28"/>
        <v>147016</v>
      </c>
      <c r="H271" s="3">
        <f t="shared" si="29"/>
        <v>267</v>
      </c>
      <c r="I271" s="11">
        <f t="shared" si="30"/>
        <v>150135549</v>
      </c>
      <c r="J271" s="10">
        <f t="shared" si="31"/>
        <v>0.90803171390242854</v>
      </c>
      <c r="K271" s="5" t="str">
        <f t="shared" si="32"/>
        <v>B</v>
      </c>
      <c r="L271" s="8">
        <f>'3. Demand Forecast'!H106</f>
        <v>0.8</v>
      </c>
      <c r="M271" s="5" t="str">
        <f t="shared" si="33"/>
        <v>Z</v>
      </c>
      <c r="N271" s="5" t="str">
        <f t="shared" si="34"/>
        <v>BZ</v>
      </c>
    </row>
    <row r="272" spans="1:14" ht="15" customHeight="1" x14ac:dyDescent="0.2">
      <c r="A272" s="3" t="str">
        <f>'1. Master Data'!A58</f>
        <v>NT10054</v>
      </c>
      <c r="B272" s="1" t="str">
        <f>'1. Master Data'!B58</f>
        <v>WorkMate 914 i3 14in</v>
      </c>
      <c r="C272" s="3" t="str">
        <f>'1. Master Data'!C58</f>
        <v>Laptops</v>
      </c>
      <c r="D272" s="3" t="str">
        <f>'1. Master Data'!D58</f>
        <v>West DC</v>
      </c>
      <c r="E272" s="4">
        <f>'1. Master Data'!F58</f>
        <v>753</v>
      </c>
      <c r="F272" s="3">
        <f>'2. Demand History'!AA58</f>
        <v>194</v>
      </c>
      <c r="G272" s="4">
        <f t="shared" si="28"/>
        <v>146082</v>
      </c>
      <c r="H272" s="3">
        <f t="shared" si="29"/>
        <v>268</v>
      </c>
      <c r="I272" s="11">
        <f t="shared" si="30"/>
        <v>150281631</v>
      </c>
      <c r="J272" s="10">
        <f t="shared" si="31"/>
        <v>0.90891522943032188</v>
      </c>
      <c r="K272" s="5" t="str">
        <f t="shared" si="32"/>
        <v>B</v>
      </c>
      <c r="L272" s="8">
        <f>'3. Demand Forecast'!H58</f>
        <v>0.28000000000000003</v>
      </c>
      <c r="M272" s="5" t="str">
        <f t="shared" si="33"/>
        <v>Y</v>
      </c>
      <c r="N272" s="5" t="str">
        <f t="shared" si="34"/>
        <v>BY</v>
      </c>
    </row>
    <row r="273" spans="1:14" ht="15" customHeight="1" x14ac:dyDescent="0.2">
      <c r="A273" s="3" t="str">
        <f>'1. Master Data'!A242</f>
        <v>NT10238</v>
      </c>
      <c r="B273" s="1" t="str">
        <f>'1. Master Data'!B242</f>
        <v>FitTrack Band 382</v>
      </c>
      <c r="C273" s="3" t="str">
        <f>'1. Master Data'!C242</f>
        <v>Wearables</v>
      </c>
      <c r="D273" s="3" t="str">
        <f>'1. Master Data'!D242</f>
        <v>East DC</v>
      </c>
      <c r="E273" s="4">
        <f>'1. Master Data'!F242</f>
        <v>82</v>
      </c>
      <c r="F273" s="3">
        <f>'2. Demand History'!AA242</f>
        <v>1746</v>
      </c>
      <c r="G273" s="4">
        <f t="shared" si="28"/>
        <v>143172</v>
      </c>
      <c r="H273" s="3">
        <f t="shared" si="29"/>
        <v>269</v>
      </c>
      <c r="I273" s="11">
        <f t="shared" si="30"/>
        <v>150424803</v>
      </c>
      <c r="J273" s="10">
        <f t="shared" si="31"/>
        <v>0.90978114504730101</v>
      </c>
      <c r="K273" s="5" t="str">
        <f t="shared" si="32"/>
        <v>B</v>
      </c>
      <c r="L273" s="8">
        <f>'3. Demand Forecast'!H242</f>
        <v>0.28999999999999998</v>
      </c>
      <c r="M273" s="5" t="str">
        <f t="shared" si="33"/>
        <v>Y</v>
      </c>
      <c r="N273" s="5" t="str">
        <f t="shared" si="34"/>
        <v>BY</v>
      </c>
    </row>
    <row r="274" spans="1:14" ht="15" customHeight="1" x14ac:dyDescent="0.2">
      <c r="A274" s="3" t="str">
        <f>'1. Master Data'!A267</f>
        <v>NT10263</v>
      </c>
      <c r="B274" s="1" t="str">
        <f>'1. Master Data'!B267</f>
        <v>StreamCam S540</v>
      </c>
      <c r="C274" s="3" t="str">
        <f>'1. Master Data'!C267</f>
        <v>Gaming</v>
      </c>
      <c r="D274" s="3" t="str">
        <f>'1. Master Data'!D267</f>
        <v>East DC</v>
      </c>
      <c r="E274" s="4">
        <f>'1. Master Data'!F267</f>
        <v>292</v>
      </c>
      <c r="F274" s="3">
        <f>'2. Demand History'!AA267</f>
        <v>487</v>
      </c>
      <c r="G274" s="4">
        <f t="shared" si="28"/>
        <v>142204</v>
      </c>
      <c r="H274" s="3">
        <f t="shared" si="29"/>
        <v>270</v>
      </c>
      <c r="I274" s="11">
        <f t="shared" si="30"/>
        <v>150567007</v>
      </c>
      <c r="J274" s="10">
        <f t="shared" si="31"/>
        <v>0.91064120612346744</v>
      </c>
      <c r="K274" s="5" t="str">
        <f t="shared" si="32"/>
        <v>B</v>
      </c>
      <c r="L274" s="8">
        <f>'3. Demand Forecast'!H267</f>
        <v>0.3</v>
      </c>
      <c r="M274" s="5" t="str">
        <f t="shared" si="33"/>
        <v>Y</v>
      </c>
      <c r="N274" s="5" t="str">
        <f t="shared" si="34"/>
        <v>BY</v>
      </c>
    </row>
    <row r="275" spans="1:14" ht="15" customHeight="1" x14ac:dyDescent="0.2">
      <c r="A275" s="3" t="str">
        <f>'1. Master Data'!A208</f>
        <v>NT10204</v>
      </c>
      <c r="B275" s="1" t="str">
        <f>'1. Master Data'!B208</f>
        <v>FitTrack Band 970</v>
      </c>
      <c r="C275" s="3" t="str">
        <f>'1. Master Data'!C208</f>
        <v>Wearables</v>
      </c>
      <c r="D275" s="3" t="str">
        <f>'1. Master Data'!D208</f>
        <v>East DC</v>
      </c>
      <c r="E275" s="4">
        <f>'1. Master Data'!F208</f>
        <v>77</v>
      </c>
      <c r="F275" s="3">
        <f>'2. Demand History'!AA208</f>
        <v>1843</v>
      </c>
      <c r="G275" s="4">
        <f t="shared" si="28"/>
        <v>141911</v>
      </c>
      <c r="H275" s="3">
        <f t="shared" si="29"/>
        <v>271</v>
      </c>
      <c r="I275" s="11">
        <f t="shared" si="30"/>
        <v>150708918</v>
      </c>
      <c r="J275" s="10">
        <f t="shared" si="31"/>
        <v>0.91149949511238382</v>
      </c>
      <c r="K275" s="5" t="str">
        <f t="shared" si="32"/>
        <v>B</v>
      </c>
      <c r="L275" s="8">
        <f>'3. Demand Forecast'!H208</f>
        <v>0.31</v>
      </c>
      <c r="M275" s="5" t="str">
        <f t="shared" si="33"/>
        <v>Y</v>
      </c>
      <c r="N275" s="5" t="str">
        <f t="shared" si="34"/>
        <v>BY</v>
      </c>
    </row>
    <row r="276" spans="1:14" ht="15" customHeight="1" x14ac:dyDescent="0.2">
      <c r="A276" s="3" t="str">
        <f>'1. Master Data'!A238</f>
        <v>NT10234</v>
      </c>
      <c r="B276" s="1" t="str">
        <f>'1. Master Data'!B238</f>
        <v>NovaWatch 818 GPS</v>
      </c>
      <c r="C276" s="3" t="str">
        <f>'1. Master Data'!C238</f>
        <v>Wearables</v>
      </c>
      <c r="D276" s="3" t="str">
        <f>'1. Master Data'!D238</f>
        <v>Central DC</v>
      </c>
      <c r="E276" s="4">
        <f>'1. Master Data'!F238</f>
        <v>150</v>
      </c>
      <c r="F276" s="3">
        <f>'2. Demand History'!AA238</f>
        <v>936</v>
      </c>
      <c r="G276" s="4">
        <f t="shared" si="28"/>
        <v>140400</v>
      </c>
      <c r="H276" s="3">
        <f t="shared" si="29"/>
        <v>272</v>
      </c>
      <c r="I276" s="11">
        <f t="shared" si="30"/>
        <v>150849318</v>
      </c>
      <c r="J276" s="10">
        <f t="shared" si="31"/>
        <v>0.91234864545339933</v>
      </c>
      <c r="K276" s="5" t="str">
        <f t="shared" si="32"/>
        <v>B</v>
      </c>
      <c r="L276" s="8">
        <f>'3. Demand Forecast'!H238</f>
        <v>0.27</v>
      </c>
      <c r="M276" s="5" t="str">
        <f t="shared" si="33"/>
        <v>Y</v>
      </c>
      <c r="N276" s="5" t="str">
        <f t="shared" si="34"/>
        <v>BY</v>
      </c>
    </row>
    <row r="277" spans="1:14" ht="15" customHeight="1" x14ac:dyDescent="0.2">
      <c r="A277" s="3" t="str">
        <f>'1. Master Data'!A412</f>
        <v>NT10408</v>
      </c>
      <c r="B277" s="1" t="str">
        <f>'1. Master Data'!B412</f>
        <v>NovaTab 610 10in</v>
      </c>
      <c r="C277" s="3" t="str">
        <f>'1. Master Data'!C412</f>
        <v>Tablets</v>
      </c>
      <c r="D277" s="3" t="str">
        <f>'1. Master Data'!D412</f>
        <v>Central DC</v>
      </c>
      <c r="E277" s="4">
        <f>'1. Master Data'!F412</f>
        <v>479</v>
      </c>
      <c r="F277" s="3">
        <f>'2. Demand History'!AA412</f>
        <v>291</v>
      </c>
      <c r="G277" s="4">
        <f t="shared" si="28"/>
        <v>139389</v>
      </c>
      <c r="H277" s="3">
        <f t="shared" si="29"/>
        <v>273</v>
      </c>
      <c r="I277" s="11">
        <f t="shared" si="30"/>
        <v>150988707</v>
      </c>
      <c r="J277" s="10">
        <f t="shared" si="31"/>
        <v>0.91319168118618999</v>
      </c>
      <c r="K277" s="5" t="str">
        <f t="shared" si="32"/>
        <v>B</v>
      </c>
      <c r="L277" s="8">
        <f>'3. Demand Forecast'!H412</f>
        <v>0.2</v>
      </c>
      <c r="M277" s="5" t="str">
        <f t="shared" si="33"/>
        <v>X</v>
      </c>
      <c r="N277" s="5" t="str">
        <f t="shared" si="34"/>
        <v>BX</v>
      </c>
    </row>
    <row r="278" spans="1:14" ht="15" customHeight="1" x14ac:dyDescent="0.2">
      <c r="A278" s="3" t="str">
        <f>'1. Master Data'!A455</f>
        <v>NT10451</v>
      </c>
      <c r="B278" s="1" t="str">
        <f>'1. Master Data'!B455</f>
        <v>Car Mount V755</v>
      </c>
      <c r="C278" s="3" t="str">
        <f>'1. Master Data'!C455</f>
        <v>Accessories</v>
      </c>
      <c r="D278" s="3" t="str">
        <f>'1. Master Data'!D455</f>
        <v>East DC</v>
      </c>
      <c r="E278" s="4">
        <f>'1. Master Data'!F455</f>
        <v>35</v>
      </c>
      <c r="F278" s="3">
        <f>'2. Demand History'!AA455</f>
        <v>3975</v>
      </c>
      <c r="G278" s="4">
        <f t="shared" si="28"/>
        <v>139125</v>
      </c>
      <c r="H278" s="3">
        <f t="shared" si="29"/>
        <v>274</v>
      </c>
      <c r="I278" s="11">
        <f t="shared" si="30"/>
        <v>151127832</v>
      </c>
      <c r="J278" s="10">
        <f t="shared" si="31"/>
        <v>0.91403312022603167</v>
      </c>
      <c r="K278" s="5" t="str">
        <f t="shared" si="32"/>
        <v>B</v>
      </c>
      <c r="L278" s="8">
        <f>'3. Demand Forecast'!H455</f>
        <v>0.06</v>
      </c>
      <c r="M278" s="5" t="str">
        <f t="shared" si="33"/>
        <v>X</v>
      </c>
      <c r="N278" s="5" t="str">
        <f t="shared" si="34"/>
        <v>BX</v>
      </c>
    </row>
    <row r="279" spans="1:14" ht="15" customHeight="1" x14ac:dyDescent="0.2">
      <c r="A279" s="3" t="str">
        <f>'1. Master Data'!A489</f>
        <v>NT10485</v>
      </c>
      <c r="B279" s="1" t="str">
        <f>'1. Master Data'!B489</f>
        <v>Power Bank 10K V686</v>
      </c>
      <c r="C279" s="3" t="str">
        <f>'1. Master Data'!C489</f>
        <v>Accessories</v>
      </c>
      <c r="D279" s="3" t="str">
        <f>'1. Master Data'!D489</f>
        <v>East DC</v>
      </c>
      <c r="E279" s="4">
        <f>'1. Master Data'!F489</f>
        <v>23</v>
      </c>
      <c r="F279" s="3">
        <f>'2. Demand History'!AA489</f>
        <v>5930</v>
      </c>
      <c r="G279" s="4">
        <f t="shared" si="28"/>
        <v>136390</v>
      </c>
      <c r="H279" s="3">
        <f t="shared" si="29"/>
        <v>275</v>
      </c>
      <c r="I279" s="11">
        <f t="shared" si="30"/>
        <v>151264222</v>
      </c>
      <c r="J279" s="10">
        <f t="shared" si="31"/>
        <v>0.9148580177688459</v>
      </c>
      <c r="K279" s="5" t="str">
        <f t="shared" si="32"/>
        <v>B</v>
      </c>
      <c r="L279" s="8">
        <f>'3. Demand Forecast'!H489</f>
        <v>0.11</v>
      </c>
      <c r="M279" s="5" t="str">
        <f t="shared" si="33"/>
        <v>X</v>
      </c>
      <c r="N279" s="5" t="str">
        <f t="shared" si="34"/>
        <v>BX</v>
      </c>
    </row>
    <row r="280" spans="1:14" ht="15" customHeight="1" x14ac:dyDescent="0.2">
      <c r="A280" s="3" t="str">
        <f>'1. Master Data'!A442</f>
        <v>NT10438</v>
      </c>
      <c r="B280" s="1" t="str">
        <f>'1. Master Data'!B442</f>
        <v>NovaTab 862 Kids</v>
      </c>
      <c r="C280" s="3" t="str">
        <f>'1. Master Data'!C442</f>
        <v>Tablets</v>
      </c>
      <c r="D280" s="3" t="str">
        <f>'1. Master Data'!D442</f>
        <v>Central DC</v>
      </c>
      <c r="E280" s="4">
        <f>'1. Master Data'!F442</f>
        <v>398</v>
      </c>
      <c r="F280" s="3">
        <f>'2. Demand History'!AA442</f>
        <v>339</v>
      </c>
      <c r="G280" s="4">
        <f t="shared" si="28"/>
        <v>134922</v>
      </c>
      <c r="H280" s="3">
        <f t="shared" si="29"/>
        <v>276</v>
      </c>
      <c r="I280" s="11">
        <f t="shared" si="30"/>
        <v>151399144</v>
      </c>
      <c r="J280" s="10">
        <f t="shared" si="31"/>
        <v>0.91567403673117131</v>
      </c>
      <c r="K280" s="5" t="str">
        <f t="shared" si="32"/>
        <v>B</v>
      </c>
      <c r="L280" s="8">
        <f>'3. Demand Forecast'!H442</f>
        <v>0.57999999999999996</v>
      </c>
      <c r="M280" s="5" t="str">
        <f t="shared" si="33"/>
        <v>Y</v>
      </c>
      <c r="N280" s="5" t="str">
        <f t="shared" si="34"/>
        <v>BY</v>
      </c>
    </row>
    <row r="281" spans="1:14" ht="15" customHeight="1" x14ac:dyDescent="0.2">
      <c r="A281" s="3" t="str">
        <f>'1. Master Data'!A121</f>
        <v>NT10117</v>
      </c>
      <c r="B281" s="1" t="str">
        <f>'1. Master Data'!B121</f>
        <v>VisionOLED 607in 4K</v>
      </c>
      <c r="C281" s="3" t="str">
        <f>'1. Master Data'!C121</f>
        <v>TVs</v>
      </c>
      <c r="D281" s="3" t="str">
        <f>'1. Master Data'!D121</f>
        <v>East DC</v>
      </c>
      <c r="E281" s="4">
        <f>'1. Master Data'!F121</f>
        <v>1020</v>
      </c>
      <c r="F281" s="3">
        <f>'2. Demand History'!AA121</f>
        <v>132</v>
      </c>
      <c r="G281" s="4">
        <f t="shared" si="28"/>
        <v>134640</v>
      </c>
      <c r="H281" s="3">
        <f t="shared" si="29"/>
        <v>277</v>
      </c>
      <c r="I281" s="11">
        <f t="shared" si="30"/>
        <v>151533784</v>
      </c>
      <c r="J281" s="10">
        <f t="shared" si="31"/>
        <v>0.91648835013511953</v>
      </c>
      <c r="K281" s="5" t="str">
        <f t="shared" si="32"/>
        <v>B</v>
      </c>
      <c r="L281" s="8">
        <f>'3. Demand Forecast'!H121</f>
        <v>1.1100000000000001</v>
      </c>
      <c r="M281" s="5" t="str">
        <f t="shared" si="33"/>
        <v>Z</v>
      </c>
      <c r="N281" s="5" t="str">
        <f t="shared" si="34"/>
        <v>BZ</v>
      </c>
    </row>
    <row r="282" spans="1:14" ht="15" customHeight="1" x14ac:dyDescent="0.2">
      <c r="A282" s="3" t="str">
        <f>'1. Master Data'!A183</f>
        <v>NT10179</v>
      </c>
      <c r="B282" s="1" t="str">
        <f>'1. Master Data'!B183</f>
        <v>SoundCore Buds 359</v>
      </c>
      <c r="C282" s="3" t="str">
        <f>'1. Master Data'!C183</f>
        <v>Audio</v>
      </c>
      <c r="D282" s="3" t="str">
        <f>'1. Master Data'!D183</f>
        <v>West DC</v>
      </c>
      <c r="E282" s="4">
        <f>'1. Master Data'!F183</f>
        <v>229</v>
      </c>
      <c r="F282" s="3">
        <f>'2. Demand History'!AA183</f>
        <v>582</v>
      </c>
      <c r="G282" s="4">
        <f t="shared" si="28"/>
        <v>133278</v>
      </c>
      <c r="H282" s="3">
        <f t="shared" si="29"/>
        <v>278</v>
      </c>
      <c r="I282" s="11">
        <f t="shared" si="30"/>
        <v>151667062</v>
      </c>
      <c r="J282" s="10">
        <f t="shared" si="31"/>
        <v>0.91729442605499034</v>
      </c>
      <c r="K282" s="5" t="str">
        <f t="shared" si="32"/>
        <v>B</v>
      </c>
      <c r="L282" s="8">
        <f>'3. Demand Forecast'!H183</f>
        <v>0.66</v>
      </c>
      <c r="M282" s="5" t="str">
        <f t="shared" si="33"/>
        <v>Z</v>
      </c>
      <c r="N282" s="5" t="str">
        <f t="shared" si="34"/>
        <v>BZ</v>
      </c>
    </row>
    <row r="283" spans="1:14" ht="15" customHeight="1" x14ac:dyDescent="0.2">
      <c r="A283" s="3" t="str">
        <f>'1. Master Data'!A97</f>
        <v>NT10093</v>
      </c>
      <c r="B283" s="1" t="str">
        <f>'1. Master Data'!B97</f>
        <v>UltraSlim 436 Ryzen 5</v>
      </c>
      <c r="C283" s="3" t="str">
        <f>'1. Master Data'!C97</f>
        <v>Laptops</v>
      </c>
      <c r="D283" s="3" t="str">
        <f>'1. Master Data'!D97</f>
        <v>Central DC</v>
      </c>
      <c r="E283" s="4">
        <f>'1. Master Data'!F97</f>
        <v>1430</v>
      </c>
      <c r="F283" s="3">
        <f>'2. Demand History'!AA97</f>
        <v>93</v>
      </c>
      <c r="G283" s="4">
        <f t="shared" si="28"/>
        <v>132990</v>
      </c>
      <c r="H283" s="3">
        <f t="shared" si="29"/>
        <v>279</v>
      </c>
      <c r="I283" s="11">
        <f t="shared" si="30"/>
        <v>151800052</v>
      </c>
      <c r="J283" s="10">
        <f t="shared" si="31"/>
        <v>0.91809876012800784</v>
      </c>
      <c r="K283" s="5" t="str">
        <f t="shared" si="32"/>
        <v>B</v>
      </c>
      <c r="L283" s="8">
        <f>'3. Demand Forecast'!H97</f>
        <v>0.27</v>
      </c>
      <c r="M283" s="5" t="str">
        <f t="shared" si="33"/>
        <v>Y</v>
      </c>
      <c r="N283" s="5" t="str">
        <f t="shared" si="34"/>
        <v>BY</v>
      </c>
    </row>
    <row r="284" spans="1:14" ht="15" customHeight="1" x14ac:dyDescent="0.2">
      <c r="A284" s="3" t="str">
        <f>'1. Master Data'!A148</f>
        <v>NT10144</v>
      </c>
      <c r="B284" s="1" t="str">
        <f>'1. Master Data'!B148</f>
        <v>VisionOLED 428in 4K</v>
      </c>
      <c r="C284" s="3" t="str">
        <f>'1. Master Data'!C148</f>
        <v>TVs</v>
      </c>
      <c r="D284" s="3" t="str">
        <f>'1. Master Data'!D148</f>
        <v>Central DC</v>
      </c>
      <c r="E284" s="4">
        <f>'1. Master Data'!F148</f>
        <v>498</v>
      </c>
      <c r="F284" s="3">
        <f>'2. Demand History'!AA148</f>
        <v>266</v>
      </c>
      <c r="G284" s="4">
        <f t="shared" si="28"/>
        <v>132468</v>
      </c>
      <c r="H284" s="3">
        <f t="shared" si="29"/>
        <v>280</v>
      </c>
      <c r="I284" s="11">
        <f t="shared" si="30"/>
        <v>151932520</v>
      </c>
      <c r="J284" s="10">
        <f t="shared" si="31"/>
        <v>0.91889993710360363</v>
      </c>
      <c r="K284" s="5" t="str">
        <f t="shared" si="32"/>
        <v>B</v>
      </c>
      <c r="L284" s="8">
        <f>'3. Demand Forecast'!H148</f>
        <v>0.32</v>
      </c>
      <c r="M284" s="5" t="str">
        <f t="shared" si="33"/>
        <v>Y</v>
      </c>
      <c r="N284" s="5" t="str">
        <f t="shared" si="34"/>
        <v>BY</v>
      </c>
    </row>
    <row r="285" spans="1:14" ht="15" customHeight="1" x14ac:dyDescent="0.2">
      <c r="A285" s="3" t="str">
        <f>'1. Master Data'!A85</f>
        <v>NT10081</v>
      </c>
      <c r="B285" s="1" t="str">
        <f>'1. Master Data'!B85</f>
        <v>UltraSlim 956 Ryzen 5</v>
      </c>
      <c r="C285" s="3" t="str">
        <f>'1. Master Data'!C85</f>
        <v>Laptops</v>
      </c>
      <c r="D285" s="3" t="str">
        <f>'1. Master Data'!D85</f>
        <v>East DC</v>
      </c>
      <c r="E285" s="4">
        <f>'1. Master Data'!F85</f>
        <v>1152</v>
      </c>
      <c r="F285" s="3">
        <f>'2. Demand History'!AA85</f>
        <v>114</v>
      </c>
      <c r="G285" s="4">
        <f t="shared" si="28"/>
        <v>131328</v>
      </c>
      <c r="H285" s="3">
        <f t="shared" si="29"/>
        <v>281</v>
      </c>
      <c r="I285" s="11">
        <f t="shared" si="30"/>
        <v>152063848</v>
      </c>
      <c r="J285" s="10">
        <f t="shared" si="31"/>
        <v>0.91969421926873807</v>
      </c>
      <c r="K285" s="5" t="str">
        <f t="shared" si="32"/>
        <v>B</v>
      </c>
      <c r="L285" s="8">
        <f>'3. Demand Forecast'!H85</f>
        <v>0.26</v>
      </c>
      <c r="M285" s="5" t="str">
        <f t="shared" si="33"/>
        <v>Y</v>
      </c>
      <c r="N285" s="5" t="str">
        <f t="shared" si="34"/>
        <v>BY</v>
      </c>
    </row>
    <row r="286" spans="1:14" ht="15" customHeight="1" x14ac:dyDescent="0.2">
      <c r="A286" s="3" t="str">
        <f>'1. Master Data'!A100</f>
        <v>NT10096</v>
      </c>
      <c r="B286" s="1" t="str">
        <f>'1. Master Data'!B100</f>
        <v>UltraSlim 744 Ryzen 5</v>
      </c>
      <c r="C286" s="3" t="str">
        <f>'1. Master Data'!C100</f>
        <v>Laptops</v>
      </c>
      <c r="D286" s="3" t="str">
        <f>'1. Master Data'!D100</f>
        <v>East DC</v>
      </c>
      <c r="E286" s="4">
        <f>'1. Master Data'!F100</f>
        <v>1386</v>
      </c>
      <c r="F286" s="3">
        <f>'2. Demand History'!AA100</f>
        <v>94</v>
      </c>
      <c r="G286" s="4">
        <f t="shared" si="28"/>
        <v>130284</v>
      </c>
      <c r="H286" s="3">
        <f t="shared" si="29"/>
        <v>282</v>
      </c>
      <c r="I286" s="11">
        <f t="shared" si="30"/>
        <v>152194132</v>
      </c>
      <c r="J286" s="10">
        <f t="shared" si="31"/>
        <v>0.92048218723902919</v>
      </c>
      <c r="K286" s="5" t="str">
        <f t="shared" si="32"/>
        <v>B</v>
      </c>
      <c r="L286" s="8">
        <f>'3. Demand Forecast'!H100</f>
        <v>0.27</v>
      </c>
      <c r="M286" s="5" t="str">
        <f t="shared" si="33"/>
        <v>Y</v>
      </c>
      <c r="N286" s="5" t="str">
        <f t="shared" si="34"/>
        <v>BY</v>
      </c>
    </row>
    <row r="287" spans="1:14" ht="15" customHeight="1" x14ac:dyDescent="0.2">
      <c r="A287" s="3" t="str">
        <f>'1. Master Data'!A216</f>
        <v>NT10212</v>
      </c>
      <c r="B287" s="1" t="str">
        <f>'1. Master Data'!B216</f>
        <v>NovaWatch 933 GPS</v>
      </c>
      <c r="C287" s="3" t="str">
        <f>'1. Master Data'!C216</f>
        <v>Wearables</v>
      </c>
      <c r="D287" s="3" t="str">
        <f>'1. Master Data'!D216</f>
        <v>East DC</v>
      </c>
      <c r="E287" s="4">
        <f>'1. Master Data'!F216</f>
        <v>143</v>
      </c>
      <c r="F287" s="3">
        <f>'2. Demand History'!AA216</f>
        <v>905</v>
      </c>
      <c r="G287" s="4">
        <f t="shared" si="28"/>
        <v>129415</v>
      </c>
      <c r="H287" s="3">
        <f t="shared" si="29"/>
        <v>283</v>
      </c>
      <c r="I287" s="11">
        <f t="shared" si="30"/>
        <v>152323547</v>
      </c>
      <c r="J287" s="10">
        <f t="shared" si="31"/>
        <v>0.92126489942836332</v>
      </c>
      <c r="K287" s="5" t="str">
        <f t="shared" si="32"/>
        <v>B</v>
      </c>
      <c r="L287" s="8">
        <f>'3. Demand Forecast'!H216</f>
        <v>0.27</v>
      </c>
      <c r="M287" s="5" t="str">
        <f t="shared" si="33"/>
        <v>Y</v>
      </c>
      <c r="N287" s="5" t="str">
        <f t="shared" si="34"/>
        <v>BY</v>
      </c>
    </row>
    <row r="288" spans="1:14" ht="15" customHeight="1" x14ac:dyDescent="0.2">
      <c r="A288" s="3" t="str">
        <f>'1. Master Data'!A318</f>
        <v>NT10314</v>
      </c>
      <c r="B288" s="1" t="str">
        <f>'1. Master Data'!B318</f>
        <v>DoorSense 634</v>
      </c>
      <c r="C288" s="3" t="str">
        <f>'1. Master Data'!C318</f>
        <v>Smart Home</v>
      </c>
      <c r="D288" s="3" t="str">
        <f>'1. Master Data'!D318</f>
        <v>Central DC</v>
      </c>
      <c r="E288" s="4">
        <f>'1. Master Data'!F318</f>
        <v>108</v>
      </c>
      <c r="F288" s="3">
        <f>'2. Demand History'!AA318</f>
        <v>1197</v>
      </c>
      <c r="G288" s="4">
        <f t="shared" si="28"/>
        <v>129276</v>
      </c>
      <c r="H288" s="3">
        <f t="shared" si="29"/>
        <v>284</v>
      </c>
      <c r="I288" s="11">
        <f t="shared" si="30"/>
        <v>152452823</v>
      </c>
      <c r="J288" s="10">
        <f t="shared" si="31"/>
        <v>0.92204677093466769</v>
      </c>
      <c r="K288" s="5" t="str">
        <f t="shared" si="32"/>
        <v>B</v>
      </c>
      <c r="L288" s="8">
        <f>'3. Demand Forecast'!H318</f>
        <v>0.05</v>
      </c>
      <c r="M288" s="5" t="str">
        <f t="shared" si="33"/>
        <v>X</v>
      </c>
      <c r="N288" s="5" t="str">
        <f t="shared" si="34"/>
        <v>BX</v>
      </c>
    </row>
    <row r="289" spans="1:14" ht="15" customHeight="1" x14ac:dyDescent="0.2">
      <c r="A289" s="3" t="str">
        <f>'1. Master Data'!A359</f>
        <v>NT10355</v>
      </c>
      <c r="B289" s="1" t="str">
        <f>'1. Master Data'!B359</f>
        <v>MirrorlessM 404</v>
      </c>
      <c r="C289" s="3" t="str">
        <f>'1. Master Data'!C359</f>
        <v>Cameras</v>
      </c>
      <c r="D289" s="3" t="str">
        <f>'1. Master Data'!D359</f>
        <v>East DC</v>
      </c>
      <c r="E289" s="4">
        <f>'1. Master Data'!F359</f>
        <v>866</v>
      </c>
      <c r="F289" s="3">
        <f>'2. Demand History'!AA359</f>
        <v>149</v>
      </c>
      <c r="G289" s="4">
        <f t="shared" si="28"/>
        <v>129034</v>
      </c>
      <c r="H289" s="3">
        <f t="shared" si="29"/>
        <v>285</v>
      </c>
      <c r="I289" s="11">
        <f t="shared" si="30"/>
        <v>152581857</v>
      </c>
      <c r="J289" s="10">
        <f t="shared" si="31"/>
        <v>0.9228271788057687</v>
      </c>
      <c r="K289" s="5" t="str">
        <f t="shared" si="32"/>
        <v>B</v>
      </c>
      <c r="L289" s="8">
        <f>'3. Demand Forecast'!H359</f>
        <v>0.32</v>
      </c>
      <c r="M289" s="5" t="str">
        <f t="shared" si="33"/>
        <v>Y</v>
      </c>
      <c r="N289" s="5" t="str">
        <f t="shared" si="34"/>
        <v>BY</v>
      </c>
    </row>
    <row r="290" spans="1:14" ht="15" customHeight="1" x14ac:dyDescent="0.2">
      <c r="A290" s="3" t="str">
        <f>'1. Master Data'!A288</f>
        <v>NT10284</v>
      </c>
      <c r="B290" s="1" t="str">
        <f>'1. Master Data'!B288</f>
        <v>ProMouse G382</v>
      </c>
      <c r="C290" s="3" t="str">
        <f>'1. Master Data'!C288</f>
        <v>Gaming</v>
      </c>
      <c r="D290" s="3" t="str">
        <f>'1. Master Data'!D288</f>
        <v>Central DC</v>
      </c>
      <c r="E290" s="4">
        <f>'1. Master Data'!F288</f>
        <v>281</v>
      </c>
      <c r="F290" s="3">
        <f>'2. Demand History'!AA288</f>
        <v>454</v>
      </c>
      <c r="G290" s="4">
        <f t="shared" si="28"/>
        <v>127574</v>
      </c>
      <c r="H290" s="3">
        <f t="shared" si="29"/>
        <v>286</v>
      </c>
      <c r="I290" s="11">
        <f t="shared" si="30"/>
        <v>152709431</v>
      </c>
      <c r="J290" s="10">
        <f t="shared" si="31"/>
        <v>0.92359875648101597</v>
      </c>
      <c r="K290" s="5" t="str">
        <f t="shared" si="32"/>
        <v>B</v>
      </c>
      <c r="L290" s="8">
        <f>'3. Demand Forecast'!H288</f>
        <v>0.33</v>
      </c>
      <c r="M290" s="5" t="str">
        <f t="shared" si="33"/>
        <v>Y</v>
      </c>
      <c r="N290" s="5" t="str">
        <f t="shared" si="34"/>
        <v>BY</v>
      </c>
    </row>
    <row r="291" spans="1:14" ht="15" customHeight="1" x14ac:dyDescent="0.2">
      <c r="A291" s="3" t="str">
        <f>'1. Master Data'!A353</f>
        <v>NT10349</v>
      </c>
      <c r="B291" s="1" t="str">
        <f>'1. Master Data'!B353</f>
        <v>HomeCam 528 1080p</v>
      </c>
      <c r="C291" s="3" t="str">
        <f>'1. Master Data'!C353</f>
        <v>Smart Home</v>
      </c>
      <c r="D291" s="3" t="str">
        <f>'1. Master Data'!D353</f>
        <v>Central DC</v>
      </c>
      <c r="E291" s="4">
        <f>'1. Master Data'!F353</f>
        <v>66</v>
      </c>
      <c r="F291" s="3">
        <f>'2. Demand History'!AA353</f>
        <v>1926</v>
      </c>
      <c r="G291" s="4">
        <f t="shared" si="28"/>
        <v>127116</v>
      </c>
      <c r="H291" s="3">
        <f t="shared" si="29"/>
        <v>287</v>
      </c>
      <c r="I291" s="11">
        <f t="shared" si="30"/>
        <v>152836547</v>
      </c>
      <c r="J291" s="10">
        <f t="shared" si="31"/>
        <v>0.92436756413592003</v>
      </c>
      <c r="K291" s="5" t="str">
        <f t="shared" si="32"/>
        <v>B</v>
      </c>
      <c r="L291" s="8">
        <f>'3. Demand Forecast'!H353</f>
        <v>0.05</v>
      </c>
      <c r="M291" s="5" t="str">
        <f t="shared" si="33"/>
        <v>X</v>
      </c>
      <c r="N291" s="5" t="str">
        <f t="shared" si="34"/>
        <v>BX</v>
      </c>
    </row>
    <row r="292" spans="1:14" ht="15" customHeight="1" x14ac:dyDescent="0.2">
      <c r="A292" s="3" t="str">
        <f>'1. Master Data'!A387</f>
        <v>NT10383</v>
      </c>
      <c r="B292" s="1" t="str">
        <f>'1. Master Data'!B387</f>
        <v>MirrorlessM 561</v>
      </c>
      <c r="C292" s="3" t="str">
        <f>'1. Master Data'!C387</f>
        <v>Cameras</v>
      </c>
      <c r="D292" s="3" t="str">
        <f>'1. Master Data'!D387</f>
        <v>Central DC</v>
      </c>
      <c r="E292" s="4">
        <f>'1. Master Data'!F387</f>
        <v>814</v>
      </c>
      <c r="F292" s="3">
        <f>'2. Demand History'!AA387</f>
        <v>156</v>
      </c>
      <c r="G292" s="4">
        <f t="shared" si="28"/>
        <v>126984</v>
      </c>
      <c r="H292" s="3">
        <f t="shared" si="29"/>
        <v>288</v>
      </c>
      <c r="I292" s="11">
        <f t="shared" si="30"/>
        <v>152963531</v>
      </c>
      <c r="J292" s="10">
        <f t="shared" si="31"/>
        <v>0.9251355734443496</v>
      </c>
      <c r="K292" s="5" t="str">
        <f t="shared" si="32"/>
        <v>B</v>
      </c>
      <c r="L292" s="8">
        <f>'3. Demand Forecast'!H387</f>
        <v>0.31</v>
      </c>
      <c r="M292" s="5" t="str">
        <f t="shared" si="33"/>
        <v>Y</v>
      </c>
      <c r="N292" s="5" t="str">
        <f t="shared" si="34"/>
        <v>BY</v>
      </c>
    </row>
    <row r="293" spans="1:14" ht="15" customHeight="1" x14ac:dyDescent="0.2">
      <c r="A293" s="3" t="str">
        <f>'1. Master Data'!A139</f>
        <v>NT10135</v>
      </c>
      <c r="B293" s="1" t="str">
        <f>'1. Master Data'!B139</f>
        <v>CinemaMax 348in 8K</v>
      </c>
      <c r="C293" s="3" t="str">
        <f>'1. Master Data'!C139</f>
        <v>TVs</v>
      </c>
      <c r="D293" s="3" t="str">
        <f>'1. Master Data'!D139</f>
        <v>East DC</v>
      </c>
      <c r="E293" s="4">
        <f>'1. Master Data'!F139</f>
        <v>918</v>
      </c>
      <c r="F293" s="3">
        <f>'2. Demand History'!AA139</f>
        <v>137</v>
      </c>
      <c r="G293" s="4">
        <f t="shared" si="28"/>
        <v>125766</v>
      </c>
      <c r="H293" s="3">
        <f t="shared" si="29"/>
        <v>289</v>
      </c>
      <c r="I293" s="11">
        <f t="shared" si="30"/>
        <v>153089297</v>
      </c>
      <c r="J293" s="10">
        <f t="shared" si="31"/>
        <v>0.92589621619212847</v>
      </c>
      <c r="K293" s="5" t="str">
        <f t="shared" si="32"/>
        <v>B</v>
      </c>
      <c r="L293" s="8">
        <f>'3. Demand Forecast'!H139</f>
        <v>0.24</v>
      </c>
      <c r="M293" s="5" t="str">
        <f t="shared" si="33"/>
        <v>X</v>
      </c>
      <c r="N293" s="5" t="str">
        <f t="shared" si="34"/>
        <v>BX</v>
      </c>
    </row>
    <row r="294" spans="1:14" ht="15" customHeight="1" x14ac:dyDescent="0.2">
      <c r="A294" s="3" t="str">
        <f>'1. Master Data'!A169</f>
        <v>NT10165</v>
      </c>
      <c r="B294" s="1" t="str">
        <f>'1. Master Data'!B169</f>
        <v>WaveBar 479 Soundbar</v>
      </c>
      <c r="C294" s="3" t="str">
        <f>'1. Master Data'!C169</f>
        <v>Audio</v>
      </c>
      <c r="D294" s="3" t="str">
        <f>'1. Master Data'!D169</f>
        <v>West DC</v>
      </c>
      <c r="E294" s="4">
        <f>'1. Master Data'!F169</f>
        <v>28</v>
      </c>
      <c r="F294" s="3">
        <f>'2. Demand History'!AA169</f>
        <v>4439</v>
      </c>
      <c r="G294" s="4">
        <f t="shared" si="28"/>
        <v>124292</v>
      </c>
      <c r="H294" s="3">
        <f t="shared" si="29"/>
        <v>290</v>
      </c>
      <c r="I294" s="11">
        <f t="shared" si="30"/>
        <v>153213589</v>
      </c>
      <c r="J294" s="10">
        <f t="shared" si="31"/>
        <v>0.92664794407094264</v>
      </c>
      <c r="K294" s="5" t="str">
        <f t="shared" si="32"/>
        <v>B</v>
      </c>
      <c r="L294" s="8">
        <f>'3. Demand Forecast'!H169</f>
        <v>0.26</v>
      </c>
      <c r="M294" s="5" t="str">
        <f t="shared" si="33"/>
        <v>Y</v>
      </c>
      <c r="N294" s="5" t="str">
        <f t="shared" si="34"/>
        <v>BY</v>
      </c>
    </row>
    <row r="295" spans="1:14" ht="15" customHeight="1" x14ac:dyDescent="0.2">
      <c r="A295" s="3" t="str">
        <f>'1. Master Data'!A110</f>
        <v>NT10106</v>
      </c>
      <c r="B295" s="1" t="str">
        <f>'1. Master Data'!B110</f>
        <v>CinemaMax 807in 8K</v>
      </c>
      <c r="C295" s="3" t="str">
        <f>'1. Master Data'!C110</f>
        <v>TVs</v>
      </c>
      <c r="D295" s="3" t="str">
        <f>'1. Master Data'!D110</f>
        <v>Central DC</v>
      </c>
      <c r="E295" s="4">
        <f>'1. Master Data'!F110</f>
        <v>788</v>
      </c>
      <c r="F295" s="3">
        <f>'2. Demand History'!AA110</f>
        <v>156</v>
      </c>
      <c r="G295" s="4">
        <f t="shared" si="28"/>
        <v>122928</v>
      </c>
      <c r="H295" s="3">
        <f t="shared" si="29"/>
        <v>291</v>
      </c>
      <c r="I295" s="11">
        <f t="shared" si="30"/>
        <v>153336517</v>
      </c>
      <c r="J295" s="10">
        <f t="shared" si="31"/>
        <v>0.92739142236952066</v>
      </c>
      <c r="K295" s="5" t="str">
        <f t="shared" si="32"/>
        <v>B</v>
      </c>
      <c r="L295" s="8">
        <f>'3. Demand Forecast'!H110</f>
        <v>0.34</v>
      </c>
      <c r="M295" s="5" t="str">
        <f t="shared" si="33"/>
        <v>Y</v>
      </c>
      <c r="N295" s="5" t="str">
        <f t="shared" si="34"/>
        <v>BY</v>
      </c>
    </row>
    <row r="296" spans="1:14" ht="15" customHeight="1" x14ac:dyDescent="0.2">
      <c r="A296" s="3" t="str">
        <f>'1. Master Data'!A431</f>
        <v>NT10427</v>
      </c>
      <c r="B296" s="1" t="str">
        <f>'1. Master Data'!B431</f>
        <v>DrawPad 240 12in</v>
      </c>
      <c r="C296" s="3" t="str">
        <f>'1. Master Data'!C431</f>
        <v>Tablets</v>
      </c>
      <c r="D296" s="3" t="str">
        <f>'1. Master Data'!D431</f>
        <v>East DC</v>
      </c>
      <c r="E296" s="4">
        <f>'1. Master Data'!F431</f>
        <v>429</v>
      </c>
      <c r="F296" s="3">
        <f>'2. Demand History'!AA431</f>
        <v>285</v>
      </c>
      <c r="G296" s="4">
        <f t="shared" si="28"/>
        <v>122265</v>
      </c>
      <c r="H296" s="3">
        <f t="shared" si="29"/>
        <v>292</v>
      </c>
      <c r="I296" s="11">
        <f t="shared" si="30"/>
        <v>153458782</v>
      </c>
      <c r="J296" s="10">
        <f t="shared" si="31"/>
        <v>0.92813089079148836</v>
      </c>
      <c r="K296" s="5" t="str">
        <f t="shared" si="32"/>
        <v>B</v>
      </c>
      <c r="L296" s="8">
        <f>'3. Demand Forecast'!H431</f>
        <v>0.28999999999999998</v>
      </c>
      <c r="M296" s="5" t="str">
        <f t="shared" si="33"/>
        <v>Y</v>
      </c>
      <c r="N296" s="5" t="str">
        <f t="shared" si="34"/>
        <v>BY</v>
      </c>
    </row>
    <row r="297" spans="1:14" ht="15" customHeight="1" x14ac:dyDescent="0.2">
      <c r="A297" s="3" t="str">
        <f>'1. Master Data'!A140</f>
        <v>NT10136</v>
      </c>
      <c r="B297" s="1" t="str">
        <f>'1. Master Data'!B140</f>
        <v>VisionQ 273in QLED</v>
      </c>
      <c r="C297" s="3" t="str">
        <f>'1. Master Data'!C140</f>
        <v>TVs</v>
      </c>
      <c r="D297" s="3" t="str">
        <f>'1. Master Data'!D140</f>
        <v>West DC</v>
      </c>
      <c r="E297" s="4">
        <f>'1. Master Data'!F140</f>
        <v>1488</v>
      </c>
      <c r="F297" s="3">
        <f>'2. Demand History'!AA140</f>
        <v>82</v>
      </c>
      <c r="G297" s="4">
        <f t="shared" si="28"/>
        <v>122016</v>
      </c>
      <c r="H297" s="3">
        <f t="shared" si="29"/>
        <v>293</v>
      </c>
      <c r="I297" s="11">
        <f t="shared" si="30"/>
        <v>153580798</v>
      </c>
      <c r="J297" s="10">
        <f t="shared" si="31"/>
        <v>0.92886885324169732</v>
      </c>
      <c r="K297" s="5" t="str">
        <f t="shared" si="32"/>
        <v>B</v>
      </c>
      <c r="L297" s="8">
        <f>'3. Demand Forecast'!H140</f>
        <v>0.34</v>
      </c>
      <c r="M297" s="5" t="str">
        <f t="shared" si="33"/>
        <v>Y</v>
      </c>
      <c r="N297" s="5" t="str">
        <f t="shared" si="34"/>
        <v>BY</v>
      </c>
    </row>
    <row r="298" spans="1:14" ht="15" customHeight="1" x14ac:dyDescent="0.2">
      <c r="A298" s="3" t="str">
        <f>'1. Master Data'!A466</f>
        <v>NT10462</v>
      </c>
      <c r="B298" s="1" t="str">
        <f>'1. Master Data'!B466</f>
        <v>Wall Charger 65W V731</v>
      </c>
      <c r="C298" s="3" t="str">
        <f>'1. Master Data'!C466</f>
        <v>Accessories</v>
      </c>
      <c r="D298" s="3" t="str">
        <f>'1. Master Data'!D466</f>
        <v>East DC</v>
      </c>
      <c r="E298" s="4">
        <f>'1. Master Data'!F466</f>
        <v>14</v>
      </c>
      <c r="F298" s="3">
        <f>'2. Demand History'!AA466</f>
        <v>8690</v>
      </c>
      <c r="G298" s="4">
        <f t="shared" si="28"/>
        <v>121660</v>
      </c>
      <c r="H298" s="3">
        <f t="shared" si="29"/>
        <v>294</v>
      </c>
      <c r="I298" s="11">
        <f t="shared" si="30"/>
        <v>153702458</v>
      </c>
      <c r="J298" s="10">
        <f t="shared" si="31"/>
        <v>0.9296046625756571</v>
      </c>
      <c r="K298" s="5" t="str">
        <f t="shared" si="32"/>
        <v>B</v>
      </c>
      <c r="L298" s="8">
        <f>'3. Demand Forecast'!H466</f>
        <v>7.0000000000000007E-2</v>
      </c>
      <c r="M298" s="5" t="str">
        <f t="shared" si="33"/>
        <v>X</v>
      </c>
      <c r="N298" s="5" t="str">
        <f t="shared" si="34"/>
        <v>BX</v>
      </c>
    </row>
    <row r="299" spans="1:14" ht="15" customHeight="1" x14ac:dyDescent="0.2">
      <c r="A299" s="3" t="str">
        <f>'1. Master Data'!A150</f>
        <v>NT10146</v>
      </c>
      <c r="B299" s="1" t="str">
        <f>'1. Master Data'!B150</f>
        <v>VisionLED 188in 4K</v>
      </c>
      <c r="C299" s="3" t="str">
        <f>'1. Master Data'!C150</f>
        <v>TVs</v>
      </c>
      <c r="D299" s="3" t="str">
        <f>'1. Master Data'!D150</f>
        <v>West DC</v>
      </c>
      <c r="E299" s="4">
        <f>'1. Master Data'!F150</f>
        <v>605</v>
      </c>
      <c r="F299" s="3">
        <f>'2. Demand History'!AA150</f>
        <v>199</v>
      </c>
      <c r="G299" s="4">
        <f t="shared" si="28"/>
        <v>120395</v>
      </c>
      <c r="H299" s="3">
        <f t="shared" si="29"/>
        <v>295</v>
      </c>
      <c r="I299" s="11">
        <f t="shared" si="30"/>
        <v>153822853</v>
      </c>
      <c r="J299" s="10">
        <f t="shared" si="31"/>
        <v>0.93033282108923654</v>
      </c>
      <c r="K299" s="5" t="str">
        <f t="shared" si="32"/>
        <v>B</v>
      </c>
      <c r="L299" s="8">
        <f>'3. Demand Forecast'!H150</f>
        <v>0.3</v>
      </c>
      <c r="M299" s="5" t="str">
        <f t="shared" si="33"/>
        <v>Y</v>
      </c>
      <c r="N299" s="5" t="str">
        <f t="shared" si="34"/>
        <v>BY</v>
      </c>
    </row>
    <row r="300" spans="1:14" ht="15" customHeight="1" x14ac:dyDescent="0.2">
      <c r="A300" s="3" t="str">
        <f>'1. Master Data'!A52</f>
        <v>NT10048</v>
      </c>
      <c r="B300" s="1" t="str">
        <f>'1. Master Data'!B52</f>
        <v>Pulse 800 Dual SIM</v>
      </c>
      <c r="C300" s="3" t="str">
        <f>'1. Master Data'!C52</f>
        <v>Smartphones</v>
      </c>
      <c r="D300" s="3" t="str">
        <f>'1. Master Data'!D52</f>
        <v>Central DC</v>
      </c>
      <c r="E300" s="4">
        <f>'1. Master Data'!F52</f>
        <v>401</v>
      </c>
      <c r="F300" s="3">
        <f>'2. Demand History'!AA52</f>
        <v>300</v>
      </c>
      <c r="G300" s="4">
        <f t="shared" si="28"/>
        <v>120300</v>
      </c>
      <c r="H300" s="3">
        <f t="shared" si="29"/>
        <v>296</v>
      </c>
      <c r="I300" s="11">
        <f t="shared" si="30"/>
        <v>153943153</v>
      </c>
      <c r="J300" s="10">
        <f t="shared" si="31"/>
        <v>0.93106040503527765</v>
      </c>
      <c r="K300" s="5" t="str">
        <f t="shared" si="32"/>
        <v>B</v>
      </c>
      <c r="L300" s="8">
        <f>'3. Demand Forecast'!H52</f>
        <v>0.68</v>
      </c>
      <c r="M300" s="5" t="str">
        <f t="shared" si="33"/>
        <v>Z</v>
      </c>
      <c r="N300" s="5" t="str">
        <f t="shared" si="34"/>
        <v>BZ</v>
      </c>
    </row>
    <row r="301" spans="1:14" ht="15" customHeight="1" x14ac:dyDescent="0.2">
      <c r="A301" s="3" t="str">
        <f>'1. Master Data'!A185</f>
        <v>NT10181</v>
      </c>
      <c r="B301" s="1" t="str">
        <f>'1. Master Data'!B185</f>
        <v>WaveBar 806 Soundbar</v>
      </c>
      <c r="C301" s="3" t="str">
        <f>'1. Master Data'!C185</f>
        <v>Audio</v>
      </c>
      <c r="D301" s="3" t="str">
        <f>'1. Master Data'!D185</f>
        <v>Central DC</v>
      </c>
      <c r="E301" s="4">
        <f>'1. Master Data'!F185</f>
        <v>175</v>
      </c>
      <c r="F301" s="3">
        <f>'2. Demand History'!AA185</f>
        <v>683</v>
      </c>
      <c r="G301" s="4">
        <f t="shared" si="28"/>
        <v>119525</v>
      </c>
      <c r="H301" s="3">
        <f t="shared" si="29"/>
        <v>297</v>
      </c>
      <c r="I301" s="11">
        <f t="shared" si="30"/>
        <v>154062678</v>
      </c>
      <c r="J301" s="10">
        <f t="shared" si="31"/>
        <v>0.93178330171982093</v>
      </c>
      <c r="K301" s="5" t="str">
        <f t="shared" si="32"/>
        <v>B</v>
      </c>
      <c r="L301" s="8">
        <f>'3. Demand Forecast'!H185</f>
        <v>0.31</v>
      </c>
      <c r="M301" s="5" t="str">
        <f t="shared" si="33"/>
        <v>Y</v>
      </c>
      <c r="N301" s="5" t="str">
        <f t="shared" si="34"/>
        <v>BY</v>
      </c>
    </row>
    <row r="302" spans="1:14" ht="15" customHeight="1" x14ac:dyDescent="0.2">
      <c r="A302" s="3" t="str">
        <f>'1. Master Data'!A305</f>
        <v>NT10301</v>
      </c>
      <c r="B302" s="1" t="str">
        <f>'1. Master Data'!B305</f>
        <v>LumiBulb 177 RGB</v>
      </c>
      <c r="C302" s="3" t="str">
        <f>'1. Master Data'!C305</f>
        <v>Smart Home</v>
      </c>
      <c r="D302" s="3" t="str">
        <f>'1. Master Data'!D305</f>
        <v>Central DC</v>
      </c>
      <c r="E302" s="4">
        <f>'1. Master Data'!F305</f>
        <v>37</v>
      </c>
      <c r="F302" s="3">
        <f>'2. Demand History'!AA305</f>
        <v>3222</v>
      </c>
      <c r="G302" s="4">
        <f t="shared" si="28"/>
        <v>119214</v>
      </c>
      <c r="H302" s="3">
        <f t="shared" si="29"/>
        <v>298</v>
      </c>
      <c r="I302" s="11">
        <f t="shared" si="30"/>
        <v>154181892</v>
      </c>
      <c r="J302" s="10">
        <f t="shared" si="31"/>
        <v>0.93250431745168583</v>
      </c>
      <c r="K302" s="5" t="str">
        <f t="shared" si="32"/>
        <v>B</v>
      </c>
      <c r="L302" s="8">
        <f>'3. Demand Forecast'!H305</f>
        <v>7.0000000000000007E-2</v>
      </c>
      <c r="M302" s="5" t="str">
        <f t="shared" si="33"/>
        <v>X</v>
      </c>
      <c r="N302" s="5" t="str">
        <f t="shared" si="34"/>
        <v>BX</v>
      </c>
    </row>
    <row r="303" spans="1:14" ht="15" customHeight="1" x14ac:dyDescent="0.2">
      <c r="A303" s="3" t="str">
        <f>'1. Master Data'!A323</f>
        <v>NT10319</v>
      </c>
      <c r="B303" s="1" t="str">
        <f>'1. Master Data'!B323</f>
        <v>DoorSense 924</v>
      </c>
      <c r="C303" s="3" t="str">
        <f>'1. Master Data'!C323</f>
        <v>Smart Home</v>
      </c>
      <c r="D303" s="3" t="str">
        <f>'1. Master Data'!D323</f>
        <v>East DC</v>
      </c>
      <c r="E303" s="4">
        <f>'1. Master Data'!F323</f>
        <v>93</v>
      </c>
      <c r="F303" s="3">
        <f>'2. Demand History'!AA323</f>
        <v>1281</v>
      </c>
      <c r="G303" s="4">
        <f t="shared" si="28"/>
        <v>119133</v>
      </c>
      <c r="H303" s="3">
        <f t="shared" si="29"/>
        <v>299</v>
      </c>
      <c r="I303" s="11">
        <f t="shared" si="30"/>
        <v>154301025</v>
      </c>
      <c r="J303" s="10">
        <f t="shared" si="31"/>
        <v>0.93322484328912314</v>
      </c>
      <c r="K303" s="5" t="str">
        <f t="shared" si="32"/>
        <v>B</v>
      </c>
      <c r="L303" s="8">
        <f>'3. Demand Forecast'!H323</f>
        <v>0.05</v>
      </c>
      <c r="M303" s="5" t="str">
        <f t="shared" si="33"/>
        <v>X</v>
      </c>
      <c r="N303" s="5" t="str">
        <f t="shared" si="34"/>
        <v>BX</v>
      </c>
    </row>
    <row r="304" spans="1:14" ht="15" customHeight="1" x14ac:dyDescent="0.2">
      <c r="A304" s="3" t="str">
        <f>'1. Master Data'!A324</f>
        <v>NT10320</v>
      </c>
      <c r="B304" s="1" t="str">
        <f>'1. Master Data'!B324</f>
        <v>ThermoSmart 653</v>
      </c>
      <c r="C304" s="3" t="str">
        <f>'1. Master Data'!C324</f>
        <v>Smart Home</v>
      </c>
      <c r="D304" s="3" t="str">
        <f>'1. Master Data'!D324</f>
        <v>West DC</v>
      </c>
      <c r="E304" s="4">
        <f>'1. Master Data'!F324</f>
        <v>17</v>
      </c>
      <c r="F304" s="3">
        <f>'2. Demand History'!AA324</f>
        <v>6936</v>
      </c>
      <c r="G304" s="4">
        <f t="shared" si="28"/>
        <v>117912</v>
      </c>
      <c r="H304" s="3">
        <f t="shared" si="29"/>
        <v>300</v>
      </c>
      <c r="I304" s="11">
        <f t="shared" si="30"/>
        <v>154418937</v>
      </c>
      <c r="J304" s="10">
        <f t="shared" si="31"/>
        <v>0.93393798442167175</v>
      </c>
      <c r="K304" s="5" t="str">
        <f t="shared" si="32"/>
        <v>B</v>
      </c>
      <c r="L304" s="8">
        <f>'3. Demand Forecast'!H324</f>
        <v>0.04</v>
      </c>
      <c r="M304" s="5" t="str">
        <f t="shared" si="33"/>
        <v>X</v>
      </c>
      <c r="N304" s="5" t="str">
        <f t="shared" si="34"/>
        <v>BX</v>
      </c>
    </row>
    <row r="305" spans="1:14" ht="15" customHeight="1" x14ac:dyDescent="0.2">
      <c r="A305" s="3" t="str">
        <f>'1. Master Data'!A40</f>
        <v>NT10036</v>
      </c>
      <c r="B305" s="1" t="str">
        <f>'1. Master Data'!B40</f>
        <v>Edge 275 5G 128GB</v>
      </c>
      <c r="C305" s="3" t="str">
        <f>'1. Master Data'!C40</f>
        <v>Smartphones</v>
      </c>
      <c r="D305" s="3" t="str">
        <f>'1. Master Data'!D40</f>
        <v>West DC</v>
      </c>
      <c r="E305" s="4">
        <f>'1. Master Data'!F40</f>
        <v>311</v>
      </c>
      <c r="F305" s="3">
        <f>'2. Demand History'!AA40</f>
        <v>377</v>
      </c>
      <c r="G305" s="4">
        <f t="shared" si="28"/>
        <v>117247</v>
      </c>
      <c r="H305" s="3">
        <f t="shared" si="29"/>
        <v>301</v>
      </c>
      <c r="I305" s="11">
        <f t="shared" si="30"/>
        <v>154536184</v>
      </c>
      <c r="J305" s="10">
        <f t="shared" si="31"/>
        <v>0.9346471035814512</v>
      </c>
      <c r="K305" s="5" t="str">
        <f t="shared" si="32"/>
        <v>B</v>
      </c>
      <c r="L305" s="8">
        <f>'3. Demand Forecast'!H40</f>
        <v>0.34</v>
      </c>
      <c r="M305" s="5" t="str">
        <f t="shared" si="33"/>
        <v>Y</v>
      </c>
      <c r="N305" s="5" t="str">
        <f t="shared" si="34"/>
        <v>BY</v>
      </c>
    </row>
    <row r="306" spans="1:14" ht="15" customHeight="1" x14ac:dyDescent="0.2">
      <c r="A306" s="3" t="str">
        <f>'1. Master Data'!A461</f>
        <v>NT10457</v>
      </c>
      <c r="B306" s="1" t="str">
        <f>'1. Master Data'!B461</f>
        <v>Screen Guard 244</v>
      </c>
      <c r="C306" s="3" t="str">
        <f>'1. Master Data'!C461</f>
        <v>Accessories</v>
      </c>
      <c r="D306" s="3" t="str">
        <f>'1. Master Data'!D461</f>
        <v>Central DC</v>
      </c>
      <c r="E306" s="4">
        <f>'1. Master Data'!F461</f>
        <v>23</v>
      </c>
      <c r="F306" s="3">
        <f>'2. Demand History'!AA461</f>
        <v>5088</v>
      </c>
      <c r="G306" s="4">
        <f t="shared" si="28"/>
        <v>117024</v>
      </c>
      <c r="H306" s="3">
        <f t="shared" si="29"/>
        <v>302</v>
      </c>
      <c r="I306" s="11">
        <f t="shared" si="30"/>
        <v>154653208</v>
      </c>
      <c r="J306" s="10">
        <f t="shared" si="31"/>
        <v>0.93535487401953532</v>
      </c>
      <c r="K306" s="5" t="str">
        <f t="shared" si="32"/>
        <v>B</v>
      </c>
      <c r="L306" s="8">
        <f>'3. Demand Forecast'!H461</f>
        <v>0.06</v>
      </c>
      <c r="M306" s="5" t="str">
        <f t="shared" si="33"/>
        <v>X</v>
      </c>
      <c r="N306" s="5" t="str">
        <f t="shared" si="34"/>
        <v>BX</v>
      </c>
    </row>
    <row r="307" spans="1:14" ht="15" customHeight="1" x14ac:dyDescent="0.2">
      <c r="A307" s="3" t="str">
        <f>'1. Master Data'!A292</f>
        <v>NT10288</v>
      </c>
      <c r="B307" s="1" t="str">
        <f>'1. Master Data'!B292</f>
        <v>ArenaHeadset H881</v>
      </c>
      <c r="C307" s="3" t="str">
        <f>'1. Master Data'!C292</f>
        <v>Gaming</v>
      </c>
      <c r="D307" s="3" t="str">
        <f>'1. Master Data'!D292</f>
        <v>West DC</v>
      </c>
      <c r="E307" s="4">
        <f>'1. Master Data'!F292</f>
        <v>52</v>
      </c>
      <c r="F307" s="3">
        <f>'2. Demand History'!AA292</f>
        <v>2216</v>
      </c>
      <c r="G307" s="4">
        <f t="shared" si="28"/>
        <v>115232</v>
      </c>
      <c r="H307" s="3">
        <f t="shared" si="29"/>
        <v>303</v>
      </c>
      <c r="I307" s="11">
        <f t="shared" si="30"/>
        <v>154768440</v>
      </c>
      <c r="J307" s="10">
        <f t="shared" si="31"/>
        <v>0.93605180629942064</v>
      </c>
      <c r="K307" s="5" t="str">
        <f t="shared" si="32"/>
        <v>B</v>
      </c>
      <c r="L307" s="8">
        <f>'3. Demand Forecast'!H292</f>
        <v>0.26</v>
      </c>
      <c r="M307" s="5" t="str">
        <f t="shared" si="33"/>
        <v>Y</v>
      </c>
      <c r="N307" s="5" t="str">
        <f t="shared" si="34"/>
        <v>BY</v>
      </c>
    </row>
    <row r="308" spans="1:14" ht="15" customHeight="1" x14ac:dyDescent="0.2">
      <c r="A308" s="3" t="str">
        <f>'1. Master Data'!A436</f>
        <v>NT10432</v>
      </c>
      <c r="B308" s="1" t="str">
        <f>'1. Master Data'!B436</f>
        <v>DrawPad 694 12in</v>
      </c>
      <c r="C308" s="3" t="str">
        <f>'1. Master Data'!C436</f>
        <v>Tablets</v>
      </c>
      <c r="D308" s="3" t="str">
        <f>'1. Master Data'!D436</f>
        <v>Central DC</v>
      </c>
      <c r="E308" s="4">
        <f>'1. Master Data'!F436</f>
        <v>412</v>
      </c>
      <c r="F308" s="3">
        <f>'2. Demand History'!AA436</f>
        <v>279</v>
      </c>
      <c r="G308" s="4">
        <f t="shared" si="28"/>
        <v>114948</v>
      </c>
      <c r="H308" s="3">
        <f t="shared" si="29"/>
        <v>304</v>
      </c>
      <c r="I308" s="11">
        <f t="shared" si="30"/>
        <v>154883388</v>
      </c>
      <c r="J308" s="10">
        <f t="shared" si="31"/>
        <v>0.93674702092476991</v>
      </c>
      <c r="K308" s="5" t="str">
        <f t="shared" si="32"/>
        <v>B</v>
      </c>
      <c r="L308" s="8">
        <f>'3. Demand Forecast'!H436</f>
        <v>0.3</v>
      </c>
      <c r="M308" s="5" t="str">
        <f t="shared" si="33"/>
        <v>Y</v>
      </c>
      <c r="N308" s="5" t="str">
        <f t="shared" si="34"/>
        <v>BY</v>
      </c>
    </row>
    <row r="309" spans="1:14" ht="15" customHeight="1" x14ac:dyDescent="0.2">
      <c r="A309" s="3" t="str">
        <f>'1. Master Data'!A182</f>
        <v>NT10178</v>
      </c>
      <c r="B309" s="1" t="str">
        <f>'1. Master Data'!B182</f>
        <v>BassMax Speaker 653</v>
      </c>
      <c r="C309" s="3" t="str">
        <f>'1. Master Data'!C182</f>
        <v>Audio</v>
      </c>
      <c r="D309" s="3" t="str">
        <f>'1. Master Data'!D182</f>
        <v>Central DC</v>
      </c>
      <c r="E309" s="4">
        <f>'1. Master Data'!F182</f>
        <v>95</v>
      </c>
      <c r="F309" s="3">
        <f>'2. Demand History'!AA182</f>
        <v>1209</v>
      </c>
      <c r="G309" s="4">
        <f t="shared" si="28"/>
        <v>114855</v>
      </c>
      <c r="H309" s="3">
        <f t="shared" si="29"/>
        <v>305</v>
      </c>
      <c r="I309" s="11">
        <f t="shared" si="30"/>
        <v>154998243</v>
      </c>
      <c r="J309" s="10">
        <f t="shared" si="31"/>
        <v>0.9374416730787396</v>
      </c>
      <c r="K309" s="5" t="str">
        <f t="shared" si="32"/>
        <v>B</v>
      </c>
      <c r="L309" s="8">
        <f>'3. Demand Forecast'!H182</f>
        <v>0.35</v>
      </c>
      <c r="M309" s="5" t="str">
        <f t="shared" si="33"/>
        <v>Y</v>
      </c>
      <c r="N309" s="5" t="str">
        <f t="shared" si="34"/>
        <v>BY</v>
      </c>
    </row>
    <row r="310" spans="1:14" ht="15" customHeight="1" x14ac:dyDescent="0.2">
      <c r="A310" s="3" t="str">
        <f>'1. Master Data'!A268</f>
        <v>NT10264</v>
      </c>
      <c r="B310" s="1" t="str">
        <f>'1. Master Data'!B268</f>
        <v>ArenaHeadset H746</v>
      </c>
      <c r="C310" s="3" t="str">
        <f>'1. Master Data'!C268</f>
        <v>Gaming</v>
      </c>
      <c r="D310" s="3" t="str">
        <f>'1. Master Data'!D268</f>
        <v>East DC</v>
      </c>
      <c r="E310" s="4">
        <f>'1. Master Data'!F268</f>
        <v>185</v>
      </c>
      <c r="F310" s="3">
        <f>'2. Demand History'!AA268</f>
        <v>619</v>
      </c>
      <c r="G310" s="4">
        <f t="shared" si="28"/>
        <v>114515</v>
      </c>
      <c r="H310" s="3">
        <f t="shared" si="29"/>
        <v>306</v>
      </c>
      <c r="I310" s="11">
        <f t="shared" si="30"/>
        <v>155112758</v>
      </c>
      <c r="J310" s="10">
        <f t="shared" si="31"/>
        <v>0.93813426888572959</v>
      </c>
      <c r="K310" s="5" t="str">
        <f t="shared" si="32"/>
        <v>B</v>
      </c>
      <c r="L310" s="8">
        <f>'3. Demand Forecast'!H268</f>
        <v>0.35</v>
      </c>
      <c r="M310" s="5" t="str">
        <f t="shared" si="33"/>
        <v>Y</v>
      </c>
      <c r="N310" s="5" t="str">
        <f t="shared" si="34"/>
        <v>BY</v>
      </c>
    </row>
    <row r="311" spans="1:14" ht="15" customHeight="1" x14ac:dyDescent="0.2">
      <c r="A311" s="3" t="str">
        <f>'1. Master Data'!A428</f>
        <v>NT10424</v>
      </c>
      <c r="B311" s="1" t="str">
        <f>'1. Master Data'!B428</f>
        <v>NovaTab 978 Kids</v>
      </c>
      <c r="C311" s="3" t="str">
        <f>'1. Master Data'!C428</f>
        <v>Tablets</v>
      </c>
      <c r="D311" s="3" t="str">
        <f>'1. Master Data'!D428</f>
        <v>Central DC</v>
      </c>
      <c r="E311" s="4">
        <f>'1. Master Data'!F428</f>
        <v>172</v>
      </c>
      <c r="F311" s="3">
        <f>'2. Demand History'!AA428</f>
        <v>660</v>
      </c>
      <c r="G311" s="4">
        <f t="shared" si="28"/>
        <v>113520</v>
      </c>
      <c r="H311" s="3">
        <f t="shared" si="29"/>
        <v>307</v>
      </c>
      <c r="I311" s="11">
        <f t="shared" si="30"/>
        <v>155226278</v>
      </c>
      <c r="J311" s="10">
        <f t="shared" si="31"/>
        <v>0.93882084685376432</v>
      </c>
      <c r="K311" s="5" t="str">
        <f t="shared" si="32"/>
        <v>B</v>
      </c>
      <c r="L311" s="8">
        <f>'3. Demand Forecast'!H428</f>
        <v>0.34</v>
      </c>
      <c r="M311" s="5" t="str">
        <f t="shared" si="33"/>
        <v>Y</v>
      </c>
      <c r="N311" s="5" t="str">
        <f t="shared" si="34"/>
        <v>BY</v>
      </c>
    </row>
    <row r="312" spans="1:14" ht="15" customHeight="1" x14ac:dyDescent="0.2">
      <c r="A312" s="3" t="str">
        <f>'1. Master Data'!A283</f>
        <v>NT10279</v>
      </c>
      <c r="B312" s="1" t="str">
        <f>'1. Master Data'!B283</f>
        <v>GameStation Controller 762</v>
      </c>
      <c r="C312" s="3" t="str">
        <f>'1. Master Data'!C283</f>
        <v>Gaming</v>
      </c>
      <c r="D312" s="3" t="str">
        <f>'1. Master Data'!D283</f>
        <v>East DC</v>
      </c>
      <c r="E312" s="4">
        <f>'1. Master Data'!F283</f>
        <v>127</v>
      </c>
      <c r="F312" s="3">
        <f>'2. Demand History'!AA283</f>
        <v>892</v>
      </c>
      <c r="G312" s="4">
        <f t="shared" si="28"/>
        <v>113284</v>
      </c>
      <c r="H312" s="3">
        <f t="shared" si="29"/>
        <v>308</v>
      </c>
      <c r="I312" s="11">
        <f t="shared" si="30"/>
        <v>155339562</v>
      </c>
      <c r="J312" s="10">
        <f t="shared" si="31"/>
        <v>0.93950599747507202</v>
      </c>
      <c r="K312" s="5" t="str">
        <f t="shared" si="32"/>
        <v>B</v>
      </c>
      <c r="L312" s="8">
        <f>'3. Demand Forecast'!H283</f>
        <v>0.25</v>
      </c>
      <c r="M312" s="5" t="str">
        <f t="shared" si="33"/>
        <v>X</v>
      </c>
      <c r="N312" s="5" t="str">
        <f t="shared" si="34"/>
        <v>BX</v>
      </c>
    </row>
    <row r="313" spans="1:14" ht="15" customHeight="1" x14ac:dyDescent="0.2">
      <c r="A313" s="3" t="str">
        <f>'1. Master Data'!A186</f>
        <v>NT10182</v>
      </c>
      <c r="B313" s="1" t="str">
        <f>'1. Master Data'!B186</f>
        <v>ClipMic 749 Wireless</v>
      </c>
      <c r="C313" s="3" t="str">
        <f>'1. Master Data'!C186</f>
        <v>Audio</v>
      </c>
      <c r="D313" s="3" t="str">
        <f>'1. Master Data'!D186</f>
        <v>East DC</v>
      </c>
      <c r="E313" s="4">
        <f>'1. Master Data'!F186</f>
        <v>118</v>
      </c>
      <c r="F313" s="3">
        <f>'2. Demand History'!AA186</f>
        <v>957</v>
      </c>
      <c r="G313" s="4">
        <f t="shared" si="28"/>
        <v>112926</v>
      </c>
      <c r="H313" s="3">
        <f t="shared" si="29"/>
        <v>309</v>
      </c>
      <c r="I313" s="11">
        <f t="shared" si="30"/>
        <v>155452488</v>
      </c>
      <c r="J313" s="10">
        <f t="shared" si="31"/>
        <v>0.94018898288397168</v>
      </c>
      <c r="K313" s="5" t="str">
        <f t="shared" si="32"/>
        <v>B</v>
      </c>
      <c r="L313" s="8">
        <f>'3. Demand Forecast'!H186</f>
        <v>0.34</v>
      </c>
      <c r="M313" s="5" t="str">
        <f t="shared" si="33"/>
        <v>Y</v>
      </c>
      <c r="N313" s="5" t="str">
        <f t="shared" si="34"/>
        <v>BY</v>
      </c>
    </row>
    <row r="314" spans="1:14" ht="15" customHeight="1" x14ac:dyDescent="0.2">
      <c r="A314" s="3" t="str">
        <f>'1. Master Data'!A225</f>
        <v>NT10221</v>
      </c>
      <c r="B314" s="1" t="str">
        <f>'1. Master Data'!B225</f>
        <v>StepOne Tracker 811</v>
      </c>
      <c r="C314" s="3" t="str">
        <f>'1. Master Data'!C225</f>
        <v>Wearables</v>
      </c>
      <c r="D314" s="3" t="str">
        <f>'1. Master Data'!D225</f>
        <v>West DC</v>
      </c>
      <c r="E314" s="4">
        <f>'1. Master Data'!F225</f>
        <v>155</v>
      </c>
      <c r="F314" s="3">
        <f>'2. Demand History'!AA225</f>
        <v>724</v>
      </c>
      <c r="G314" s="4">
        <f t="shared" si="28"/>
        <v>112220</v>
      </c>
      <c r="H314" s="3">
        <f t="shared" si="29"/>
        <v>310</v>
      </c>
      <c r="I314" s="11">
        <f t="shared" si="30"/>
        <v>155564708</v>
      </c>
      <c r="J314" s="10">
        <f t="shared" si="31"/>
        <v>0.94086769834884898</v>
      </c>
      <c r="K314" s="5" t="str">
        <f t="shared" si="32"/>
        <v>B</v>
      </c>
      <c r="L314" s="8">
        <f>'3. Demand Forecast'!H225</f>
        <v>0.36</v>
      </c>
      <c r="M314" s="5" t="str">
        <f t="shared" si="33"/>
        <v>Y</v>
      </c>
      <c r="N314" s="5" t="str">
        <f t="shared" si="34"/>
        <v>BY</v>
      </c>
    </row>
    <row r="315" spans="1:14" ht="15" customHeight="1" x14ac:dyDescent="0.2">
      <c r="A315" s="3" t="str">
        <f>'1. Master Data'!A433</f>
        <v>NT10429</v>
      </c>
      <c r="B315" s="1" t="str">
        <f>'1. Master Data'!B433</f>
        <v>DrawPad 171 12in</v>
      </c>
      <c r="C315" s="3" t="str">
        <f>'1. Master Data'!C433</f>
        <v>Tablets</v>
      </c>
      <c r="D315" s="3" t="str">
        <f>'1. Master Data'!D433</f>
        <v>Central DC</v>
      </c>
      <c r="E315" s="4">
        <f>'1. Master Data'!F433</f>
        <v>125</v>
      </c>
      <c r="F315" s="3">
        <f>'2. Demand History'!AA433</f>
        <v>888</v>
      </c>
      <c r="G315" s="4">
        <f t="shared" si="28"/>
        <v>111000</v>
      </c>
      <c r="H315" s="3">
        <f t="shared" si="29"/>
        <v>311</v>
      </c>
      <c r="I315" s="11">
        <f t="shared" si="30"/>
        <v>155675708</v>
      </c>
      <c r="J315" s="10">
        <f t="shared" si="31"/>
        <v>0.94153903515691673</v>
      </c>
      <c r="K315" s="5" t="str">
        <f t="shared" si="32"/>
        <v>B</v>
      </c>
      <c r="L315" s="8">
        <f>'3. Demand Forecast'!H433</f>
        <v>0.33</v>
      </c>
      <c r="M315" s="5" t="str">
        <f t="shared" si="33"/>
        <v>Y</v>
      </c>
      <c r="N315" s="5" t="str">
        <f t="shared" si="34"/>
        <v>BY</v>
      </c>
    </row>
    <row r="316" spans="1:14" ht="15" customHeight="1" x14ac:dyDescent="0.2">
      <c r="A316" s="3" t="str">
        <f>'1. Master Data'!A135</f>
        <v>NT10131</v>
      </c>
      <c r="B316" s="1" t="str">
        <f>'1. Master Data'!B135</f>
        <v>CinemaMax 580in 8K</v>
      </c>
      <c r="C316" s="3" t="str">
        <f>'1. Master Data'!C135</f>
        <v>TVs</v>
      </c>
      <c r="D316" s="3" t="str">
        <f>'1. Master Data'!D135</f>
        <v>East DC</v>
      </c>
      <c r="E316" s="4">
        <f>'1. Master Data'!F135</f>
        <v>644</v>
      </c>
      <c r="F316" s="3">
        <f>'2. Demand History'!AA135</f>
        <v>172</v>
      </c>
      <c r="G316" s="4">
        <f t="shared" si="28"/>
        <v>110768</v>
      </c>
      <c r="H316" s="3">
        <f t="shared" si="29"/>
        <v>312</v>
      </c>
      <c r="I316" s="11">
        <f t="shared" si="30"/>
        <v>155786476</v>
      </c>
      <c r="J316" s="10">
        <f t="shared" si="31"/>
        <v>0.94220896881057492</v>
      </c>
      <c r="K316" s="5" t="str">
        <f t="shared" si="32"/>
        <v>B</v>
      </c>
      <c r="L316" s="8">
        <f>'3. Demand Forecast'!H135</f>
        <v>0.31</v>
      </c>
      <c r="M316" s="5" t="str">
        <f t="shared" si="33"/>
        <v>Y</v>
      </c>
      <c r="N316" s="5" t="str">
        <f t="shared" si="34"/>
        <v>BY</v>
      </c>
    </row>
    <row r="317" spans="1:14" ht="15" customHeight="1" x14ac:dyDescent="0.2">
      <c r="A317" s="3" t="str">
        <f>'1. Master Data'!A115</f>
        <v>NT10111</v>
      </c>
      <c r="B317" s="1" t="str">
        <f>'1. Master Data'!B115</f>
        <v>VisionOLED 568in 4K</v>
      </c>
      <c r="C317" s="3" t="str">
        <f>'1. Master Data'!C115</f>
        <v>TVs</v>
      </c>
      <c r="D317" s="3" t="str">
        <f>'1. Master Data'!D115</f>
        <v>East DC</v>
      </c>
      <c r="E317" s="4">
        <f>'1. Master Data'!F115</f>
        <v>527</v>
      </c>
      <c r="F317" s="3">
        <f>'2. Demand History'!AA115</f>
        <v>205</v>
      </c>
      <c r="G317" s="4">
        <f t="shared" si="28"/>
        <v>108035</v>
      </c>
      <c r="H317" s="3">
        <f t="shared" si="29"/>
        <v>313</v>
      </c>
      <c r="I317" s="11">
        <f t="shared" si="30"/>
        <v>155894511</v>
      </c>
      <c r="J317" s="10">
        <f t="shared" si="31"/>
        <v>0.94286237306336418</v>
      </c>
      <c r="K317" s="5" t="str">
        <f t="shared" si="32"/>
        <v>B</v>
      </c>
      <c r="L317" s="8">
        <f>'3. Demand Forecast'!H115</f>
        <v>0.26</v>
      </c>
      <c r="M317" s="5" t="str">
        <f t="shared" si="33"/>
        <v>Y</v>
      </c>
      <c r="N317" s="5" t="str">
        <f t="shared" si="34"/>
        <v>BY</v>
      </c>
    </row>
    <row r="318" spans="1:14" ht="15" customHeight="1" x14ac:dyDescent="0.2">
      <c r="A318" s="3" t="str">
        <f>'1. Master Data'!A357</f>
        <v>NT10353</v>
      </c>
      <c r="B318" s="1" t="str">
        <f>'1. Master Data'!B357</f>
        <v>MirrorlessM 556</v>
      </c>
      <c r="C318" s="3" t="str">
        <f>'1. Master Data'!C357</f>
        <v>Cameras</v>
      </c>
      <c r="D318" s="3" t="str">
        <f>'1. Master Data'!D357</f>
        <v>Central DC</v>
      </c>
      <c r="E318" s="4">
        <f>'1. Master Data'!F357</f>
        <v>786</v>
      </c>
      <c r="F318" s="3">
        <f>'2. Demand History'!AA357</f>
        <v>135</v>
      </c>
      <c r="G318" s="4">
        <f t="shared" si="28"/>
        <v>106110</v>
      </c>
      <c r="H318" s="3">
        <f t="shared" si="29"/>
        <v>314</v>
      </c>
      <c r="I318" s="11">
        <f t="shared" si="30"/>
        <v>156000621</v>
      </c>
      <c r="J318" s="10">
        <f t="shared" si="31"/>
        <v>0.94350413476340089</v>
      </c>
      <c r="K318" s="5" t="str">
        <f t="shared" si="32"/>
        <v>B</v>
      </c>
      <c r="L318" s="8">
        <f>'3. Demand Forecast'!H357</f>
        <v>0.27</v>
      </c>
      <c r="M318" s="5" t="str">
        <f t="shared" si="33"/>
        <v>Y</v>
      </c>
      <c r="N318" s="5" t="str">
        <f t="shared" si="34"/>
        <v>BY</v>
      </c>
    </row>
    <row r="319" spans="1:14" ht="15" customHeight="1" x14ac:dyDescent="0.2">
      <c r="A319" s="3" t="str">
        <f>'1. Master Data'!A405</f>
        <v>NT10401</v>
      </c>
      <c r="B319" s="1" t="str">
        <f>'1. Master Data'!B405</f>
        <v>DrawPad 390 12in</v>
      </c>
      <c r="C319" s="3" t="str">
        <f>'1. Master Data'!C405</f>
        <v>Tablets</v>
      </c>
      <c r="D319" s="3" t="str">
        <f>'1. Master Data'!D405</f>
        <v>West DC</v>
      </c>
      <c r="E319" s="4">
        <f>'1. Master Data'!F405</f>
        <v>311</v>
      </c>
      <c r="F319" s="3">
        <f>'2. Demand History'!AA405</f>
        <v>340</v>
      </c>
      <c r="G319" s="4">
        <f t="shared" si="28"/>
        <v>105740</v>
      </c>
      <c r="H319" s="3">
        <f t="shared" si="29"/>
        <v>315</v>
      </c>
      <c r="I319" s="11">
        <f t="shared" si="30"/>
        <v>156106361</v>
      </c>
      <c r="J319" s="10">
        <f t="shared" si="31"/>
        <v>0.94414365867407735</v>
      </c>
      <c r="K319" s="5" t="str">
        <f t="shared" si="32"/>
        <v>B</v>
      </c>
      <c r="L319" s="8">
        <f>'3. Demand Forecast'!H405</f>
        <v>0.31</v>
      </c>
      <c r="M319" s="5" t="str">
        <f t="shared" si="33"/>
        <v>Y</v>
      </c>
      <c r="N319" s="5" t="str">
        <f t="shared" si="34"/>
        <v>BY</v>
      </c>
    </row>
    <row r="320" spans="1:14" ht="15" customHeight="1" x14ac:dyDescent="0.2">
      <c r="A320" s="3" t="str">
        <f>'1. Master Data'!A497</f>
        <v>NT10493</v>
      </c>
      <c r="B320" s="1" t="str">
        <f>'1. Master Data'!B497</f>
        <v>Wall Charger 65W V210</v>
      </c>
      <c r="C320" s="3" t="str">
        <f>'1. Master Data'!C497</f>
        <v>Accessories</v>
      </c>
      <c r="D320" s="3" t="str">
        <f>'1. Master Data'!D497</f>
        <v>Central DC</v>
      </c>
      <c r="E320" s="4">
        <f>'1. Master Data'!F497</f>
        <v>19</v>
      </c>
      <c r="F320" s="3">
        <f>'2. Demand History'!AA497</f>
        <v>5512</v>
      </c>
      <c r="G320" s="4">
        <f t="shared" si="28"/>
        <v>104728</v>
      </c>
      <c r="H320" s="3">
        <f t="shared" si="29"/>
        <v>316</v>
      </c>
      <c r="I320" s="11">
        <f t="shared" si="30"/>
        <v>156211089</v>
      </c>
      <c r="J320" s="10">
        <f t="shared" si="31"/>
        <v>0.94477706192844968</v>
      </c>
      <c r="K320" s="5" t="str">
        <f t="shared" si="32"/>
        <v>B</v>
      </c>
      <c r="L320" s="8">
        <f>'3. Demand Forecast'!H497</f>
        <v>0.05</v>
      </c>
      <c r="M320" s="5" t="str">
        <f t="shared" si="33"/>
        <v>X</v>
      </c>
      <c r="N320" s="5" t="str">
        <f t="shared" si="34"/>
        <v>BX</v>
      </c>
    </row>
    <row r="321" spans="1:14" ht="15" customHeight="1" x14ac:dyDescent="0.2">
      <c r="A321" s="3" t="str">
        <f>'1. Master Data'!A92</f>
        <v>NT10088</v>
      </c>
      <c r="B321" s="1" t="str">
        <f>'1. Master Data'!B92</f>
        <v>ProBook 846 i7 15in</v>
      </c>
      <c r="C321" s="3" t="str">
        <f>'1. Master Data'!C92</f>
        <v>Laptops</v>
      </c>
      <c r="D321" s="3" t="str">
        <f>'1. Master Data'!D92</f>
        <v>East DC</v>
      </c>
      <c r="E321" s="4">
        <f>'1. Master Data'!F92</f>
        <v>1573</v>
      </c>
      <c r="F321" s="3">
        <f>'2. Demand History'!AA92</f>
        <v>66</v>
      </c>
      <c r="G321" s="4">
        <f t="shared" si="28"/>
        <v>103818</v>
      </c>
      <c r="H321" s="3">
        <f t="shared" si="29"/>
        <v>317</v>
      </c>
      <c r="I321" s="11">
        <f t="shared" si="30"/>
        <v>156314907</v>
      </c>
      <c r="J321" s="10">
        <f t="shared" si="31"/>
        <v>0.9454049614306117</v>
      </c>
      <c r="K321" s="5" t="str">
        <f t="shared" si="32"/>
        <v>B</v>
      </c>
      <c r="L321" s="8">
        <f>'3. Demand Forecast'!H92</f>
        <v>0.93</v>
      </c>
      <c r="M321" s="5" t="str">
        <f t="shared" si="33"/>
        <v>Z</v>
      </c>
      <c r="N321" s="5" t="str">
        <f t="shared" si="34"/>
        <v>BZ</v>
      </c>
    </row>
    <row r="322" spans="1:14" ht="15" customHeight="1" x14ac:dyDescent="0.2">
      <c r="A322" s="3" t="str">
        <f>'1. Master Data'!A371</f>
        <v>NT10367</v>
      </c>
      <c r="B322" s="1" t="str">
        <f>'1. Master Data'!B371</f>
        <v>TravelShot 480 Compact</v>
      </c>
      <c r="C322" s="3" t="str">
        <f>'1. Master Data'!C371</f>
        <v>Cameras</v>
      </c>
      <c r="D322" s="3" t="str">
        <f>'1. Master Data'!D371</f>
        <v>East DC</v>
      </c>
      <c r="E322" s="4">
        <f>'1. Master Data'!F371</f>
        <v>1187</v>
      </c>
      <c r="F322" s="3">
        <f>'2. Demand History'!AA371</f>
        <v>87</v>
      </c>
      <c r="G322" s="4">
        <f t="shared" si="28"/>
        <v>103269</v>
      </c>
      <c r="H322" s="3">
        <f t="shared" si="29"/>
        <v>318</v>
      </c>
      <c r="I322" s="11">
        <f t="shared" si="30"/>
        <v>156418176</v>
      </c>
      <c r="J322" s="10">
        <f t="shared" si="31"/>
        <v>0.94602954053720956</v>
      </c>
      <c r="K322" s="5" t="str">
        <f t="shared" si="32"/>
        <v>B</v>
      </c>
      <c r="L322" s="8">
        <f>'3. Demand Forecast'!H371</f>
        <v>0.82</v>
      </c>
      <c r="M322" s="5" t="str">
        <f t="shared" si="33"/>
        <v>Z</v>
      </c>
      <c r="N322" s="5" t="str">
        <f t="shared" si="34"/>
        <v>BZ</v>
      </c>
    </row>
    <row r="323" spans="1:14" ht="15" customHeight="1" x14ac:dyDescent="0.2">
      <c r="A323" s="3" t="str">
        <f>'1. Master Data'!A330</f>
        <v>NT10326</v>
      </c>
      <c r="B323" s="1" t="str">
        <f>'1. Master Data'!B330</f>
        <v>LumiBulb 578 RGB</v>
      </c>
      <c r="C323" s="3" t="str">
        <f>'1. Master Data'!C330</f>
        <v>Smart Home</v>
      </c>
      <c r="D323" s="3" t="str">
        <f>'1. Master Data'!D330</f>
        <v>East DC</v>
      </c>
      <c r="E323" s="4">
        <f>'1. Master Data'!F330</f>
        <v>65</v>
      </c>
      <c r="F323" s="3">
        <f>'2. Demand History'!AA330</f>
        <v>1588</v>
      </c>
      <c r="G323" s="4">
        <f t="shared" si="28"/>
        <v>103220</v>
      </c>
      <c r="H323" s="3">
        <f t="shared" si="29"/>
        <v>319</v>
      </c>
      <c r="I323" s="11">
        <f t="shared" si="30"/>
        <v>156521396</v>
      </c>
      <c r="J323" s="10">
        <f t="shared" si="31"/>
        <v>0.94665382328791903</v>
      </c>
      <c r="K323" s="5" t="str">
        <f t="shared" si="32"/>
        <v>B</v>
      </c>
      <c r="L323" s="8">
        <f>'3. Demand Forecast'!H330</f>
        <v>0.06</v>
      </c>
      <c r="M323" s="5" t="str">
        <f t="shared" si="33"/>
        <v>X</v>
      </c>
      <c r="N323" s="5" t="str">
        <f t="shared" si="34"/>
        <v>BX</v>
      </c>
    </row>
    <row r="324" spans="1:14" ht="15" customHeight="1" x14ac:dyDescent="0.2">
      <c r="A324" s="3" t="str">
        <f>'1. Master Data'!A42</f>
        <v>NT10038</v>
      </c>
      <c r="B324" s="1" t="str">
        <f>'1. Master Data'!B42</f>
        <v>Nova X367 Pro 256GB</v>
      </c>
      <c r="C324" s="3" t="str">
        <f>'1. Master Data'!C42</f>
        <v>Smartphones</v>
      </c>
      <c r="D324" s="3" t="str">
        <f>'1. Master Data'!D42</f>
        <v>Central DC</v>
      </c>
      <c r="E324" s="4">
        <f>'1. Master Data'!F42</f>
        <v>264</v>
      </c>
      <c r="F324" s="3">
        <f>'2. Demand History'!AA42</f>
        <v>390</v>
      </c>
      <c r="G324" s="4">
        <f t="shared" si="28"/>
        <v>102960</v>
      </c>
      <c r="H324" s="3">
        <f t="shared" si="29"/>
        <v>320</v>
      </c>
      <c r="I324" s="11">
        <f t="shared" si="30"/>
        <v>156624356</v>
      </c>
      <c r="J324" s="10">
        <f t="shared" si="31"/>
        <v>0.94727653353799712</v>
      </c>
      <c r="K324" s="5" t="str">
        <f t="shared" si="32"/>
        <v>B</v>
      </c>
      <c r="L324" s="8">
        <f>'3. Demand Forecast'!H42</f>
        <v>0.26</v>
      </c>
      <c r="M324" s="5" t="str">
        <f t="shared" si="33"/>
        <v>Y</v>
      </c>
      <c r="N324" s="5" t="str">
        <f t="shared" si="34"/>
        <v>BY</v>
      </c>
    </row>
    <row r="325" spans="1:14" ht="15" customHeight="1" x14ac:dyDescent="0.2">
      <c r="A325" s="3" t="str">
        <f>'1. Master Data'!A151</f>
        <v>NT10147</v>
      </c>
      <c r="B325" s="1" t="str">
        <f>'1. Master Data'!B151</f>
        <v>CinemaMax 871in 8K</v>
      </c>
      <c r="C325" s="3" t="str">
        <f>'1. Master Data'!C151</f>
        <v>TVs</v>
      </c>
      <c r="D325" s="3" t="str">
        <f>'1. Master Data'!D151</f>
        <v>East DC</v>
      </c>
      <c r="E325" s="4">
        <f>'1. Master Data'!F151</f>
        <v>342</v>
      </c>
      <c r="F325" s="3">
        <f>'2. Demand History'!AA151</f>
        <v>299</v>
      </c>
      <c r="G325" s="4">
        <f t="shared" ref="G325:G388" si="35">E325*F325</f>
        <v>102258</v>
      </c>
      <c r="H325" s="3">
        <f t="shared" ref="H325:H388" si="36">RANK(G325,G$5:G$504,0)</f>
        <v>321</v>
      </c>
      <c r="I325" s="11">
        <f t="shared" ref="I325:I388" si="37">SUMPRODUCT((H$5:H$504&lt;=H325)*G$5:G$504)</f>
        <v>156726614</v>
      </c>
      <c r="J325" s="10">
        <f t="shared" ref="J325:J388" si="38">I325/SUM(G$5:G$504)</f>
        <v>0.94789499803637012</v>
      </c>
      <c r="K325" s="5" t="str">
        <f t="shared" ref="K325:K388" si="39">IF(J325&lt;=0.8,"A",IF(J325&lt;=0.95,"B","C"))</f>
        <v>B</v>
      </c>
      <c r="L325" s="8">
        <f>'3. Demand Forecast'!H151</f>
        <v>1.06</v>
      </c>
      <c r="M325" s="5" t="str">
        <f t="shared" ref="M325:M388" si="40">IF(L325&lt;=0.25,"X",IF(L325&lt;=0.6,"Y","Z"))</f>
        <v>Z</v>
      </c>
      <c r="N325" s="5" t="str">
        <f t="shared" ref="N325:N388" si="41">K325&amp;M325</f>
        <v>BZ</v>
      </c>
    </row>
    <row r="326" spans="1:14" ht="15" customHeight="1" x14ac:dyDescent="0.2">
      <c r="A326" s="3" t="str">
        <f>'1. Master Data'!A95</f>
        <v>NT10091</v>
      </c>
      <c r="B326" s="1" t="str">
        <f>'1. Master Data'!B95</f>
        <v>CreatorPro 601 i9 16in</v>
      </c>
      <c r="C326" s="3" t="str">
        <f>'1. Master Data'!C95</f>
        <v>Laptops</v>
      </c>
      <c r="D326" s="3" t="str">
        <f>'1. Master Data'!D95</f>
        <v>West DC</v>
      </c>
      <c r="E326" s="4">
        <f>'1. Master Data'!F95</f>
        <v>852</v>
      </c>
      <c r="F326" s="3">
        <f>'2. Demand History'!AA95</f>
        <v>120</v>
      </c>
      <c r="G326" s="4">
        <f t="shared" si="35"/>
        <v>102240</v>
      </c>
      <c r="H326" s="3">
        <f t="shared" si="36"/>
        <v>322</v>
      </c>
      <c r="I326" s="11">
        <f t="shared" si="37"/>
        <v>156828854</v>
      </c>
      <c r="J326" s="10">
        <f t="shared" si="38"/>
        <v>0.94851335366931466</v>
      </c>
      <c r="K326" s="5" t="str">
        <f t="shared" si="39"/>
        <v>B</v>
      </c>
      <c r="L326" s="8">
        <f>'3. Demand Forecast'!H95</f>
        <v>0.28999999999999998</v>
      </c>
      <c r="M326" s="5" t="str">
        <f t="shared" si="40"/>
        <v>Y</v>
      </c>
      <c r="N326" s="5" t="str">
        <f t="shared" si="41"/>
        <v>BY</v>
      </c>
    </row>
    <row r="327" spans="1:14" ht="15" customHeight="1" x14ac:dyDescent="0.2">
      <c r="A327" s="3" t="str">
        <f>'1. Master Data'!A423</f>
        <v>NT10419</v>
      </c>
      <c r="B327" s="1" t="str">
        <f>'1. Master Data'!B423</f>
        <v>NovaTab 191 Kids</v>
      </c>
      <c r="C327" s="3" t="str">
        <f>'1. Master Data'!C423</f>
        <v>Tablets</v>
      </c>
      <c r="D327" s="3" t="str">
        <f>'1. Master Data'!D423</f>
        <v>West DC</v>
      </c>
      <c r="E327" s="4">
        <f>'1. Master Data'!F423</f>
        <v>234</v>
      </c>
      <c r="F327" s="3">
        <f>'2. Demand History'!AA423</f>
        <v>436</v>
      </c>
      <c r="G327" s="4">
        <f t="shared" si="35"/>
        <v>102024</v>
      </c>
      <c r="H327" s="3">
        <f t="shared" si="36"/>
        <v>323</v>
      </c>
      <c r="I327" s="11">
        <f t="shared" si="37"/>
        <v>156930878</v>
      </c>
      <c r="J327" s="10">
        <f t="shared" si="38"/>
        <v>0.94913040291711936</v>
      </c>
      <c r="K327" s="5" t="str">
        <f t="shared" si="39"/>
        <v>B</v>
      </c>
      <c r="L327" s="8">
        <f>'3. Demand Forecast'!H423</f>
        <v>0.24</v>
      </c>
      <c r="M327" s="5" t="str">
        <f t="shared" si="40"/>
        <v>X</v>
      </c>
      <c r="N327" s="5" t="str">
        <f t="shared" si="41"/>
        <v>BX</v>
      </c>
    </row>
    <row r="328" spans="1:14" ht="15" customHeight="1" x14ac:dyDescent="0.2">
      <c r="A328" s="3" t="str">
        <f>'1. Master Data'!A369</f>
        <v>NT10365</v>
      </c>
      <c r="B328" s="1" t="str">
        <f>'1. Master Data'!B369</f>
        <v>OptiZoom 157 DSLR</v>
      </c>
      <c r="C328" s="3" t="str">
        <f>'1. Master Data'!C369</f>
        <v>Cameras</v>
      </c>
      <c r="D328" s="3" t="str">
        <f>'1. Master Data'!D369</f>
        <v>Central DC</v>
      </c>
      <c r="E328" s="4">
        <f>'1. Master Data'!F369</f>
        <v>530</v>
      </c>
      <c r="F328" s="3">
        <f>'2. Demand History'!AA369</f>
        <v>191</v>
      </c>
      <c r="G328" s="4">
        <f t="shared" si="35"/>
        <v>101230</v>
      </c>
      <c r="H328" s="3">
        <f t="shared" si="36"/>
        <v>324</v>
      </c>
      <c r="I328" s="11">
        <f t="shared" si="37"/>
        <v>157032108</v>
      </c>
      <c r="J328" s="10">
        <f t="shared" si="38"/>
        <v>0.94974264998991842</v>
      </c>
      <c r="K328" s="5" t="str">
        <f t="shared" si="39"/>
        <v>B</v>
      </c>
      <c r="L328" s="8">
        <f>'3. Demand Forecast'!H369</f>
        <v>0.36</v>
      </c>
      <c r="M328" s="5" t="str">
        <f t="shared" si="40"/>
        <v>Y</v>
      </c>
      <c r="N328" s="5" t="str">
        <f t="shared" si="41"/>
        <v>BY</v>
      </c>
    </row>
    <row r="329" spans="1:14" ht="15" customHeight="1" x14ac:dyDescent="0.2">
      <c r="A329" s="3" t="str">
        <f>'1. Master Data'!A420</f>
        <v>NT10416</v>
      </c>
      <c r="B329" s="1" t="str">
        <f>'1. Master Data'!B420</f>
        <v>NovaTab 541 Kids</v>
      </c>
      <c r="C329" s="3" t="str">
        <f>'1. Master Data'!C420</f>
        <v>Tablets</v>
      </c>
      <c r="D329" s="3" t="str">
        <f>'1. Master Data'!D420</f>
        <v>West DC</v>
      </c>
      <c r="E329" s="4">
        <f>'1. Master Data'!F420</f>
        <v>330</v>
      </c>
      <c r="F329" s="3">
        <f>'2. Demand History'!AA420</f>
        <v>302</v>
      </c>
      <c r="G329" s="4">
        <f t="shared" si="35"/>
        <v>99660</v>
      </c>
      <c r="H329" s="3">
        <f t="shared" si="36"/>
        <v>325</v>
      </c>
      <c r="I329" s="11">
        <f t="shared" si="37"/>
        <v>157131768</v>
      </c>
      <c r="J329" s="10">
        <f t="shared" si="38"/>
        <v>0.95034540157813507</v>
      </c>
      <c r="K329" s="5" t="str">
        <f t="shared" si="39"/>
        <v>C</v>
      </c>
      <c r="L329" s="8">
        <f>'3. Demand Forecast'!H420</f>
        <v>0.25</v>
      </c>
      <c r="M329" s="5" t="str">
        <f t="shared" si="40"/>
        <v>X</v>
      </c>
      <c r="N329" s="5" t="str">
        <f t="shared" si="41"/>
        <v>CX</v>
      </c>
    </row>
    <row r="330" spans="1:14" ht="15" customHeight="1" x14ac:dyDescent="0.2">
      <c r="A330" s="3" t="str">
        <f>'1. Master Data'!A496</f>
        <v>NT10492</v>
      </c>
      <c r="B330" s="1" t="str">
        <f>'1. Master Data'!B496</f>
        <v>Wall Charger 65W V223</v>
      </c>
      <c r="C330" s="3" t="str">
        <f>'1. Master Data'!C496</f>
        <v>Accessories</v>
      </c>
      <c r="D330" s="3" t="str">
        <f>'1. Master Data'!D496</f>
        <v>East DC</v>
      </c>
      <c r="E330" s="4">
        <f>'1. Master Data'!F496</f>
        <v>30</v>
      </c>
      <c r="F330" s="3">
        <f>'2. Demand History'!AA496</f>
        <v>3308</v>
      </c>
      <c r="G330" s="4">
        <f t="shared" si="35"/>
        <v>99240</v>
      </c>
      <c r="H330" s="3">
        <f t="shared" si="36"/>
        <v>326</v>
      </c>
      <c r="I330" s="11">
        <f t="shared" si="37"/>
        <v>157231008</v>
      </c>
      <c r="J330" s="10">
        <f t="shared" si="38"/>
        <v>0.95094561297302371</v>
      </c>
      <c r="K330" s="5" t="str">
        <f t="shared" si="39"/>
        <v>C</v>
      </c>
      <c r="L330" s="8">
        <f>'3. Demand Forecast'!H496</f>
        <v>0.05</v>
      </c>
      <c r="M330" s="5" t="str">
        <f t="shared" si="40"/>
        <v>X</v>
      </c>
      <c r="N330" s="5" t="str">
        <f t="shared" si="41"/>
        <v>CX</v>
      </c>
    </row>
    <row r="331" spans="1:14" ht="15" customHeight="1" x14ac:dyDescent="0.2">
      <c r="A331" s="3" t="str">
        <f>'1. Master Data'!A247</f>
        <v>NT10243</v>
      </c>
      <c r="B331" s="1" t="str">
        <f>'1. Master Data'!B247</f>
        <v>FitTrack Band 420</v>
      </c>
      <c r="C331" s="3" t="str">
        <f>'1. Master Data'!C247</f>
        <v>Wearables</v>
      </c>
      <c r="D331" s="3" t="str">
        <f>'1. Master Data'!D247</f>
        <v>Central DC</v>
      </c>
      <c r="E331" s="4">
        <f>'1. Master Data'!F247</f>
        <v>87</v>
      </c>
      <c r="F331" s="3">
        <f>'2. Demand History'!AA247</f>
        <v>1139</v>
      </c>
      <c r="G331" s="4">
        <f t="shared" si="35"/>
        <v>99093</v>
      </c>
      <c r="H331" s="3">
        <f t="shared" si="36"/>
        <v>327</v>
      </c>
      <c r="I331" s="11">
        <f t="shared" si="37"/>
        <v>157330101</v>
      </c>
      <c r="J331" s="10">
        <f t="shared" si="38"/>
        <v>0.95154493530024775</v>
      </c>
      <c r="K331" s="5" t="str">
        <f t="shared" si="39"/>
        <v>C</v>
      </c>
      <c r="L331" s="8">
        <f>'3. Demand Forecast'!H247</f>
        <v>0.3</v>
      </c>
      <c r="M331" s="5" t="str">
        <f t="shared" si="40"/>
        <v>Y</v>
      </c>
      <c r="N331" s="5" t="str">
        <f t="shared" si="41"/>
        <v>CY</v>
      </c>
    </row>
    <row r="332" spans="1:14" ht="15" customHeight="1" x14ac:dyDescent="0.2">
      <c r="A332" s="3" t="str">
        <f>'1. Master Data'!A221</f>
        <v>NT10217</v>
      </c>
      <c r="B332" s="1" t="str">
        <f>'1. Master Data'!B221</f>
        <v>PulseRing 145</v>
      </c>
      <c r="C332" s="3" t="str">
        <f>'1. Master Data'!C221</f>
        <v>Wearables</v>
      </c>
      <c r="D332" s="3" t="str">
        <f>'1. Master Data'!D221</f>
        <v>West DC</v>
      </c>
      <c r="E332" s="4">
        <f>'1. Master Data'!F221</f>
        <v>55</v>
      </c>
      <c r="F332" s="3">
        <f>'2. Demand History'!AA221</f>
        <v>1781</v>
      </c>
      <c r="G332" s="4">
        <f t="shared" si="35"/>
        <v>97955</v>
      </c>
      <c r="H332" s="3">
        <f t="shared" si="36"/>
        <v>328</v>
      </c>
      <c r="I332" s="11">
        <f t="shared" si="37"/>
        <v>157428056</v>
      </c>
      <c r="J332" s="10">
        <f t="shared" si="38"/>
        <v>0.95213737491316919</v>
      </c>
      <c r="K332" s="5" t="str">
        <f t="shared" si="39"/>
        <v>C</v>
      </c>
      <c r="L332" s="8">
        <f>'3. Demand Forecast'!H221</f>
        <v>0.26</v>
      </c>
      <c r="M332" s="5" t="str">
        <f t="shared" si="40"/>
        <v>Y</v>
      </c>
      <c r="N332" s="5" t="str">
        <f t="shared" si="41"/>
        <v>CY</v>
      </c>
    </row>
    <row r="333" spans="1:14" ht="15" customHeight="1" x14ac:dyDescent="0.2">
      <c r="A333" s="3" t="str">
        <f>'1. Master Data'!A177</f>
        <v>NT10173</v>
      </c>
      <c r="B333" s="1" t="str">
        <f>'1. Master Data'!B177</f>
        <v>WaveBar 471 Soundbar</v>
      </c>
      <c r="C333" s="3" t="str">
        <f>'1. Master Data'!C177</f>
        <v>Audio</v>
      </c>
      <c r="D333" s="3" t="str">
        <f>'1. Master Data'!D177</f>
        <v>East DC</v>
      </c>
      <c r="E333" s="4">
        <f>'1. Master Data'!F177</f>
        <v>209</v>
      </c>
      <c r="F333" s="3">
        <f>'2. Demand History'!AA177</f>
        <v>464</v>
      </c>
      <c r="G333" s="4">
        <f t="shared" si="35"/>
        <v>96976</v>
      </c>
      <c r="H333" s="3">
        <f t="shared" si="36"/>
        <v>329</v>
      </c>
      <c r="I333" s="11">
        <f t="shared" si="37"/>
        <v>157525032</v>
      </c>
      <c r="J333" s="10">
        <f t="shared" si="38"/>
        <v>0.95272389345640518</v>
      </c>
      <c r="K333" s="5" t="str">
        <f t="shared" si="39"/>
        <v>C</v>
      </c>
      <c r="L333" s="8">
        <f>'3. Demand Forecast'!H177</f>
        <v>0.89</v>
      </c>
      <c r="M333" s="5" t="str">
        <f t="shared" si="40"/>
        <v>Z</v>
      </c>
      <c r="N333" s="5" t="str">
        <f t="shared" si="41"/>
        <v>CZ</v>
      </c>
    </row>
    <row r="334" spans="1:14" ht="15" customHeight="1" x14ac:dyDescent="0.2">
      <c r="A334" s="3" t="str">
        <f>'1. Master Data'!A206</f>
        <v>NT10202</v>
      </c>
      <c r="B334" s="1" t="str">
        <f>'1. Master Data'!B206</f>
        <v>StepOne Tracker 559</v>
      </c>
      <c r="C334" s="3" t="str">
        <f>'1. Master Data'!C206</f>
        <v>Wearables</v>
      </c>
      <c r="D334" s="3" t="str">
        <f>'1. Master Data'!D206</f>
        <v>East DC</v>
      </c>
      <c r="E334" s="4">
        <f>'1. Master Data'!F206</f>
        <v>127</v>
      </c>
      <c r="F334" s="3">
        <f>'2. Demand History'!AA206</f>
        <v>760</v>
      </c>
      <c r="G334" s="4">
        <f t="shared" si="35"/>
        <v>96520</v>
      </c>
      <c r="H334" s="3">
        <f t="shared" si="36"/>
        <v>330</v>
      </c>
      <c r="I334" s="11">
        <f t="shared" si="37"/>
        <v>157621552</v>
      </c>
      <c r="J334" s="10">
        <f t="shared" si="38"/>
        <v>0.95330765407545659</v>
      </c>
      <c r="K334" s="5" t="str">
        <f t="shared" si="39"/>
        <v>C</v>
      </c>
      <c r="L334" s="8">
        <f>'3. Demand Forecast'!H206</f>
        <v>0.28999999999999998</v>
      </c>
      <c r="M334" s="5" t="str">
        <f t="shared" si="40"/>
        <v>Y</v>
      </c>
      <c r="N334" s="5" t="str">
        <f t="shared" si="41"/>
        <v>CY</v>
      </c>
    </row>
    <row r="335" spans="1:14" ht="15" customHeight="1" x14ac:dyDescent="0.2">
      <c r="A335" s="3" t="str">
        <f>'1. Master Data'!A223</f>
        <v>NT10219</v>
      </c>
      <c r="B335" s="1" t="str">
        <f>'1. Master Data'!B223</f>
        <v>NovaWatch 336 GPS</v>
      </c>
      <c r="C335" s="3" t="str">
        <f>'1. Master Data'!C223</f>
        <v>Wearables</v>
      </c>
      <c r="D335" s="3" t="str">
        <f>'1. Master Data'!D223</f>
        <v>West DC</v>
      </c>
      <c r="E335" s="4">
        <f>'1. Master Data'!F223</f>
        <v>70</v>
      </c>
      <c r="F335" s="3">
        <f>'2. Demand History'!AA223</f>
        <v>1374</v>
      </c>
      <c r="G335" s="4">
        <f t="shared" si="35"/>
        <v>96180</v>
      </c>
      <c r="H335" s="3">
        <f t="shared" si="36"/>
        <v>331</v>
      </c>
      <c r="I335" s="11">
        <f t="shared" si="37"/>
        <v>157717732</v>
      </c>
      <c r="J335" s="10">
        <f t="shared" si="38"/>
        <v>0.9538893583475283</v>
      </c>
      <c r="K335" s="5" t="str">
        <f t="shared" si="39"/>
        <v>C</v>
      </c>
      <c r="L335" s="8">
        <f>'3. Demand Forecast'!H223</f>
        <v>0.28000000000000003</v>
      </c>
      <c r="M335" s="5" t="str">
        <f t="shared" si="40"/>
        <v>Y</v>
      </c>
      <c r="N335" s="5" t="str">
        <f t="shared" si="41"/>
        <v>CY</v>
      </c>
    </row>
    <row r="336" spans="1:14" ht="15" customHeight="1" x14ac:dyDescent="0.2">
      <c r="A336" s="3" t="str">
        <f>'1. Master Data'!A339</f>
        <v>NT10335</v>
      </c>
      <c r="B336" s="1" t="str">
        <f>'1. Master Data'!B339</f>
        <v>LumiBulb 708 RGB</v>
      </c>
      <c r="C336" s="3" t="str">
        <f>'1. Master Data'!C339</f>
        <v>Smart Home</v>
      </c>
      <c r="D336" s="3" t="str">
        <f>'1. Master Data'!D339</f>
        <v>West DC</v>
      </c>
      <c r="E336" s="4">
        <f>'1. Master Data'!F339</f>
        <v>42</v>
      </c>
      <c r="F336" s="3">
        <f>'2. Demand History'!AA339</f>
        <v>2262</v>
      </c>
      <c r="G336" s="4">
        <f t="shared" si="35"/>
        <v>95004</v>
      </c>
      <c r="H336" s="3">
        <f t="shared" si="36"/>
        <v>332</v>
      </c>
      <c r="I336" s="11">
        <f t="shared" si="37"/>
        <v>157812736</v>
      </c>
      <c r="J336" s="10">
        <f t="shared" si="38"/>
        <v>0.95446395007828211</v>
      </c>
      <c r="K336" s="5" t="str">
        <f t="shared" si="39"/>
        <v>C</v>
      </c>
      <c r="L336" s="8">
        <f>'3. Demand Forecast'!H339</f>
        <v>0.05</v>
      </c>
      <c r="M336" s="5" t="str">
        <f t="shared" si="40"/>
        <v>X</v>
      </c>
      <c r="N336" s="5" t="str">
        <f t="shared" si="41"/>
        <v>CX</v>
      </c>
    </row>
    <row r="337" spans="1:14" ht="15" customHeight="1" x14ac:dyDescent="0.2">
      <c r="A337" s="3" t="str">
        <f>'1. Master Data'!A460</f>
        <v>NT10456</v>
      </c>
      <c r="B337" s="1" t="str">
        <f>'1. Master Data'!B460</f>
        <v>Phone Case Clear V184</v>
      </c>
      <c r="C337" s="3" t="str">
        <f>'1. Master Data'!C460</f>
        <v>Accessories</v>
      </c>
      <c r="D337" s="3" t="str">
        <f>'1. Master Data'!D460</f>
        <v>East DC</v>
      </c>
      <c r="E337" s="4">
        <f>'1. Master Data'!F460</f>
        <v>34</v>
      </c>
      <c r="F337" s="3">
        <f>'2. Demand History'!AA460</f>
        <v>2785</v>
      </c>
      <c r="G337" s="4">
        <f t="shared" si="35"/>
        <v>94690</v>
      </c>
      <c r="H337" s="3">
        <f t="shared" si="36"/>
        <v>333</v>
      </c>
      <c r="I337" s="11">
        <f t="shared" si="37"/>
        <v>157907426</v>
      </c>
      <c r="J337" s="10">
        <f t="shared" si="38"/>
        <v>0.95503664271211941</v>
      </c>
      <c r="K337" s="5" t="str">
        <f t="shared" si="39"/>
        <v>C</v>
      </c>
      <c r="L337" s="8">
        <f>'3. Demand Forecast'!H460</f>
        <v>0.1</v>
      </c>
      <c r="M337" s="5" t="str">
        <f t="shared" si="40"/>
        <v>X</v>
      </c>
      <c r="N337" s="5" t="str">
        <f t="shared" si="41"/>
        <v>CX</v>
      </c>
    </row>
    <row r="338" spans="1:14" ht="15" customHeight="1" x14ac:dyDescent="0.2">
      <c r="A338" s="3" t="str">
        <f>'1. Master Data'!A478</f>
        <v>NT10474</v>
      </c>
      <c r="B338" s="1" t="str">
        <f>'1. Master Data'!B478</f>
        <v>Car Mount V739</v>
      </c>
      <c r="C338" s="3" t="str">
        <f>'1. Master Data'!C478</f>
        <v>Accessories</v>
      </c>
      <c r="D338" s="3" t="str">
        <f>'1. Master Data'!D478</f>
        <v>East DC</v>
      </c>
      <c r="E338" s="4">
        <f>'1. Master Data'!F478</f>
        <v>32</v>
      </c>
      <c r="F338" s="3">
        <f>'2. Demand History'!AA478</f>
        <v>2951</v>
      </c>
      <c r="G338" s="4">
        <f t="shared" si="35"/>
        <v>94432</v>
      </c>
      <c r="H338" s="3">
        <f t="shared" si="36"/>
        <v>334</v>
      </c>
      <c r="I338" s="11">
        <f t="shared" si="37"/>
        <v>158001858</v>
      </c>
      <c r="J338" s="10">
        <f t="shared" si="38"/>
        <v>0.95560777494148397</v>
      </c>
      <c r="K338" s="5" t="str">
        <f t="shared" si="39"/>
        <v>C</v>
      </c>
      <c r="L338" s="8">
        <f>'3. Demand Forecast'!H478</f>
        <v>0.08</v>
      </c>
      <c r="M338" s="5" t="str">
        <f t="shared" si="40"/>
        <v>X</v>
      </c>
      <c r="N338" s="5" t="str">
        <f t="shared" si="41"/>
        <v>CX</v>
      </c>
    </row>
    <row r="339" spans="1:14" ht="15" customHeight="1" x14ac:dyDescent="0.2">
      <c r="A339" s="3" t="str">
        <f>'1. Master Data'!A377</f>
        <v>NT10373</v>
      </c>
      <c r="B339" s="1" t="str">
        <f>'1. Master Data'!B377</f>
        <v>ActionCam 184 4K</v>
      </c>
      <c r="C339" s="3" t="str">
        <f>'1. Master Data'!C377</f>
        <v>Cameras</v>
      </c>
      <c r="D339" s="3" t="str">
        <f>'1. Master Data'!D377</f>
        <v>Central DC</v>
      </c>
      <c r="E339" s="4">
        <f>'1. Master Data'!F377</f>
        <v>252</v>
      </c>
      <c r="F339" s="3">
        <f>'2. Demand History'!AA377</f>
        <v>368</v>
      </c>
      <c r="G339" s="4">
        <f t="shared" si="35"/>
        <v>92736</v>
      </c>
      <c r="H339" s="3">
        <f t="shared" si="36"/>
        <v>335</v>
      </c>
      <c r="I339" s="11">
        <f t="shared" si="37"/>
        <v>158094594</v>
      </c>
      <c r="J339" s="10">
        <f t="shared" si="38"/>
        <v>0.95616864962826753</v>
      </c>
      <c r="K339" s="5" t="str">
        <f t="shared" si="39"/>
        <v>C</v>
      </c>
      <c r="L339" s="8">
        <f>'3. Demand Forecast'!H377</f>
        <v>0.28000000000000003</v>
      </c>
      <c r="M339" s="5" t="str">
        <f t="shared" si="40"/>
        <v>Y</v>
      </c>
      <c r="N339" s="5" t="str">
        <f t="shared" si="41"/>
        <v>CY</v>
      </c>
    </row>
    <row r="340" spans="1:14" ht="15" customHeight="1" x14ac:dyDescent="0.2">
      <c r="A340" s="3" t="str">
        <f>'1. Master Data'!A230</f>
        <v>NT10226</v>
      </c>
      <c r="B340" s="1" t="str">
        <f>'1. Master Data'!B230</f>
        <v>StepOne Tracker 298</v>
      </c>
      <c r="C340" s="3" t="str">
        <f>'1. Master Data'!C230</f>
        <v>Wearables</v>
      </c>
      <c r="D340" s="3" t="str">
        <f>'1. Master Data'!D230</f>
        <v>East DC</v>
      </c>
      <c r="E340" s="4">
        <f>'1. Master Data'!F230</f>
        <v>146</v>
      </c>
      <c r="F340" s="3">
        <f>'2. Demand History'!AA230</f>
        <v>617</v>
      </c>
      <c r="G340" s="4">
        <f t="shared" si="35"/>
        <v>90082</v>
      </c>
      <c r="H340" s="3">
        <f t="shared" si="36"/>
        <v>336</v>
      </c>
      <c r="I340" s="11">
        <f t="shared" si="37"/>
        <v>158184676</v>
      </c>
      <c r="J340" s="10">
        <f t="shared" si="38"/>
        <v>0.956713472712451</v>
      </c>
      <c r="K340" s="5" t="str">
        <f t="shared" si="39"/>
        <v>C</v>
      </c>
      <c r="L340" s="8">
        <f>'3. Demand Forecast'!H230</f>
        <v>0.32</v>
      </c>
      <c r="M340" s="5" t="str">
        <f t="shared" si="40"/>
        <v>Y</v>
      </c>
      <c r="N340" s="5" t="str">
        <f t="shared" si="41"/>
        <v>CY</v>
      </c>
    </row>
    <row r="341" spans="1:14" ht="15" customHeight="1" x14ac:dyDescent="0.2">
      <c r="A341" s="3" t="str">
        <f>'1. Master Data'!A257</f>
        <v>NT10253</v>
      </c>
      <c r="B341" s="1" t="str">
        <f>'1. Master Data'!B257</f>
        <v>ArenaHeadset H710</v>
      </c>
      <c r="C341" s="3" t="str">
        <f>'1. Master Data'!C257</f>
        <v>Gaming</v>
      </c>
      <c r="D341" s="3" t="str">
        <f>'1. Master Data'!D257</f>
        <v>East DC</v>
      </c>
      <c r="E341" s="4">
        <f>'1. Master Data'!F257</f>
        <v>166</v>
      </c>
      <c r="F341" s="3">
        <f>'2. Demand History'!AA257</f>
        <v>541</v>
      </c>
      <c r="G341" s="4">
        <f t="shared" si="35"/>
        <v>89806</v>
      </c>
      <c r="H341" s="3">
        <f t="shared" si="36"/>
        <v>337</v>
      </c>
      <c r="I341" s="11">
        <f t="shared" si="37"/>
        <v>158274482</v>
      </c>
      <c r="J341" s="10">
        <f t="shared" si="38"/>
        <v>0.95725662652673327</v>
      </c>
      <c r="K341" s="5" t="str">
        <f t="shared" si="39"/>
        <v>C</v>
      </c>
      <c r="L341" s="8">
        <f>'3. Demand Forecast'!H257</f>
        <v>0.19</v>
      </c>
      <c r="M341" s="5" t="str">
        <f t="shared" si="40"/>
        <v>X</v>
      </c>
      <c r="N341" s="5" t="str">
        <f t="shared" si="41"/>
        <v>CX</v>
      </c>
    </row>
    <row r="342" spans="1:14" ht="15" customHeight="1" x14ac:dyDescent="0.2">
      <c r="A342" s="3" t="str">
        <f>'1. Master Data'!A399</f>
        <v>NT10395</v>
      </c>
      <c r="B342" s="1" t="str">
        <f>'1. Master Data'!B399</f>
        <v>ActionCam 102 4K</v>
      </c>
      <c r="C342" s="3" t="str">
        <f>'1. Master Data'!C399</f>
        <v>Cameras</v>
      </c>
      <c r="D342" s="3" t="str">
        <f>'1. Master Data'!D399</f>
        <v>East DC</v>
      </c>
      <c r="E342" s="4">
        <f>'1. Master Data'!F399</f>
        <v>216</v>
      </c>
      <c r="F342" s="3">
        <f>'2. Demand History'!AA399</f>
        <v>411</v>
      </c>
      <c r="G342" s="4">
        <f t="shared" si="35"/>
        <v>88776</v>
      </c>
      <c r="H342" s="3">
        <f t="shared" si="36"/>
        <v>338</v>
      </c>
      <c r="I342" s="11">
        <f t="shared" si="37"/>
        <v>158363258</v>
      </c>
      <c r="J342" s="10">
        <f t="shared" si="38"/>
        <v>0.95779355081928308</v>
      </c>
      <c r="K342" s="5" t="str">
        <f t="shared" si="39"/>
        <v>C</v>
      </c>
      <c r="L342" s="8">
        <f>'3. Demand Forecast'!H399</f>
        <v>0.34</v>
      </c>
      <c r="M342" s="5" t="str">
        <f t="shared" si="40"/>
        <v>Y</v>
      </c>
      <c r="N342" s="5" t="str">
        <f t="shared" si="41"/>
        <v>CY</v>
      </c>
    </row>
    <row r="343" spans="1:14" ht="15" customHeight="1" x14ac:dyDescent="0.2">
      <c r="A343" s="3" t="str">
        <f>'1. Master Data'!A124</f>
        <v>NT10120</v>
      </c>
      <c r="B343" s="1" t="str">
        <f>'1. Master Data'!B124</f>
        <v>VisionOLED 579in 4K</v>
      </c>
      <c r="C343" s="3" t="str">
        <f>'1. Master Data'!C124</f>
        <v>TVs</v>
      </c>
      <c r="D343" s="3" t="str">
        <f>'1. Master Data'!D124</f>
        <v>West DC</v>
      </c>
      <c r="E343" s="4">
        <f>'1. Master Data'!F124</f>
        <v>1005</v>
      </c>
      <c r="F343" s="3">
        <f>'2. Demand History'!AA124</f>
        <v>87</v>
      </c>
      <c r="G343" s="4">
        <f t="shared" si="35"/>
        <v>87435</v>
      </c>
      <c r="H343" s="3">
        <f t="shared" si="36"/>
        <v>339</v>
      </c>
      <c r="I343" s="11">
        <f t="shared" si="37"/>
        <v>158450693</v>
      </c>
      <c r="J343" s="10">
        <f t="shared" si="38"/>
        <v>0.95832236463742193</v>
      </c>
      <c r="K343" s="5" t="str">
        <f t="shared" si="39"/>
        <v>C</v>
      </c>
      <c r="L343" s="8">
        <f>'3. Demand Forecast'!H124</f>
        <v>0.34</v>
      </c>
      <c r="M343" s="5" t="str">
        <f t="shared" si="40"/>
        <v>Y</v>
      </c>
      <c r="N343" s="5" t="str">
        <f t="shared" si="41"/>
        <v>CY</v>
      </c>
    </row>
    <row r="344" spans="1:14" ht="15" customHeight="1" x14ac:dyDescent="0.2">
      <c r="A344" s="3" t="str">
        <f>'1. Master Data'!A175</f>
        <v>NT10171</v>
      </c>
      <c r="B344" s="1" t="str">
        <f>'1. Master Data'!B175</f>
        <v>StudioPods 651 ANC</v>
      </c>
      <c r="C344" s="3" t="str">
        <f>'1. Master Data'!C175</f>
        <v>Audio</v>
      </c>
      <c r="D344" s="3" t="str">
        <f>'1. Master Data'!D175</f>
        <v>Central DC</v>
      </c>
      <c r="E344" s="4">
        <f>'1. Master Data'!F175</f>
        <v>33</v>
      </c>
      <c r="F344" s="3">
        <f>'2. Demand History'!AA175</f>
        <v>2640</v>
      </c>
      <c r="G344" s="4">
        <f t="shared" si="35"/>
        <v>87120</v>
      </c>
      <c r="H344" s="3">
        <f t="shared" si="36"/>
        <v>340</v>
      </c>
      <c r="I344" s="11">
        <f t="shared" si="37"/>
        <v>158537813</v>
      </c>
      <c r="J344" s="10">
        <f t="shared" si="38"/>
        <v>0.95884927331056491</v>
      </c>
      <c r="K344" s="5" t="str">
        <f t="shared" si="39"/>
        <v>C</v>
      </c>
      <c r="L344" s="8">
        <f>'3. Demand Forecast'!H175</f>
        <v>0.28000000000000003</v>
      </c>
      <c r="M344" s="5" t="str">
        <f t="shared" si="40"/>
        <v>Y</v>
      </c>
      <c r="N344" s="5" t="str">
        <f t="shared" si="41"/>
        <v>CY</v>
      </c>
    </row>
    <row r="345" spans="1:14" ht="15" customHeight="1" x14ac:dyDescent="0.2">
      <c r="A345" s="3" t="str">
        <f>'1. Master Data'!A486</f>
        <v>NT10482</v>
      </c>
      <c r="B345" s="1" t="str">
        <f>'1. Master Data'!B486</f>
        <v>Car Mount V587</v>
      </c>
      <c r="C345" s="3" t="str">
        <f>'1. Master Data'!C486</f>
        <v>Accessories</v>
      </c>
      <c r="D345" s="3" t="str">
        <f>'1. Master Data'!D486</f>
        <v>East DC</v>
      </c>
      <c r="E345" s="4">
        <f>'1. Master Data'!F486</f>
        <v>26</v>
      </c>
      <c r="F345" s="3">
        <f>'2. Demand History'!AA486</f>
        <v>3335</v>
      </c>
      <c r="G345" s="4">
        <f t="shared" si="35"/>
        <v>86710</v>
      </c>
      <c r="H345" s="3">
        <f t="shared" si="36"/>
        <v>341</v>
      </c>
      <c r="I345" s="11">
        <f t="shared" si="37"/>
        <v>158624523</v>
      </c>
      <c r="J345" s="10">
        <f t="shared" si="38"/>
        <v>0.95937370227117358</v>
      </c>
      <c r="K345" s="5" t="str">
        <f t="shared" si="39"/>
        <v>C</v>
      </c>
      <c r="L345" s="8">
        <f>'3. Demand Forecast'!H486</f>
        <v>7.0000000000000007E-2</v>
      </c>
      <c r="M345" s="5" t="str">
        <f t="shared" si="40"/>
        <v>X</v>
      </c>
      <c r="N345" s="5" t="str">
        <f t="shared" si="41"/>
        <v>CX</v>
      </c>
    </row>
    <row r="346" spans="1:14" ht="15" customHeight="1" x14ac:dyDescent="0.2">
      <c r="A346" s="3" t="str">
        <f>'1. Master Data'!A277</f>
        <v>NT10273</v>
      </c>
      <c r="B346" s="1" t="str">
        <f>'1. Master Data'!B277</f>
        <v>ArenaHeadset H637</v>
      </c>
      <c r="C346" s="3" t="str">
        <f>'1. Master Data'!C277</f>
        <v>Gaming</v>
      </c>
      <c r="D346" s="3" t="str">
        <f>'1. Master Data'!D277</f>
        <v>West DC</v>
      </c>
      <c r="E346" s="4">
        <f>'1. Master Data'!F277</f>
        <v>92</v>
      </c>
      <c r="F346" s="3">
        <f>'2. Demand History'!AA277</f>
        <v>938</v>
      </c>
      <c r="G346" s="4">
        <f t="shared" si="35"/>
        <v>86296</v>
      </c>
      <c r="H346" s="3">
        <f t="shared" si="36"/>
        <v>342</v>
      </c>
      <c r="I346" s="11">
        <f t="shared" si="37"/>
        <v>158710819</v>
      </c>
      <c r="J346" s="10">
        <f t="shared" si="38"/>
        <v>0.95989562732693046</v>
      </c>
      <c r="K346" s="5" t="str">
        <f t="shared" si="39"/>
        <v>C</v>
      </c>
      <c r="L346" s="8">
        <f>'3. Demand Forecast'!H277</f>
        <v>0.31</v>
      </c>
      <c r="M346" s="5" t="str">
        <f t="shared" si="40"/>
        <v>Y</v>
      </c>
      <c r="N346" s="5" t="str">
        <f t="shared" si="41"/>
        <v>CY</v>
      </c>
    </row>
    <row r="347" spans="1:14" ht="15" customHeight="1" x14ac:dyDescent="0.2">
      <c r="A347" s="3" t="str">
        <f>'1. Master Data'!A404</f>
        <v>NT10400</v>
      </c>
      <c r="B347" s="1" t="str">
        <f>'1. Master Data'!B404</f>
        <v>OptiZoom 869 DSLR</v>
      </c>
      <c r="C347" s="3" t="str">
        <f>'1. Master Data'!C404</f>
        <v>Cameras</v>
      </c>
      <c r="D347" s="3" t="str">
        <f>'1. Master Data'!D404</f>
        <v>West DC</v>
      </c>
      <c r="E347" s="4">
        <f>'1. Master Data'!F404</f>
        <v>419</v>
      </c>
      <c r="F347" s="3">
        <f>'2. Demand History'!AA404</f>
        <v>205</v>
      </c>
      <c r="G347" s="4">
        <f t="shared" si="35"/>
        <v>85895</v>
      </c>
      <c r="H347" s="3">
        <f t="shared" si="36"/>
        <v>343</v>
      </c>
      <c r="I347" s="11">
        <f t="shared" si="37"/>
        <v>158796714</v>
      </c>
      <c r="J347" s="10">
        <f t="shared" si="38"/>
        <v>0.96041512710286725</v>
      </c>
      <c r="K347" s="5" t="str">
        <f t="shared" si="39"/>
        <v>C</v>
      </c>
      <c r="L347" s="8">
        <f>'3. Demand Forecast'!H404</f>
        <v>0.33</v>
      </c>
      <c r="M347" s="5" t="str">
        <f t="shared" si="40"/>
        <v>Y</v>
      </c>
      <c r="N347" s="5" t="str">
        <f t="shared" si="41"/>
        <v>CY</v>
      </c>
    </row>
    <row r="348" spans="1:14" ht="15" customHeight="1" x14ac:dyDescent="0.2">
      <c r="A348" s="3" t="str">
        <f>'1. Master Data'!A500</f>
        <v>NT10496</v>
      </c>
      <c r="B348" s="1" t="str">
        <f>'1. Master Data'!B500</f>
        <v>HDMI Cable 4K V489</v>
      </c>
      <c r="C348" s="3" t="str">
        <f>'1. Master Data'!C500</f>
        <v>Accessories</v>
      </c>
      <c r="D348" s="3" t="str">
        <f>'1. Master Data'!D500</f>
        <v>East DC</v>
      </c>
      <c r="E348" s="4">
        <f>'1. Master Data'!F500</f>
        <v>18</v>
      </c>
      <c r="F348" s="3">
        <f>'2. Demand History'!AA500</f>
        <v>4708</v>
      </c>
      <c r="G348" s="4">
        <f t="shared" si="35"/>
        <v>84744</v>
      </c>
      <c r="H348" s="3">
        <f t="shared" si="36"/>
        <v>344</v>
      </c>
      <c r="I348" s="11">
        <f t="shared" si="37"/>
        <v>158881458</v>
      </c>
      <c r="J348" s="10">
        <f t="shared" si="38"/>
        <v>0.96092766553946996</v>
      </c>
      <c r="K348" s="5" t="str">
        <f t="shared" si="39"/>
        <v>C</v>
      </c>
      <c r="L348" s="8">
        <f>'3. Demand Forecast'!H500</f>
        <v>0.08</v>
      </c>
      <c r="M348" s="5" t="str">
        <f t="shared" si="40"/>
        <v>X</v>
      </c>
      <c r="N348" s="5" t="str">
        <f t="shared" si="41"/>
        <v>CX</v>
      </c>
    </row>
    <row r="349" spans="1:14" ht="15" customHeight="1" x14ac:dyDescent="0.2">
      <c r="A349" s="3" t="str">
        <f>'1. Master Data'!A274</f>
        <v>NT10270</v>
      </c>
      <c r="B349" s="1" t="str">
        <f>'1. Master Data'!B274</f>
        <v>GameStation Controller 974</v>
      </c>
      <c r="C349" s="3" t="str">
        <f>'1. Master Data'!C274</f>
        <v>Gaming</v>
      </c>
      <c r="D349" s="3" t="str">
        <f>'1. Master Data'!D274</f>
        <v>West DC</v>
      </c>
      <c r="E349" s="4">
        <f>'1. Master Data'!F274</f>
        <v>53</v>
      </c>
      <c r="F349" s="3">
        <f>'2. Demand History'!AA274</f>
        <v>1594</v>
      </c>
      <c r="G349" s="4">
        <f t="shared" si="35"/>
        <v>84482</v>
      </c>
      <c r="H349" s="3">
        <f t="shared" si="36"/>
        <v>345</v>
      </c>
      <c r="I349" s="11">
        <f t="shared" si="37"/>
        <v>158965940</v>
      </c>
      <c r="J349" s="10">
        <f t="shared" si="38"/>
        <v>0.96143861937928243</v>
      </c>
      <c r="K349" s="5" t="str">
        <f t="shared" si="39"/>
        <v>C</v>
      </c>
      <c r="L349" s="8">
        <f>'3. Demand Forecast'!H274</f>
        <v>0.35</v>
      </c>
      <c r="M349" s="5" t="str">
        <f t="shared" si="40"/>
        <v>Y</v>
      </c>
      <c r="N349" s="5" t="str">
        <f t="shared" si="41"/>
        <v>CY</v>
      </c>
    </row>
    <row r="350" spans="1:14" ht="15" customHeight="1" x14ac:dyDescent="0.2">
      <c r="A350" s="3" t="str">
        <f>'1. Master Data'!A16</f>
        <v>NT10012</v>
      </c>
      <c r="B350" s="1" t="str">
        <f>'1. Master Data'!B16</f>
        <v>Pulse 918 Dual SIM</v>
      </c>
      <c r="C350" s="3" t="str">
        <f>'1. Master Data'!C16</f>
        <v>Smartphones</v>
      </c>
      <c r="D350" s="3" t="str">
        <f>'1. Master Data'!D16</f>
        <v>East DC</v>
      </c>
      <c r="E350" s="4">
        <f>'1. Master Data'!F16</f>
        <v>693</v>
      </c>
      <c r="F350" s="3">
        <f>'2. Demand History'!AA16</f>
        <v>121</v>
      </c>
      <c r="G350" s="4">
        <f t="shared" si="35"/>
        <v>83853</v>
      </c>
      <c r="H350" s="3">
        <f t="shared" si="36"/>
        <v>346</v>
      </c>
      <c r="I350" s="11">
        <f t="shared" si="37"/>
        <v>159049793</v>
      </c>
      <c r="J350" s="10">
        <f t="shared" si="38"/>
        <v>0.96194576897718254</v>
      </c>
      <c r="K350" s="5" t="str">
        <f t="shared" si="39"/>
        <v>C</v>
      </c>
      <c r="L350" s="8">
        <f>'3. Demand Forecast'!H16</f>
        <v>0.28000000000000003</v>
      </c>
      <c r="M350" s="5" t="str">
        <f t="shared" si="40"/>
        <v>Y</v>
      </c>
      <c r="N350" s="5" t="str">
        <f t="shared" si="41"/>
        <v>CY</v>
      </c>
    </row>
    <row r="351" spans="1:14" ht="15" customHeight="1" x14ac:dyDescent="0.2">
      <c r="A351" s="3" t="str">
        <f>'1. Master Data'!A491</f>
        <v>NT10487</v>
      </c>
      <c r="B351" s="1" t="str">
        <f>'1. Master Data'!B491</f>
        <v>HDMI Cable 4K V201</v>
      </c>
      <c r="C351" s="3" t="str">
        <f>'1. Master Data'!C491</f>
        <v>Accessories</v>
      </c>
      <c r="D351" s="3" t="str">
        <f>'1. Master Data'!D491</f>
        <v>Central DC</v>
      </c>
      <c r="E351" s="4">
        <f>'1. Master Data'!F491</f>
        <v>22</v>
      </c>
      <c r="F351" s="3">
        <f>'2. Demand History'!AA491</f>
        <v>3780</v>
      </c>
      <c r="G351" s="4">
        <f t="shared" si="35"/>
        <v>83160</v>
      </c>
      <c r="H351" s="3">
        <f t="shared" si="36"/>
        <v>347</v>
      </c>
      <c r="I351" s="11">
        <f t="shared" si="37"/>
        <v>159132953</v>
      </c>
      <c r="J351" s="10">
        <f t="shared" si="38"/>
        <v>0.96244872725609176</v>
      </c>
      <c r="K351" s="5" t="str">
        <f t="shared" si="39"/>
        <v>C</v>
      </c>
      <c r="L351" s="8">
        <f>'3. Demand Forecast'!H491</f>
        <v>0.08</v>
      </c>
      <c r="M351" s="5" t="str">
        <f t="shared" si="40"/>
        <v>X</v>
      </c>
      <c r="N351" s="5" t="str">
        <f t="shared" si="41"/>
        <v>CX</v>
      </c>
    </row>
    <row r="352" spans="1:14" ht="15" customHeight="1" x14ac:dyDescent="0.2">
      <c r="A352" s="3" t="str">
        <f>'1. Master Data'!A504</f>
        <v>NT10500</v>
      </c>
      <c r="B352" s="1" t="str">
        <f>'1. Master Data'!B504</f>
        <v>Phone Case Clear V670</v>
      </c>
      <c r="C352" s="3" t="str">
        <f>'1. Master Data'!C504</f>
        <v>Accessories</v>
      </c>
      <c r="D352" s="3" t="str">
        <f>'1. Master Data'!D504</f>
        <v>East DC</v>
      </c>
      <c r="E352" s="4">
        <f>'1. Master Data'!F504</f>
        <v>28</v>
      </c>
      <c r="F352" s="3">
        <f>'2. Demand History'!AA504</f>
        <v>2962</v>
      </c>
      <c r="G352" s="4">
        <f t="shared" si="35"/>
        <v>82936</v>
      </c>
      <c r="H352" s="3">
        <f t="shared" si="36"/>
        <v>348</v>
      </c>
      <c r="I352" s="11">
        <f t="shared" si="37"/>
        <v>159215889</v>
      </c>
      <c r="J352" s="10">
        <f t="shared" si="38"/>
        <v>0.96295033076522607</v>
      </c>
      <c r="K352" s="5" t="str">
        <f t="shared" si="39"/>
        <v>C</v>
      </c>
      <c r="L352" s="8">
        <f>'3. Demand Forecast'!H504</f>
        <v>0.06</v>
      </c>
      <c r="M352" s="5" t="str">
        <f t="shared" si="40"/>
        <v>X</v>
      </c>
      <c r="N352" s="5" t="str">
        <f t="shared" si="41"/>
        <v>CX</v>
      </c>
    </row>
    <row r="353" spans="1:14" ht="15" customHeight="1" x14ac:dyDescent="0.2">
      <c r="A353" s="3" t="str">
        <f>'1. Master Data'!A72</f>
        <v>NT10068</v>
      </c>
      <c r="B353" s="1" t="str">
        <f>'1. Master Data'!B72</f>
        <v>ProBook 541 i7 15in</v>
      </c>
      <c r="C353" s="3" t="str">
        <f>'1. Master Data'!C72</f>
        <v>Laptops</v>
      </c>
      <c r="D353" s="3" t="str">
        <f>'1. Master Data'!D72</f>
        <v>East DC</v>
      </c>
      <c r="E353" s="4">
        <f>'1. Master Data'!F72</f>
        <v>641</v>
      </c>
      <c r="F353" s="3">
        <f>'2. Demand History'!AA72</f>
        <v>129</v>
      </c>
      <c r="G353" s="4">
        <f t="shared" si="35"/>
        <v>82689</v>
      </c>
      <c r="H353" s="3">
        <f t="shared" si="36"/>
        <v>349</v>
      </c>
      <c r="I353" s="11">
        <f t="shared" si="37"/>
        <v>159298578</v>
      </c>
      <c r="J353" s="10">
        <f t="shared" si="38"/>
        <v>0.96345044039876049</v>
      </c>
      <c r="K353" s="5" t="str">
        <f t="shared" si="39"/>
        <v>C</v>
      </c>
      <c r="L353" s="8">
        <f>'3. Demand Forecast'!H72</f>
        <v>0.32</v>
      </c>
      <c r="M353" s="5" t="str">
        <f t="shared" si="40"/>
        <v>Y</v>
      </c>
      <c r="N353" s="5" t="str">
        <f t="shared" si="41"/>
        <v>CY</v>
      </c>
    </row>
    <row r="354" spans="1:14" ht="15" customHeight="1" x14ac:dyDescent="0.2">
      <c r="A354" s="3" t="str">
        <f>'1. Master Data'!A298</f>
        <v>NT10294</v>
      </c>
      <c r="B354" s="1" t="str">
        <f>'1. Master Data'!B298</f>
        <v>ArenaHeadset H366</v>
      </c>
      <c r="C354" s="3" t="str">
        <f>'1. Master Data'!C298</f>
        <v>Gaming</v>
      </c>
      <c r="D354" s="3" t="str">
        <f>'1. Master Data'!D298</f>
        <v>East DC</v>
      </c>
      <c r="E354" s="4">
        <f>'1. Master Data'!F298</f>
        <v>344</v>
      </c>
      <c r="F354" s="3">
        <f>'2. Demand History'!AA298</f>
        <v>239</v>
      </c>
      <c r="G354" s="4">
        <f t="shared" si="35"/>
        <v>82216</v>
      </c>
      <c r="H354" s="3">
        <f t="shared" si="36"/>
        <v>350</v>
      </c>
      <c r="I354" s="11">
        <f t="shared" si="37"/>
        <v>159380794</v>
      </c>
      <c r="J354" s="10">
        <f t="shared" si="38"/>
        <v>0.96394768929076147</v>
      </c>
      <c r="K354" s="5" t="str">
        <f t="shared" si="39"/>
        <v>C</v>
      </c>
      <c r="L354" s="8">
        <f>'3. Demand Forecast'!H298</f>
        <v>0.28999999999999998</v>
      </c>
      <c r="M354" s="5" t="str">
        <f t="shared" si="40"/>
        <v>Y</v>
      </c>
      <c r="N354" s="5" t="str">
        <f t="shared" si="41"/>
        <v>CY</v>
      </c>
    </row>
    <row r="355" spans="1:14" ht="15" customHeight="1" x14ac:dyDescent="0.2">
      <c r="A355" s="3" t="str">
        <f>'1. Master Data'!A287</f>
        <v>NT10283</v>
      </c>
      <c r="B355" s="1" t="str">
        <f>'1. Master Data'!B287</f>
        <v>ArenaHeadset H729</v>
      </c>
      <c r="C355" s="3" t="str">
        <f>'1. Master Data'!C287</f>
        <v>Gaming</v>
      </c>
      <c r="D355" s="3" t="str">
        <f>'1. Master Data'!D287</f>
        <v>West DC</v>
      </c>
      <c r="E355" s="4">
        <f>'1. Master Data'!F287</f>
        <v>136</v>
      </c>
      <c r="F355" s="3">
        <f>'2. Demand History'!AA287</f>
        <v>602</v>
      </c>
      <c r="G355" s="4">
        <f t="shared" si="35"/>
        <v>81872</v>
      </c>
      <c r="H355" s="3">
        <f t="shared" si="36"/>
        <v>351</v>
      </c>
      <c r="I355" s="11">
        <f t="shared" si="37"/>
        <v>159462666</v>
      </c>
      <c r="J355" s="10">
        <f t="shared" si="38"/>
        <v>0.96444285764346527</v>
      </c>
      <c r="K355" s="5" t="str">
        <f t="shared" si="39"/>
        <v>C</v>
      </c>
      <c r="L355" s="8">
        <f>'3. Demand Forecast'!H287</f>
        <v>0.28000000000000003</v>
      </c>
      <c r="M355" s="5" t="str">
        <f t="shared" si="40"/>
        <v>Y</v>
      </c>
      <c r="N355" s="5" t="str">
        <f t="shared" si="41"/>
        <v>CY</v>
      </c>
    </row>
    <row r="356" spans="1:14" ht="15" customHeight="1" x14ac:dyDescent="0.2">
      <c r="A356" s="3" t="str">
        <f>'1. Master Data'!A119</f>
        <v>NT10115</v>
      </c>
      <c r="B356" s="1" t="str">
        <f>'1. Master Data'!B119</f>
        <v>VisionLED 272in 4K</v>
      </c>
      <c r="C356" s="3" t="str">
        <f>'1. Master Data'!C119</f>
        <v>TVs</v>
      </c>
      <c r="D356" s="3" t="str">
        <f>'1. Master Data'!D119</f>
        <v>East DC</v>
      </c>
      <c r="E356" s="4">
        <f>'1. Master Data'!F119</f>
        <v>719</v>
      </c>
      <c r="F356" s="3">
        <f>'2. Demand History'!AA119</f>
        <v>113</v>
      </c>
      <c r="G356" s="4">
        <f t="shared" si="35"/>
        <v>81247</v>
      </c>
      <c r="H356" s="3">
        <f t="shared" si="36"/>
        <v>352</v>
      </c>
      <c r="I356" s="11">
        <f t="shared" si="37"/>
        <v>159543913</v>
      </c>
      <c r="J356" s="10">
        <f t="shared" si="38"/>
        <v>0.96493424594657418</v>
      </c>
      <c r="K356" s="5" t="str">
        <f t="shared" si="39"/>
        <v>C</v>
      </c>
      <c r="L356" s="8">
        <f>'3. Demand Forecast'!H119</f>
        <v>0.31</v>
      </c>
      <c r="M356" s="5" t="str">
        <f t="shared" si="40"/>
        <v>Y</v>
      </c>
      <c r="N356" s="5" t="str">
        <f t="shared" si="41"/>
        <v>CY</v>
      </c>
    </row>
    <row r="357" spans="1:14" ht="15" customHeight="1" x14ac:dyDescent="0.2">
      <c r="A357" s="3" t="str">
        <f>'1. Master Data'!A244</f>
        <v>NT10240</v>
      </c>
      <c r="B357" s="1" t="str">
        <f>'1. Master Data'!B244</f>
        <v>FitTrack Band 445</v>
      </c>
      <c r="C357" s="3" t="str">
        <f>'1. Master Data'!C244</f>
        <v>Wearables</v>
      </c>
      <c r="D357" s="3" t="str">
        <f>'1. Master Data'!D244</f>
        <v>West DC</v>
      </c>
      <c r="E357" s="4">
        <f>'1. Master Data'!F244</f>
        <v>81</v>
      </c>
      <c r="F357" s="3">
        <f>'2. Demand History'!AA244</f>
        <v>991</v>
      </c>
      <c r="G357" s="4">
        <f t="shared" si="35"/>
        <v>80271</v>
      </c>
      <c r="H357" s="3">
        <f t="shared" si="36"/>
        <v>353</v>
      </c>
      <c r="I357" s="11">
        <f t="shared" si="37"/>
        <v>159624184</v>
      </c>
      <c r="J357" s="10">
        <f t="shared" si="38"/>
        <v>0.96541973132423553</v>
      </c>
      <c r="K357" s="5" t="str">
        <f t="shared" si="39"/>
        <v>C</v>
      </c>
      <c r="L357" s="8">
        <f>'3. Demand Forecast'!H244</f>
        <v>0.24</v>
      </c>
      <c r="M357" s="5" t="str">
        <f t="shared" si="40"/>
        <v>X</v>
      </c>
      <c r="N357" s="5" t="str">
        <f t="shared" si="41"/>
        <v>CX</v>
      </c>
    </row>
    <row r="358" spans="1:14" ht="15" customHeight="1" x14ac:dyDescent="0.2">
      <c r="A358" s="3" t="str">
        <f>'1. Master Data'!A430</f>
        <v>NT10426</v>
      </c>
      <c r="B358" s="1" t="str">
        <f>'1. Master Data'!B430</f>
        <v>NovaTab 641 Kids</v>
      </c>
      <c r="C358" s="3" t="str">
        <f>'1. Master Data'!C430</f>
        <v>Tablets</v>
      </c>
      <c r="D358" s="3" t="str">
        <f>'1. Master Data'!D430</f>
        <v>West DC</v>
      </c>
      <c r="E358" s="4">
        <f>'1. Master Data'!F430</f>
        <v>450</v>
      </c>
      <c r="F358" s="3">
        <f>'2. Demand History'!AA430</f>
        <v>177</v>
      </c>
      <c r="G358" s="4">
        <f t="shared" si="35"/>
        <v>79650</v>
      </c>
      <c r="H358" s="3">
        <f t="shared" si="36"/>
        <v>354</v>
      </c>
      <c r="I358" s="11">
        <f t="shared" si="37"/>
        <v>159703834</v>
      </c>
      <c r="J358" s="10">
        <f t="shared" si="38"/>
        <v>0.96590146084461936</v>
      </c>
      <c r="K358" s="5" t="str">
        <f t="shared" si="39"/>
        <v>C</v>
      </c>
      <c r="L358" s="8">
        <f>'3. Demand Forecast'!H430</f>
        <v>0.28000000000000003</v>
      </c>
      <c r="M358" s="5" t="str">
        <f t="shared" si="40"/>
        <v>Y</v>
      </c>
      <c r="N358" s="5" t="str">
        <f t="shared" si="41"/>
        <v>CY</v>
      </c>
    </row>
    <row r="359" spans="1:14" ht="15" customHeight="1" x14ac:dyDescent="0.2">
      <c r="A359" s="3" t="str">
        <f>'1. Master Data'!A367</f>
        <v>NT10363</v>
      </c>
      <c r="B359" s="1" t="str">
        <f>'1. Master Data'!B367</f>
        <v>OptiZoom 931 DSLR</v>
      </c>
      <c r="C359" s="3" t="str">
        <f>'1. Master Data'!C367</f>
        <v>Cameras</v>
      </c>
      <c r="D359" s="3" t="str">
        <f>'1. Master Data'!D367</f>
        <v>West DC</v>
      </c>
      <c r="E359" s="4">
        <f>'1. Master Data'!F367</f>
        <v>321</v>
      </c>
      <c r="F359" s="3">
        <f>'2. Demand History'!AA367</f>
        <v>247</v>
      </c>
      <c r="G359" s="4">
        <f t="shared" si="35"/>
        <v>79287</v>
      </c>
      <c r="H359" s="3">
        <f t="shared" si="36"/>
        <v>355</v>
      </c>
      <c r="I359" s="11">
        <f t="shared" si="37"/>
        <v>159783121</v>
      </c>
      <c r="J359" s="10">
        <f t="shared" si="38"/>
        <v>0.96638099491219842</v>
      </c>
      <c r="K359" s="5" t="str">
        <f t="shared" si="39"/>
        <v>C</v>
      </c>
      <c r="L359" s="8">
        <f>'3. Demand Forecast'!H367</f>
        <v>0.32</v>
      </c>
      <c r="M359" s="5" t="str">
        <f t="shared" si="40"/>
        <v>Y</v>
      </c>
      <c r="N359" s="5" t="str">
        <f t="shared" si="41"/>
        <v>CY</v>
      </c>
    </row>
    <row r="360" spans="1:14" ht="15" customHeight="1" x14ac:dyDescent="0.2">
      <c r="A360" s="3" t="str">
        <f>'1. Master Data'!A434</f>
        <v>NT10430</v>
      </c>
      <c r="B360" s="1" t="str">
        <f>'1. Master Data'!B434</f>
        <v>NovaTab 185 10in</v>
      </c>
      <c r="C360" s="3" t="str">
        <f>'1. Master Data'!C434</f>
        <v>Tablets</v>
      </c>
      <c r="D360" s="3" t="str">
        <f>'1. Master Data'!D434</f>
        <v>Central DC</v>
      </c>
      <c r="E360" s="4">
        <f>'1. Master Data'!F434</f>
        <v>166</v>
      </c>
      <c r="F360" s="3">
        <f>'2. Demand History'!AA434</f>
        <v>463</v>
      </c>
      <c r="G360" s="4">
        <f t="shared" si="35"/>
        <v>76858</v>
      </c>
      <c r="H360" s="3">
        <f t="shared" si="36"/>
        <v>356</v>
      </c>
      <c r="I360" s="11">
        <f t="shared" si="37"/>
        <v>159859979</v>
      </c>
      <c r="J360" s="10">
        <f t="shared" si="38"/>
        <v>0.96684583819503156</v>
      </c>
      <c r="K360" s="5" t="str">
        <f t="shared" si="39"/>
        <v>C</v>
      </c>
      <c r="L360" s="8">
        <f>'3. Demand Forecast'!H434</f>
        <v>0.31</v>
      </c>
      <c r="M360" s="5" t="str">
        <f t="shared" si="40"/>
        <v>Y</v>
      </c>
      <c r="N360" s="5" t="str">
        <f t="shared" si="41"/>
        <v>CY</v>
      </c>
    </row>
    <row r="361" spans="1:14" ht="15" customHeight="1" x14ac:dyDescent="0.2">
      <c r="A361" s="3" t="str">
        <f>'1. Master Data'!A256</f>
        <v>NT10252</v>
      </c>
      <c r="B361" s="1" t="str">
        <f>'1. Master Data'!B256</f>
        <v>ProMouse G315</v>
      </c>
      <c r="C361" s="3" t="str">
        <f>'1. Master Data'!C256</f>
        <v>Gaming</v>
      </c>
      <c r="D361" s="3" t="str">
        <f>'1. Master Data'!D256</f>
        <v>Central DC</v>
      </c>
      <c r="E361" s="4">
        <f>'1. Master Data'!F256</f>
        <v>126</v>
      </c>
      <c r="F361" s="3">
        <f>'2. Demand History'!AA256</f>
        <v>602</v>
      </c>
      <c r="G361" s="4">
        <f t="shared" si="35"/>
        <v>75852</v>
      </c>
      <c r="H361" s="3">
        <f t="shared" si="36"/>
        <v>357</v>
      </c>
      <c r="I361" s="11">
        <f t="shared" si="37"/>
        <v>159935831</v>
      </c>
      <c r="J361" s="10">
        <f t="shared" si="38"/>
        <v>0.96730459711003658</v>
      </c>
      <c r="K361" s="5" t="str">
        <f t="shared" si="39"/>
        <v>C</v>
      </c>
      <c r="L361" s="8">
        <f>'3. Demand Forecast'!H256</f>
        <v>0.28000000000000003</v>
      </c>
      <c r="M361" s="5" t="str">
        <f t="shared" si="40"/>
        <v>Y</v>
      </c>
      <c r="N361" s="5" t="str">
        <f t="shared" si="41"/>
        <v>CY</v>
      </c>
    </row>
    <row r="362" spans="1:14" ht="15" customHeight="1" x14ac:dyDescent="0.2">
      <c r="A362" s="3" t="str">
        <f>'1. Master Data'!A188</f>
        <v>NT10184</v>
      </c>
      <c r="B362" s="1" t="str">
        <f>'1. Master Data'!B188</f>
        <v>SoundCore Buds 830</v>
      </c>
      <c r="C362" s="3" t="str">
        <f>'1. Master Data'!C188</f>
        <v>Audio</v>
      </c>
      <c r="D362" s="3" t="str">
        <f>'1. Master Data'!D188</f>
        <v>West DC</v>
      </c>
      <c r="E362" s="4">
        <f>'1. Master Data'!F188</f>
        <v>82</v>
      </c>
      <c r="F362" s="3">
        <f>'2. Demand History'!AA188</f>
        <v>923</v>
      </c>
      <c r="G362" s="4">
        <f t="shared" si="35"/>
        <v>75686</v>
      </c>
      <c r="H362" s="3">
        <f t="shared" si="36"/>
        <v>358</v>
      </c>
      <c r="I362" s="11">
        <f t="shared" si="37"/>
        <v>160011517</v>
      </c>
      <c r="J362" s="10">
        <f t="shared" si="38"/>
        <v>0.96776235204386918</v>
      </c>
      <c r="K362" s="5" t="str">
        <f t="shared" si="39"/>
        <v>C</v>
      </c>
      <c r="L362" s="8">
        <f>'3. Demand Forecast'!H188</f>
        <v>0.33</v>
      </c>
      <c r="M362" s="5" t="str">
        <f t="shared" si="40"/>
        <v>Y</v>
      </c>
      <c r="N362" s="5" t="str">
        <f t="shared" si="41"/>
        <v>CY</v>
      </c>
    </row>
    <row r="363" spans="1:14" ht="15" customHeight="1" x14ac:dyDescent="0.2">
      <c r="A363" s="3" t="str">
        <f>'1. Master Data'!A425</f>
        <v>NT10421</v>
      </c>
      <c r="B363" s="1" t="str">
        <f>'1. Master Data'!B425</f>
        <v>NovaTab 586 10in</v>
      </c>
      <c r="C363" s="3" t="str">
        <f>'1. Master Data'!C425</f>
        <v>Tablets</v>
      </c>
      <c r="D363" s="3" t="str">
        <f>'1. Master Data'!D425</f>
        <v>East DC</v>
      </c>
      <c r="E363" s="4">
        <f>'1. Master Data'!F425</f>
        <v>289</v>
      </c>
      <c r="F363" s="3">
        <f>'2. Demand History'!AA425</f>
        <v>258</v>
      </c>
      <c r="G363" s="4">
        <f t="shared" si="35"/>
        <v>74562</v>
      </c>
      <c r="H363" s="3">
        <f t="shared" si="36"/>
        <v>359</v>
      </c>
      <c r="I363" s="11">
        <f t="shared" si="37"/>
        <v>160086079</v>
      </c>
      <c r="J363" s="10">
        <f t="shared" si="38"/>
        <v>0.96821330893651025</v>
      </c>
      <c r="K363" s="5" t="str">
        <f t="shared" si="39"/>
        <v>C</v>
      </c>
      <c r="L363" s="8">
        <f>'3. Demand Forecast'!H425</f>
        <v>0.3</v>
      </c>
      <c r="M363" s="5" t="str">
        <f t="shared" si="40"/>
        <v>Y</v>
      </c>
      <c r="N363" s="5" t="str">
        <f t="shared" si="41"/>
        <v>CY</v>
      </c>
    </row>
    <row r="364" spans="1:14" ht="15" customHeight="1" x14ac:dyDescent="0.2">
      <c r="A364" s="3" t="str">
        <f>'1. Master Data'!A479</f>
        <v>NT10475</v>
      </c>
      <c r="B364" s="1" t="str">
        <f>'1. Master Data'!B479</f>
        <v>HDMI Cable 4K V959</v>
      </c>
      <c r="C364" s="3" t="str">
        <f>'1. Master Data'!C479</f>
        <v>Accessories</v>
      </c>
      <c r="D364" s="3" t="str">
        <f>'1. Master Data'!D479</f>
        <v>Central DC</v>
      </c>
      <c r="E364" s="4">
        <f>'1. Master Data'!F479</f>
        <v>23</v>
      </c>
      <c r="F364" s="3">
        <f>'2. Demand History'!AA479</f>
        <v>3130</v>
      </c>
      <c r="G364" s="4">
        <f t="shared" si="35"/>
        <v>71990</v>
      </c>
      <c r="H364" s="3">
        <f t="shared" si="36"/>
        <v>360</v>
      </c>
      <c r="I364" s="11">
        <f t="shared" si="37"/>
        <v>160158069</v>
      </c>
      <c r="J364" s="10">
        <f t="shared" si="38"/>
        <v>0.96864871016905796</v>
      </c>
      <c r="K364" s="5" t="str">
        <f t="shared" si="39"/>
        <v>C</v>
      </c>
      <c r="L364" s="8">
        <f>'3. Demand Forecast'!H479</f>
        <v>0.05</v>
      </c>
      <c r="M364" s="5" t="str">
        <f t="shared" si="40"/>
        <v>X</v>
      </c>
      <c r="N364" s="5" t="str">
        <f t="shared" si="41"/>
        <v>CX</v>
      </c>
    </row>
    <row r="365" spans="1:14" ht="15" customHeight="1" x14ac:dyDescent="0.2">
      <c r="A365" s="3" t="str">
        <f>'1. Master Data'!A240</f>
        <v>NT10236</v>
      </c>
      <c r="B365" s="1" t="str">
        <f>'1. Master Data'!B240</f>
        <v>PulseRing 393</v>
      </c>
      <c r="C365" s="3" t="str">
        <f>'1. Master Data'!C240</f>
        <v>Wearables</v>
      </c>
      <c r="D365" s="3" t="str">
        <f>'1. Master Data'!D240</f>
        <v>East DC</v>
      </c>
      <c r="E365" s="4">
        <f>'1. Master Data'!F240</f>
        <v>60</v>
      </c>
      <c r="F365" s="3">
        <f>'2. Demand History'!AA240</f>
        <v>1197</v>
      </c>
      <c r="G365" s="4">
        <f t="shared" si="35"/>
        <v>71820</v>
      </c>
      <c r="H365" s="3">
        <f t="shared" si="36"/>
        <v>361</v>
      </c>
      <c r="I365" s="11">
        <f t="shared" si="37"/>
        <v>160229889</v>
      </c>
      <c r="J365" s="10">
        <f t="shared" si="38"/>
        <v>0.96908308322811587</v>
      </c>
      <c r="K365" s="5" t="str">
        <f t="shared" si="39"/>
        <v>C</v>
      </c>
      <c r="L365" s="8">
        <f>'3. Demand Forecast'!H240</f>
        <v>0.75</v>
      </c>
      <c r="M365" s="5" t="str">
        <f t="shared" si="40"/>
        <v>Z</v>
      </c>
      <c r="N365" s="5" t="str">
        <f t="shared" si="41"/>
        <v>CZ</v>
      </c>
    </row>
    <row r="366" spans="1:14" ht="15" customHeight="1" x14ac:dyDescent="0.2">
      <c r="A366" s="3" t="str">
        <f>'1. Master Data'!A503</f>
        <v>NT10499</v>
      </c>
      <c r="B366" s="1" t="str">
        <f>'1. Master Data'!B503</f>
        <v>Screen Guard 771</v>
      </c>
      <c r="C366" s="3" t="str">
        <f>'1. Master Data'!C503</f>
        <v>Accessories</v>
      </c>
      <c r="D366" s="3" t="str">
        <f>'1. Master Data'!D503</f>
        <v>West DC</v>
      </c>
      <c r="E366" s="4">
        <f>'1. Master Data'!F503</f>
        <v>18</v>
      </c>
      <c r="F366" s="3">
        <f>'2. Demand History'!AA503</f>
        <v>3928</v>
      </c>
      <c r="G366" s="4">
        <f t="shared" si="35"/>
        <v>70704</v>
      </c>
      <c r="H366" s="3">
        <f t="shared" si="36"/>
        <v>362</v>
      </c>
      <c r="I366" s="11">
        <f t="shared" si="37"/>
        <v>160300593</v>
      </c>
      <c r="J366" s="10">
        <f t="shared" si="38"/>
        <v>0.969510706630617</v>
      </c>
      <c r="K366" s="5" t="str">
        <f t="shared" si="39"/>
        <v>C</v>
      </c>
      <c r="L366" s="8">
        <f>'3. Demand Forecast'!H503</f>
        <v>0.13</v>
      </c>
      <c r="M366" s="5" t="str">
        <f t="shared" si="40"/>
        <v>X</v>
      </c>
      <c r="N366" s="5" t="str">
        <f t="shared" si="41"/>
        <v>CX</v>
      </c>
    </row>
    <row r="367" spans="1:14" ht="15" customHeight="1" x14ac:dyDescent="0.2">
      <c r="A367" s="3" t="str">
        <f>'1. Master Data'!A220</f>
        <v>NT10216</v>
      </c>
      <c r="B367" s="1" t="str">
        <f>'1. Master Data'!B220</f>
        <v>StepOne Tracker 267</v>
      </c>
      <c r="C367" s="3" t="str">
        <f>'1. Master Data'!C220</f>
        <v>Wearables</v>
      </c>
      <c r="D367" s="3" t="str">
        <f>'1. Master Data'!D220</f>
        <v>West DC</v>
      </c>
      <c r="E367" s="4">
        <f>'1. Master Data'!F220</f>
        <v>31</v>
      </c>
      <c r="F367" s="3">
        <f>'2. Demand History'!AA220</f>
        <v>2269</v>
      </c>
      <c r="G367" s="4">
        <f t="shared" si="35"/>
        <v>70339</v>
      </c>
      <c r="H367" s="3">
        <f t="shared" si="36"/>
        <v>363</v>
      </c>
      <c r="I367" s="11">
        <f t="shared" si="37"/>
        <v>160370932</v>
      </c>
      <c r="J367" s="10">
        <f t="shared" si="38"/>
        <v>0.96993612248415473</v>
      </c>
      <c r="K367" s="5" t="str">
        <f t="shared" si="39"/>
        <v>C</v>
      </c>
      <c r="L367" s="8">
        <f>'3. Demand Forecast'!H220</f>
        <v>0.3</v>
      </c>
      <c r="M367" s="5" t="str">
        <f t="shared" si="40"/>
        <v>Y</v>
      </c>
      <c r="N367" s="5" t="str">
        <f t="shared" si="41"/>
        <v>CY</v>
      </c>
    </row>
    <row r="368" spans="1:14" ht="15" customHeight="1" x14ac:dyDescent="0.2">
      <c r="A368" s="3" t="str">
        <f>'1. Master Data'!A231</f>
        <v>NT10227</v>
      </c>
      <c r="B368" s="1" t="str">
        <f>'1. Master Data'!B231</f>
        <v>PulseRing 331</v>
      </c>
      <c r="C368" s="3" t="str">
        <f>'1. Master Data'!C231</f>
        <v>Wearables</v>
      </c>
      <c r="D368" s="3" t="str">
        <f>'1. Master Data'!D231</f>
        <v>Central DC</v>
      </c>
      <c r="E368" s="4">
        <f>'1. Master Data'!F231</f>
        <v>118</v>
      </c>
      <c r="F368" s="3">
        <f>'2. Demand History'!AA231</f>
        <v>592</v>
      </c>
      <c r="G368" s="4">
        <f t="shared" si="35"/>
        <v>69856</v>
      </c>
      <c r="H368" s="3">
        <f t="shared" si="36"/>
        <v>364</v>
      </c>
      <c r="I368" s="11">
        <f t="shared" si="37"/>
        <v>160440788</v>
      </c>
      <c r="J368" s="10">
        <f t="shared" si="38"/>
        <v>0.97035861711536542</v>
      </c>
      <c r="K368" s="5" t="str">
        <f t="shared" si="39"/>
        <v>C</v>
      </c>
      <c r="L368" s="8">
        <f>'3. Demand Forecast'!H231</f>
        <v>0.3</v>
      </c>
      <c r="M368" s="5" t="str">
        <f t="shared" si="40"/>
        <v>Y</v>
      </c>
      <c r="N368" s="5" t="str">
        <f t="shared" si="41"/>
        <v>CY</v>
      </c>
    </row>
    <row r="369" spans="1:14" ht="15" customHeight="1" x14ac:dyDescent="0.2">
      <c r="A369" s="3" t="str">
        <f>'1. Master Data'!A499</f>
        <v>NT10495</v>
      </c>
      <c r="B369" s="1" t="str">
        <f>'1. Master Data'!B499</f>
        <v>Phone Case Clear V726</v>
      </c>
      <c r="C369" s="3" t="str">
        <f>'1. Master Data'!C499</f>
        <v>Accessories</v>
      </c>
      <c r="D369" s="3" t="str">
        <f>'1. Master Data'!D499</f>
        <v>Central DC</v>
      </c>
      <c r="E369" s="4">
        <f>'1. Master Data'!F499</f>
        <v>13</v>
      </c>
      <c r="F369" s="3">
        <f>'2. Demand History'!AA499</f>
        <v>5277</v>
      </c>
      <c r="G369" s="4">
        <f t="shared" si="35"/>
        <v>68601</v>
      </c>
      <c r="H369" s="3">
        <f t="shared" si="36"/>
        <v>365</v>
      </c>
      <c r="I369" s="11">
        <f t="shared" si="37"/>
        <v>160509389</v>
      </c>
      <c r="J369" s="10">
        <f t="shared" si="38"/>
        <v>0.97077352140698936</v>
      </c>
      <c r="K369" s="5" t="str">
        <f t="shared" si="39"/>
        <v>C</v>
      </c>
      <c r="L369" s="8">
        <f>'3. Demand Forecast'!H499</f>
        <v>0.06</v>
      </c>
      <c r="M369" s="5" t="str">
        <f t="shared" si="40"/>
        <v>X</v>
      </c>
      <c r="N369" s="5" t="str">
        <f t="shared" si="41"/>
        <v>CX</v>
      </c>
    </row>
    <row r="370" spans="1:14" ht="15" customHeight="1" x14ac:dyDescent="0.2">
      <c r="A370" s="3" t="str">
        <f>'1. Master Data'!A280</f>
        <v>NT10276</v>
      </c>
      <c r="B370" s="1" t="str">
        <f>'1. Master Data'!B280</f>
        <v>RGB Keyboard K646</v>
      </c>
      <c r="C370" s="3" t="str">
        <f>'1. Master Data'!C280</f>
        <v>Gaming</v>
      </c>
      <c r="D370" s="3" t="str">
        <f>'1. Master Data'!D280</f>
        <v>Central DC</v>
      </c>
      <c r="E370" s="4">
        <f>'1. Master Data'!F280</f>
        <v>242</v>
      </c>
      <c r="F370" s="3">
        <f>'2. Demand History'!AA280</f>
        <v>282</v>
      </c>
      <c r="G370" s="4">
        <f t="shared" si="35"/>
        <v>68244</v>
      </c>
      <c r="H370" s="3">
        <f t="shared" si="36"/>
        <v>366</v>
      </c>
      <c r="I370" s="11">
        <f t="shared" si="37"/>
        <v>160577633</v>
      </c>
      <c r="J370" s="10">
        <f t="shared" si="38"/>
        <v>0.97118626653428475</v>
      </c>
      <c r="K370" s="5" t="str">
        <f t="shared" si="39"/>
        <v>C</v>
      </c>
      <c r="L370" s="8">
        <f>'3. Demand Forecast'!H280</f>
        <v>0.95</v>
      </c>
      <c r="M370" s="5" t="str">
        <f t="shared" si="40"/>
        <v>Z</v>
      </c>
      <c r="N370" s="5" t="str">
        <f t="shared" si="41"/>
        <v>CZ</v>
      </c>
    </row>
    <row r="371" spans="1:14" ht="15" customHeight="1" x14ac:dyDescent="0.2">
      <c r="A371" s="3" t="str">
        <f>'1. Master Data'!A315</f>
        <v>NT10311</v>
      </c>
      <c r="B371" s="1" t="str">
        <f>'1. Master Data'!B315</f>
        <v>DoorSense 858</v>
      </c>
      <c r="C371" s="3" t="str">
        <f>'1. Master Data'!C315</f>
        <v>Smart Home</v>
      </c>
      <c r="D371" s="3" t="str">
        <f>'1. Master Data'!D315</f>
        <v>West DC</v>
      </c>
      <c r="E371" s="4">
        <f>'1. Master Data'!F315</f>
        <v>14</v>
      </c>
      <c r="F371" s="3">
        <f>'2. Demand History'!AA315</f>
        <v>4858</v>
      </c>
      <c r="G371" s="4">
        <f t="shared" si="35"/>
        <v>68012</v>
      </c>
      <c r="H371" s="3">
        <f t="shared" si="36"/>
        <v>367</v>
      </c>
      <c r="I371" s="11">
        <f t="shared" si="37"/>
        <v>160645645</v>
      </c>
      <c r="J371" s="10">
        <f t="shared" si="38"/>
        <v>0.97159760850717036</v>
      </c>
      <c r="K371" s="5" t="str">
        <f t="shared" si="39"/>
        <v>C</v>
      </c>
      <c r="L371" s="8">
        <f>'3. Demand Forecast'!H315</f>
        <v>0.06</v>
      </c>
      <c r="M371" s="5" t="str">
        <f t="shared" si="40"/>
        <v>X</v>
      </c>
      <c r="N371" s="5" t="str">
        <f t="shared" si="41"/>
        <v>CX</v>
      </c>
    </row>
    <row r="372" spans="1:14" ht="15" customHeight="1" x14ac:dyDescent="0.2">
      <c r="A372" s="3" t="str">
        <f>'1. Master Data'!A422</f>
        <v>NT10418</v>
      </c>
      <c r="B372" s="1" t="str">
        <f>'1. Master Data'!B422</f>
        <v>NovaTab 516 10in</v>
      </c>
      <c r="C372" s="3" t="str">
        <f>'1. Master Data'!C422</f>
        <v>Tablets</v>
      </c>
      <c r="D372" s="3" t="str">
        <f>'1. Master Data'!D422</f>
        <v>Central DC</v>
      </c>
      <c r="E372" s="4">
        <f>'1. Master Data'!F422</f>
        <v>293</v>
      </c>
      <c r="F372" s="3">
        <f>'2. Demand History'!AA422</f>
        <v>229</v>
      </c>
      <c r="G372" s="4">
        <f t="shared" si="35"/>
        <v>67097</v>
      </c>
      <c r="H372" s="3">
        <f t="shared" si="36"/>
        <v>368</v>
      </c>
      <c r="I372" s="11">
        <f t="shared" si="37"/>
        <v>160712742</v>
      </c>
      <c r="J372" s="10">
        <f t="shared" si="38"/>
        <v>0.97200341648744892</v>
      </c>
      <c r="K372" s="5" t="str">
        <f t="shared" si="39"/>
        <v>C</v>
      </c>
      <c r="L372" s="8">
        <f>'3. Demand Forecast'!H422</f>
        <v>0.32</v>
      </c>
      <c r="M372" s="5" t="str">
        <f t="shared" si="40"/>
        <v>Y</v>
      </c>
      <c r="N372" s="5" t="str">
        <f t="shared" si="41"/>
        <v>CY</v>
      </c>
    </row>
    <row r="373" spans="1:14" ht="15" customHeight="1" x14ac:dyDescent="0.2">
      <c r="A373" s="3" t="str">
        <f>'1. Master Data'!A165</f>
        <v>NT10161</v>
      </c>
      <c r="B373" s="1" t="str">
        <f>'1. Master Data'!B165</f>
        <v>StudioPods 102 ANC</v>
      </c>
      <c r="C373" s="3" t="str">
        <f>'1. Master Data'!C165</f>
        <v>Audio</v>
      </c>
      <c r="D373" s="3" t="str">
        <f>'1. Master Data'!D165</f>
        <v>West DC</v>
      </c>
      <c r="E373" s="4">
        <f>'1. Master Data'!F165</f>
        <v>29</v>
      </c>
      <c r="F373" s="3">
        <f>'2. Demand History'!AA165</f>
        <v>2288</v>
      </c>
      <c r="G373" s="4">
        <f t="shared" si="35"/>
        <v>66352</v>
      </c>
      <c r="H373" s="3">
        <f t="shared" si="36"/>
        <v>369</v>
      </c>
      <c r="I373" s="11">
        <f t="shared" si="37"/>
        <v>160779094</v>
      </c>
      <c r="J373" s="10">
        <f t="shared" si="38"/>
        <v>0.97240471864861033</v>
      </c>
      <c r="K373" s="5" t="str">
        <f t="shared" si="39"/>
        <v>C</v>
      </c>
      <c r="L373" s="8">
        <f>'3. Demand Forecast'!H165</f>
        <v>0.28999999999999998</v>
      </c>
      <c r="M373" s="5" t="str">
        <f t="shared" si="40"/>
        <v>Y</v>
      </c>
      <c r="N373" s="5" t="str">
        <f t="shared" si="41"/>
        <v>CY</v>
      </c>
    </row>
    <row r="374" spans="1:14" ht="15" customHeight="1" x14ac:dyDescent="0.2">
      <c r="A374" s="3" t="str">
        <f>'1. Master Data'!A232</f>
        <v>NT10228</v>
      </c>
      <c r="B374" s="1" t="str">
        <f>'1. Master Data'!B232</f>
        <v>FitTrack Band 708</v>
      </c>
      <c r="C374" s="3" t="str">
        <f>'1. Master Data'!C232</f>
        <v>Wearables</v>
      </c>
      <c r="D374" s="3" t="str">
        <f>'1. Master Data'!D232</f>
        <v>East DC</v>
      </c>
      <c r="E374" s="4">
        <f>'1. Master Data'!F232</f>
        <v>29</v>
      </c>
      <c r="F374" s="3">
        <f>'2. Demand History'!AA232</f>
        <v>2269</v>
      </c>
      <c r="G374" s="4">
        <f t="shared" si="35"/>
        <v>65801</v>
      </c>
      <c r="H374" s="3">
        <f t="shared" si="36"/>
        <v>370</v>
      </c>
      <c r="I374" s="11">
        <f t="shared" si="37"/>
        <v>160844895</v>
      </c>
      <c r="J374" s="10">
        <f t="shared" si="38"/>
        <v>0.97280268831804884</v>
      </c>
      <c r="K374" s="5" t="str">
        <f t="shared" si="39"/>
        <v>C</v>
      </c>
      <c r="L374" s="8">
        <f>'3. Demand Forecast'!H232</f>
        <v>0.31</v>
      </c>
      <c r="M374" s="5" t="str">
        <f t="shared" si="40"/>
        <v>Y</v>
      </c>
      <c r="N374" s="5" t="str">
        <f t="shared" si="41"/>
        <v>CY</v>
      </c>
    </row>
    <row r="375" spans="1:14" ht="15" customHeight="1" x14ac:dyDescent="0.2">
      <c r="A375" s="3" t="str">
        <f>'1. Master Data'!A338</f>
        <v>NT10334</v>
      </c>
      <c r="B375" s="1" t="str">
        <f>'1. Master Data'!B338</f>
        <v>SmartPlug Duo 222</v>
      </c>
      <c r="C375" s="3" t="str">
        <f>'1. Master Data'!C338</f>
        <v>Smart Home</v>
      </c>
      <c r="D375" s="3" t="str">
        <f>'1. Master Data'!D338</f>
        <v>Central DC</v>
      </c>
      <c r="E375" s="4">
        <f>'1. Master Data'!F338</f>
        <v>60</v>
      </c>
      <c r="F375" s="3">
        <f>'2. Demand History'!AA338</f>
        <v>1082</v>
      </c>
      <c r="G375" s="4">
        <f t="shared" si="35"/>
        <v>64920</v>
      </c>
      <c r="H375" s="3">
        <f t="shared" si="36"/>
        <v>371</v>
      </c>
      <c r="I375" s="11">
        <f t="shared" si="37"/>
        <v>160909815</v>
      </c>
      <c r="J375" s="10">
        <f t="shared" si="38"/>
        <v>0.97319532962957822</v>
      </c>
      <c r="K375" s="5" t="str">
        <f t="shared" si="39"/>
        <v>C</v>
      </c>
      <c r="L375" s="8">
        <f>'3. Demand Forecast'!H338</f>
        <v>7.0000000000000007E-2</v>
      </c>
      <c r="M375" s="5" t="str">
        <f t="shared" si="40"/>
        <v>X</v>
      </c>
      <c r="N375" s="5" t="str">
        <f t="shared" si="41"/>
        <v>CX</v>
      </c>
    </row>
    <row r="376" spans="1:14" ht="15" customHeight="1" x14ac:dyDescent="0.2">
      <c r="A376" s="3" t="str">
        <f>'1. Master Data'!A180</f>
        <v>NT10176</v>
      </c>
      <c r="B376" s="1" t="str">
        <f>'1. Master Data'!B180</f>
        <v>SoundCore Buds 312</v>
      </c>
      <c r="C376" s="3" t="str">
        <f>'1. Master Data'!C180</f>
        <v>Audio</v>
      </c>
      <c r="D376" s="3" t="str">
        <f>'1. Master Data'!D180</f>
        <v>Central DC</v>
      </c>
      <c r="E376" s="4">
        <f>'1. Master Data'!F180</f>
        <v>81</v>
      </c>
      <c r="F376" s="3">
        <f>'2. Demand History'!AA180</f>
        <v>794</v>
      </c>
      <c r="G376" s="4">
        <f t="shared" si="35"/>
        <v>64314</v>
      </c>
      <c r="H376" s="3">
        <f t="shared" si="36"/>
        <v>372</v>
      </c>
      <c r="I376" s="11">
        <f t="shared" si="37"/>
        <v>160974129</v>
      </c>
      <c r="J376" s="10">
        <f t="shared" si="38"/>
        <v>0.97358430580502031</v>
      </c>
      <c r="K376" s="5" t="str">
        <f t="shared" si="39"/>
        <v>C</v>
      </c>
      <c r="L376" s="8">
        <f>'3. Demand Forecast'!H180</f>
        <v>0.28999999999999998</v>
      </c>
      <c r="M376" s="5" t="str">
        <f t="shared" si="40"/>
        <v>Y</v>
      </c>
      <c r="N376" s="5" t="str">
        <f t="shared" si="41"/>
        <v>CY</v>
      </c>
    </row>
    <row r="377" spans="1:14" ht="15" customHeight="1" x14ac:dyDescent="0.2">
      <c r="A377" s="3" t="str">
        <f>'1. Master Data'!A224</f>
        <v>NT10220</v>
      </c>
      <c r="B377" s="1" t="str">
        <f>'1. Master Data'!B224</f>
        <v>StepOne Tracker 846</v>
      </c>
      <c r="C377" s="3" t="str">
        <f>'1. Master Data'!C224</f>
        <v>Wearables</v>
      </c>
      <c r="D377" s="3" t="str">
        <f>'1. Master Data'!D224</f>
        <v>Central DC</v>
      </c>
      <c r="E377" s="4">
        <f>'1. Master Data'!F224</f>
        <v>145</v>
      </c>
      <c r="F377" s="3">
        <f>'2. Demand History'!AA224</f>
        <v>439</v>
      </c>
      <c r="G377" s="4">
        <f t="shared" si="35"/>
        <v>63655</v>
      </c>
      <c r="H377" s="3">
        <f t="shared" si="36"/>
        <v>373</v>
      </c>
      <c r="I377" s="11">
        <f t="shared" si="37"/>
        <v>161037784</v>
      </c>
      <c r="J377" s="10">
        <f t="shared" si="38"/>
        <v>0.97396929629616946</v>
      </c>
      <c r="K377" s="5" t="str">
        <f t="shared" si="39"/>
        <v>C</v>
      </c>
      <c r="L377" s="8">
        <f>'3. Demand Forecast'!H224</f>
        <v>0.33</v>
      </c>
      <c r="M377" s="5" t="str">
        <f t="shared" si="40"/>
        <v>Y</v>
      </c>
      <c r="N377" s="5" t="str">
        <f t="shared" si="41"/>
        <v>CY</v>
      </c>
    </row>
    <row r="378" spans="1:14" ht="15" customHeight="1" x14ac:dyDescent="0.2">
      <c r="A378" s="3" t="str">
        <f>'1. Master Data'!A249</f>
        <v>NT10245</v>
      </c>
      <c r="B378" s="1" t="str">
        <f>'1. Master Data'!B249</f>
        <v>StepOne Tracker 844</v>
      </c>
      <c r="C378" s="3" t="str">
        <f>'1. Master Data'!C249</f>
        <v>Wearables</v>
      </c>
      <c r="D378" s="3" t="str">
        <f>'1. Master Data'!D249</f>
        <v>East DC</v>
      </c>
      <c r="E378" s="4">
        <f>'1. Master Data'!F249</f>
        <v>39</v>
      </c>
      <c r="F378" s="3">
        <f>'2. Demand History'!AA249</f>
        <v>1629</v>
      </c>
      <c r="G378" s="4">
        <f t="shared" si="35"/>
        <v>63531</v>
      </c>
      <c r="H378" s="3">
        <f t="shared" si="36"/>
        <v>374</v>
      </c>
      <c r="I378" s="11">
        <f t="shared" si="37"/>
        <v>161101315</v>
      </c>
      <c r="J378" s="10">
        <f t="shared" si="38"/>
        <v>0.97435353682547898</v>
      </c>
      <c r="K378" s="5" t="str">
        <f t="shared" si="39"/>
        <v>C</v>
      </c>
      <c r="L378" s="8">
        <f>'3. Demand Forecast'!H249</f>
        <v>0.33</v>
      </c>
      <c r="M378" s="5" t="str">
        <f t="shared" si="40"/>
        <v>Y</v>
      </c>
      <c r="N378" s="5" t="str">
        <f t="shared" si="41"/>
        <v>CY</v>
      </c>
    </row>
    <row r="379" spans="1:14" ht="15" customHeight="1" x14ac:dyDescent="0.2">
      <c r="A379" s="3" t="str">
        <f>'1. Master Data'!A116</f>
        <v>NT10112</v>
      </c>
      <c r="B379" s="1" t="str">
        <f>'1. Master Data'!B116</f>
        <v>VisionOLED 301in 4K</v>
      </c>
      <c r="C379" s="3" t="str">
        <f>'1. Master Data'!C116</f>
        <v>TVs</v>
      </c>
      <c r="D379" s="3" t="str">
        <f>'1. Master Data'!D116</f>
        <v>East DC</v>
      </c>
      <c r="E379" s="4">
        <f>'1. Master Data'!F116</f>
        <v>646</v>
      </c>
      <c r="F379" s="3">
        <f>'2. Demand History'!AA116</f>
        <v>98</v>
      </c>
      <c r="G379" s="4">
        <f t="shared" si="35"/>
        <v>63308</v>
      </c>
      <c r="H379" s="3">
        <f t="shared" si="36"/>
        <v>375</v>
      </c>
      <c r="I379" s="11">
        <f t="shared" si="37"/>
        <v>161164623</v>
      </c>
      <c r="J379" s="10">
        <f t="shared" si="38"/>
        <v>0.97473642863309307</v>
      </c>
      <c r="K379" s="5" t="str">
        <f t="shared" si="39"/>
        <v>C</v>
      </c>
      <c r="L379" s="8">
        <f>'3. Demand Forecast'!H116</f>
        <v>0.3</v>
      </c>
      <c r="M379" s="5" t="str">
        <f t="shared" si="40"/>
        <v>Y</v>
      </c>
      <c r="N379" s="5" t="str">
        <f t="shared" si="41"/>
        <v>CY</v>
      </c>
    </row>
    <row r="380" spans="1:14" ht="15" customHeight="1" x14ac:dyDescent="0.2">
      <c r="A380" s="3" t="str">
        <f>'1. Master Data'!A162</f>
        <v>NT10158</v>
      </c>
      <c r="B380" s="1" t="str">
        <f>'1. Master Data'!B162</f>
        <v>WaveBar 698 Soundbar</v>
      </c>
      <c r="C380" s="3" t="str">
        <f>'1. Master Data'!C162</f>
        <v>Audio</v>
      </c>
      <c r="D380" s="3" t="str">
        <f>'1. Master Data'!D162</f>
        <v>Central DC</v>
      </c>
      <c r="E380" s="4">
        <f>'1. Master Data'!F162</f>
        <v>111</v>
      </c>
      <c r="F380" s="3">
        <f>'2. Demand History'!AA162</f>
        <v>570</v>
      </c>
      <c r="G380" s="4">
        <f t="shared" si="35"/>
        <v>63270</v>
      </c>
      <c r="H380" s="3">
        <f t="shared" si="36"/>
        <v>376</v>
      </c>
      <c r="I380" s="11">
        <f t="shared" si="37"/>
        <v>161227893</v>
      </c>
      <c r="J380" s="10">
        <f t="shared" si="38"/>
        <v>0.97511909061369173</v>
      </c>
      <c r="K380" s="5" t="str">
        <f t="shared" si="39"/>
        <v>C</v>
      </c>
      <c r="L380" s="8">
        <f>'3. Demand Forecast'!H162</f>
        <v>0.38</v>
      </c>
      <c r="M380" s="5" t="str">
        <f t="shared" si="40"/>
        <v>Y</v>
      </c>
      <c r="N380" s="5" t="str">
        <f t="shared" si="41"/>
        <v>CY</v>
      </c>
    </row>
    <row r="381" spans="1:14" ht="15" customHeight="1" x14ac:dyDescent="0.2">
      <c r="A381" s="3" t="str">
        <f>'1. Master Data'!A408</f>
        <v>NT10404</v>
      </c>
      <c r="B381" s="1" t="str">
        <f>'1. Master Data'!B408</f>
        <v>NovaTab 716 Kids</v>
      </c>
      <c r="C381" s="3" t="str">
        <f>'1. Master Data'!C408</f>
        <v>Tablets</v>
      </c>
      <c r="D381" s="3" t="str">
        <f>'1. Master Data'!D408</f>
        <v>East DC</v>
      </c>
      <c r="E381" s="4">
        <f>'1. Master Data'!F408</f>
        <v>225</v>
      </c>
      <c r="F381" s="3">
        <f>'2. Demand History'!AA408</f>
        <v>281</v>
      </c>
      <c r="G381" s="4">
        <f t="shared" si="35"/>
        <v>63225</v>
      </c>
      <c r="H381" s="3">
        <f t="shared" si="36"/>
        <v>377</v>
      </c>
      <c r="I381" s="11">
        <f t="shared" si="37"/>
        <v>161291118</v>
      </c>
      <c r="J381" s="10">
        <f t="shared" si="38"/>
        <v>0.97550148043071949</v>
      </c>
      <c r="K381" s="5" t="str">
        <f t="shared" si="39"/>
        <v>C</v>
      </c>
      <c r="L381" s="8">
        <f>'3. Demand Forecast'!H408</f>
        <v>0.28000000000000003</v>
      </c>
      <c r="M381" s="5" t="str">
        <f t="shared" si="40"/>
        <v>Y</v>
      </c>
      <c r="N381" s="5" t="str">
        <f t="shared" si="41"/>
        <v>CY</v>
      </c>
    </row>
    <row r="382" spans="1:14" ht="15" customHeight="1" x14ac:dyDescent="0.2">
      <c r="A382" s="3" t="str">
        <f>'1. Master Data'!A209</f>
        <v>NT10205</v>
      </c>
      <c r="B382" s="1" t="str">
        <f>'1. Master Data'!B209</f>
        <v>StepOne Tracker 188</v>
      </c>
      <c r="C382" s="3" t="str">
        <f>'1. Master Data'!C209</f>
        <v>Wearables</v>
      </c>
      <c r="D382" s="3" t="str">
        <f>'1. Master Data'!D209</f>
        <v>West DC</v>
      </c>
      <c r="E382" s="4">
        <f>'1. Master Data'!F209</f>
        <v>50</v>
      </c>
      <c r="F382" s="3">
        <f>'2. Demand History'!AA209</f>
        <v>1260</v>
      </c>
      <c r="G382" s="4">
        <f t="shared" si="35"/>
        <v>63000</v>
      </c>
      <c r="H382" s="3">
        <f t="shared" si="36"/>
        <v>378</v>
      </c>
      <c r="I382" s="11">
        <f t="shared" si="37"/>
        <v>161354118</v>
      </c>
      <c r="J382" s="10">
        <f t="shared" si="38"/>
        <v>0.97588250942989319</v>
      </c>
      <c r="K382" s="5" t="str">
        <f t="shared" si="39"/>
        <v>C</v>
      </c>
      <c r="L382" s="8">
        <f>'3. Demand Forecast'!H209</f>
        <v>0.28000000000000003</v>
      </c>
      <c r="M382" s="5" t="str">
        <f t="shared" si="40"/>
        <v>Y</v>
      </c>
      <c r="N382" s="5" t="str">
        <f t="shared" si="41"/>
        <v>CY</v>
      </c>
    </row>
    <row r="383" spans="1:14" ht="15" customHeight="1" x14ac:dyDescent="0.2">
      <c r="A383" s="3" t="str">
        <f>'1. Master Data'!A440</f>
        <v>NT10436</v>
      </c>
      <c r="B383" s="1" t="str">
        <f>'1. Master Data'!B440</f>
        <v>DrawPad 834 12in</v>
      </c>
      <c r="C383" s="3" t="str">
        <f>'1. Master Data'!C440</f>
        <v>Tablets</v>
      </c>
      <c r="D383" s="3" t="str">
        <f>'1. Master Data'!D440</f>
        <v>East DC</v>
      </c>
      <c r="E383" s="4">
        <f>'1. Master Data'!F440</f>
        <v>125</v>
      </c>
      <c r="F383" s="3">
        <f>'2. Demand History'!AA440</f>
        <v>502</v>
      </c>
      <c r="G383" s="4">
        <f t="shared" si="35"/>
        <v>62750</v>
      </c>
      <c r="H383" s="3">
        <f t="shared" si="36"/>
        <v>379</v>
      </c>
      <c r="I383" s="11">
        <f t="shared" si="37"/>
        <v>161416868</v>
      </c>
      <c r="J383" s="10">
        <f t="shared" si="38"/>
        <v>0.97626202640922877</v>
      </c>
      <c r="K383" s="5" t="str">
        <f t="shared" si="39"/>
        <v>C</v>
      </c>
      <c r="L383" s="8">
        <f>'3. Demand Forecast'!H440</f>
        <v>0.32</v>
      </c>
      <c r="M383" s="5" t="str">
        <f t="shared" si="40"/>
        <v>Y</v>
      </c>
      <c r="N383" s="5" t="str">
        <f t="shared" si="41"/>
        <v>CY</v>
      </c>
    </row>
    <row r="384" spans="1:14" ht="15" customHeight="1" x14ac:dyDescent="0.2">
      <c r="A384" s="3" t="str">
        <f>'1. Master Data'!A365</f>
        <v>NT10361</v>
      </c>
      <c r="B384" s="1" t="str">
        <f>'1. Master Data'!B365</f>
        <v>MirrorlessM 811</v>
      </c>
      <c r="C384" s="3" t="str">
        <f>'1. Master Data'!C365</f>
        <v>Cameras</v>
      </c>
      <c r="D384" s="3" t="str">
        <f>'1. Master Data'!D365</f>
        <v>East DC</v>
      </c>
      <c r="E384" s="4">
        <f>'1. Master Data'!F365</f>
        <v>422</v>
      </c>
      <c r="F384" s="3">
        <f>'2. Demand History'!AA365</f>
        <v>148</v>
      </c>
      <c r="G384" s="4">
        <f t="shared" si="35"/>
        <v>62456</v>
      </c>
      <c r="H384" s="3">
        <f t="shared" si="36"/>
        <v>380</v>
      </c>
      <c r="I384" s="11">
        <f t="shared" si="37"/>
        <v>161479324</v>
      </c>
      <c r="J384" s="10">
        <f t="shared" si="38"/>
        <v>0.97663976525323493</v>
      </c>
      <c r="K384" s="5" t="str">
        <f t="shared" si="39"/>
        <v>C</v>
      </c>
      <c r="L384" s="8">
        <f>'3. Demand Forecast'!H365</f>
        <v>0.32</v>
      </c>
      <c r="M384" s="5" t="str">
        <f t="shared" si="40"/>
        <v>Y</v>
      </c>
      <c r="N384" s="5" t="str">
        <f t="shared" si="41"/>
        <v>CY</v>
      </c>
    </row>
    <row r="385" spans="1:14" ht="15" customHeight="1" x14ac:dyDescent="0.2">
      <c r="A385" s="3" t="str">
        <f>'1. Master Data'!A447</f>
        <v>NT10443</v>
      </c>
      <c r="B385" s="1" t="str">
        <f>'1. Master Data'!B447</f>
        <v>NovaTab 846 Kids</v>
      </c>
      <c r="C385" s="3" t="str">
        <f>'1. Master Data'!C447</f>
        <v>Tablets</v>
      </c>
      <c r="D385" s="3" t="str">
        <f>'1. Master Data'!D447</f>
        <v>Central DC</v>
      </c>
      <c r="E385" s="4">
        <f>'1. Master Data'!F447</f>
        <v>244</v>
      </c>
      <c r="F385" s="3">
        <f>'2. Demand History'!AA447</f>
        <v>252</v>
      </c>
      <c r="G385" s="4">
        <f t="shared" si="35"/>
        <v>61488</v>
      </c>
      <c r="H385" s="3">
        <f t="shared" si="36"/>
        <v>381</v>
      </c>
      <c r="I385" s="11">
        <f t="shared" si="37"/>
        <v>161540812</v>
      </c>
      <c r="J385" s="10">
        <f t="shared" si="38"/>
        <v>0.97701164955642839</v>
      </c>
      <c r="K385" s="5" t="str">
        <f t="shared" si="39"/>
        <v>C</v>
      </c>
      <c r="L385" s="8">
        <f>'3. Demand Forecast'!H447</f>
        <v>0.3</v>
      </c>
      <c r="M385" s="5" t="str">
        <f t="shared" si="40"/>
        <v>Y</v>
      </c>
      <c r="N385" s="5" t="str">
        <f t="shared" si="41"/>
        <v>CY</v>
      </c>
    </row>
    <row r="386" spans="1:14" ht="15" customHeight="1" x14ac:dyDescent="0.2">
      <c r="A386" s="3" t="str">
        <f>'1. Master Data'!A218</f>
        <v>NT10214</v>
      </c>
      <c r="B386" s="1" t="str">
        <f>'1. Master Data'!B218</f>
        <v>StepOne Tracker 927</v>
      </c>
      <c r="C386" s="3" t="str">
        <f>'1. Master Data'!C218</f>
        <v>Wearables</v>
      </c>
      <c r="D386" s="3" t="str">
        <f>'1. Master Data'!D218</f>
        <v>East DC</v>
      </c>
      <c r="E386" s="4">
        <f>'1. Master Data'!F218</f>
        <v>68</v>
      </c>
      <c r="F386" s="3">
        <f>'2. Demand History'!AA218</f>
        <v>900</v>
      </c>
      <c r="G386" s="4">
        <f t="shared" si="35"/>
        <v>61200</v>
      </c>
      <c r="H386" s="3">
        <f t="shared" si="36"/>
        <v>382</v>
      </c>
      <c r="I386" s="11">
        <f t="shared" si="37"/>
        <v>161602012</v>
      </c>
      <c r="J386" s="10">
        <f t="shared" si="38"/>
        <v>0.97738179201276854</v>
      </c>
      <c r="K386" s="5" t="str">
        <f t="shared" si="39"/>
        <v>C</v>
      </c>
      <c r="L386" s="8">
        <f>'3. Demand Forecast'!H218</f>
        <v>0.35</v>
      </c>
      <c r="M386" s="5" t="str">
        <f t="shared" si="40"/>
        <v>Y</v>
      </c>
      <c r="N386" s="5" t="str">
        <f t="shared" si="41"/>
        <v>CY</v>
      </c>
    </row>
    <row r="387" spans="1:14" ht="15" customHeight="1" x14ac:dyDescent="0.2">
      <c r="A387" s="3" t="str">
        <f>'1. Master Data'!A418</f>
        <v>NT10414</v>
      </c>
      <c r="B387" s="1" t="str">
        <f>'1. Master Data'!B418</f>
        <v>NovaTab 269 10in</v>
      </c>
      <c r="C387" s="3" t="str">
        <f>'1. Master Data'!C418</f>
        <v>Tablets</v>
      </c>
      <c r="D387" s="3" t="str">
        <f>'1. Master Data'!D418</f>
        <v>Central DC</v>
      </c>
      <c r="E387" s="4">
        <f>'1. Master Data'!F418</f>
        <v>451</v>
      </c>
      <c r="F387" s="3">
        <f>'2. Demand History'!AA418</f>
        <v>135</v>
      </c>
      <c r="G387" s="4">
        <f t="shared" si="35"/>
        <v>60885</v>
      </c>
      <c r="H387" s="3">
        <f t="shared" si="36"/>
        <v>383</v>
      </c>
      <c r="I387" s="11">
        <f t="shared" si="37"/>
        <v>161662897</v>
      </c>
      <c r="J387" s="10">
        <f t="shared" si="38"/>
        <v>0.9777500293241127</v>
      </c>
      <c r="K387" s="5" t="str">
        <f t="shared" si="39"/>
        <v>C</v>
      </c>
      <c r="L387" s="8">
        <f>'3. Demand Forecast'!H418</f>
        <v>0.28999999999999998</v>
      </c>
      <c r="M387" s="5" t="str">
        <f t="shared" si="40"/>
        <v>Y</v>
      </c>
      <c r="N387" s="5" t="str">
        <f t="shared" si="41"/>
        <v>CY</v>
      </c>
    </row>
    <row r="388" spans="1:14" ht="15" customHeight="1" x14ac:dyDescent="0.2">
      <c r="A388" s="3" t="str">
        <f>'1. Master Data'!A488</f>
        <v>NT10484</v>
      </c>
      <c r="B388" s="1" t="str">
        <f>'1. Master Data'!B488</f>
        <v>Screen Guard 118</v>
      </c>
      <c r="C388" s="3" t="str">
        <f>'1. Master Data'!C488</f>
        <v>Accessories</v>
      </c>
      <c r="D388" s="3" t="str">
        <f>'1. Master Data'!D488</f>
        <v>East DC</v>
      </c>
      <c r="E388" s="4">
        <f>'1. Master Data'!F488</f>
        <v>23</v>
      </c>
      <c r="F388" s="3">
        <f>'2. Demand History'!AA488</f>
        <v>2638</v>
      </c>
      <c r="G388" s="4">
        <f t="shared" si="35"/>
        <v>60674</v>
      </c>
      <c r="H388" s="3">
        <f t="shared" si="36"/>
        <v>384</v>
      </c>
      <c r="I388" s="11">
        <f t="shared" si="37"/>
        <v>161723571</v>
      </c>
      <c r="J388" s="10">
        <f t="shared" si="38"/>
        <v>0.97811699049071366</v>
      </c>
      <c r="K388" s="5" t="str">
        <f t="shared" si="39"/>
        <v>C</v>
      </c>
      <c r="L388" s="8">
        <f>'3. Demand Forecast'!H488</f>
        <v>0.05</v>
      </c>
      <c r="M388" s="5" t="str">
        <f t="shared" si="40"/>
        <v>X</v>
      </c>
      <c r="N388" s="5" t="str">
        <f t="shared" si="41"/>
        <v>CX</v>
      </c>
    </row>
    <row r="389" spans="1:14" ht="15" customHeight="1" x14ac:dyDescent="0.2">
      <c r="A389" s="3" t="str">
        <f>'1. Master Data'!A227</f>
        <v>NT10223</v>
      </c>
      <c r="B389" s="1" t="str">
        <f>'1. Master Data'!B227</f>
        <v>FitTrack Band 120</v>
      </c>
      <c r="C389" s="3" t="str">
        <f>'1. Master Data'!C227</f>
        <v>Wearables</v>
      </c>
      <c r="D389" s="3" t="str">
        <f>'1. Master Data'!D227</f>
        <v>Central DC</v>
      </c>
      <c r="E389" s="4">
        <f>'1. Master Data'!F227</f>
        <v>79</v>
      </c>
      <c r="F389" s="3">
        <f>'2. Demand History'!AA227</f>
        <v>765</v>
      </c>
      <c r="G389" s="4">
        <f t="shared" ref="G389:G452" si="42">E389*F389</f>
        <v>60435</v>
      </c>
      <c r="H389" s="3">
        <f t="shared" ref="H389:H452" si="43">RANK(G389,G$5:G$504,0)</f>
        <v>385</v>
      </c>
      <c r="I389" s="11">
        <f t="shared" ref="I389:I452" si="44">SUMPRODUCT((H$5:H$504&lt;=H389)*G$5:G$504)</f>
        <v>161784006</v>
      </c>
      <c r="J389" s="10">
        <f t="shared" ref="J389:J452" si="45">I389/SUM(G$5:G$504)</f>
        <v>0.97848250616634957</v>
      </c>
      <c r="K389" s="5" t="str">
        <f t="shared" ref="K389:K452" si="46">IF(J389&lt;=0.8,"A",IF(J389&lt;=0.95,"B","C"))</f>
        <v>C</v>
      </c>
      <c r="L389" s="8">
        <f>'3. Demand Forecast'!H227</f>
        <v>0.23</v>
      </c>
      <c r="M389" s="5" t="str">
        <f t="shared" ref="M389:M452" si="47">IF(L389&lt;=0.25,"X",IF(L389&lt;=0.6,"Y","Z"))</f>
        <v>X</v>
      </c>
      <c r="N389" s="5" t="str">
        <f t="shared" ref="N389:N452" si="48">K389&amp;M389</f>
        <v>CX</v>
      </c>
    </row>
    <row r="390" spans="1:14" ht="15" customHeight="1" x14ac:dyDescent="0.2">
      <c r="A390" s="3" t="str">
        <f>'1. Master Data'!A67</f>
        <v>NT10063</v>
      </c>
      <c r="B390" s="1" t="str">
        <f>'1. Master Data'!B67</f>
        <v>UltraSlim 731 Ryzen 5</v>
      </c>
      <c r="C390" s="3" t="str">
        <f>'1. Master Data'!C67</f>
        <v>Laptops</v>
      </c>
      <c r="D390" s="3" t="str">
        <f>'1. Master Data'!D67</f>
        <v>West DC</v>
      </c>
      <c r="E390" s="4">
        <f>'1. Master Data'!F67</f>
        <v>640</v>
      </c>
      <c r="F390" s="3">
        <f>'2. Demand History'!AA67</f>
        <v>90</v>
      </c>
      <c r="G390" s="4">
        <f t="shared" si="42"/>
        <v>57600</v>
      </c>
      <c r="H390" s="3">
        <f t="shared" si="43"/>
        <v>386</v>
      </c>
      <c r="I390" s="11">
        <f t="shared" si="44"/>
        <v>161841606</v>
      </c>
      <c r="J390" s="10">
        <f t="shared" si="45"/>
        <v>0.97883087553702253</v>
      </c>
      <c r="K390" s="5" t="str">
        <f t="shared" si="46"/>
        <v>C</v>
      </c>
      <c r="L390" s="8">
        <f>'3. Demand Forecast'!H67</f>
        <v>0.41</v>
      </c>
      <c r="M390" s="5" t="str">
        <f t="shared" si="47"/>
        <v>Y</v>
      </c>
      <c r="N390" s="5" t="str">
        <f t="shared" si="48"/>
        <v>CY</v>
      </c>
    </row>
    <row r="391" spans="1:14" ht="15" customHeight="1" x14ac:dyDescent="0.2">
      <c r="A391" s="3" t="str">
        <f>'1. Master Data'!A374</f>
        <v>NT10370</v>
      </c>
      <c r="B391" s="1" t="str">
        <f>'1. Master Data'!B374</f>
        <v>OptiZoom 229 DSLR</v>
      </c>
      <c r="C391" s="3" t="str">
        <f>'1. Master Data'!C374</f>
        <v>Cameras</v>
      </c>
      <c r="D391" s="3" t="str">
        <f>'1. Master Data'!D374</f>
        <v>Central DC</v>
      </c>
      <c r="E391" s="4">
        <f>'1. Master Data'!F374</f>
        <v>1027</v>
      </c>
      <c r="F391" s="3">
        <f>'2. Demand History'!AA374</f>
        <v>55</v>
      </c>
      <c r="G391" s="4">
        <f t="shared" si="42"/>
        <v>56485</v>
      </c>
      <c r="H391" s="3">
        <f t="shared" si="43"/>
        <v>387</v>
      </c>
      <c r="I391" s="11">
        <f t="shared" si="44"/>
        <v>161898091</v>
      </c>
      <c r="J391" s="10">
        <f t="shared" si="45"/>
        <v>0.97917250129921818</v>
      </c>
      <c r="K391" s="5" t="str">
        <f t="shared" si="46"/>
        <v>C</v>
      </c>
      <c r="L391" s="8">
        <f>'3. Demand Forecast'!H374</f>
        <v>0.28000000000000003</v>
      </c>
      <c r="M391" s="5" t="str">
        <f t="shared" si="47"/>
        <v>Y</v>
      </c>
      <c r="N391" s="5" t="str">
        <f t="shared" si="48"/>
        <v>CY</v>
      </c>
    </row>
    <row r="392" spans="1:14" ht="15" customHeight="1" x14ac:dyDescent="0.2">
      <c r="A392" s="3" t="str">
        <f>'1. Master Data'!A157</f>
        <v>NT10153</v>
      </c>
      <c r="B392" s="1" t="str">
        <f>'1. Master Data'!B157</f>
        <v>BassMax Speaker 640</v>
      </c>
      <c r="C392" s="3" t="str">
        <f>'1. Master Data'!C157</f>
        <v>Audio</v>
      </c>
      <c r="D392" s="3" t="str">
        <f>'1. Master Data'!D157</f>
        <v>Central DC</v>
      </c>
      <c r="E392" s="4">
        <f>'1. Master Data'!F157</f>
        <v>23</v>
      </c>
      <c r="F392" s="3">
        <f>'2. Demand History'!AA157</f>
        <v>2364</v>
      </c>
      <c r="G392" s="4">
        <f t="shared" si="42"/>
        <v>54372</v>
      </c>
      <c r="H392" s="3">
        <f t="shared" si="43"/>
        <v>388</v>
      </c>
      <c r="I392" s="11">
        <f t="shared" si="44"/>
        <v>161952463</v>
      </c>
      <c r="J392" s="10">
        <f t="shared" si="45"/>
        <v>0.97950134746974304</v>
      </c>
      <c r="K392" s="5" t="str">
        <f t="shared" si="46"/>
        <v>C</v>
      </c>
      <c r="L392" s="8">
        <f>'3. Demand Forecast'!H157</f>
        <v>0.35</v>
      </c>
      <c r="M392" s="5" t="str">
        <f t="shared" si="47"/>
        <v>Y</v>
      </c>
      <c r="N392" s="5" t="str">
        <f t="shared" si="48"/>
        <v>CY</v>
      </c>
    </row>
    <row r="393" spans="1:14" ht="15" customHeight="1" x14ac:dyDescent="0.2">
      <c r="A393" s="3" t="str">
        <f>'1. Master Data'!A413</f>
        <v>NT10409</v>
      </c>
      <c r="B393" s="1" t="str">
        <f>'1. Master Data'!B413</f>
        <v>DrawPad 147 12in</v>
      </c>
      <c r="C393" s="3" t="str">
        <f>'1. Master Data'!C413</f>
        <v>Tablets</v>
      </c>
      <c r="D393" s="3" t="str">
        <f>'1. Master Data'!D413</f>
        <v>Central DC</v>
      </c>
      <c r="E393" s="4">
        <f>'1. Master Data'!F413</f>
        <v>401</v>
      </c>
      <c r="F393" s="3">
        <f>'2. Demand History'!AA413</f>
        <v>135</v>
      </c>
      <c r="G393" s="4">
        <f t="shared" si="42"/>
        <v>54135</v>
      </c>
      <c r="H393" s="3">
        <f t="shared" si="43"/>
        <v>389</v>
      </c>
      <c r="I393" s="11">
        <f t="shared" si="44"/>
        <v>162006598</v>
      </c>
      <c r="J393" s="10">
        <f t="shared" si="45"/>
        <v>0.97982876024546151</v>
      </c>
      <c r="K393" s="5" t="str">
        <f t="shared" si="46"/>
        <v>C</v>
      </c>
      <c r="L393" s="8">
        <f>'3. Demand Forecast'!H413</f>
        <v>0.24</v>
      </c>
      <c r="M393" s="5" t="str">
        <f t="shared" si="47"/>
        <v>X</v>
      </c>
      <c r="N393" s="5" t="str">
        <f t="shared" si="48"/>
        <v>CX</v>
      </c>
    </row>
    <row r="394" spans="1:14" ht="15" customHeight="1" x14ac:dyDescent="0.2">
      <c r="A394" s="3" t="str">
        <f>'1. Master Data'!A464</f>
        <v>NT10460</v>
      </c>
      <c r="B394" s="1" t="str">
        <f>'1. Master Data'!B464</f>
        <v>Power Bank 10K V876</v>
      </c>
      <c r="C394" s="3" t="str">
        <f>'1. Master Data'!C464</f>
        <v>Accessories</v>
      </c>
      <c r="D394" s="3" t="str">
        <f>'1. Master Data'!D464</f>
        <v>West DC</v>
      </c>
      <c r="E394" s="4">
        <f>'1. Master Data'!F464</f>
        <v>18</v>
      </c>
      <c r="F394" s="3">
        <f>'2. Demand History'!AA464</f>
        <v>3005</v>
      </c>
      <c r="G394" s="4">
        <f t="shared" si="42"/>
        <v>54090</v>
      </c>
      <c r="H394" s="3">
        <f t="shared" si="43"/>
        <v>390</v>
      </c>
      <c r="I394" s="11">
        <f t="shared" si="44"/>
        <v>162060688</v>
      </c>
      <c r="J394" s="10">
        <f t="shared" si="45"/>
        <v>0.98015590085760917</v>
      </c>
      <c r="K394" s="5" t="str">
        <f t="shared" si="46"/>
        <v>C</v>
      </c>
      <c r="L394" s="8">
        <f>'3. Demand Forecast'!H464</f>
        <v>0.05</v>
      </c>
      <c r="M394" s="5" t="str">
        <f t="shared" si="47"/>
        <v>X</v>
      </c>
      <c r="N394" s="5" t="str">
        <f t="shared" si="48"/>
        <v>CX</v>
      </c>
    </row>
    <row r="395" spans="1:14" ht="15" customHeight="1" x14ac:dyDescent="0.2">
      <c r="A395" s="3" t="str">
        <f>'1. Master Data'!A343</f>
        <v>NT10339</v>
      </c>
      <c r="B395" s="1" t="str">
        <f>'1. Master Data'!B343</f>
        <v>HomeCam 323 1080p</v>
      </c>
      <c r="C395" s="3" t="str">
        <f>'1. Master Data'!C343</f>
        <v>Smart Home</v>
      </c>
      <c r="D395" s="3" t="str">
        <f>'1. Master Data'!D343</f>
        <v>West DC</v>
      </c>
      <c r="E395" s="4">
        <f>'1. Master Data'!F343</f>
        <v>48</v>
      </c>
      <c r="F395" s="3">
        <f>'2. Demand History'!AA343</f>
        <v>1113</v>
      </c>
      <c r="G395" s="4">
        <f t="shared" si="42"/>
        <v>53424</v>
      </c>
      <c r="H395" s="3">
        <f t="shared" si="43"/>
        <v>391</v>
      </c>
      <c r="I395" s="11">
        <f t="shared" si="44"/>
        <v>162114112</v>
      </c>
      <c r="J395" s="10">
        <f t="shared" si="45"/>
        <v>0.98047901344890842</v>
      </c>
      <c r="K395" s="5" t="str">
        <f t="shared" si="46"/>
        <v>C</v>
      </c>
      <c r="L395" s="8">
        <f>'3. Demand Forecast'!H343</f>
        <v>7.0000000000000007E-2</v>
      </c>
      <c r="M395" s="5" t="str">
        <f t="shared" si="47"/>
        <v>X</v>
      </c>
      <c r="N395" s="5" t="str">
        <f t="shared" si="48"/>
        <v>CX</v>
      </c>
    </row>
    <row r="396" spans="1:14" ht="15" customHeight="1" x14ac:dyDescent="0.2">
      <c r="A396" s="3" t="str">
        <f>'1. Master Data'!A304</f>
        <v>NT10300</v>
      </c>
      <c r="B396" s="1" t="str">
        <f>'1. Master Data'!B304</f>
        <v>RGB Keyboard K610</v>
      </c>
      <c r="C396" s="3" t="str">
        <f>'1. Master Data'!C304</f>
        <v>Gaming</v>
      </c>
      <c r="D396" s="3" t="str">
        <f>'1. Master Data'!D304</f>
        <v>Central DC</v>
      </c>
      <c r="E396" s="4">
        <f>'1. Master Data'!F304</f>
        <v>226</v>
      </c>
      <c r="F396" s="3">
        <f>'2. Demand History'!AA304</f>
        <v>236</v>
      </c>
      <c r="G396" s="4">
        <f t="shared" si="42"/>
        <v>53336</v>
      </c>
      <c r="H396" s="3">
        <f t="shared" si="43"/>
        <v>392</v>
      </c>
      <c r="I396" s="11">
        <f t="shared" si="44"/>
        <v>162167448</v>
      </c>
      <c r="J396" s="10">
        <f t="shared" si="45"/>
        <v>0.98080159380922471</v>
      </c>
      <c r="K396" s="5" t="str">
        <f t="shared" si="46"/>
        <v>C</v>
      </c>
      <c r="L396" s="8">
        <f>'3. Demand Forecast'!H304</f>
        <v>0.94</v>
      </c>
      <c r="M396" s="5" t="str">
        <f t="shared" si="47"/>
        <v>Z</v>
      </c>
      <c r="N396" s="5" t="str">
        <f t="shared" si="48"/>
        <v>CZ</v>
      </c>
    </row>
    <row r="397" spans="1:14" ht="15" customHeight="1" x14ac:dyDescent="0.2">
      <c r="A397" s="3" t="str">
        <f>'1. Master Data'!A397</f>
        <v>NT10393</v>
      </c>
      <c r="B397" s="1" t="str">
        <f>'1. Master Data'!B397</f>
        <v>OptiZoom 452 DSLR</v>
      </c>
      <c r="C397" s="3" t="str">
        <f>'1. Master Data'!C397</f>
        <v>Cameras</v>
      </c>
      <c r="D397" s="3" t="str">
        <f>'1. Master Data'!D397</f>
        <v>Central DC</v>
      </c>
      <c r="E397" s="4">
        <f>'1. Master Data'!F397</f>
        <v>215</v>
      </c>
      <c r="F397" s="3">
        <f>'2. Demand History'!AA397</f>
        <v>247</v>
      </c>
      <c r="G397" s="4">
        <f t="shared" si="42"/>
        <v>53105</v>
      </c>
      <c r="H397" s="3">
        <f t="shared" si="43"/>
        <v>393</v>
      </c>
      <c r="I397" s="11">
        <f t="shared" si="44"/>
        <v>162220553</v>
      </c>
      <c r="J397" s="10">
        <f t="shared" si="45"/>
        <v>0.9811227770632106</v>
      </c>
      <c r="K397" s="5" t="str">
        <f t="shared" si="46"/>
        <v>C</v>
      </c>
      <c r="L397" s="8">
        <f>'3. Demand Forecast'!H397</f>
        <v>0.33</v>
      </c>
      <c r="M397" s="5" t="str">
        <f t="shared" si="47"/>
        <v>Y</v>
      </c>
      <c r="N397" s="5" t="str">
        <f t="shared" si="48"/>
        <v>CY</v>
      </c>
    </row>
    <row r="398" spans="1:14" ht="15" customHeight="1" x14ac:dyDescent="0.2">
      <c r="A398" s="3" t="str">
        <f>'1. Master Data'!A308</f>
        <v>NT10304</v>
      </c>
      <c r="B398" s="1" t="str">
        <f>'1. Master Data'!B308</f>
        <v>SmartPlug Duo 407</v>
      </c>
      <c r="C398" s="3" t="str">
        <f>'1. Master Data'!C308</f>
        <v>Smart Home</v>
      </c>
      <c r="D398" s="3" t="str">
        <f>'1. Master Data'!D308</f>
        <v>East DC</v>
      </c>
      <c r="E398" s="4">
        <f>'1. Master Data'!F308</f>
        <v>55</v>
      </c>
      <c r="F398" s="3">
        <f>'2. Demand History'!AA308</f>
        <v>963</v>
      </c>
      <c r="G398" s="4">
        <f t="shared" si="42"/>
        <v>52965</v>
      </c>
      <c r="H398" s="3">
        <f t="shared" si="43"/>
        <v>394</v>
      </c>
      <c r="I398" s="11">
        <f t="shared" si="44"/>
        <v>162273518</v>
      </c>
      <c r="J398" s="10">
        <f t="shared" si="45"/>
        <v>0.98144311358608738</v>
      </c>
      <c r="K398" s="5" t="str">
        <f t="shared" si="46"/>
        <v>C</v>
      </c>
      <c r="L398" s="8">
        <f>'3. Demand Forecast'!H308</f>
        <v>0.05</v>
      </c>
      <c r="M398" s="5" t="str">
        <f t="shared" si="47"/>
        <v>X</v>
      </c>
      <c r="N398" s="5" t="str">
        <f t="shared" si="48"/>
        <v>CX</v>
      </c>
    </row>
    <row r="399" spans="1:14" ht="15" customHeight="1" x14ac:dyDescent="0.2">
      <c r="A399" s="3" t="str">
        <f>'1. Master Data'!A273</f>
        <v>NT10269</v>
      </c>
      <c r="B399" s="1" t="str">
        <f>'1. Master Data'!B273</f>
        <v>RGB Keyboard K733</v>
      </c>
      <c r="C399" s="3" t="str">
        <f>'1. Master Data'!C273</f>
        <v>Gaming</v>
      </c>
      <c r="D399" s="3" t="str">
        <f>'1. Master Data'!D273</f>
        <v>West DC</v>
      </c>
      <c r="E399" s="4">
        <f>'1. Master Data'!F273</f>
        <v>55</v>
      </c>
      <c r="F399" s="3">
        <f>'2. Demand History'!AA273</f>
        <v>948</v>
      </c>
      <c r="G399" s="4">
        <f t="shared" si="42"/>
        <v>52140</v>
      </c>
      <c r="H399" s="3">
        <f t="shared" si="43"/>
        <v>395</v>
      </c>
      <c r="I399" s="11">
        <f t="shared" si="44"/>
        <v>162325658</v>
      </c>
      <c r="J399" s="10">
        <f t="shared" si="45"/>
        <v>0.98175846044349868</v>
      </c>
      <c r="K399" s="5" t="str">
        <f t="shared" si="46"/>
        <v>C</v>
      </c>
      <c r="L399" s="8">
        <f>'3. Demand Forecast'!H273</f>
        <v>0.38</v>
      </c>
      <c r="M399" s="5" t="str">
        <f t="shared" si="47"/>
        <v>Y</v>
      </c>
      <c r="N399" s="5" t="str">
        <f t="shared" si="48"/>
        <v>CY</v>
      </c>
    </row>
    <row r="400" spans="1:14" ht="15" customHeight="1" x14ac:dyDescent="0.2">
      <c r="A400" s="3" t="str">
        <f>'1. Master Data'!A326</f>
        <v>NT10322</v>
      </c>
      <c r="B400" s="1" t="str">
        <f>'1. Master Data'!B326</f>
        <v>LumiBulb 622 RGB</v>
      </c>
      <c r="C400" s="3" t="str">
        <f>'1. Master Data'!C326</f>
        <v>Smart Home</v>
      </c>
      <c r="D400" s="3" t="str">
        <f>'1. Master Data'!D326</f>
        <v>Central DC</v>
      </c>
      <c r="E400" s="4">
        <f>'1. Master Data'!F326</f>
        <v>75</v>
      </c>
      <c r="F400" s="3">
        <f>'2. Demand History'!AA326</f>
        <v>690</v>
      </c>
      <c r="G400" s="4">
        <f t="shared" si="42"/>
        <v>51750</v>
      </c>
      <c r="H400" s="3">
        <f t="shared" si="43"/>
        <v>396</v>
      </c>
      <c r="I400" s="11">
        <f t="shared" si="44"/>
        <v>162377408</v>
      </c>
      <c r="J400" s="10">
        <f t="shared" si="45"/>
        <v>0.98207144854996264</v>
      </c>
      <c r="K400" s="5" t="str">
        <f t="shared" si="46"/>
        <v>C</v>
      </c>
      <c r="L400" s="8">
        <f>'3. Demand Forecast'!H326</f>
        <v>0.9</v>
      </c>
      <c r="M400" s="5" t="str">
        <f t="shared" si="47"/>
        <v>Z</v>
      </c>
      <c r="N400" s="5" t="str">
        <f t="shared" si="48"/>
        <v>CZ</v>
      </c>
    </row>
    <row r="401" spans="1:14" ht="15" customHeight="1" x14ac:dyDescent="0.2">
      <c r="A401" s="3" t="str">
        <f>'1. Master Data'!A243</f>
        <v>NT10239</v>
      </c>
      <c r="B401" s="1" t="str">
        <f>'1. Master Data'!B243</f>
        <v>PulseRing 448</v>
      </c>
      <c r="C401" s="3" t="str">
        <f>'1. Master Data'!C243</f>
        <v>Wearables</v>
      </c>
      <c r="D401" s="3" t="str">
        <f>'1. Master Data'!D243</f>
        <v>Central DC</v>
      </c>
      <c r="E401" s="4">
        <f>'1. Master Data'!F243</f>
        <v>172</v>
      </c>
      <c r="F401" s="3">
        <f>'2. Demand History'!AA243</f>
        <v>300</v>
      </c>
      <c r="G401" s="4">
        <f t="shared" si="42"/>
        <v>51600</v>
      </c>
      <c r="H401" s="3">
        <f t="shared" si="43"/>
        <v>397</v>
      </c>
      <c r="I401" s="11">
        <f t="shared" si="44"/>
        <v>162429008</v>
      </c>
      <c r="J401" s="10">
        <f t="shared" si="45"/>
        <v>0.9823835294445239</v>
      </c>
      <c r="K401" s="5" t="str">
        <f t="shared" si="46"/>
        <v>C</v>
      </c>
      <c r="L401" s="8">
        <f>'3. Demand Forecast'!H243</f>
        <v>0.32</v>
      </c>
      <c r="M401" s="5" t="str">
        <f t="shared" si="47"/>
        <v>Y</v>
      </c>
      <c r="N401" s="5" t="str">
        <f t="shared" si="48"/>
        <v>CY</v>
      </c>
    </row>
    <row r="402" spans="1:14" ht="15" customHeight="1" x14ac:dyDescent="0.2">
      <c r="A402" s="3" t="str">
        <f>'1. Master Data'!A394</f>
        <v>NT10390</v>
      </c>
      <c r="B402" s="1" t="str">
        <f>'1. Master Data'!B394</f>
        <v>ActionCam 753 4K</v>
      </c>
      <c r="C402" s="3" t="str">
        <f>'1. Master Data'!C394</f>
        <v>Cameras</v>
      </c>
      <c r="D402" s="3" t="str">
        <f>'1. Master Data'!D394</f>
        <v>Central DC</v>
      </c>
      <c r="E402" s="4">
        <f>'1. Master Data'!F394</f>
        <v>281</v>
      </c>
      <c r="F402" s="3">
        <f>'2. Demand History'!AA394</f>
        <v>179</v>
      </c>
      <c r="G402" s="4">
        <f t="shared" si="42"/>
        <v>50299</v>
      </c>
      <c r="H402" s="3">
        <f t="shared" si="43"/>
        <v>398</v>
      </c>
      <c r="I402" s="11">
        <f t="shared" si="44"/>
        <v>162479307</v>
      </c>
      <c r="J402" s="10">
        <f t="shared" si="45"/>
        <v>0.98268774178784835</v>
      </c>
      <c r="K402" s="5" t="str">
        <f t="shared" si="46"/>
        <v>C</v>
      </c>
      <c r="L402" s="8">
        <f>'3. Demand Forecast'!H394</f>
        <v>0.28000000000000003</v>
      </c>
      <c r="M402" s="5" t="str">
        <f t="shared" si="47"/>
        <v>Y</v>
      </c>
      <c r="N402" s="5" t="str">
        <f t="shared" si="48"/>
        <v>CY</v>
      </c>
    </row>
    <row r="403" spans="1:14" ht="15" customHeight="1" x14ac:dyDescent="0.2">
      <c r="A403" s="3" t="str">
        <f>'1. Master Data'!A290</f>
        <v>NT10286</v>
      </c>
      <c r="B403" s="1" t="str">
        <f>'1. Master Data'!B290</f>
        <v>ArenaHeadset H403</v>
      </c>
      <c r="C403" s="3" t="str">
        <f>'1. Master Data'!C290</f>
        <v>Gaming</v>
      </c>
      <c r="D403" s="3" t="str">
        <f>'1. Master Data'!D290</f>
        <v>West DC</v>
      </c>
      <c r="E403" s="4">
        <f>'1. Master Data'!F290</f>
        <v>95</v>
      </c>
      <c r="F403" s="3">
        <f>'2. Demand History'!AA290</f>
        <v>528</v>
      </c>
      <c r="G403" s="4">
        <f t="shared" si="42"/>
        <v>50160</v>
      </c>
      <c r="H403" s="3">
        <f t="shared" si="43"/>
        <v>399</v>
      </c>
      <c r="I403" s="11">
        <f t="shared" si="44"/>
        <v>162529467</v>
      </c>
      <c r="J403" s="10">
        <f t="shared" si="45"/>
        <v>0.98299111344814272</v>
      </c>
      <c r="K403" s="5" t="str">
        <f t="shared" si="46"/>
        <v>C</v>
      </c>
      <c r="L403" s="8">
        <f>'3. Demand Forecast'!H290</f>
        <v>0.3</v>
      </c>
      <c r="M403" s="5" t="str">
        <f t="shared" si="47"/>
        <v>Y</v>
      </c>
      <c r="N403" s="5" t="str">
        <f t="shared" si="48"/>
        <v>CY</v>
      </c>
    </row>
    <row r="404" spans="1:14" ht="15" customHeight="1" x14ac:dyDescent="0.2">
      <c r="A404" s="3" t="str">
        <f>'1. Master Data'!A337</f>
        <v>NT10333</v>
      </c>
      <c r="B404" s="1" t="str">
        <f>'1. Master Data'!B337</f>
        <v>SmartPlug Duo 717</v>
      </c>
      <c r="C404" s="3" t="str">
        <f>'1. Master Data'!C337</f>
        <v>Smart Home</v>
      </c>
      <c r="D404" s="3" t="str">
        <f>'1. Master Data'!D337</f>
        <v>Central DC</v>
      </c>
      <c r="E404" s="4">
        <f>'1. Master Data'!F337</f>
        <v>23</v>
      </c>
      <c r="F404" s="3">
        <f>'2. Demand History'!AA337</f>
        <v>2145</v>
      </c>
      <c r="G404" s="4">
        <f t="shared" si="42"/>
        <v>49335</v>
      </c>
      <c r="H404" s="3">
        <f t="shared" si="43"/>
        <v>400</v>
      </c>
      <c r="I404" s="11">
        <f t="shared" si="44"/>
        <v>162578802</v>
      </c>
      <c r="J404" s="10">
        <f t="shared" si="45"/>
        <v>0.98328949544297184</v>
      </c>
      <c r="K404" s="5" t="str">
        <f t="shared" si="46"/>
        <v>C</v>
      </c>
      <c r="L404" s="8">
        <f>'3. Demand Forecast'!H337</f>
        <v>0.08</v>
      </c>
      <c r="M404" s="5" t="str">
        <f t="shared" si="47"/>
        <v>X</v>
      </c>
      <c r="N404" s="5" t="str">
        <f t="shared" si="48"/>
        <v>CX</v>
      </c>
    </row>
    <row r="405" spans="1:14" ht="15" customHeight="1" x14ac:dyDescent="0.2">
      <c r="A405" s="3" t="str">
        <f>'1. Master Data'!A181</f>
        <v>NT10177</v>
      </c>
      <c r="B405" s="1" t="str">
        <f>'1. Master Data'!B181</f>
        <v>StudioPods 405 ANC</v>
      </c>
      <c r="C405" s="3" t="str">
        <f>'1. Master Data'!C181</f>
        <v>Audio</v>
      </c>
      <c r="D405" s="3" t="str">
        <f>'1. Master Data'!D181</f>
        <v>East DC</v>
      </c>
      <c r="E405" s="4">
        <f>'1. Master Data'!F181</f>
        <v>32</v>
      </c>
      <c r="F405" s="3">
        <f>'2. Demand History'!AA181</f>
        <v>1531</v>
      </c>
      <c r="G405" s="4">
        <f t="shared" si="42"/>
        <v>48992</v>
      </c>
      <c r="H405" s="3">
        <f t="shared" si="43"/>
        <v>401</v>
      </c>
      <c r="I405" s="11">
        <f t="shared" si="44"/>
        <v>162627794</v>
      </c>
      <c r="J405" s="10">
        <f t="shared" si="45"/>
        <v>0.98358580294658315</v>
      </c>
      <c r="K405" s="5" t="str">
        <f t="shared" si="46"/>
        <v>C</v>
      </c>
      <c r="L405" s="8">
        <f>'3. Demand Forecast'!H181</f>
        <v>0.3</v>
      </c>
      <c r="M405" s="5" t="str">
        <f t="shared" si="47"/>
        <v>Y</v>
      </c>
      <c r="N405" s="5" t="str">
        <f t="shared" si="48"/>
        <v>CY</v>
      </c>
    </row>
    <row r="406" spans="1:14" ht="15" customHeight="1" x14ac:dyDescent="0.2">
      <c r="A406" s="3" t="str">
        <f>'1. Master Data'!A347</f>
        <v>NT10343</v>
      </c>
      <c r="B406" s="1" t="str">
        <f>'1. Master Data'!B347</f>
        <v>SmartPlug Duo 481</v>
      </c>
      <c r="C406" s="3" t="str">
        <f>'1. Master Data'!C347</f>
        <v>Smart Home</v>
      </c>
      <c r="D406" s="3" t="str">
        <f>'1. Master Data'!D347</f>
        <v>East DC</v>
      </c>
      <c r="E406" s="4">
        <f>'1. Master Data'!F347</f>
        <v>25</v>
      </c>
      <c r="F406" s="3">
        <f>'2. Demand History'!AA347</f>
        <v>1957</v>
      </c>
      <c r="G406" s="4">
        <f t="shared" si="42"/>
        <v>48925</v>
      </c>
      <c r="H406" s="3">
        <f t="shared" si="43"/>
        <v>402</v>
      </c>
      <c r="I406" s="11">
        <f t="shared" si="44"/>
        <v>162676719</v>
      </c>
      <c r="J406" s="10">
        <f t="shared" si="45"/>
        <v>0.98388170522887786</v>
      </c>
      <c r="K406" s="5" t="str">
        <f t="shared" si="46"/>
        <v>C</v>
      </c>
      <c r="L406" s="8">
        <f>'3. Demand Forecast'!H347</f>
        <v>0.06</v>
      </c>
      <c r="M406" s="5" t="str">
        <f t="shared" si="47"/>
        <v>X</v>
      </c>
      <c r="N406" s="5" t="str">
        <f t="shared" si="48"/>
        <v>CX</v>
      </c>
    </row>
    <row r="407" spans="1:14" ht="15" customHeight="1" x14ac:dyDescent="0.2">
      <c r="A407" s="3" t="str">
        <f>'1. Master Data'!A388</f>
        <v>NT10384</v>
      </c>
      <c r="B407" s="1" t="str">
        <f>'1. Master Data'!B388</f>
        <v>MirrorlessM 246</v>
      </c>
      <c r="C407" s="3" t="str">
        <f>'1. Master Data'!C388</f>
        <v>Cameras</v>
      </c>
      <c r="D407" s="3" t="str">
        <f>'1. Master Data'!D388</f>
        <v>Central DC</v>
      </c>
      <c r="E407" s="4">
        <f>'1. Master Data'!F388</f>
        <v>358</v>
      </c>
      <c r="F407" s="3">
        <f>'2. Demand History'!AA388</f>
        <v>136</v>
      </c>
      <c r="G407" s="4">
        <f t="shared" si="42"/>
        <v>48688</v>
      </c>
      <c r="H407" s="3">
        <f t="shared" si="43"/>
        <v>403</v>
      </c>
      <c r="I407" s="11">
        <f t="shared" si="44"/>
        <v>162725407</v>
      </c>
      <c r="J407" s="10">
        <f t="shared" si="45"/>
        <v>0.98417617411636626</v>
      </c>
      <c r="K407" s="5" t="str">
        <f t="shared" si="46"/>
        <v>C</v>
      </c>
      <c r="L407" s="8">
        <f>'3. Demand Forecast'!H388</f>
        <v>0.28999999999999998</v>
      </c>
      <c r="M407" s="5" t="str">
        <f t="shared" si="47"/>
        <v>Y</v>
      </c>
      <c r="N407" s="5" t="str">
        <f t="shared" si="48"/>
        <v>CY</v>
      </c>
    </row>
    <row r="408" spans="1:14" ht="15" customHeight="1" x14ac:dyDescent="0.2">
      <c r="A408" s="3" t="str">
        <f>'1. Master Data'!A233</f>
        <v>NT10229</v>
      </c>
      <c r="B408" s="1" t="str">
        <f>'1. Master Data'!B233</f>
        <v>FitTrack Band 496</v>
      </c>
      <c r="C408" s="3" t="str">
        <f>'1. Master Data'!C233</f>
        <v>Wearables</v>
      </c>
      <c r="D408" s="3" t="str">
        <f>'1. Master Data'!D233</f>
        <v>Central DC</v>
      </c>
      <c r="E408" s="4">
        <f>'1. Master Data'!F233</f>
        <v>74</v>
      </c>
      <c r="F408" s="3">
        <f>'2. Demand History'!AA233</f>
        <v>656</v>
      </c>
      <c r="G408" s="4">
        <f t="shared" si="42"/>
        <v>48544</v>
      </c>
      <c r="H408" s="3">
        <f t="shared" si="43"/>
        <v>404</v>
      </c>
      <c r="I408" s="11">
        <f t="shared" si="44"/>
        <v>162773951</v>
      </c>
      <c r="J408" s="10">
        <f t="shared" si="45"/>
        <v>0.98446977208042785</v>
      </c>
      <c r="K408" s="5" t="str">
        <f t="shared" si="46"/>
        <v>C</v>
      </c>
      <c r="L408" s="8">
        <f>'3. Demand Forecast'!H233</f>
        <v>0.25</v>
      </c>
      <c r="M408" s="5" t="str">
        <f t="shared" si="47"/>
        <v>X</v>
      </c>
      <c r="N408" s="5" t="str">
        <f t="shared" si="48"/>
        <v>CX</v>
      </c>
    </row>
    <row r="409" spans="1:14" ht="15" customHeight="1" x14ac:dyDescent="0.2">
      <c r="A409" s="3" t="str">
        <f>'1. Master Data'!A263</f>
        <v>NT10259</v>
      </c>
      <c r="B409" s="1" t="str">
        <f>'1. Master Data'!B263</f>
        <v>StreamCam S482</v>
      </c>
      <c r="C409" s="3" t="str">
        <f>'1. Master Data'!C263</f>
        <v>Gaming</v>
      </c>
      <c r="D409" s="3" t="str">
        <f>'1. Master Data'!D263</f>
        <v>Central DC</v>
      </c>
      <c r="E409" s="4">
        <f>'1. Master Data'!F263</f>
        <v>112</v>
      </c>
      <c r="F409" s="3">
        <f>'2. Demand History'!AA263</f>
        <v>430</v>
      </c>
      <c r="G409" s="4">
        <f t="shared" si="42"/>
        <v>48160</v>
      </c>
      <c r="H409" s="3">
        <f t="shared" si="43"/>
        <v>405</v>
      </c>
      <c r="I409" s="11">
        <f t="shared" si="44"/>
        <v>162822111</v>
      </c>
      <c r="J409" s="10">
        <f t="shared" si="45"/>
        <v>0.98476104758201843</v>
      </c>
      <c r="K409" s="5" t="str">
        <f t="shared" si="46"/>
        <v>C</v>
      </c>
      <c r="L409" s="8">
        <f>'3. Demand Forecast'!H263</f>
        <v>0.3</v>
      </c>
      <c r="M409" s="5" t="str">
        <f t="shared" si="47"/>
        <v>Y</v>
      </c>
      <c r="N409" s="5" t="str">
        <f t="shared" si="48"/>
        <v>CY</v>
      </c>
    </row>
    <row r="410" spans="1:14" ht="15" customHeight="1" x14ac:dyDescent="0.2">
      <c r="A410" s="3" t="str">
        <f>'1. Master Data'!A463</f>
        <v>NT10459</v>
      </c>
      <c r="B410" s="1" t="str">
        <f>'1. Master Data'!B463</f>
        <v>Wall Charger 65W V938</v>
      </c>
      <c r="C410" s="3" t="str">
        <f>'1. Master Data'!C463</f>
        <v>Accessories</v>
      </c>
      <c r="D410" s="3" t="str">
        <f>'1. Master Data'!D463</f>
        <v>East DC</v>
      </c>
      <c r="E410" s="4">
        <f>'1. Master Data'!F463</f>
        <v>29</v>
      </c>
      <c r="F410" s="3">
        <f>'2. Demand History'!AA463</f>
        <v>1626</v>
      </c>
      <c r="G410" s="4">
        <f t="shared" si="42"/>
        <v>47154</v>
      </c>
      <c r="H410" s="3">
        <f t="shared" si="43"/>
        <v>406</v>
      </c>
      <c r="I410" s="11">
        <f t="shared" si="44"/>
        <v>162869265</v>
      </c>
      <c r="J410" s="10">
        <f t="shared" si="45"/>
        <v>0.98504623871578079</v>
      </c>
      <c r="K410" s="5" t="str">
        <f t="shared" si="46"/>
        <v>C</v>
      </c>
      <c r="L410" s="8">
        <f>'3. Demand Forecast'!H463</f>
        <v>0.05</v>
      </c>
      <c r="M410" s="5" t="str">
        <f t="shared" si="47"/>
        <v>X</v>
      </c>
      <c r="N410" s="5" t="str">
        <f t="shared" si="48"/>
        <v>CX</v>
      </c>
    </row>
    <row r="411" spans="1:14" ht="15" customHeight="1" x14ac:dyDescent="0.2">
      <c r="A411" s="3" t="str">
        <f>'1. Master Data'!A168</f>
        <v>NT10164</v>
      </c>
      <c r="B411" s="1" t="str">
        <f>'1. Master Data'!B168</f>
        <v>ClipMic 995 Wireless</v>
      </c>
      <c r="C411" s="3" t="str">
        <f>'1. Master Data'!C168</f>
        <v>Audio</v>
      </c>
      <c r="D411" s="3" t="str">
        <f>'1. Master Data'!D168</f>
        <v>Central DC</v>
      </c>
      <c r="E411" s="4">
        <f>'1. Master Data'!F168</f>
        <v>50</v>
      </c>
      <c r="F411" s="3">
        <f>'2. Demand History'!AA168</f>
        <v>928</v>
      </c>
      <c r="G411" s="4">
        <f t="shared" si="42"/>
        <v>46400</v>
      </c>
      <c r="H411" s="3">
        <f t="shared" si="43"/>
        <v>407</v>
      </c>
      <c r="I411" s="11">
        <f t="shared" si="44"/>
        <v>162915665</v>
      </c>
      <c r="J411" s="10">
        <f t="shared" si="45"/>
        <v>0.98532686959771187</v>
      </c>
      <c r="K411" s="5" t="str">
        <f t="shared" si="46"/>
        <v>C</v>
      </c>
      <c r="L411" s="8">
        <f>'3. Demand Forecast'!H168</f>
        <v>0.35</v>
      </c>
      <c r="M411" s="5" t="str">
        <f t="shared" si="47"/>
        <v>Y</v>
      </c>
      <c r="N411" s="5" t="str">
        <f t="shared" si="48"/>
        <v>CY</v>
      </c>
    </row>
    <row r="412" spans="1:14" ht="15" customHeight="1" x14ac:dyDescent="0.2">
      <c r="A412" s="3" t="str">
        <f>'1. Master Data'!A229</f>
        <v>NT10225</v>
      </c>
      <c r="B412" s="1" t="str">
        <f>'1. Master Data'!B229</f>
        <v>FitTrack Band 167</v>
      </c>
      <c r="C412" s="3" t="str">
        <f>'1. Master Data'!C229</f>
        <v>Wearables</v>
      </c>
      <c r="D412" s="3" t="str">
        <f>'1. Master Data'!D229</f>
        <v>East DC</v>
      </c>
      <c r="E412" s="4">
        <f>'1. Master Data'!F229</f>
        <v>117</v>
      </c>
      <c r="F412" s="3">
        <f>'2. Demand History'!AA229</f>
        <v>395</v>
      </c>
      <c r="G412" s="4">
        <f t="shared" si="42"/>
        <v>46215</v>
      </c>
      <c r="H412" s="3">
        <f t="shared" si="43"/>
        <v>408</v>
      </c>
      <c r="I412" s="11">
        <f t="shared" si="44"/>
        <v>162961880</v>
      </c>
      <c r="J412" s="10">
        <f t="shared" si="45"/>
        <v>0.98560638158496283</v>
      </c>
      <c r="K412" s="5" t="str">
        <f t="shared" si="46"/>
        <v>C</v>
      </c>
      <c r="L412" s="8">
        <f>'3. Demand Forecast'!H229</f>
        <v>0.3</v>
      </c>
      <c r="M412" s="5" t="str">
        <f t="shared" si="47"/>
        <v>Y</v>
      </c>
      <c r="N412" s="5" t="str">
        <f t="shared" si="48"/>
        <v>CY</v>
      </c>
    </row>
    <row r="413" spans="1:14" ht="15" customHeight="1" x14ac:dyDescent="0.2">
      <c r="A413" s="3" t="str">
        <f>'1. Master Data'!A228</f>
        <v>NT10224</v>
      </c>
      <c r="B413" s="1" t="str">
        <f>'1. Master Data'!B228</f>
        <v>PulseRing 309</v>
      </c>
      <c r="C413" s="3" t="str">
        <f>'1. Master Data'!C228</f>
        <v>Wearables</v>
      </c>
      <c r="D413" s="3" t="str">
        <f>'1. Master Data'!D228</f>
        <v>Central DC</v>
      </c>
      <c r="E413" s="4">
        <f>'1. Master Data'!F228</f>
        <v>57</v>
      </c>
      <c r="F413" s="3">
        <f>'2. Demand History'!AA228</f>
        <v>791</v>
      </c>
      <c r="G413" s="4">
        <f t="shared" si="42"/>
        <v>45087</v>
      </c>
      <c r="H413" s="3">
        <f t="shared" si="43"/>
        <v>409</v>
      </c>
      <c r="I413" s="11">
        <f t="shared" si="44"/>
        <v>163006967</v>
      </c>
      <c r="J413" s="10">
        <f t="shared" si="45"/>
        <v>0.98587907133870478</v>
      </c>
      <c r="K413" s="5" t="str">
        <f t="shared" si="46"/>
        <v>C</v>
      </c>
      <c r="L413" s="8">
        <f>'3. Demand Forecast'!H228</f>
        <v>0.35</v>
      </c>
      <c r="M413" s="5" t="str">
        <f t="shared" si="47"/>
        <v>Y</v>
      </c>
      <c r="N413" s="5" t="str">
        <f t="shared" si="48"/>
        <v>CY</v>
      </c>
    </row>
    <row r="414" spans="1:14" ht="15" customHeight="1" x14ac:dyDescent="0.2">
      <c r="A414" s="3" t="str">
        <f>'1. Master Data'!A381</f>
        <v>NT10377</v>
      </c>
      <c r="B414" s="1" t="str">
        <f>'1. Master Data'!B381</f>
        <v>MirrorlessM 687</v>
      </c>
      <c r="C414" s="3" t="str">
        <f>'1. Master Data'!C381</f>
        <v>Cameras</v>
      </c>
      <c r="D414" s="3" t="str">
        <f>'1. Master Data'!D381</f>
        <v>West DC</v>
      </c>
      <c r="E414" s="4">
        <f>'1. Master Data'!F381</f>
        <v>354</v>
      </c>
      <c r="F414" s="3">
        <f>'2. Demand History'!AA381</f>
        <v>127</v>
      </c>
      <c r="G414" s="4">
        <f t="shared" si="42"/>
        <v>44958</v>
      </c>
      <c r="H414" s="3">
        <f t="shared" si="43"/>
        <v>410</v>
      </c>
      <c r="I414" s="11">
        <f t="shared" si="44"/>
        <v>163051925</v>
      </c>
      <c r="J414" s="10">
        <f t="shared" si="45"/>
        <v>0.98615098089021025</v>
      </c>
      <c r="K414" s="5" t="str">
        <f t="shared" si="46"/>
        <v>C</v>
      </c>
      <c r="L414" s="8">
        <f>'3. Demand Forecast'!H381</f>
        <v>0.28999999999999998</v>
      </c>
      <c r="M414" s="5" t="str">
        <f t="shared" si="47"/>
        <v>Y</v>
      </c>
      <c r="N414" s="5" t="str">
        <f t="shared" si="48"/>
        <v>CY</v>
      </c>
    </row>
    <row r="415" spans="1:14" ht="15" customHeight="1" x14ac:dyDescent="0.2">
      <c r="A415" s="3" t="str">
        <f>'1. Master Data'!A340</f>
        <v>NT10336</v>
      </c>
      <c r="B415" s="1" t="str">
        <f>'1. Master Data'!B340</f>
        <v>SmartPlug Duo 577</v>
      </c>
      <c r="C415" s="3" t="str">
        <f>'1. Master Data'!C340</f>
        <v>Smart Home</v>
      </c>
      <c r="D415" s="3" t="str">
        <f>'1. Master Data'!D340</f>
        <v>East DC</v>
      </c>
      <c r="E415" s="4">
        <f>'1. Master Data'!F340</f>
        <v>102</v>
      </c>
      <c r="F415" s="3">
        <f>'2. Demand History'!AA340</f>
        <v>431</v>
      </c>
      <c r="G415" s="4">
        <f t="shared" si="42"/>
        <v>43962</v>
      </c>
      <c r="H415" s="3">
        <f t="shared" si="43"/>
        <v>411</v>
      </c>
      <c r="I415" s="11">
        <f t="shared" si="44"/>
        <v>163095887</v>
      </c>
      <c r="J415" s="10">
        <f t="shared" si="45"/>
        <v>0.98641686655468119</v>
      </c>
      <c r="K415" s="5" t="str">
        <f t="shared" si="46"/>
        <v>C</v>
      </c>
      <c r="L415" s="8">
        <f>'3. Demand Forecast'!H340</f>
        <v>7.0000000000000007E-2</v>
      </c>
      <c r="M415" s="5" t="str">
        <f t="shared" si="47"/>
        <v>X</v>
      </c>
      <c r="N415" s="5" t="str">
        <f t="shared" si="48"/>
        <v>CX</v>
      </c>
    </row>
    <row r="416" spans="1:14" ht="15" customHeight="1" x14ac:dyDescent="0.2">
      <c r="A416" s="3" t="str">
        <f>'1. Master Data'!A358</f>
        <v>NT10354</v>
      </c>
      <c r="B416" s="1" t="str">
        <f>'1. Master Data'!B358</f>
        <v>ActionCam 521 4K</v>
      </c>
      <c r="C416" s="3" t="str">
        <f>'1. Master Data'!C358</f>
        <v>Cameras</v>
      </c>
      <c r="D416" s="3" t="str">
        <f>'1. Master Data'!D358</f>
        <v>Central DC</v>
      </c>
      <c r="E416" s="4">
        <f>'1. Master Data'!F358</f>
        <v>223</v>
      </c>
      <c r="F416" s="3">
        <f>'2. Demand History'!AA358</f>
        <v>197</v>
      </c>
      <c r="G416" s="4">
        <f t="shared" si="42"/>
        <v>43931</v>
      </c>
      <c r="H416" s="3">
        <f t="shared" si="43"/>
        <v>412</v>
      </c>
      <c r="I416" s="11">
        <f t="shared" si="44"/>
        <v>163139818</v>
      </c>
      <c r="J416" s="10">
        <f t="shared" si="45"/>
        <v>0.98668256472869231</v>
      </c>
      <c r="K416" s="5" t="str">
        <f t="shared" si="46"/>
        <v>C</v>
      </c>
      <c r="L416" s="8">
        <f>'3. Demand Forecast'!H358</f>
        <v>0.26</v>
      </c>
      <c r="M416" s="5" t="str">
        <f t="shared" si="47"/>
        <v>Y</v>
      </c>
      <c r="N416" s="5" t="str">
        <f t="shared" si="48"/>
        <v>CY</v>
      </c>
    </row>
    <row r="417" spans="1:14" ht="15" customHeight="1" x14ac:dyDescent="0.2">
      <c r="A417" s="3" t="str">
        <f>'1. Master Data'!A477</f>
        <v>NT10473</v>
      </c>
      <c r="B417" s="1" t="str">
        <f>'1. Master Data'!B477</f>
        <v>HDMI Cable 4K V358</v>
      </c>
      <c r="C417" s="3" t="str">
        <f>'1. Master Data'!C477</f>
        <v>Accessories</v>
      </c>
      <c r="D417" s="3" t="str">
        <f>'1. Master Data'!D477</f>
        <v>West DC</v>
      </c>
      <c r="E417" s="4">
        <f>'1. Master Data'!F477</f>
        <v>9</v>
      </c>
      <c r="F417" s="3">
        <f>'2. Demand History'!AA477</f>
        <v>4763</v>
      </c>
      <c r="G417" s="4">
        <f t="shared" si="42"/>
        <v>42867</v>
      </c>
      <c r="H417" s="3">
        <f t="shared" si="43"/>
        <v>413</v>
      </c>
      <c r="I417" s="11">
        <f t="shared" si="44"/>
        <v>163182685</v>
      </c>
      <c r="J417" s="10">
        <f t="shared" si="45"/>
        <v>0.98694182774627282</v>
      </c>
      <c r="K417" s="5" t="str">
        <f t="shared" si="46"/>
        <v>C</v>
      </c>
      <c r="L417" s="8">
        <f>'3. Demand Forecast'!H477</f>
        <v>0.05</v>
      </c>
      <c r="M417" s="5" t="str">
        <f t="shared" si="47"/>
        <v>X</v>
      </c>
      <c r="N417" s="5" t="str">
        <f t="shared" si="48"/>
        <v>CX</v>
      </c>
    </row>
    <row r="418" spans="1:14" ht="15" customHeight="1" x14ac:dyDescent="0.2">
      <c r="A418" s="3" t="str">
        <f>'1. Master Data'!A354</f>
        <v>NT10350</v>
      </c>
      <c r="B418" s="1" t="str">
        <f>'1. Master Data'!B354</f>
        <v>SmartPlug Duo 486</v>
      </c>
      <c r="C418" s="3" t="str">
        <f>'1. Master Data'!C354</f>
        <v>Smart Home</v>
      </c>
      <c r="D418" s="3" t="str">
        <f>'1. Master Data'!D354</f>
        <v>East DC</v>
      </c>
      <c r="E418" s="4">
        <f>'1. Master Data'!F354</f>
        <v>21</v>
      </c>
      <c r="F418" s="3">
        <f>'2. Demand History'!AA354</f>
        <v>2041</v>
      </c>
      <c r="G418" s="4">
        <f t="shared" si="42"/>
        <v>42861</v>
      </c>
      <c r="H418" s="3">
        <f t="shared" si="43"/>
        <v>414</v>
      </c>
      <c r="I418" s="11">
        <f t="shared" si="44"/>
        <v>163225546</v>
      </c>
      <c r="J418" s="10">
        <f t="shared" si="45"/>
        <v>0.98720105447537732</v>
      </c>
      <c r="K418" s="5" t="str">
        <f t="shared" si="46"/>
        <v>C</v>
      </c>
      <c r="L418" s="8">
        <f>'3. Demand Forecast'!H354</f>
        <v>0.1</v>
      </c>
      <c r="M418" s="5" t="str">
        <f t="shared" si="47"/>
        <v>X</v>
      </c>
      <c r="N418" s="5" t="str">
        <f t="shared" si="48"/>
        <v>CX</v>
      </c>
    </row>
    <row r="419" spans="1:14" ht="15" customHeight="1" x14ac:dyDescent="0.2">
      <c r="A419" s="3" t="str">
        <f>'1. Master Data'!A310</f>
        <v>NT10306</v>
      </c>
      <c r="B419" s="1" t="str">
        <f>'1. Master Data'!B310</f>
        <v>SmartPlug Duo 900</v>
      </c>
      <c r="C419" s="3" t="str">
        <f>'1. Master Data'!C310</f>
        <v>Smart Home</v>
      </c>
      <c r="D419" s="3" t="str">
        <f>'1. Master Data'!D310</f>
        <v>East DC</v>
      </c>
      <c r="E419" s="4">
        <f>'1. Master Data'!F310</f>
        <v>60</v>
      </c>
      <c r="F419" s="3">
        <f>'2. Demand History'!AA310</f>
        <v>712</v>
      </c>
      <c r="G419" s="4">
        <f t="shared" si="42"/>
        <v>42720</v>
      </c>
      <c r="H419" s="3">
        <f t="shared" si="43"/>
        <v>415</v>
      </c>
      <c r="I419" s="11">
        <f t="shared" si="44"/>
        <v>163268266</v>
      </c>
      <c r="J419" s="10">
        <f t="shared" si="45"/>
        <v>0.98745942842529311</v>
      </c>
      <c r="K419" s="5" t="str">
        <f t="shared" si="46"/>
        <v>C</v>
      </c>
      <c r="L419" s="8">
        <f>'3. Demand Forecast'!H310</f>
        <v>0.06</v>
      </c>
      <c r="M419" s="5" t="str">
        <f t="shared" si="47"/>
        <v>X</v>
      </c>
      <c r="N419" s="5" t="str">
        <f t="shared" si="48"/>
        <v>CX</v>
      </c>
    </row>
    <row r="420" spans="1:14" ht="15" customHeight="1" x14ac:dyDescent="0.2">
      <c r="A420" s="3" t="str">
        <f>'1. Master Data'!A417</f>
        <v>NT10413</v>
      </c>
      <c r="B420" s="1" t="str">
        <f>'1. Master Data'!B417</f>
        <v>NovaTab 817 Kids</v>
      </c>
      <c r="C420" s="3" t="str">
        <f>'1. Master Data'!C417</f>
        <v>Tablets</v>
      </c>
      <c r="D420" s="3" t="str">
        <f>'1. Master Data'!D417</f>
        <v>Central DC</v>
      </c>
      <c r="E420" s="4">
        <f>'1. Master Data'!F417</f>
        <v>216</v>
      </c>
      <c r="F420" s="3">
        <f>'2. Demand History'!AA417</f>
        <v>195</v>
      </c>
      <c r="G420" s="4">
        <f t="shared" si="42"/>
        <v>42120</v>
      </c>
      <c r="H420" s="3">
        <f t="shared" si="43"/>
        <v>416</v>
      </c>
      <c r="I420" s="11">
        <f t="shared" si="44"/>
        <v>163310386</v>
      </c>
      <c r="J420" s="10">
        <f t="shared" si="45"/>
        <v>0.98771417352759783</v>
      </c>
      <c r="K420" s="5" t="str">
        <f t="shared" si="46"/>
        <v>C</v>
      </c>
      <c r="L420" s="8">
        <f>'3. Demand Forecast'!H417</f>
        <v>0.26</v>
      </c>
      <c r="M420" s="5" t="str">
        <f t="shared" si="47"/>
        <v>Y</v>
      </c>
      <c r="N420" s="5" t="str">
        <f t="shared" si="48"/>
        <v>CY</v>
      </c>
    </row>
    <row r="421" spans="1:14" ht="15" customHeight="1" x14ac:dyDescent="0.2">
      <c r="A421" s="3" t="str">
        <f>'1. Master Data'!A252</f>
        <v>NT10248</v>
      </c>
      <c r="B421" s="1" t="str">
        <f>'1. Master Data'!B252</f>
        <v>StepOne Tracker 517</v>
      </c>
      <c r="C421" s="3" t="str">
        <f>'1. Master Data'!C252</f>
        <v>Wearables</v>
      </c>
      <c r="D421" s="3" t="str">
        <f>'1. Master Data'!D252</f>
        <v>East DC</v>
      </c>
      <c r="E421" s="4">
        <f>'1. Master Data'!F252</f>
        <v>70</v>
      </c>
      <c r="F421" s="3">
        <f>'2. Demand History'!AA252</f>
        <v>593</v>
      </c>
      <c r="G421" s="4">
        <f t="shared" si="42"/>
        <v>41510</v>
      </c>
      <c r="H421" s="3">
        <f t="shared" si="43"/>
        <v>417</v>
      </c>
      <c r="I421" s="11">
        <f t="shared" si="44"/>
        <v>163351896</v>
      </c>
      <c r="J421" s="10">
        <f t="shared" si="45"/>
        <v>0.98796522930149777</v>
      </c>
      <c r="K421" s="5" t="str">
        <f t="shared" si="46"/>
        <v>C</v>
      </c>
      <c r="L421" s="8">
        <f>'3. Demand Forecast'!H252</f>
        <v>0.33</v>
      </c>
      <c r="M421" s="5" t="str">
        <f t="shared" si="47"/>
        <v>Y</v>
      </c>
      <c r="N421" s="5" t="str">
        <f t="shared" si="48"/>
        <v>CY</v>
      </c>
    </row>
    <row r="422" spans="1:14" ht="15" customHeight="1" x14ac:dyDescent="0.2">
      <c r="A422" s="3" t="str">
        <f>'1. Master Data'!A198</f>
        <v>NT10194</v>
      </c>
      <c r="B422" s="1" t="str">
        <f>'1. Master Data'!B198</f>
        <v>SoundCore Buds 815</v>
      </c>
      <c r="C422" s="3" t="str">
        <f>'1. Master Data'!C198</f>
        <v>Audio</v>
      </c>
      <c r="D422" s="3" t="str">
        <f>'1. Master Data'!D198</f>
        <v>Central DC</v>
      </c>
      <c r="E422" s="4">
        <f>'1. Master Data'!F198</f>
        <v>195</v>
      </c>
      <c r="F422" s="3">
        <f>'2. Demand History'!AA198</f>
        <v>209</v>
      </c>
      <c r="G422" s="4">
        <f t="shared" si="42"/>
        <v>40755</v>
      </c>
      <c r="H422" s="3">
        <f t="shared" si="43"/>
        <v>418</v>
      </c>
      <c r="I422" s="11">
        <f t="shared" si="44"/>
        <v>163392651</v>
      </c>
      <c r="J422" s="10">
        <f t="shared" si="45"/>
        <v>0.98821171877548697</v>
      </c>
      <c r="K422" s="5" t="str">
        <f t="shared" si="46"/>
        <v>C</v>
      </c>
      <c r="L422" s="8">
        <f>'3. Demand Forecast'!H198</f>
        <v>0.35</v>
      </c>
      <c r="M422" s="5" t="str">
        <f t="shared" si="47"/>
        <v>Y</v>
      </c>
      <c r="N422" s="5" t="str">
        <f t="shared" si="48"/>
        <v>CY</v>
      </c>
    </row>
    <row r="423" spans="1:14" ht="15" customHeight="1" x14ac:dyDescent="0.2">
      <c r="A423" s="3" t="str">
        <f>'1. Master Data'!A471</f>
        <v>NT10467</v>
      </c>
      <c r="B423" s="1" t="str">
        <f>'1. Master Data'!B471</f>
        <v>Screen Guard 172</v>
      </c>
      <c r="C423" s="3" t="str">
        <f>'1. Master Data'!C471</f>
        <v>Accessories</v>
      </c>
      <c r="D423" s="3" t="str">
        <f>'1. Master Data'!D471</f>
        <v>Central DC</v>
      </c>
      <c r="E423" s="4">
        <f>'1. Master Data'!F471</f>
        <v>6</v>
      </c>
      <c r="F423" s="3">
        <f>'2. Demand History'!AA471</f>
        <v>6787</v>
      </c>
      <c r="G423" s="4">
        <f t="shared" si="42"/>
        <v>40722</v>
      </c>
      <c r="H423" s="3">
        <f t="shared" si="43"/>
        <v>419</v>
      </c>
      <c r="I423" s="11">
        <f t="shared" si="44"/>
        <v>163433373</v>
      </c>
      <c r="J423" s="10">
        <f t="shared" si="45"/>
        <v>0.9884580086628576</v>
      </c>
      <c r="K423" s="5" t="str">
        <f t="shared" si="46"/>
        <v>C</v>
      </c>
      <c r="L423" s="8">
        <f>'3. Demand Forecast'!H471</f>
        <v>0.12</v>
      </c>
      <c r="M423" s="5" t="str">
        <f t="shared" si="47"/>
        <v>X</v>
      </c>
      <c r="N423" s="5" t="str">
        <f t="shared" si="48"/>
        <v>CX</v>
      </c>
    </row>
    <row r="424" spans="1:14" ht="15" customHeight="1" x14ac:dyDescent="0.2">
      <c r="A424" s="3" t="str">
        <f>'1. Master Data'!A146</f>
        <v>NT10142</v>
      </c>
      <c r="B424" s="1" t="str">
        <f>'1. Master Data'!B146</f>
        <v>CinemaMax 625in 8K</v>
      </c>
      <c r="C424" s="3" t="str">
        <f>'1. Master Data'!C146</f>
        <v>TVs</v>
      </c>
      <c r="D424" s="3" t="str">
        <f>'1. Master Data'!D146</f>
        <v>Central DC</v>
      </c>
      <c r="E424" s="4">
        <f>'1. Master Data'!F146</f>
        <v>363</v>
      </c>
      <c r="F424" s="3">
        <f>'2. Demand History'!AA146</f>
        <v>111</v>
      </c>
      <c r="G424" s="4">
        <f t="shared" si="42"/>
        <v>40293</v>
      </c>
      <c r="H424" s="3">
        <f t="shared" si="43"/>
        <v>420</v>
      </c>
      <c r="I424" s="11">
        <f t="shared" si="44"/>
        <v>163473666</v>
      </c>
      <c r="J424" s="10">
        <f t="shared" si="45"/>
        <v>0.98870170392418621</v>
      </c>
      <c r="K424" s="5" t="str">
        <f t="shared" si="46"/>
        <v>C</v>
      </c>
      <c r="L424" s="8">
        <f>'3. Demand Forecast'!H146</f>
        <v>0.28999999999999998</v>
      </c>
      <c r="M424" s="5" t="str">
        <f t="shared" si="47"/>
        <v>Y</v>
      </c>
      <c r="N424" s="5" t="str">
        <f t="shared" si="48"/>
        <v>CY</v>
      </c>
    </row>
    <row r="425" spans="1:14" ht="15" customHeight="1" x14ac:dyDescent="0.2">
      <c r="A425" s="3" t="str">
        <f>'1. Master Data'!A179</f>
        <v>NT10175</v>
      </c>
      <c r="B425" s="1" t="str">
        <f>'1. Master Data'!B179</f>
        <v>StudioPods 585 ANC</v>
      </c>
      <c r="C425" s="3" t="str">
        <f>'1. Master Data'!C179</f>
        <v>Audio</v>
      </c>
      <c r="D425" s="3" t="str">
        <f>'1. Master Data'!D179</f>
        <v>West DC</v>
      </c>
      <c r="E425" s="4">
        <f>'1. Master Data'!F179</f>
        <v>53</v>
      </c>
      <c r="F425" s="3">
        <f>'2. Demand History'!AA179</f>
        <v>737</v>
      </c>
      <c r="G425" s="4">
        <f t="shared" si="42"/>
        <v>39061</v>
      </c>
      <c r="H425" s="3">
        <f t="shared" si="43"/>
        <v>421</v>
      </c>
      <c r="I425" s="11">
        <f t="shared" si="44"/>
        <v>163512727</v>
      </c>
      <c r="J425" s="10">
        <f t="shared" si="45"/>
        <v>0.98893794795175316</v>
      </c>
      <c r="K425" s="5" t="str">
        <f t="shared" si="46"/>
        <v>C</v>
      </c>
      <c r="L425" s="8">
        <f>'3. Demand Forecast'!H179</f>
        <v>0.86</v>
      </c>
      <c r="M425" s="5" t="str">
        <f t="shared" si="47"/>
        <v>Z</v>
      </c>
      <c r="N425" s="5" t="str">
        <f t="shared" si="48"/>
        <v>CZ</v>
      </c>
    </row>
    <row r="426" spans="1:14" ht="15" customHeight="1" x14ac:dyDescent="0.2">
      <c r="A426" s="3" t="str">
        <f>'1. Master Data'!A123</f>
        <v>NT10119</v>
      </c>
      <c r="B426" s="1" t="str">
        <f>'1. Master Data'!B123</f>
        <v>VisionOLED 275in 4K</v>
      </c>
      <c r="C426" s="3" t="str">
        <f>'1. Master Data'!C123</f>
        <v>TVs</v>
      </c>
      <c r="D426" s="3" t="str">
        <f>'1. Master Data'!D123</f>
        <v>West DC</v>
      </c>
      <c r="E426" s="4">
        <f>'1. Master Data'!F123</f>
        <v>1445</v>
      </c>
      <c r="F426" s="3">
        <f>'2. Demand History'!AA123</f>
        <v>27</v>
      </c>
      <c r="G426" s="4">
        <f t="shared" si="42"/>
        <v>39015</v>
      </c>
      <c r="H426" s="3">
        <f t="shared" si="43"/>
        <v>422</v>
      </c>
      <c r="I426" s="11">
        <f t="shared" si="44"/>
        <v>163551742</v>
      </c>
      <c r="J426" s="10">
        <f t="shared" si="45"/>
        <v>0.98917391376767005</v>
      </c>
      <c r="K426" s="5" t="str">
        <f t="shared" si="46"/>
        <v>C</v>
      </c>
      <c r="L426" s="8">
        <f>'3. Demand Forecast'!H123</f>
        <v>1</v>
      </c>
      <c r="M426" s="5" t="str">
        <f t="shared" si="47"/>
        <v>Z</v>
      </c>
      <c r="N426" s="5" t="str">
        <f t="shared" si="48"/>
        <v>CZ</v>
      </c>
    </row>
    <row r="427" spans="1:14" ht="15" customHeight="1" x14ac:dyDescent="0.2">
      <c r="A427" s="3" t="str">
        <f>'1. Master Data'!A382</f>
        <v>NT10378</v>
      </c>
      <c r="B427" s="1" t="str">
        <f>'1. Master Data'!B382</f>
        <v>TravelShot 774 Compact</v>
      </c>
      <c r="C427" s="3" t="str">
        <f>'1. Master Data'!C382</f>
        <v>Cameras</v>
      </c>
      <c r="D427" s="3" t="str">
        <f>'1. Master Data'!D382</f>
        <v>West DC</v>
      </c>
      <c r="E427" s="4">
        <f>'1. Master Data'!F382</f>
        <v>574</v>
      </c>
      <c r="F427" s="3">
        <f>'2. Demand History'!AA382</f>
        <v>66</v>
      </c>
      <c r="G427" s="4">
        <f t="shared" si="42"/>
        <v>37884</v>
      </c>
      <c r="H427" s="3">
        <f t="shared" si="43"/>
        <v>423</v>
      </c>
      <c r="I427" s="11">
        <f t="shared" si="44"/>
        <v>163589626</v>
      </c>
      <c r="J427" s="10">
        <f t="shared" si="45"/>
        <v>0.98940303920583972</v>
      </c>
      <c r="K427" s="5" t="str">
        <f t="shared" si="46"/>
        <v>C</v>
      </c>
      <c r="L427" s="8">
        <f>'3. Demand Forecast'!H382</f>
        <v>0.28999999999999998</v>
      </c>
      <c r="M427" s="5" t="str">
        <f t="shared" si="47"/>
        <v>Y</v>
      </c>
      <c r="N427" s="5" t="str">
        <f t="shared" si="48"/>
        <v>CY</v>
      </c>
    </row>
    <row r="428" spans="1:14" ht="15" customHeight="1" x14ac:dyDescent="0.2">
      <c r="A428" s="3" t="str">
        <f>'1. Master Data'!A383</f>
        <v>NT10379</v>
      </c>
      <c r="B428" s="1" t="str">
        <f>'1. Master Data'!B383</f>
        <v>ActionCam 760 4K</v>
      </c>
      <c r="C428" s="3" t="str">
        <f>'1. Master Data'!C383</f>
        <v>Cameras</v>
      </c>
      <c r="D428" s="3" t="str">
        <f>'1. Master Data'!D383</f>
        <v>East DC</v>
      </c>
      <c r="E428" s="4">
        <f>'1. Master Data'!F383</f>
        <v>350</v>
      </c>
      <c r="F428" s="3">
        <f>'2. Demand History'!AA383</f>
        <v>107</v>
      </c>
      <c r="G428" s="4">
        <f t="shared" si="42"/>
        <v>37450</v>
      </c>
      <c r="H428" s="3">
        <f t="shared" si="43"/>
        <v>424</v>
      </c>
      <c r="I428" s="11">
        <f t="shared" si="44"/>
        <v>163627076</v>
      </c>
      <c r="J428" s="10">
        <f t="shared" si="45"/>
        <v>0.98962953977757073</v>
      </c>
      <c r="K428" s="5" t="str">
        <f t="shared" si="46"/>
        <v>C</v>
      </c>
      <c r="L428" s="8">
        <f>'3. Demand Forecast'!H383</f>
        <v>0.27</v>
      </c>
      <c r="M428" s="5" t="str">
        <f t="shared" si="47"/>
        <v>Y</v>
      </c>
      <c r="N428" s="5" t="str">
        <f t="shared" si="48"/>
        <v>CY</v>
      </c>
    </row>
    <row r="429" spans="1:14" ht="15" customHeight="1" x14ac:dyDescent="0.2">
      <c r="A429" s="3" t="str">
        <f>'1. Master Data'!A167</f>
        <v>NT10163</v>
      </c>
      <c r="B429" s="1" t="str">
        <f>'1. Master Data'!B167</f>
        <v>StudioPods 229 ANC</v>
      </c>
      <c r="C429" s="3" t="str">
        <f>'1. Master Data'!C167</f>
        <v>Audio</v>
      </c>
      <c r="D429" s="3" t="str">
        <f>'1. Master Data'!D167</f>
        <v>East DC</v>
      </c>
      <c r="E429" s="4">
        <f>'1. Master Data'!F167</f>
        <v>73</v>
      </c>
      <c r="F429" s="3">
        <f>'2. Demand History'!AA167</f>
        <v>501</v>
      </c>
      <c r="G429" s="4">
        <f t="shared" si="42"/>
        <v>36573</v>
      </c>
      <c r="H429" s="3">
        <f t="shared" si="43"/>
        <v>425</v>
      </c>
      <c r="I429" s="11">
        <f t="shared" si="44"/>
        <v>163663649</v>
      </c>
      <c r="J429" s="10">
        <f t="shared" si="45"/>
        <v>0.98985073618371011</v>
      </c>
      <c r="K429" s="5" t="str">
        <f t="shared" si="46"/>
        <v>C</v>
      </c>
      <c r="L429" s="8">
        <f>'3. Demand Forecast'!H167</f>
        <v>0.32</v>
      </c>
      <c r="M429" s="5" t="str">
        <f t="shared" si="47"/>
        <v>Y</v>
      </c>
      <c r="N429" s="5" t="str">
        <f t="shared" si="48"/>
        <v>CY</v>
      </c>
    </row>
    <row r="430" spans="1:14" ht="15" customHeight="1" x14ac:dyDescent="0.2">
      <c r="A430" s="3" t="str">
        <f>'1. Master Data'!A370</f>
        <v>NT10366</v>
      </c>
      <c r="B430" s="1" t="str">
        <f>'1. Master Data'!B370</f>
        <v>ActionCam 138 4K</v>
      </c>
      <c r="C430" s="3" t="str">
        <f>'1. Master Data'!C370</f>
        <v>Cameras</v>
      </c>
      <c r="D430" s="3" t="str">
        <f>'1. Master Data'!D370</f>
        <v>Central DC</v>
      </c>
      <c r="E430" s="4">
        <f>'1. Master Data'!F370</f>
        <v>239</v>
      </c>
      <c r="F430" s="3">
        <f>'2. Demand History'!AA370</f>
        <v>152</v>
      </c>
      <c r="G430" s="4">
        <f t="shared" si="42"/>
        <v>36328</v>
      </c>
      <c r="H430" s="3">
        <f t="shared" si="43"/>
        <v>426</v>
      </c>
      <c r="I430" s="11">
        <f t="shared" si="44"/>
        <v>163699977</v>
      </c>
      <c r="J430" s="10">
        <f t="shared" si="45"/>
        <v>0.99007045081040812</v>
      </c>
      <c r="K430" s="5" t="str">
        <f t="shared" si="46"/>
        <v>C</v>
      </c>
      <c r="L430" s="8">
        <f>'3. Demand Forecast'!H370</f>
        <v>0.33</v>
      </c>
      <c r="M430" s="5" t="str">
        <f t="shared" si="47"/>
        <v>Y</v>
      </c>
      <c r="N430" s="5" t="str">
        <f t="shared" si="48"/>
        <v>CY</v>
      </c>
    </row>
    <row r="431" spans="1:14" ht="15" customHeight="1" x14ac:dyDescent="0.2">
      <c r="A431" s="3" t="str">
        <f>'1. Master Data'!A207</f>
        <v>NT10203</v>
      </c>
      <c r="B431" s="1" t="str">
        <f>'1. Master Data'!B207</f>
        <v>PulseRing 185</v>
      </c>
      <c r="C431" s="3" t="str">
        <f>'1. Master Data'!C207</f>
        <v>Wearables</v>
      </c>
      <c r="D431" s="3" t="str">
        <f>'1. Master Data'!D207</f>
        <v>East DC</v>
      </c>
      <c r="E431" s="4">
        <f>'1. Master Data'!F207</f>
        <v>72</v>
      </c>
      <c r="F431" s="3">
        <f>'2. Demand History'!AA207</f>
        <v>501</v>
      </c>
      <c r="G431" s="4">
        <f t="shared" si="42"/>
        <v>36072</v>
      </c>
      <c r="H431" s="3">
        <f t="shared" si="43"/>
        <v>427</v>
      </c>
      <c r="I431" s="11">
        <f t="shared" si="44"/>
        <v>163736049</v>
      </c>
      <c r="J431" s="10">
        <f t="shared" si="45"/>
        <v>0.99028861712879213</v>
      </c>
      <c r="K431" s="5" t="str">
        <f t="shared" si="46"/>
        <v>C</v>
      </c>
      <c r="L431" s="8">
        <f>'3. Demand Forecast'!H207</f>
        <v>0.33</v>
      </c>
      <c r="M431" s="5" t="str">
        <f t="shared" si="47"/>
        <v>Y</v>
      </c>
      <c r="N431" s="5" t="str">
        <f t="shared" si="48"/>
        <v>CY</v>
      </c>
    </row>
    <row r="432" spans="1:14" ht="15" customHeight="1" x14ac:dyDescent="0.2">
      <c r="A432" s="3" t="str">
        <f>'1. Master Data'!A493</f>
        <v>NT10489</v>
      </c>
      <c r="B432" s="1" t="str">
        <f>'1. Master Data'!B493</f>
        <v>Phone Case Clear V901</v>
      </c>
      <c r="C432" s="3" t="str">
        <f>'1. Master Data'!C493</f>
        <v>Accessories</v>
      </c>
      <c r="D432" s="3" t="str">
        <f>'1. Master Data'!D493</f>
        <v>East DC</v>
      </c>
      <c r="E432" s="4">
        <f>'1. Master Data'!F493</f>
        <v>38</v>
      </c>
      <c r="F432" s="3">
        <f>'2. Demand History'!AA493</f>
        <v>945</v>
      </c>
      <c r="G432" s="4">
        <f t="shared" si="42"/>
        <v>35910</v>
      </c>
      <c r="H432" s="3">
        <f t="shared" si="43"/>
        <v>428</v>
      </c>
      <c r="I432" s="11">
        <f t="shared" si="44"/>
        <v>163771959</v>
      </c>
      <c r="J432" s="10">
        <f t="shared" si="45"/>
        <v>0.99050580365832108</v>
      </c>
      <c r="K432" s="5" t="str">
        <f t="shared" si="46"/>
        <v>C</v>
      </c>
      <c r="L432" s="8">
        <f>'3. Demand Forecast'!H493</f>
        <v>0.08</v>
      </c>
      <c r="M432" s="5" t="str">
        <f t="shared" si="47"/>
        <v>X</v>
      </c>
      <c r="N432" s="5" t="str">
        <f t="shared" si="48"/>
        <v>CX</v>
      </c>
    </row>
    <row r="433" spans="1:14" ht="15" customHeight="1" x14ac:dyDescent="0.2">
      <c r="A433" s="3" t="str">
        <f>'1. Master Data'!A469</f>
        <v>NT10465</v>
      </c>
      <c r="B433" s="1" t="str">
        <f>'1. Master Data'!B469</f>
        <v>Power Bank 10K V432</v>
      </c>
      <c r="C433" s="3" t="str">
        <f>'1. Master Data'!C469</f>
        <v>Accessories</v>
      </c>
      <c r="D433" s="3" t="str">
        <f>'1. Master Data'!D469</f>
        <v>Central DC</v>
      </c>
      <c r="E433" s="4">
        <f>'1. Master Data'!F469</f>
        <v>37</v>
      </c>
      <c r="F433" s="3">
        <f>'2. Demand History'!AA469</f>
        <v>963</v>
      </c>
      <c r="G433" s="4">
        <f t="shared" si="42"/>
        <v>35631</v>
      </c>
      <c r="H433" s="3">
        <f t="shared" si="43"/>
        <v>429</v>
      </c>
      <c r="I433" s="11">
        <f t="shared" si="44"/>
        <v>163807590</v>
      </c>
      <c r="J433" s="10">
        <f t="shared" si="45"/>
        <v>0.99072130277371084</v>
      </c>
      <c r="K433" s="5" t="str">
        <f t="shared" si="46"/>
        <v>C</v>
      </c>
      <c r="L433" s="8">
        <f>'3. Demand Forecast'!H469</f>
        <v>7.0000000000000007E-2</v>
      </c>
      <c r="M433" s="5" t="str">
        <f t="shared" si="47"/>
        <v>X</v>
      </c>
      <c r="N433" s="5" t="str">
        <f t="shared" si="48"/>
        <v>CX</v>
      </c>
    </row>
    <row r="434" spans="1:14" ht="15" customHeight="1" x14ac:dyDescent="0.2">
      <c r="A434" s="3" t="str">
        <f>'1. Master Data'!A325</f>
        <v>NT10321</v>
      </c>
      <c r="B434" s="1" t="str">
        <f>'1. Master Data'!B325</f>
        <v>HomeCam 807 1080p</v>
      </c>
      <c r="C434" s="3" t="str">
        <f>'1. Master Data'!C325</f>
        <v>Smart Home</v>
      </c>
      <c r="D434" s="3" t="str">
        <f>'1. Master Data'!D325</f>
        <v>East DC</v>
      </c>
      <c r="E434" s="4">
        <f>'1. Master Data'!F325</f>
        <v>13</v>
      </c>
      <c r="F434" s="3">
        <f>'2. Demand History'!AA325</f>
        <v>2712</v>
      </c>
      <c r="G434" s="4">
        <f t="shared" si="42"/>
        <v>35256</v>
      </c>
      <c r="H434" s="3">
        <f t="shared" si="43"/>
        <v>430</v>
      </c>
      <c r="I434" s="11">
        <f t="shared" si="44"/>
        <v>163842846</v>
      </c>
      <c r="J434" s="10">
        <f t="shared" si="45"/>
        <v>0.99093453385934371</v>
      </c>
      <c r="K434" s="5" t="str">
        <f t="shared" si="46"/>
        <v>C</v>
      </c>
      <c r="L434" s="8">
        <f>'3. Demand Forecast'!H325</f>
        <v>0.12</v>
      </c>
      <c r="M434" s="5" t="str">
        <f t="shared" si="47"/>
        <v>X</v>
      </c>
      <c r="N434" s="5" t="str">
        <f t="shared" si="48"/>
        <v>CX</v>
      </c>
    </row>
    <row r="435" spans="1:14" ht="15" customHeight="1" x14ac:dyDescent="0.2">
      <c r="A435" s="3" t="str">
        <f>'1. Master Data'!A250</f>
        <v>NT10246</v>
      </c>
      <c r="B435" s="1" t="str">
        <f>'1. Master Data'!B250</f>
        <v>NovaWatch 686 GPS</v>
      </c>
      <c r="C435" s="3" t="str">
        <f>'1. Master Data'!C250</f>
        <v>Wearables</v>
      </c>
      <c r="D435" s="3" t="str">
        <f>'1. Master Data'!D250</f>
        <v>Central DC</v>
      </c>
      <c r="E435" s="4">
        <f>'1. Master Data'!F250</f>
        <v>71</v>
      </c>
      <c r="F435" s="3">
        <f>'2. Demand History'!AA250</f>
        <v>485</v>
      </c>
      <c r="G435" s="4">
        <f t="shared" si="42"/>
        <v>34435</v>
      </c>
      <c r="H435" s="3">
        <f t="shared" si="43"/>
        <v>431</v>
      </c>
      <c r="I435" s="11">
        <f t="shared" si="44"/>
        <v>163877281</v>
      </c>
      <c r="J435" s="10">
        <f t="shared" si="45"/>
        <v>0.99114279947182848</v>
      </c>
      <c r="K435" s="5" t="str">
        <f t="shared" si="46"/>
        <v>C</v>
      </c>
      <c r="L435" s="8">
        <f>'3. Demand Forecast'!H250</f>
        <v>0.27</v>
      </c>
      <c r="M435" s="5" t="str">
        <f t="shared" si="47"/>
        <v>Y</v>
      </c>
      <c r="N435" s="5" t="str">
        <f t="shared" si="48"/>
        <v>CY</v>
      </c>
    </row>
    <row r="436" spans="1:14" ht="15" customHeight="1" x14ac:dyDescent="0.2">
      <c r="A436" s="3" t="str">
        <f>'1. Master Data'!A316</f>
        <v>NT10312</v>
      </c>
      <c r="B436" s="1" t="str">
        <f>'1. Master Data'!B316</f>
        <v>HomeCam 152 1080p</v>
      </c>
      <c r="C436" s="3" t="str">
        <f>'1. Master Data'!C316</f>
        <v>Smart Home</v>
      </c>
      <c r="D436" s="3" t="str">
        <f>'1. Master Data'!D316</f>
        <v>Central DC</v>
      </c>
      <c r="E436" s="4">
        <f>'1. Master Data'!F316</f>
        <v>16</v>
      </c>
      <c r="F436" s="3">
        <f>'2. Demand History'!AA316</f>
        <v>2151</v>
      </c>
      <c r="G436" s="4">
        <f t="shared" si="42"/>
        <v>34416</v>
      </c>
      <c r="H436" s="3">
        <f t="shared" si="43"/>
        <v>432</v>
      </c>
      <c r="I436" s="11">
        <f t="shared" si="44"/>
        <v>163911697</v>
      </c>
      <c r="J436" s="10">
        <f t="shared" si="45"/>
        <v>0.99135095017080566</v>
      </c>
      <c r="K436" s="5" t="str">
        <f t="shared" si="46"/>
        <v>C</v>
      </c>
      <c r="L436" s="8">
        <f>'3. Demand Forecast'!H316</f>
        <v>7.0000000000000007E-2</v>
      </c>
      <c r="M436" s="5" t="str">
        <f t="shared" si="47"/>
        <v>X</v>
      </c>
      <c r="N436" s="5" t="str">
        <f t="shared" si="48"/>
        <v>CX</v>
      </c>
    </row>
    <row r="437" spans="1:14" ht="15" customHeight="1" x14ac:dyDescent="0.2">
      <c r="A437" s="3" t="str">
        <f>'1. Master Data'!A480</f>
        <v>NT10476</v>
      </c>
      <c r="B437" s="1" t="str">
        <f>'1. Master Data'!B480</f>
        <v>USB C Cable 2m V851</v>
      </c>
      <c r="C437" s="3" t="str">
        <f>'1. Master Data'!C480</f>
        <v>Accessories</v>
      </c>
      <c r="D437" s="3" t="str">
        <f>'1. Master Data'!D480</f>
        <v>West DC</v>
      </c>
      <c r="E437" s="4">
        <f>'1. Master Data'!F480</f>
        <v>12</v>
      </c>
      <c r="F437" s="3">
        <f>'2. Demand History'!AA480</f>
        <v>2852</v>
      </c>
      <c r="G437" s="4">
        <f t="shared" si="42"/>
        <v>34224</v>
      </c>
      <c r="H437" s="3">
        <f t="shared" si="43"/>
        <v>433</v>
      </c>
      <c r="I437" s="11">
        <f t="shared" si="44"/>
        <v>163945921</v>
      </c>
      <c r="J437" s="10">
        <f t="shared" si="45"/>
        <v>0.99155793963854721</v>
      </c>
      <c r="K437" s="5" t="str">
        <f t="shared" si="46"/>
        <v>C</v>
      </c>
      <c r="L437" s="8">
        <f>'3. Demand Forecast'!H480</f>
        <v>0.05</v>
      </c>
      <c r="M437" s="5" t="str">
        <f t="shared" si="47"/>
        <v>X</v>
      </c>
      <c r="N437" s="5" t="str">
        <f t="shared" si="48"/>
        <v>CX</v>
      </c>
    </row>
    <row r="438" spans="1:14" ht="15" customHeight="1" x14ac:dyDescent="0.2">
      <c r="A438" s="3" t="str">
        <f>'1. Master Data'!A254</f>
        <v>NT10250</v>
      </c>
      <c r="B438" s="1" t="str">
        <f>'1. Master Data'!B254</f>
        <v>PulseRing 290</v>
      </c>
      <c r="C438" s="3" t="str">
        <f>'1. Master Data'!C254</f>
        <v>Wearables</v>
      </c>
      <c r="D438" s="3" t="str">
        <f>'1. Master Data'!D254</f>
        <v>East DC</v>
      </c>
      <c r="E438" s="4">
        <f>'1. Master Data'!F254</f>
        <v>61</v>
      </c>
      <c r="F438" s="3">
        <f>'2. Demand History'!AA254</f>
        <v>561</v>
      </c>
      <c r="G438" s="4">
        <f t="shared" si="42"/>
        <v>34221</v>
      </c>
      <c r="H438" s="3">
        <f t="shared" si="43"/>
        <v>434</v>
      </c>
      <c r="I438" s="11">
        <f t="shared" si="44"/>
        <v>163980142</v>
      </c>
      <c r="J438" s="10">
        <f t="shared" si="45"/>
        <v>0.99176491096205066</v>
      </c>
      <c r="K438" s="5" t="str">
        <f t="shared" si="46"/>
        <v>C</v>
      </c>
      <c r="L438" s="8">
        <f>'3. Demand Forecast'!H254</f>
        <v>0.32</v>
      </c>
      <c r="M438" s="5" t="str">
        <f t="shared" si="47"/>
        <v>Y</v>
      </c>
      <c r="N438" s="5" t="str">
        <f t="shared" si="48"/>
        <v>CY</v>
      </c>
    </row>
    <row r="439" spans="1:14" ht="15" customHeight="1" x14ac:dyDescent="0.2">
      <c r="A439" s="3" t="str">
        <f>'1. Master Data'!A375</f>
        <v>NT10371</v>
      </c>
      <c r="B439" s="1" t="str">
        <f>'1. Master Data'!B375</f>
        <v>ActionCam 137 4K</v>
      </c>
      <c r="C439" s="3" t="str">
        <f>'1. Master Data'!C375</f>
        <v>Cameras</v>
      </c>
      <c r="D439" s="3" t="str">
        <f>'1. Master Data'!D375</f>
        <v>West DC</v>
      </c>
      <c r="E439" s="4">
        <f>'1. Master Data'!F375</f>
        <v>658</v>
      </c>
      <c r="F439" s="3">
        <f>'2. Demand History'!AA375</f>
        <v>52</v>
      </c>
      <c r="G439" s="4">
        <f t="shared" si="42"/>
        <v>34216</v>
      </c>
      <c r="H439" s="3">
        <f t="shared" si="43"/>
        <v>435</v>
      </c>
      <c r="I439" s="11">
        <f t="shared" si="44"/>
        <v>164014358</v>
      </c>
      <c r="J439" s="10">
        <f t="shared" si="45"/>
        <v>0.99197185204515748</v>
      </c>
      <c r="K439" s="5" t="str">
        <f t="shared" si="46"/>
        <v>C</v>
      </c>
      <c r="L439" s="8">
        <f>'3. Demand Forecast'!H375</f>
        <v>0.26</v>
      </c>
      <c r="M439" s="5" t="str">
        <f t="shared" si="47"/>
        <v>Y</v>
      </c>
      <c r="N439" s="5" t="str">
        <f t="shared" si="48"/>
        <v>CY</v>
      </c>
    </row>
    <row r="440" spans="1:14" ht="15" customHeight="1" x14ac:dyDescent="0.2">
      <c r="A440" s="3" t="str">
        <f>'1. Master Data'!A255</f>
        <v>NT10251</v>
      </c>
      <c r="B440" s="1" t="str">
        <f>'1. Master Data'!B255</f>
        <v>ProMouse G975</v>
      </c>
      <c r="C440" s="3" t="str">
        <f>'1. Master Data'!C255</f>
        <v>Gaming</v>
      </c>
      <c r="D440" s="3" t="str">
        <f>'1. Master Data'!D255</f>
        <v>Central DC</v>
      </c>
      <c r="E440" s="4">
        <f>'1. Master Data'!F255</f>
        <v>52</v>
      </c>
      <c r="F440" s="3">
        <f>'2. Demand History'!AA255</f>
        <v>652</v>
      </c>
      <c r="G440" s="4">
        <f t="shared" si="42"/>
        <v>33904</v>
      </c>
      <c r="H440" s="3">
        <f t="shared" si="43"/>
        <v>436</v>
      </c>
      <c r="I440" s="11">
        <f t="shared" si="44"/>
        <v>164048262</v>
      </c>
      <c r="J440" s="10">
        <f t="shared" si="45"/>
        <v>0.99217690612750631</v>
      </c>
      <c r="K440" s="5" t="str">
        <f t="shared" si="46"/>
        <v>C</v>
      </c>
      <c r="L440" s="8">
        <f>'3. Demand Forecast'!H255</f>
        <v>0.26</v>
      </c>
      <c r="M440" s="5" t="str">
        <f t="shared" si="47"/>
        <v>Y</v>
      </c>
      <c r="N440" s="5" t="str">
        <f t="shared" si="48"/>
        <v>CY</v>
      </c>
    </row>
    <row r="441" spans="1:14" ht="15" customHeight="1" x14ac:dyDescent="0.2">
      <c r="A441" s="3" t="str">
        <f>'1. Master Data'!A446</f>
        <v>NT10442</v>
      </c>
      <c r="B441" s="1" t="str">
        <f>'1. Master Data'!B446</f>
        <v>DrawPad 251 12in</v>
      </c>
      <c r="C441" s="3" t="str">
        <f>'1. Master Data'!C446</f>
        <v>Tablets</v>
      </c>
      <c r="D441" s="3" t="str">
        <f>'1. Master Data'!D446</f>
        <v>East DC</v>
      </c>
      <c r="E441" s="4">
        <f>'1. Master Data'!F446</f>
        <v>133</v>
      </c>
      <c r="F441" s="3">
        <f>'2. Demand History'!AA446</f>
        <v>252</v>
      </c>
      <c r="G441" s="4">
        <f t="shared" si="42"/>
        <v>33516</v>
      </c>
      <c r="H441" s="3">
        <f t="shared" si="43"/>
        <v>437</v>
      </c>
      <c r="I441" s="11">
        <f t="shared" si="44"/>
        <v>164081778</v>
      </c>
      <c r="J441" s="10">
        <f t="shared" si="45"/>
        <v>0.99237961355506676</v>
      </c>
      <c r="K441" s="5" t="str">
        <f t="shared" si="46"/>
        <v>C</v>
      </c>
      <c r="L441" s="8">
        <f>'3. Demand Forecast'!H446</f>
        <v>0.27</v>
      </c>
      <c r="M441" s="5" t="str">
        <f t="shared" si="47"/>
        <v>Y</v>
      </c>
      <c r="N441" s="5" t="str">
        <f t="shared" si="48"/>
        <v>CY</v>
      </c>
    </row>
    <row r="442" spans="1:14" ht="15" customHeight="1" x14ac:dyDescent="0.2">
      <c r="A442" s="3" t="str">
        <f>'1. Master Data'!A494</f>
        <v>NT10490</v>
      </c>
      <c r="B442" s="1" t="str">
        <f>'1. Master Data'!B494</f>
        <v>HDMI Cable 4K V488</v>
      </c>
      <c r="C442" s="3" t="str">
        <f>'1. Master Data'!C494</f>
        <v>Accessories</v>
      </c>
      <c r="D442" s="3" t="str">
        <f>'1. Master Data'!D494</f>
        <v>East DC</v>
      </c>
      <c r="E442" s="4">
        <f>'1. Master Data'!F494</f>
        <v>26</v>
      </c>
      <c r="F442" s="3">
        <f>'2. Demand History'!AA494</f>
        <v>1285</v>
      </c>
      <c r="G442" s="4">
        <f t="shared" si="42"/>
        <v>33410</v>
      </c>
      <c r="H442" s="3">
        <f t="shared" si="43"/>
        <v>438</v>
      </c>
      <c r="I442" s="11">
        <f t="shared" si="44"/>
        <v>164115188</v>
      </c>
      <c r="J442" s="10">
        <f t="shared" si="45"/>
        <v>0.99258167988621582</v>
      </c>
      <c r="K442" s="5" t="str">
        <f t="shared" si="46"/>
        <v>C</v>
      </c>
      <c r="L442" s="8">
        <f>'3. Demand Forecast'!H494</f>
        <v>1</v>
      </c>
      <c r="M442" s="5" t="str">
        <f t="shared" si="47"/>
        <v>Z</v>
      </c>
      <c r="N442" s="5" t="str">
        <f t="shared" si="48"/>
        <v>CZ</v>
      </c>
    </row>
    <row r="443" spans="1:14" ht="15" customHeight="1" x14ac:dyDescent="0.2">
      <c r="A443" s="3" t="str">
        <f>'1. Master Data'!A485</f>
        <v>NT10481</v>
      </c>
      <c r="B443" s="1" t="str">
        <f>'1. Master Data'!B485</f>
        <v>Screen Guard 821</v>
      </c>
      <c r="C443" s="3" t="str">
        <f>'1. Master Data'!C485</f>
        <v>Accessories</v>
      </c>
      <c r="D443" s="3" t="str">
        <f>'1. Master Data'!D485</f>
        <v>East DC</v>
      </c>
      <c r="E443" s="4">
        <f>'1. Master Data'!F485</f>
        <v>16</v>
      </c>
      <c r="F443" s="3">
        <f>'2. Demand History'!AA485</f>
        <v>2078</v>
      </c>
      <c r="G443" s="4">
        <f t="shared" si="42"/>
        <v>33248</v>
      </c>
      <c r="H443" s="3">
        <f t="shared" si="43"/>
        <v>439</v>
      </c>
      <c r="I443" s="11">
        <f t="shared" si="44"/>
        <v>164148436</v>
      </c>
      <c r="J443" s="10">
        <f t="shared" si="45"/>
        <v>0.99278276642850982</v>
      </c>
      <c r="K443" s="5" t="str">
        <f t="shared" si="46"/>
        <v>C</v>
      </c>
      <c r="L443" s="8">
        <f>'3. Demand Forecast'!H485</f>
        <v>0.06</v>
      </c>
      <c r="M443" s="5" t="str">
        <f t="shared" si="47"/>
        <v>X</v>
      </c>
      <c r="N443" s="5" t="str">
        <f t="shared" si="48"/>
        <v>CX</v>
      </c>
    </row>
    <row r="444" spans="1:14" ht="15" customHeight="1" x14ac:dyDescent="0.2">
      <c r="A444" s="3" t="str">
        <f>'1. Master Data'!A272</f>
        <v>NT10268</v>
      </c>
      <c r="B444" s="1" t="str">
        <f>'1. Master Data'!B272</f>
        <v>ProMouse G369</v>
      </c>
      <c r="C444" s="3" t="str">
        <f>'1. Master Data'!C272</f>
        <v>Gaming</v>
      </c>
      <c r="D444" s="3" t="str">
        <f>'1. Master Data'!D272</f>
        <v>Central DC</v>
      </c>
      <c r="E444" s="4">
        <f>'1. Master Data'!F272</f>
        <v>53</v>
      </c>
      <c r="F444" s="3">
        <f>'2. Demand History'!AA272</f>
        <v>627</v>
      </c>
      <c r="G444" s="4">
        <f t="shared" si="42"/>
        <v>33231</v>
      </c>
      <c r="H444" s="3">
        <f t="shared" si="43"/>
        <v>440</v>
      </c>
      <c r="I444" s="11">
        <f t="shared" si="44"/>
        <v>164181667</v>
      </c>
      <c r="J444" s="10">
        <f t="shared" si="45"/>
        <v>0.99298375015345486</v>
      </c>
      <c r="K444" s="5" t="str">
        <f t="shared" si="46"/>
        <v>C</v>
      </c>
      <c r="L444" s="8">
        <f>'3. Demand Forecast'!H272</f>
        <v>0.37</v>
      </c>
      <c r="M444" s="5" t="str">
        <f t="shared" si="47"/>
        <v>Y</v>
      </c>
      <c r="N444" s="5" t="str">
        <f t="shared" si="48"/>
        <v>CY</v>
      </c>
    </row>
    <row r="445" spans="1:14" ht="15" customHeight="1" x14ac:dyDescent="0.2">
      <c r="A445" s="3" t="str">
        <f>'1. Master Data'!A390</f>
        <v>NT10386</v>
      </c>
      <c r="B445" s="1" t="str">
        <f>'1. Master Data'!B390</f>
        <v>TravelShot 287 Compact</v>
      </c>
      <c r="C445" s="3" t="str">
        <f>'1. Master Data'!C390</f>
        <v>Cameras</v>
      </c>
      <c r="D445" s="3" t="str">
        <f>'1. Master Data'!D390</f>
        <v>West DC</v>
      </c>
      <c r="E445" s="4">
        <f>'1. Master Data'!F390</f>
        <v>376</v>
      </c>
      <c r="F445" s="3">
        <f>'2. Demand History'!AA390</f>
        <v>88</v>
      </c>
      <c r="G445" s="4">
        <f t="shared" si="42"/>
        <v>33088</v>
      </c>
      <c r="H445" s="3">
        <f t="shared" si="43"/>
        <v>441</v>
      </c>
      <c r="I445" s="11">
        <f t="shared" si="44"/>
        <v>164214755</v>
      </c>
      <c r="J445" s="10">
        <f t="shared" si="45"/>
        <v>0.99318386900305267</v>
      </c>
      <c r="K445" s="5" t="str">
        <f t="shared" si="46"/>
        <v>C</v>
      </c>
      <c r="L445" s="8">
        <f>'3. Demand Forecast'!H390</f>
        <v>0.81</v>
      </c>
      <c r="M445" s="5" t="str">
        <f t="shared" si="47"/>
        <v>Z</v>
      </c>
      <c r="N445" s="5" t="str">
        <f t="shared" si="48"/>
        <v>CZ</v>
      </c>
    </row>
    <row r="446" spans="1:14" ht="15" customHeight="1" x14ac:dyDescent="0.2">
      <c r="A446" s="3" t="str">
        <f>'1. Master Data'!A303</f>
        <v>NT10299</v>
      </c>
      <c r="B446" s="1" t="str">
        <f>'1. Master Data'!B303</f>
        <v>ProMouse G421</v>
      </c>
      <c r="C446" s="3" t="str">
        <f>'1. Master Data'!C303</f>
        <v>Gaming</v>
      </c>
      <c r="D446" s="3" t="str">
        <f>'1. Master Data'!D303</f>
        <v>West DC</v>
      </c>
      <c r="E446" s="4">
        <f>'1. Master Data'!F303</f>
        <v>160</v>
      </c>
      <c r="F446" s="3">
        <f>'2. Demand History'!AA303</f>
        <v>205</v>
      </c>
      <c r="G446" s="4">
        <f t="shared" si="42"/>
        <v>32800</v>
      </c>
      <c r="H446" s="3">
        <f t="shared" si="43"/>
        <v>442</v>
      </c>
      <c r="I446" s="11">
        <f t="shared" si="44"/>
        <v>164247555</v>
      </c>
      <c r="J446" s="10">
        <f t="shared" si="45"/>
        <v>0.99338224600579694</v>
      </c>
      <c r="K446" s="5" t="str">
        <f t="shared" si="46"/>
        <v>C</v>
      </c>
      <c r="L446" s="8">
        <f>'3. Demand Forecast'!H303</f>
        <v>0.36</v>
      </c>
      <c r="M446" s="5" t="str">
        <f t="shared" si="47"/>
        <v>Y</v>
      </c>
      <c r="N446" s="5" t="str">
        <f t="shared" si="48"/>
        <v>CY</v>
      </c>
    </row>
    <row r="447" spans="1:14" ht="15" customHeight="1" x14ac:dyDescent="0.2">
      <c r="A447" s="3" t="str">
        <f>'1. Master Data'!A329</f>
        <v>NT10325</v>
      </c>
      <c r="B447" s="1" t="str">
        <f>'1. Master Data'!B329</f>
        <v>LumiBulb 296 RGB</v>
      </c>
      <c r="C447" s="3" t="str">
        <f>'1. Master Data'!C329</f>
        <v>Smart Home</v>
      </c>
      <c r="D447" s="3" t="str">
        <f>'1. Master Data'!D329</f>
        <v>East DC</v>
      </c>
      <c r="E447" s="4">
        <f>'1. Master Data'!F329</f>
        <v>13</v>
      </c>
      <c r="F447" s="3">
        <f>'2. Demand History'!AA329</f>
        <v>2506</v>
      </c>
      <c r="G447" s="4">
        <f t="shared" si="42"/>
        <v>32578</v>
      </c>
      <c r="H447" s="3">
        <f t="shared" si="43"/>
        <v>443</v>
      </c>
      <c r="I447" s="11">
        <f t="shared" si="44"/>
        <v>164280133</v>
      </c>
      <c r="J447" s="10">
        <f t="shared" si="45"/>
        <v>0.99357928033492526</v>
      </c>
      <c r="K447" s="5" t="str">
        <f t="shared" si="46"/>
        <v>C</v>
      </c>
      <c r="L447" s="8">
        <f>'3. Demand Forecast'!H329</f>
        <v>0.04</v>
      </c>
      <c r="M447" s="5" t="str">
        <f t="shared" si="47"/>
        <v>X</v>
      </c>
      <c r="N447" s="5" t="str">
        <f t="shared" si="48"/>
        <v>CX</v>
      </c>
    </row>
    <row r="448" spans="1:14" ht="15" customHeight="1" x14ac:dyDescent="0.2">
      <c r="A448" s="3" t="str">
        <f>'1. Master Data'!A34</f>
        <v>NT10030</v>
      </c>
      <c r="B448" s="1" t="str">
        <f>'1. Master Data'!B34</f>
        <v>Nova Lite 278 64GB</v>
      </c>
      <c r="C448" s="3" t="str">
        <f>'1. Master Data'!C34</f>
        <v>Smartphones</v>
      </c>
      <c r="D448" s="3" t="str">
        <f>'1. Master Data'!D34</f>
        <v>East DC</v>
      </c>
      <c r="E448" s="4">
        <f>'1. Master Data'!F34</f>
        <v>759</v>
      </c>
      <c r="F448" s="3">
        <f>'2. Demand History'!AA34</f>
        <v>42</v>
      </c>
      <c r="G448" s="4">
        <f t="shared" si="42"/>
        <v>31878</v>
      </c>
      <c r="H448" s="3">
        <f t="shared" si="43"/>
        <v>444</v>
      </c>
      <c r="I448" s="11">
        <f t="shared" si="44"/>
        <v>164312011</v>
      </c>
      <c r="J448" s="10">
        <f t="shared" si="45"/>
        <v>0.99377208100850711</v>
      </c>
      <c r="K448" s="5" t="str">
        <f t="shared" si="46"/>
        <v>C</v>
      </c>
      <c r="L448" s="8">
        <f>'3. Demand Forecast'!H34</f>
        <v>0.69</v>
      </c>
      <c r="M448" s="5" t="str">
        <f t="shared" si="47"/>
        <v>Z</v>
      </c>
      <c r="N448" s="5" t="str">
        <f t="shared" si="48"/>
        <v>CZ</v>
      </c>
    </row>
    <row r="449" spans="1:14" ht="15" customHeight="1" x14ac:dyDescent="0.2">
      <c r="A449" s="3" t="str">
        <f>'1. Master Data'!A18</f>
        <v>NT10014</v>
      </c>
      <c r="B449" s="1" t="str">
        <f>'1. Master Data'!B18</f>
        <v>Edge 927 5G 128GB</v>
      </c>
      <c r="C449" s="3" t="str">
        <f>'1. Master Data'!C18</f>
        <v>Smartphones</v>
      </c>
      <c r="D449" s="3" t="str">
        <f>'1. Master Data'!D18</f>
        <v>East DC</v>
      </c>
      <c r="E449" s="4">
        <f>'1. Master Data'!F18</f>
        <v>284</v>
      </c>
      <c r="F449" s="3">
        <f>'2. Demand History'!AA18</f>
        <v>111</v>
      </c>
      <c r="G449" s="4">
        <f t="shared" si="42"/>
        <v>31524</v>
      </c>
      <c r="H449" s="3">
        <f t="shared" si="43"/>
        <v>445</v>
      </c>
      <c r="I449" s="11">
        <f t="shared" si="44"/>
        <v>164343535</v>
      </c>
      <c r="J449" s="10">
        <f t="shared" si="45"/>
        <v>0.9939627406619983</v>
      </c>
      <c r="K449" s="5" t="str">
        <f t="shared" si="46"/>
        <v>C</v>
      </c>
      <c r="L449" s="8">
        <f>'3. Demand Forecast'!H18</f>
        <v>0.71</v>
      </c>
      <c r="M449" s="5" t="str">
        <f t="shared" si="47"/>
        <v>Z</v>
      </c>
      <c r="N449" s="5" t="str">
        <f t="shared" si="48"/>
        <v>CZ</v>
      </c>
    </row>
    <row r="450" spans="1:14" ht="15" customHeight="1" x14ac:dyDescent="0.2">
      <c r="A450" s="3" t="str">
        <f>'1. Master Data'!A321</f>
        <v>NT10317</v>
      </c>
      <c r="B450" s="1" t="str">
        <f>'1. Master Data'!B321</f>
        <v>ThermoSmart 230</v>
      </c>
      <c r="C450" s="3" t="str">
        <f>'1. Master Data'!C321</f>
        <v>Smart Home</v>
      </c>
      <c r="D450" s="3" t="str">
        <f>'1. Master Data'!D321</f>
        <v>East DC</v>
      </c>
      <c r="E450" s="4">
        <f>'1. Master Data'!F321</f>
        <v>59</v>
      </c>
      <c r="F450" s="3">
        <f>'2. Demand History'!AA321</f>
        <v>534</v>
      </c>
      <c r="G450" s="4">
        <f t="shared" si="42"/>
        <v>31506</v>
      </c>
      <c r="H450" s="3">
        <f t="shared" si="43"/>
        <v>446</v>
      </c>
      <c r="I450" s="11">
        <f t="shared" si="44"/>
        <v>164375041</v>
      </c>
      <c r="J450" s="10">
        <f t="shared" si="45"/>
        <v>0.99415329145006126</v>
      </c>
      <c r="K450" s="5" t="str">
        <f t="shared" si="46"/>
        <v>C</v>
      </c>
      <c r="L450" s="8">
        <f>'3. Demand Forecast'!H321</f>
        <v>7.0000000000000007E-2</v>
      </c>
      <c r="M450" s="5" t="str">
        <f t="shared" si="47"/>
        <v>X</v>
      </c>
      <c r="N450" s="5" t="str">
        <f t="shared" si="48"/>
        <v>CX</v>
      </c>
    </row>
    <row r="451" spans="1:14" ht="15" customHeight="1" x14ac:dyDescent="0.2">
      <c r="A451" s="3" t="str">
        <f>'1. Master Data'!A313</f>
        <v>NT10309</v>
      </c>
      <c r="B451" s="1" t="str">
        <f>'1. Master Data'!B313</f>
        <v>LumiBulb 939 RGB</v>
      </c>
      <c r="C451" s="3" t="str">
        <f>'1. Master Data'!C313</f>
        <v>Smart Home</v>
      </c>
      <c r="D451" s="3" t="str">
        <f>'1. Master Data'!D313</f>
        <v>East DC</v>
      </c>
      <c r="E451" s="4">
        <f>'1. Master Data'!F313</f>
        <v>42</v>
      </c>
      <c r="F451" s="3">
        <f>'2. Demand History'!AA313</f>
        <v>750</v>
      </c>
      <c r="G451" s="4">
        <f t="shared" si="42"/>
        <v>31500</v>
      </c>
      <c r="H451" s="3">
        <f t="shared" si="43"/>
        <v>447</v>
      </c>
      <c r="I451" s="11">
        <f t="shared" si="44"/>
        <v>164406541</v>
      </c>
      <c r="J451" s="10">
        <f t="shared" si="45"/>
        <v>0.99434380594964811</v>
      </c>
      <c r="K451" s="5" t="str">
        <f t="shared" si="46"/>
        <v>C</v>
      </c>
      <c r="L451" s="8">
        <f>'3. Demand Forecast'!H313</f>
        <v>0.09</v>
      </c>
      <c r="M451" s="5" t="str">
        <f t="shared" si="47"/>
        <v>X</v>
      </c>
      <c r="N451" s="5" t="str">
        <f t="shared" si="48"/>
        <v>CX</v>
      </c>
    </row>
    <row r="452" spans="1:14" ht="15" customHeight="1" x14ac:dyDescent="0.2">
      <c r="A452" s="3" t="str">
        <f>'1. Master Data'!A402</f>
        <v>NT10398</v>
      </c>
      <c r="B452" s="1" t="str">
        <f>'1. Master Data'!B402</f>
        <v>MirrorlessM 330</v>
      </c>
      <c r="C452" s="3" t="str">
        <f>'1. Master Data'!C402</f>
        <v>Cameras</v>
      </c>
      <c r="D452" s="3" t="str">
        <f>'1. Master Data'!D402</f>
        <v>West DC</v>
      </c>
      <c r="E452" s="4">
        <f>'1. Master Data'!F402</f>
        <v>174</v>
      </c>
      <c r="F452" s="3">
        <f>'2. Demand History'!AA402</f>
        <v>180</v>
      </c>
      <c r="G452" s="4">
        <f t="shared" si="42"/>
        <v>31320</v>
      </c>
      <c r="H452" s="3">
        <f t="shared" si="43"/>
        <v>448</v>
      </c>
      <c r="I452" s="11">
        <f t="shared" si="44"/>
        <v>164437861</v>
      </c>
      <c r="J452" s="10">
        <f t="shared" si="45"/>
        <v>0.99453323179495157</v>
      </c>
      <c r="K452" s="5" t="str">
        <f t="shared" si="46"/>
        <v>C</v>
      </c>
      <c r="L452" s="8">
        <f>'3. Demand Forecast'!H402</f>
        <v>0.26</v>
      </c>
      <c r="M452" s="5" t="str">
        <f t="shared" si="47"/>
        <v>Y</v>
      </c>
      <c r="N452" s="5" t="str">
        <f t="shared" si="48"/>
        <v>CY</v>
      </c>
    </row>
    <row r="453" spans="1:14" ht="15" customHeight="1" x14ac:dyDescent="0.2">
      <c r="A453" s="3" t="str">
        <f>'1. Master Data'!A211</f>
        <v>NT10207</v>
      </c>
      <c r="B453" s="1" t="str">
        <f>'1. Master Data'!B211</f>
        <v>NovaWatch 894 GPS</v>
      </c>
      <c r="C453" s="3" t="str">
        <f>'1. Master Data'!C211</f>
        <v>Wearables</v>
      </c>
      <c r="D453" s="3" t="str">
        <f>'1. Master Data'!D211</f>
        <v>East DC</v>
      </c>
      <c r="E453" s="4">
        <f>'1. Master Data'!F211</f>
        <v>30</v>
      </c>
      <c r="F453" s="3">
        <f>'2. Demand History'!AA211</f>
        <v>1041</v>
      </c>
      <c r="G453" s="4">
        <f t="shared" ref="G453:G516" si="49">E453*F453</f>
        <v>31230</v>
      </c>
      <c r="H453" s="3">
        <f t="shared" ref="H453:H516" si="50">RANK(G453,G$5:G$504,0)</f>
        <v>449</v>
      </c>
      <c r="I453" s="11">
        <f t="shared" ref="I453:I516" si="51">SUMPRODUCT((H$5:H$504&lt;=H453)*G$5:G$504)</f>
        <v>164469091</v>
      </c>
      <c r="J453" s="10">
        <f t="shared" ref="J453:J516" si="52">I453/SUM(G$5:G$504)</f>
        <v>0.99472211331311333</v>
      </c>
      <c r="K453" s="5" t="str">
        <f t="shared" ref="K453:K516" si="53">IF(J453&lt;=0.8,"A",IF(J453&lt;=0.95,"B","C"))</f>
        <v>C</v>
      </c>
      <c r="L453" s="8">
        <f>'3. Demand Forecast'!H211</f>
        <v>0.27</v>
      </c>
      <c r="M453" s="5" t="str">
        <f t="shared" ref="M453:M516" si="54">IF(L453&lt;=0.25,"X",IF(L453&lt;=0.6,"Y","Z"))</f>
        <v>Y</v>
      </c>
      <c r="N453" s="5" t="str">
        <f t="shared" ref="N453:N516" si="55">K453&amp;M453</f>
        <v>CY</v>
      </c>
    </row>
    <row r="454" spans="1:14" ht="15" customHeight="1" x14ac:dyDescent="0.2">
      <c r="A454" s="3" t="str">
        <f>'1. Master Data'!A237</f>
        <v>NT10233</v>
      </c>
      <c r="B454" s="1" t="str">
        <f>'1. Master Data'!B237</f>
        <v>FitTrack Band 945</v>
      </c>
      <c r="C454" s="3" t="str">
        <f>'1. Master Data'!C237</f>
        <v>Wearables</v>
      </c>
      <c r="D454" s="3" t="str">
        <f>'1. Master Data'!D237</f>
        <v>East DC</v>
      </c>
      <c r="E454" s="4">
        <f>'1. Master Data'!F237</f>
        <v>58</v>
      </c>
      <c r="F454" s="3">
        <f>'2. Demand History'!AA237</f>
        <v>522</v>
      </c>
      <c r="G454" s="4">
        <f t="shared" si="49"/>
        <v>30276</v>
      </c>
      <c r="H454" s="3">
        <f t="shared" si="50"/>
        <v>450</v>
      </c>
      <c r="I454" s="11">
        <f t="shared" si="51"/>
        <v>164499367</v>
      </c>
      <c r="J454" s="10">
        <f t="shared" si="52"/>
        <v>0.99490522496357336</v>
      </c>
      <c r="K454" s="5" t="str">
        <f t="shared" si="53"/>
        <v>C</v>
      </c>
      <c r="L454" s="8">
        <f>'3. Demand Forecast'!H237</f>
        <v>0.27</v>
      </c>
      <c r="M454" s="5" t="str">
        <f t="shared" si="54"/>
        <v>Y</v>
      </c>
      <c r="N454" s="5" t="str">
        <f t="shared" si="55"/>
        <v>CY</v>
      </c>
    </row>
    <row r="455" spans="1:14" ht="15" customHeight="1" x14ac:dyDescent="0.2">
      <c r="A455" s="3" t="str">
        <f>'1. Master Data'!A498</f>
        <v>NT10494</v>
      </c>
      <c r="B455" s="1" t="str">
        <f>'1. Master Data'!B498</f>
        <v>Car Mount V201</v>
      </c>
      <c r="C455" s="3" t="str">
        <f>'1. Master Data'!C498</f>
        <v>Accessories</v>
      </c>
      <c r="D455" s="3" t="str">
        <f>'1. Master Data'!D498</f>
        <v>West DC</v>
      </c>
      <c r="E455" s="4">
        <f>'1. Master Data'!F498</f>
        <v>30</v>
      </c>
      <c r="F455" s="3">
        <f>'2. Demand History'!AA498</f>
        <v>951</v>
      </c>
      <c r="G455" s="4">
        <f t="shared" si="49"/>
        <v>28530</v>
      </c>
      <c r="H455" s="3">
        <f t="shared" si="50"/>
        <v>451</v>
      </c>
      <c r="I455" s="11">
        <f t="shared" si="51"/>
        <v>164527897</v>
      </c>
      <c r="J455" s="10">
        <f t="shared" si="52"/>
        <v>0.99507777666748476</v>
      </c>
      <c r="K455" s="5" t="str">
        <f t="shared" si="53"/>
        <v>C</v>
      </c>
      <c r="L455" s="8">
        <f>'3. Demand Forecast'!H498</f>
        <v>0.06</v>
      </c>
      <c r="M455" s="5" t="str">
        <f t="shared" si="54"/>
        <v>X</v>
      </c>
      <c r="N455" s="5" t="str">
        <f t="shared" si="55"/>
        <v>CX</v>
      </c>
    </row>
    <row r="456" spans="1:14" ht="15" customHeight="1" x14ac:dyDescent="0.2">
      <c r="A456" s="3" t="str">
        <f>'1. Master Data'!A376</f>
        <v>NT10372</v>
      </c>
      <c r="B456" s="1" t="str">
        <f>'1. Master Data'!B376</f>
        <v>OptiZoom 369 DSLR</v>
      </c>
      <c r="C456" s="3" t="str">
        <f>'1. Master Data'!C376</f>
        <v>Cameras</v>
      </c>
      <c r="D456" s="3" t="str">
        <f>'1. Master Data'!D376</f>
        <v>East DC</v>
      </c>
      <c r="E456" s="4">
        <f>'1. Master Data'!F376</f>
        <v>536</v>
      </c>
      <c r="F456" s="3">
        <f>'2. Demand History'!AA376</f>
        <v>53</v>
      </c>
      <c r="G456" s="4">
        <f t="shared" si="49"/>
        <v>28408</v>
      </c>
      <c r="H456" s="3">
        <f t="shared" si="50"/>
        <v>452</v>
      </c>
      <c r="I456" s="11">
        <f t="shared" si="51"/>
        <v>164556305</v>
      </c>
      <c r="J456" s="10">
        <f t="shared" si="52"/>
        <v>0.99524959050571538</v>
      </c>
      <c r="K456" s="5" t="str">
        <f t="shared" si="53"/>
        <v>C</v>
      </c>
      <c r="L456" s="8">
        <f>'3. Demand Forecast'!H376</f>
        <v>0.25</v>
      </c>
      <c r="M456" s="5" t="str">
        <f t="shared" si="54"/>
        <v>X</v>
      </c>
      <c r="N456" s="5" t="str">
        <f t="shared" si="55"/>
        <v>CX</v>
      </c>
    </row>
    <row r="457" spans="1:14" ht="15" customHeight="1" x14ac:dyDescent="0.2">
      <c r="A457" s="3" t="str">
        <f>'1. Master Data'!A495</f>
        <v>NT10491</v>
      </c>
      <c r="B457" s="1" t="str">
        <f>'1. Master Data'!B495</f>
        <v>Car Mount V298</v>
      </c>
      <c r="C457" s="3" t="str">
        <f>'1. Master Data'!C495</f>
        <v>Accessories</v>
      </c>
      <c r="D457" s="3" t="str">
        <f>'1. Master Data'!D495</f>
        <v>Central DC</v>
      </c>
      <c r="E457" s="4">
        <f>'1. Master Data'!F495</f>
        <v>9</v>
      </c>
      <c r="F457" s="3">
        <f>'2. Demand History'!AA495</f>
        <v>3077</v>
      </c>
      <c r="G457" s="4">
        <f t="shared" si="49"/>
        <v>27693</v>
      </c>
      <c r="H457" s="3">
        <f t="shared" si="50"/>
        <v>453</v>
      </c>
      <c r="I457" s="11">
        <f t="shared" si="51"/>
        <v>164583998</v>
      </c>
      <c r="J457" s="10">
        <f t="shared" si="52"/>
        <v>0.9954170799672093</v>
      </c>
      <c r="K457" s="5" t="str">
        <f t="shared" si="53"/>
        <v>C</v>
      </c>
      <c r="L457" s="8">
        <f>'3. Demand Forecast'!H495</f>
        <v>0.05</v>
      </c>
      <c r="M457" s="5" t="str">
        <f t="shared" si="54"/>
        <v>X</v>
      </c>
      <c r="N457" s="5" t="str">
        <f t="shared" si="55"/>
        <v>CX</v>
      </c>
    </row>
    <row r="458" spans="1:14" ht="15" customHeight="1" x14ac:dyDescent="0.2">
      <c r="A458" s="3" t="str">
        <f>'1. Master Data'!A271</f>
        <v>NT10267</v>
      </c>
      <c r="B458" s="1" t="str">
        <f>'1. Master Data'!B271</f>
        <v>StreamCam S531</v>
      </c>
      <c r="C458" s="3" t="str">
        <f>'1. Master Data'!C271</f>
        <v>Gaming</v>
      </c>
      <c r="D458" s="3" t="str">
        <f>'1. Master Data'!D271</f>
        <v>Central DC</v>
      </c>
      <c r="E458" s="4">
        <f>'1. Master Data'!F271</f>
        <v>56</v>
      </c>
      <c r="F458" s="3">
        <f>'2. Demand History'!AA271</f>
        <v>483</v>
      </c>
      <c r="G458" s="4">
        <f t="shared" si="49"/>
        <v>27048</v>
      </c>
      <c r="H458" s="3">
        <f t="shared" si="50"/>
        <v>454</v>
      </c>
      <c r="I458" s="11">
        <f t="shared" si="51"/>
        <v>164611046</v>
      </c>
      <c r="J458" s="10">
        <f t="shared" si="52"/>
        <v>0.99558066841752113</v>
      </c>
      <c r="K458" s="5" t="str">
        <f t="shared" si="53"/>
        <v>C</v>
      </c>
      <c r="L458" s="8">
        <f>'3. Demand Forecast'!H271</f>
        <v>0.31</v>
      </c>
      <c r="M458" s="5" t="str">
        <f t="shared" si="54"/>
        <v>Y</v>
      </c>
      <c r="N458" s="5" t="str">
        <f t="shared" si="55"/>
        <v>CY</v>
      </c>
    </row>
    <row r="459" spans="1:14" ht="15" customHeight="1" x14ac:dyDescent="0.2">
      <c r="A459" s="3" t="str">
        <f>'1. Master Data'!A389</f>
        <v>NT10385</v>
      </c>
      <c r="B459" s="1" t="str">
        <f>'1. Master Data'!B389</f>
        <v>ActionCam 664 4K</v>
      </c>
      <c r="C459" s="3" t="str">
        <f>'1. Master Data'!C389</f>
        <v>Cameras</v>
      </c>
      <c r="D459" s="3" t="str">
        <f>'1. Master Data'!D389</f>
        <v>Central DC</v>
      </c>
      <c r="E459" s="4">
        <f>'1. Master Data'!F389</f>
        <v>221</v>
      </c>
      <c r="F459" s="3">
        <f>'2. Demand History'!AA389</f>
        <v>122</v>
      </c>
      <c r="G459" s="4">
        <f t="shared" si="49"/>
        <v>26962</v>
      </c>
      <c r="H459" s="3">
        <f t="shared" si="50"/>
        <v>455</v>
      </c>
      <c r="I459" s="11">
        <f t="shared" si="51"/>
        <v>164638008</v>
      </c>
      <c r="J459" s="10">
        <f t="shared" si="52"/>
        <v>0.99574373673300876</v>
      </c>
      <c r="K459" s="5" t="str">
        <f t="shared" si="53"/>
        <v>C</v>
      </c>
      <c r="L459" s="8">
        <f>'3. Demand Forecast'!H389</f>
        <v>0.31</v>
      </c>
      <c r="M459" s="5" t="str">
        <f t="shared" si="54"/>
        <v>Y</v>
      </c>
      <c r="N459" s="5" t="str">
        <f t="shared" si="55"/>
        <v>CY</v>
      </c>
    </row>
    <row r="460" spans="1:14" ht="15" customHeight="1" x14ac:dyDescent="0.2">
      <c r="A460" s="3" t="str">
        <f>'1. Master Data'!A403</f>
        <v>NT10399</v>
      </c>
      <c r="B460" s="1" t="str">
        <f>'1. Master Data'!B403</f>
        <v>OptiZoom 452 DSLR</v>
      </c>
      <c r="C460" s="3" t="str">
        <f>'1. Master Data'!C403</f>
        <v>Cameras</v>
      </c>
      <c r="D460" s="3" t="str">
        <f>'1. Master Data'!D403</f>
        <v>Central DC</v>
      </c>
      <c r="E460" s="4">
        <f>'1. Master Data'!F403</f>
        <v>350</v>
      </c>
      <c r="F460" s="3">
        <f>'2. Demand History'!AA403</f>
        <v>77</v>
      </c>
      <c r="G460" s="4">
        <f t="shared" si="49"/>
        <v>26950</v>
      </c>
      <c r="H460" s="3">
        <f t="shared" si="50"/>
        <v>456</v>
      </c>
      <c r="I460" s="11">
        <f t="shared" si="51"/>
        <v>164664958</v>
      </c>
      <c r="J460" s="10">
        <f t="shared" si="52"/>
        <v>0.99590673247154415</v>
      </c>
      <c r="K460" s="5" t="str">
        <f t="shared" si="53"/>
        <v>C</v>
      </c>
      <c r="L460" s="8">
        <f>'3. Demand Forecast'!H403</f>
        <v>0.25</v>
      </c>
      <c r="M460" s="5" t="str">
        <f t="shared" si="54"/>
        <v>X</v>
      </c>
      <c r="N460" s="5" t="str">
        <f t="shared" si="55"/>
        <v>CX</v>
      </c>
    </row>
    <row r="461" spans="1:14" ht="15" customHeight="1" x14ac:dyDescent="0.2">
      <c r="A461" s="3" t="str">
        <f>'1. Master Data'!A419</f>
        <v>NT10415</v>
      </c>
      <c r="B461" s="1" t="str">
        <f>'1. Master Data'!B419</f>
        <v>DrawPad 859 12in</v>
      </c>
      <c r="C461" s="3" t="str">
        <f>'1. Master Data'!C419</f>
        <v>Tablets</v>
      </c>
      <c r="D461" s="3" t="str">
        <f>'1. Master Data'!D419</f>
        <v>Central DC</v>
      </c>
      <c r="E461" s="4">
        <f>'1. Master Data'!F419</f>
        <v>313</v>
      </c>
      <c r="F461" s="3">
        <f>'2. Demand History'!AA419</f>
        <v>83</v>
      </c>
      <c r="G461" s="4">
        <f t="shared" si="49"/>
        <v>25979</v>
      </c>
      <c r="H461" s="3">
        <f t="shared" si="50"/>
        <v>457</v>
      </c>
      <c r="I461" s="11">
        <f t="shared" si="51"/>
        <v>164690937</v>
      </c>
      <c r="J461" s="10">
        <f t="shared" si="52"/>
        <v>0.99606385552502874</v>
      </c>
      <c r="K461" s="5" t="str">
        <f t="shared" si="53"/>
        <v>C</v>
      </c>
      <c r="L461" s="8">
        <f>'3. Demand Forecast'!H419</f>
        <v>0.71</v>
      </c>
      <c r="M461" s="5" t="str">
        <f t="shared" si="54"/>
        <v>Z</v>
      </c>
      <c r="N461" s="5" t="str">
        <f t="shared" si="55"/>
        <v>CZ</v>
      </c>
    </row>
    <row r="462" spans="1:14" ht="15" customHeight="1" x14ac:dyDescent="0.2">
      <c r="A462" s="3" t="str">
        <f>'1. Master Data'!A356</f>
        <v>NT10352</v>
      </c>
      <c r="B462" s="1" t="str">
        <f>'1. Master Data'!B356</f>
        <v>TravelShot 264 Compact</v>
      </c>
      <c r="C462" s="3" t="str">
        <f>'1. Master Data'!C356</f>
        <v>Cameras</v>
      </c>
      <c r="D462" s="3" t="str">
        <f>'1. Master Data'!D356</f>
        <v>East DC</v>
      </c>
      <c r="E462" s="4">
        <f>'1. Master Data'!F356</f>
        <v>883</v>
      </c>
      <c r="F462" s="3">
        <f>'2. Demand History'!AA356</f>
        <v>29</v>
      </c>
      <c r="G462" s="4">
        <f t="shared" si="49"/>
        <v>25607</v>
      </c>
      <c r="H462" s="3">
        <f t="shared" si="50"/>
        <v>458</v>
      </c>
      <c r="I462" s="11">
        <f t="shared" si="51"/>
        <v>164716544</v>
      </c>
      <c r="J462" s="10">
        <f t="shared" si="52"/>
        <v>0.99621872869299444</v>
      </c>
      <c r="K462" s="5" t="str">
        <f t="shared" si="53"/>
        <v>C</v>
      </c>
      <c r="L462" s="8">
        <f>'3. Demand Forecast'!H356</f>
        <v>0.63</v>
      </c>
      <c r="M462" s="5" t="str">
        <f t="shared" si="54"/>
        <v>Z</v>
      </c>
      <c r="N462" s="5" t="str">
        <f t="shared" si="55"/>
        <v>CZ</v>
      </c>
    </row>
    <row r="463" spans="1:14" ht="15" customHeight="1" x14ac:dyDescent="0.2">
      <c r="A463" s="3" t="str">
        <f>'1. Master Data'!A501</f>
        <v>NT10497</v>
      </c>
      <c r="B463" s="1" t="str">
        <f>'1. Master Data'!B501</f>
        <v>Phone Case Clear V257</v>
      </c>
      <c r="C463" s="3" t="str">
        <f>'1. Master Data'!C501</f>
        <v>Accessories</v>
      </c>
      <c r="D463" s="3" t="str">
        <f>'1. Master Data'!D501</f>
        <v>East DC</v>
      </c>
      <c r="E463" s="4">
        <f>'1. Master Data'!F501</f>
        <v>16</v>
      </c>
      <c r="F463" s="3">
        <f>'2. Demand History'!AA501</f>
        <v>1586</v>
      </c>
      <c r="G463" s="4">
        <f t="shared" si="49"/>
        <v>25376</v>
      </c>
      <c r="H463" s="3">
        <f t="shared" si="50"/>
        <v>459</v>
      </c>
      <c r="I463" s="11">
        <f t="shared" si="51"/>
        <v>164741920</v>
      </c>
      <c r="J463" s="10">
        <f t="shared" si="52"/>
        <v>0.99637220475462984</v>
      </c>
      <c r="K463" s="5" t="str">
        <f t="shared" si="53"/>
        <v>C</v>
      </c>
      <c r="L463" s="8">
        <f>'3. Demand Forecast'!H501</f>
        <v>0.05</v>
      </c>
      <c r="M463" s="5" t="str">
        <f t="shared" si="54"/>
        <v>X</v>
      </c>
      <c r="N463" s="5" t="str">
        <f t="shared" si="55"/>
        <v>CX</v>
      </c>
    </row>
    <row r="464" spans="1:14" ht="15" customHeight="1" x14ac:dyDescent="0.2">
      <c r="A464" s="3" t="str">
        <f>'1. Master Data'!A465</f>
        <v>NT10461</v>
      </c>
      <c r="B464" s="1" t="str">
        <f>'1. Master Data'!B465</f>
        <v>USB C Cable 2m V317</v>
      </c>
      <c r="C464" s="3" t="str">
        <f>'1. Master Data'!C465</f>
        <v>Accessories</v>
      </c>
      <c r="D464" s="3" t="str">
        <f>'1. Master Data'!D465</f>
        <v>Central DC</v>
      </c>
      <c r="E464" s="4">
        <f>'1. Master Data'!F465</f>
        <v>6</v>
      </c>
      <c r="F464" s="3">
        <f>'2. Demand History'!AA465</f>
        <v>4187</v>
      </c>
      <c r="G464" s="4">
        <f t="shared" si="49"/>
        <v>25122</v>
      </c>
      <c r="H464" s="3">
        <f t="shared" si="50"/>
        <v>460</v>
      </c>
      <c r="I464" s="11">
        <f t="shared" si="51"/>
        <v>164767042</v>
      </c>
      <c r="J464" s="10">
        <f t="shared" si="52"/>
        <v>0.99652414460410987</v>
      </c>
      <c r="K464" s="5" t="str">
        <f t="shared" si="53"/>
        <v>C</v>
      </c>
      <c r="L464" s="8">
        <f>'3. Demand Forecast'!H465</f>
        <v>0.05</v>
      </c>
      <c r="M464" s="5" t="str">
        <f t="shared" si="54"/>
        <v>X</v>
      </c>
      <c r="N464" s="5" t="str">
        <f t="shared" si="55"/>
        <v>CX</v>
      </c>
    </row>
    <row r="465" spans="1:14" ht="15" customHeight="1" x14ac:dyDescent="0.2">
      <c r="A465" s="3" t="str">
        <f>'1. Master Data'!A269</f>
        <v>NT10265</v>
      </c>
      <c r="B465" s="1" t="str">
        <f>'1. Master Data'!B269</f>
        <v>GameStation Controller 214</v>
      </c>
      <c r="C465" s="3" t="str">
        <f>'1. Master Data'!C269</f>
        <v>Gaming</v>
      </c>
      <c r="D465" s="3" t="str">
        <f>'1. Master Data'!D269</f>
        <v>Central DC</v>
      </c>
      <c r="E465" s="4">
        <f>'1. Master Data'!F269</f>
        <v>141</v>
      </c>
      <c r="F465" s="3">
        <f>'2. Demand History'!AA269</f>
        <v>172</v>
      </c>
      <c r="G465" s="4">
        <f t="shared" si="49"/>
        <v>24252</v>
      </c>
      <c r="H465" s="3">
        <f t="shared" si="50"/>
        <v>461</v>
      </c>
      <c r="I465" s="11">
        <f t="shared" si="51"/>
        <v>164791294</v>
      </c>
      <c r="J465" s="10">
        <f t="shared" si="52"/>
        <v>0.99667082262455364</v>
      </c>
      <c r="K465" s="5" t="str">
        <f t="shared" si="53"/>
        <v>C</v>
      </c>
      <c r="L465" s="8">
        <f>'3. Demand Forecast'!H269</f>
        <v>0.28999999999999998</v>
      </c>
      <c r="M465" s="5" t="str">
        <f t="shared" si="54"/>
        <v>Y</v>
      </c>
      <c r="N465" s="5" t="str">
        <f t="shared" si="55"/>
        <v>CY</v>
      </c>
    </row>
    <row r="466" spans="1:14" ht="15" customHeight="1" x14ac:dyDescent="0.2">
      <c r="A466" s="3" t="str">
        <f>'1. Master Data'!A475</f>
        <v>NT10471</v>
      </c>
      <c r="B466" s="1" t="str">
        <f>'1. Master Data'!B475</f>
        <v>Phone Case Clear V314</v>
      </c>
      <c r="C466" s="3" t="str">
        <f>'1. Master Data'!C475</f>
        <v>Accessories</v>
      </c>
      <c r="D466" s="3" t="str">
        <f>'1. Master Data'!D475</f>
        <v>Central DC</v>
      </c>
      <c r="E466" s="4">
        <f>'1. Master Data'!F475</f>
        <v>7</v>
      </c>
      <c r="F466" s="3">
        <f>'2. Demand History'!AA475</f>
        <v>3429</v>
      </c>
      <c r="G466" s="4">
        <f t="shared" si="49"/>
        <v>24003</v>
      </c>
      <c r="H466" s="3">
        <f t="shared" si="50"/>
        <v>462</v>
      </c>
      <c r="I466" s="11">
        <f t="shared" si="51"/>
        <v>164815297</v>
      </c>
      <c r="J466" s="10">
        <f t="shared" si="52"/>
        <v>0.99681599467323878</v>
      </c>
      <c r="K466" s="5" t="str">
        <f t="shared" si="53"/>
        <v>C</v>
      </c>
      <c r="L466" s="8">
        <f>'3. Demand Forecast'!H475</f>
        <v>1.05</v>
      </c>
      <c r="M466" s="5" t="str">
        <f t="shared" si="54"/>
        <v>Z</v>
      </c>
      <c r="N466" s="5" t="str">
        <f t="shared" si="55"/>
        <v>CZ</v>
      </c>
    </row>
    <row r="467" spans="1:14" ht="15" customHeight="1" x14ac:dyDescent="0.2">
      <c r="A467" s="3" t="str">
        <f>'1. Master Data'!A473</f>
        <v>NT10469</v>
      </c>
      <c r="B467" s="1" t="str">
        <f>'1. Master Data'!B473</f>
        <v>Power Bank 10K V103</v>
      </c>
      <c r="C467" s="3" t="str">
        <f>'1. Master Data'!C473</f>
        <v>Accessories</v>
      </c>
      <c r="D467" s="3" t="str">
        <f>'1. Master Data'!D473</f>
        <v>East DC</v>
      </c>
      <c r="E467" s="4">
        <f>'1. Master Data'!F473</f>
        <v>19</v>
      </c>
      <c r="F467" s="3">
        <f>'2. Demand History'!AA473</f>
        <v>1259</v>
      </c>
      <c r="G467" s="4">
        <f t="shared" si="49"/>
        <v>23921</v>
      </c>
      <c r="H467" s="3">
        <f t="shared" si="50"/>
        <v>463</v>
      </c>
      <c r="I467" s="11">
        <f t="shared" si="51"/>
        <v>164839218</v>
      </c>
      <c r="J467" s="10">
        <f t="shared" si="52"/>
        <v>0.99696067077941708</v>
      </c>
      <c r="K467" s="5" t="str">
        <f t="shared" si="53"/>
        <v>C</v>
      </c>
      <c r="L467" s="8">
        <f>'3. Demand Forecast'!H473</f>
        <v>0.09</v>
      </c>
      <c r="M467" s="5" t="str">
        <f t="shared" si="54"/>
        <v>X</v>
      </c>
      <c r="N467" s="5" t="str">
        <f t="shared" si="55"/>
        <v>CX</v>
      </c>
    </row>
    <row r="468" spans="1:14" ht="15" customHeight="1" x14ac:dyDescent="0.2">
      <c r="A468" s="3" t="str">
        <f>'1. Master Data'!A452</f>
        <v>NT10448</v>
      </c>
      <c r="B468" s="1" t="str">
        <f>'1. Master Data'!B452</f>
        <v>NovaTab 743 10in</v>
      </c>
      <c r="C468" s="3" t="str">
        <f>'1. Master Data'!C452</f>
        <v>Tablets</v>
      </c>
      <c r="D468" s="3" t="str">
        <f>'1. Master Data'!D452</f>
        <v>Central DC</v>
      </c>
      <c r="E468" s="4">
        <f>'1. Master Data'!F452</f>
        <v>169</v>
      </c>
      <c r="F468" s="3">
        <f>'2. Demand History'!AA452</f>
        <v>135</v>
      </c>
      <c r="G468" s="4">
        <f t="shared" si="49"/>
        <v>22815</v>
      </c>
      <c r="H468" s="3">
        <f t="shared" si="50"/>
        <v>464</v>
      </c>
      <c r="I468" s="11">
        <f t="shared" si="51"/>
        <v>164862033</v>
      </c>
      <c r="J468" s="10">
        <f t="shared" si="52"/>
        <v>0.99709865770983208</v>
      </c>
      <c r="K468" s="5" t="str">
        <f t="shared" si="53"/>
        <v>C</v>
      </c>
      <c r="L468" s="8">
        <f>'3. Demand Forecast'!H452</f>
        <v>0.28999999999999998</v>
      </c>
      <c r="M468" s="5" t="str">
        <f t="shared" si="54"/>
        <v>Y</v>
      </c>
      <c r="N468" s="5" t="str">
        <f t="shared" si="55"/>
        <v>CY</v>
      </c>
    </row>
    <row r="469" spans="1:14" ht="15" customHeight="1" x14ac:dyDescent="0.2">
      <c r="A469" s="3" t="str">
        <f>'1. Master Data'!A364</f>
        <v>NT10360</v>
      </c>
      <c r="B469" s="1" t="str">
        <f>'1. Master Data'!B364</f>
        <v>OptiZoom 562 DSLR</v>
      </c>
      <c r="C469" s="3" t="str">
        <f>'1. Master Data'!C364</f>
        <v>Cameras</v>
      </c>
      <c r="D469" s="3" t="str">
        <f>'1. Master Data'!D364</f>
        <v>East DC</v>
      </c>
      <c r="E469" s="4">
        <f>'1. Master Data'!F364</f>
        <v>842</v>
      </c>
      <c r="F469" s="3">
        <f>'2. Demand History'!AA364</f>
        <v>27</v>
      </c>
      <c r="G469" s="4">
        <f t="shared" si="49"/>
        <v>22734</v>
      </c>
      <c r="H469" s="3">
        <f t="shared" si="50"/>
        <v>465</v>
      </c>
      <c r="I469" s="11">
        <f t="shared" si="51"/>
        <v>164884767</v>
      </c>
      <c r="J469" s="10">
        <f t="shared" si="52"/>
        <v>0.99723615474581961</v>
      </c>
      <c r="K469" s="5" t="str">
        <f t="shared" si="53"/>
        <v>C</v>
      </c>
      <c r="L469" s="8">
        <f>'3. Demand Forecast'!H364</f>
        <v>0.52</v>
      </c>
      <c r="M469" s="5" t="str">
        <f t="shared" si="54"/>
        <v>Y</v>
      </c>
      <c r="N469" s="5" t="str">
        <f t="shared" si="55"/>
        <v>CY</v>
      </c>
    </row>
    <row r="470" spans="1:14" ht="15" customHeight="1" x14ac:dyDescent="0.2">
      <c r="A470" s="3" t="str">
        <f>'1. Master Data'!A445</f>
        <v>NT10441</v>
      </c>
      <c r="B470" s="1" t="str">
        <f>'1. Master Data'!B445</f>
        <v>DrawPad 374 12in</v>
      </c>
      <c r="C470" s="3" t="str">
        <f>'1. Master Data'!C445</f>
        <v>Tablets</v>
      </c>
      <c r="D470" s="3" t="str">
        <f>'1. Master Data'!D445</f>
        <v>Central DC</v>
      </c>
      <c r="E470" s="4">
        <f>'1. Master Data'!F445</f>
        <v>364</v>
      </c>
      <c r="F470" s="3">
        <f>'2. Demand History'!AA445</f>
        <v>62</v>
      </c>
      <c r="G470" s="4">
        <f t="shared" si="49"/>
        <v>22568</v>
      </c>
      <c r="H470" s="3">
        <f t="shared" si="50"/>
        <v>466</v>
      </c>
      <c r="I470" s="11">
        <f t="shared" si="51"/>
        <v>164907335</v>
      </c>
      <c r="J470" s="10">
        <f t="shared" si="52"/>
        <v>0.99737264780063473</v>
      </c>
      <c r="K470" s="5" t="str">
        <f t="shared" si="53"/>
        <v>C</v>
      </c>
      <c r="L470" s="8">
        <f>'3. Demand Forecast'!H445</f>
        <v>0.25</v>
      </c>
      <c r="M470" s="5" t="str">
        <f t="shared" si="54"/>
        <v>X</v>
      </c>
      <c r="N470" s="5" t="str">
        <f t="shared" si="55"/>
        <v>CX</v>
      </c>
    </row>
    <row r="471" spans="1:14" ht="15" customHeight="1" x14ac:dyDescent="0.2">
      <c r="A471" s="3" t="str">
        <f>'1. Master Data'!A17</f>
        <v>NT10013</v>
      </c>
      <c r="B471" s="1" t="str">
        <f>'1. Master Data'!B17</f>
        <v>Pulse 569 Dual SIM</v>
      </c>
      <c r="C471" s="3" t="str">
        <f>'1. Master Data'!C17</f>
        <v>Smartphones</v>
      </c>
      <c r="D471" s="3" t="str">
        <f>'1. Master Data'!D17</f>
        <v>West DC</v>
      </c>
      <c r="E471" s="4">
        <f>'1. Master Data'!F17</f>
        <v>454</v>
      </c>
      <c r="F471" s="3">
        <f>'2. Demand History'!AA17</f>
        <v>49</v>
      </c>
      <c r="G471" s="4">
        <f t="shared" si="49"/>
        <v>22246</v>
      </c>
      <c r="H471" s="3">
        <f t="shared" si="50"/>
        <v>467</v>
      </c>
      <c r="I471" s="11">
        <f t="shared" si="51"/>
        <v>164929581</v>
      </c>
      <c r="J471" s="10">
        <f t="shared" si="52"/>
        <v>0.99750719337389848</v>
      </c>
      <c r="K471" s="5" t="str">
        <f t="shared" si="53"/>
        <v>C</v>
      </c>
      <c r="L471" s="8">
        <f>'3. Demand Forecast'!H17</f>
        <v>0.73</v>
      </c>
      <c r="M471" s="5" t="str">
        <f t="shared" si="54"/>
        <v>Z</v>
      </c>
      <c r="N471" s="5" t="str">
        <f t="shared" si="55"/>
        <v>CZ</v>
      </c>
    </row>
    <row r="472" spans="1:14" ht="15" customHeight="1" x14ac:dyDescent="0.2">
      <c r="A472" s="3" t="str">
        <f>'1. Master Data'!A483</f>
        <v>NT10479</v>
      </c>
      <c r="B472" s="1" t="str">
        <f>'1. Master Data'!B483</f>
        <v>USB C Cable 2m V217</v>
      </c>
      <c r="C472" s="3" t="str">
        <f>'1. Master Data'!C483</f>
        <v>Accessories</v>
      </c>
      <c r="D472" s="3" t="str">
        <f>'1. Master Data'!D483</f>
        <v>East DC</v>
      </c>
      <c r="E472" s="4">
        <f>'1. Master Data'!F483</f>
        <v>9</v>
      </c>
      <c r="F472" s="3">
        <f>'2. Demand History'!AA483</f>
        <v>2464</v>
      </c>
      <c r="G472" s="4">
        <f t="shared" si="49"/>
        <v>22176</v>
      </c>
      <c r="H472" s="3">
        <f t="shared" si="50"/>
        <v>468</v>
      </c>
      <c r="I472" s="11">
        <f t="shared" si="51"/>
        <v>164951757</v>
      </c>
      <c r="J472" s="10">
        <f t="shared" si="52"/>
        <v>0.99764131558160751</v>
      </c>
      <c r="K472" s="5" t="str">
        <f t="shared" si="53"/>
        <v>C</v>
      </c>
      <c r="L472" s="8">
        <f>'3. Demand Forecast'!H483</f>
        <v>7.0000000000000007E-2</v>
      </c>
      <c r="M472" s="5" t="str">
        <f t="shared" si="54"/>
        <v>X</v>
      </c>
      <c r="N472" s="5" t="str">
        <f t="shared" si="55"/>
        <v>CX</v>
      </c>
    </row>
    <row r="473" spans="1:14" ht="15" customHeight="1" x14ac:dyDescent="0.2">
      <c r="A473" s="3" t="str">
        <f>'1. Master Data'!A265</f>
        <v>NT10261</v>
      </c>
      <c r="B473" s="1" t="str">
        <f>'1. Master Data'!B265</f>
        <v>ProMouse G434</v>
      </c>
      <c r="C473" s="3" t="str">
        <f>'1. Master Data'!C265</f>
        <v>Gaming</v>
      </c>
      <c r="D473" s="3" t="str">
        <f>'1. Master Data'!D265</f>
        <v>East DC</v>
      </c>
      <c r="E473" s="4">
        <f>'1. Master Data'!F265</f>
        <v>37</v>
      </c>
      <c r="F473" s="3">
        <f>'2. Demand History'!AA265</f>
        <v>583</v>
      </c>
      <c r="G473" s="4">
        <f t="shared" si="49"/>
        <v>21571</v>
      </c>
      <c r="H473" s="3">
        <f t="shared" si="50"/>
        <v>469</v>
      </c>
      <c r="I473" s="11">
        <f t="shared" si="51"/>
        <v>164973328</v>
      </c>
      <c r="J473" s="10">
        <f t="shared" si="52"/>
        <v>0.99777177870130873</v>
      </c>
      <c r="K473" s="5" t="str">
        <f t="shared" si="53"/>
        <v>C</v>
      </c>
      <c r="L473" s="8">
        <f>'3. Demand Forecast'!H265</f>
        <v>0.3</v>
      </c>
      <c r="M473" s="5" t="str">
        <f t="shared" si="54"/>
        <v>Y</v>
      </c>
      <c r="N473" s="5" t="str">
        <f t="shared" si="55"/>
        <v>CY</v>
      </c>
    </row>
    <row r="474" spans="1:14" ht="15" customHeight="1" x14ac:dyDescent="0.2">
      <c r="A474" s="3" t="str">
        <f>'1. Master Data'!A332</f>
        <v>NT10328</v>
      </c>
      <c r="B474" s="1" t="str">
        <f>'1. Master Data'!B332</f>
        <v>DoorSense 810</v>
      </c>
      <c r="C474" s="3" t="str">
        <f>'1. Master Data'!C332</f>
        <v>Smart Home</v>
      </c>
      <c r="D474" s="3" t="str">
        <f>'1. Master Data'!D332</f>
        <v>West DC</v>
      </c>
      <c r="E474" s="4">
        <f>'1. Master Data'!F332</f>
        <v>32</v>
      </c>
      <c r="F474" s="3">
        <f>'2. Demand History'!AA332</f>
        <v>649</v>
      </c>
      <c r="G474" s="4">
        <f t="shared" si="49"/>
        <v>20768</v>
      </c>
      <c r="H474" s="3">
        <f t="shared" si="50"/>
        <v>470</v>
      </c>
      <c r="I474" s="11">
        <f t="shared" si="51"/>
        <v>164994096</v>
      </c>
      <c r="J474" s="10">
        <f t="shared" si="52"/>
        <v>0.9978973852132903</v>
      </c>
      <c r="K474" s="5" t="str">
        <f t="shared" si="53"/>
        <v>C</v>
      </c>
      <c r="L474" s="8">
        <f>'3. Demand Forecast'!H332</f>
        <v>0.96</v>
      </c>
      <c r="M474" s="5" t="str">
        <f t="shared" si="54"/>
        <v>Z</v>
      </c>
      <c r="N474" s="5" t="str">
        <f t="shared" si="55"/>
        <v>CZ</v>
      </c>
    </row>
    <row r="475" spans="1:14" ht="15" customHeight="1" x14ac:dyDescent="0.2">
      <c r="A475" s="3" t="str">
        <f>'1. Master Data'!A407</f>
        <v>NT10403</v>
      </c>
      <c r="B475" s="1" t="str">
        <f>'1. Master Data'!B407</f>
        <v>NovaTab 537 10in</v>
      </c>
      <c r="C475" s="3" t="str">
        <f>'1. Master Data'!C407</f>
        <v>Tablets</v>
      </c>
      <c r="D475" s="3" t="str">
        <f>'1. Master Data'!D407</f>
        <v>West DC</v>
      </c>
      <c r="E475" s="4">
        <f>'1. Master Data'!F407</f>
        <v>257</v>
      </c>
      <c r="F475" s="3">
        <f>'2. Demand History'!AA407</f>
        <v>79</v>
      </c>
      <c r="G475" s="4">
        <f t="shared" si="49"/>
        <v>20303</v>
      </c>
      <c r="H475" s="3">
        <f t="shared" si="50"/>
        <v>471</v>
      </c>
      <c r="I475" s="11">
        <f t="shared" si="51"/>
        <v>165014399</v>
      </c>
      <c r="J475" s="10">
        <f t="shared" si="52"/>
        <v>0.99802017936837317</v>
      </c>
      <c r="K475" s="5" t="str">
        <f t="shared" si="53"/>
        <v>C</v>
      </c>
      <c r="L475" s="8">
        <f>'3. Demand Forecast'!H407</f>
        <v>1.03</v>
      </c>
      <c r="M475" s="5" t="str">
        <f t="shared" si="54"/>
        <v>Z</v>
      </c>
      <c r="N475" s="5" t="str">
        <f t="shared" si="55"/>
        <v>CZ</v>
      </c>
    </row>
    <row r="476" spans="1:14" ht="15" customHeight="1" x14ac:dyDescent="0.2">
      <c r="A476" s="3" t="str">
        <f>'1. Master Data'!A361</f>
        <v>NT10357</v>
      </c>
      <c r="B476" s="1" t="str">
        <f>'1. Master Data'!B361</f>
        <v>OptiZoom 396 DSLR</v>
      </c>
      <c r="C476" s="3" t="str">
        <f>'1. Master Data'!C361</f>
        <v>Cameras</v>
      </c>
      <c r="D476" s="3" t="str">
        <f>'1. Master Data'!D361</f>
        <v>Central DC</v>
      </c>
      <c r="E476" s="4">
        <f>'1. Master Data'!F361</f>
        <v>1070</v>
      </c>
      <c r="F476" s="3">
        <f>'2. Demand History'!AA361</f>
        <v>18</v>
      </c>
      <c r="G476" s="4">
        <f t="shared" si="49"/>
        <v>19260</v>
      </c>
      <c r="H476" s="3">
        <f t="shared" si="50"/>
        <v>472</v>
      </c>
      <c r="I476" s="11">
        <f t="shared" si="51"/>
        <v>165033659</v>
      </c>
      <c r="J476" s="10">
        <f t="shared" si="52"/>
        <v>0.99813666537669199</v>
      </c>
      <c r="K476" s="5" t="str">
        <f t="shared" si="53"/>
        <v>C</v>
      </c>
      <c r="L476" s="8">
        <f>'3. Demand Forecast'!H361</f>
        <v>0.47</v>
      </c>
      <c r="M476" s="5" t="str">
        <f t="shared" si="54"/>
        <v>Y</v>
      </c>
      <c r="N476" s="5" t="str">
        <f t="shared" si="55"/>
        <v>CY</v>
      </c>
    </row>
    <row r="477" spans="1:14" ht="15" customHeight="1" x14ac:dyDescent="0.2">
      <c r="A477" s="3" t="str">
        <f>'1. Master Data'!A351</f>
        <v>NT10347</v>
      </c>
      <c r="B477" s="1" t="str">
        <f>'1. Master Data'!B351</f>
        <v>SmartPlug Duo 550</v>
      </c>
      <c r="C477" s="3" t="str">
        <f>'1. Master Data'!C351</f>
        <v>Smart Home</v>
      </c>
      <c r="D477" s="3" t="str">
        <f>'1. Master Data'!D351</f>
        <v>East DC</v>
      </c>
      <c r="E477" s="4">
        <f>'1. Master Data'!F351</f>
        <v>28</v>
      </c>
      <c r="F477" s="3">
        <f>'2. Demand History'!AA351</f>
        <v>655</v>
      </c>
      <c r="G477" s="4">
        <f t="shared" si="49"/>
        <v>18340</v>
      </c>
      <c r="H477" s="3">
        <f t="shared" si="50"/>
        <v>473</v>
      </c>
      <c r="I477" s="11">
        <f t="shared" si="51"/>
        <v>165051999</v>
      </c>
      <c r="J477" s="10">
        <f t="shared" si="52"/>
        <v>0.99824758715200701</v>
      </c>
      <c r="K477" s="5" t="str">
        <f t="shared" si="53"/>
        <v>C</v>
      </c>
      <c r="L477" s="8">
        <f>'3. Demand Forecast'!H351</f>
        <v>0.06</v>
      </c>
      <c r="M477" s="5" t="str">
        <f t="shared" si="54"/>
        <v>X</v>
      </c>
      <c r="N477" s="5" t="str">
        <f t="shared" si="55"/>
        <v>CX</v>
      </c>
    </row>
    <row r="478" spans="1:14" ht="15" customHeight="1" x14ac:dyDescent="0.2">
      <c r="A478" s="3" t="str">
        <f>'1. Master Data'!A342</f>
        <v>NT10338</v>
      </c>
      <c r="B478" s="1" t="str">
        <f>'1. Master Data'!B342</f>
        <v>LumiBulb 442 RGB</v>
      </c>
      <c r="C478" s="3" t="str">
        <f>'1. Master Data'!C342</f>
        <v>Smart Home</v>
      </c>
      <c r="D478" s="3" t="str">
        <f>'1. Master Data'!D342</f>
        <v>West DC</v>
      </c>
      <c r="E478" s="4">
        <f>'1. Master Data'!F342</f>
        <v>47</v>
      </c>
      <c r="F478" s="3">
        <f>'2. Demand History'!AA342</f>
        <v>366</v>
      </c>
      <c r="G478" s="4">
        <f t="shared" si="49"/>
        <v>17202</v>
      </c>
      <c r="H478" s="3">
        <f t="shared" si="50"/>
        <v>474</v>
      </c>
      <c r="I478" s="11">
        <f t="shared" si="51"/>
        <v>165069201</v>
      </c>
      <c r="J478" s="10">
        <f t="shared" si="52"/>
        <v>0.99835162621301943</v>
      </c>
      <c r="K478" s="5" t="str">
        <f t="shared" si="53"/>
        <v>C</v>
      </c>
      <c r="L478" s="8">
        <f>'3. Demand Forecast'!H342</f>
        <v>0.04</v>
      </c>
      <c r="M478" s="5" t="str">
        <f t="shared" si="54"/>
        <v>X</v>
      </c>
      <c r="N478" s="5" t="str">
        <f t="shared" si="55"/>
        <v>CX</v>
      </c>
    </row>
    <row r="479" spans="1:14" ht="15" customHeight="1" x14ac:dyDescent="0.2">
      <c r="A479" s="3" t="str">
        <f>'1. Master Data'!A468</f>
        <v>NT10464</v>
      </c>
      <c r="B479" s="1" t="str">
        <f>'1. Master Data'!B468</f>
        <v>Phone Case Clear V580</v>
      </c>
      <c r="C479" s="3" t="str">
        <f>'1. Master Data'!C468</f>
        <v>Accessories</v>
      </c>
      <c r="D479" s="3" t="str">
        <f>'1. Master Data'!D468</f>
        <v>Central DC</v>
      </c>
      <c r="E479" s="4">
        <f>'1. Master Data'!F468</f>
        <v>27</v>
      </c>
      <c r="F479" s="3">
        <f>'2. Demand History'!AA468</f>
        <v>634</v>
      </c>
      <c r="G479" s="4">
        <f t="shared" si="49"/>
        <v>17118</v>
      </c>
      <c r="H479" s="3">
        <f t="shared" si="50"/>
        <v>475</v>
      </c>
      <c r="I479" s="11">
        <f t="shared" si="51"/>
        <v>165086319</v>
      </c>
      <c r="J479" s="10">
        <f t="shared" si="52"/>
        <v>0.99845515723536626</v>
      </c>
      <c r="K479" s="5" t="str">
        <f t="shared" si="53"/>
        <v>C</v>
      </c>
      <c r="L479" s="8">
        <f>'3. Demand Forecast'!H468</f>
        <v>0.11</v>
      </c>
      <c r="M479" s="5" t="str">
        <f t="shared" si="54"/>
        <v>X</v>
      </c>
      <c r="N479" s="5" t="str">
        <f t="shared" si="55"/>
        <v>CX</v>
      </c>
    </row>
    <row r="480" spans="1:14" ht="15" customHeight="1" x14ac:dyDescent="0.2">
      <c r="A480" s="3" t="str">
        <f>'1. Master Data'!A222</f>
        <v>NT10218</v>
      </c>
      <c r="B480" s="1" t="str">
        <f>'1. Master Data'!B222</f>
        <v>StepOne Tracker 111</v>
      </c>
      <c r="C480" s="3" t="str">
        <f>'1. Master Data'!C222</f>
        <v>Wearables</v>
      </c>
      <c r="D480" s="3" t="str">
        <f>'1. Master Data'!D222</f>
        <v>East DC</v>
      </c>
      <c r="E480" s="4">
        <f>'1. Master Data'!F222</f>
        <v>105</v>
      </c>
      <c r="F480" s="3">
        <f>'2. Demand History'!AA222</f>
        <v>159</v>
      </c>
      <c r="G480" s="4">
        <f t="shared" si="49"/>
        <v>16695</v>
      </c>
      <c r="H480" s="3">
        <f t="shared" si="50"/>
        <v>476</v>
      </c>
      <c r="I480" s="11">
        <f t="shared" si="51"/>
        <v>165103014</v>
      </c>
      <c r="J480" s="10">
        <f t="shared" si="52"/>
        <v>0.99855612992014731</v>
      </c>
      <c r="K480" s="5" t="str">
        <f t="shared" si="53"/>
        <v>C</v>
      </c>
      <c r="L480" s="8">
        <f>'3. Demand Forecast'!H222</f>
        <v>0.24</v>
      </c>
      <c r="M480" s="5" t="str">
        <f t="shared" si="54"/>
        <v>X</v>
      </c>
      <c r="N480" s="5" t="str">
        <f t="shared" si="55"/>
        <v>CX</v>
      </c>
    </row>
    <row r="481" spans="1:14" ht="15" customHeight="1" x14ac:dyDescent="0.2">
      <c r="A481" s="3" t="str">
        <f>'1. Master Data'!A226</f>
        <v>NT10222</v>
      </c>
      <c r="B481" s="1" t="str">
        <f>'1. Master Data'!B226</f>
        <v>StepOne Tracker 743</v>
      </c>
      <c r="C481" s="3" t="str">
        <f>'1. Master Data'!C226</f>
        <v>Wearables</v>
      </c>
      <c r="D481" s="3" t="str">
        <f>'1. Master Data'!D226</f>
        <v>Central DC</v>
      </c>
      <c r="E481" s="4">
        <f>'1. Master Data'!F226</f>
        <v>49</v>
      </c>
      <c r="F481" s="3">
        <f>'2. Demand History'!AA226</f>
        <v>306</v>
      </c>
      <c r="G481" s="4">
        <f t="shared" si="49"/>
        <v>14994</v>
      </c>
      <c r="H481" s="3">
        <f t="shared" si="50"/>
        <v>477</v>
      </c>
      <c r="I481" s="11">
        <f t="shared" si="51"/>
        <v>165118008</v>
      </c>
      <c r="J481" s="10">
        <f t="shared" si="52"/>
        <v>0.99864681482195061</v>
      </c>
      <c r="K481" s="5" t="str">
        <f t="shared" si="53"/>
        <v>C</v>
      </c>
      <c r="L481" s="8">
        <f>'3. Demand Forecast'!H226</f>
        <v>0.34</v>
      </c>
      <c r="M481" s="5" t="str">
        <f t="shared" si="54"/>
        <v>Y</v>
      </c>
      <c r="N481" s="5" t="str">
        <f t="shared" si="55"/>
        <v>CY</v>
      </c>
    </row>
    <row r="482" spans="1:14" ht="15" customHeight="1" x14ac:dyDescent="0.2">
      <c r="A482" s="3" t="str">
        <f>'1. Master Data'!A437</f>
        <v>NT10433</v>
      </c>
      <c r="B482" s="1" t="str">
        <f>'1. Master Data'!B437</f>
        <v>NovaTab 132 10in</v>
      </c>
      <c r="C482" s="3" t="str">
        <f>'1. Master Data'!C437</f>
        <v>Tablets</v>
      </c>
      <c r="D482" s="3" t="str">
        <f>'1. Master Data'!D437</f>
        <v>West DC</v>
      </c>
      <c r="E482" s="4">
        <f>'1. Master Data'!F437</f>
        <v>263</v>
      </c>
      <c r="F482" s="3">
        <f>'2. Demand History'!AA437</f>
        <v>57</v>
      </c>
      <c r="G482" s="4">
        <f t="shared" si="49"/>
        <v>14991</v>
      </c>
      <c r="H482" s="3">
        <f t="shared" si="50"/>
        <v>478</v>
      </c>
      <c r="I482" s="11">
        <f t="shared" si="51"/>
        <v>165132999</v>
      </c>
      <c r="J482" s="10">
        <f t="shared" si="52"/>
        <v>0.99873748157951592</v>
      </c>
      <c r="K482" s="5" t="str">
        <f t="shared" si="53"/>
        <v>C</v>
      </c>
      <c r="L482" s="8">
        <f>'3. Demand Forecast'!H437</f>
        <v>0.69</v>
      </c>
      <c r="M482" s="5" t="str">
        <f t="shared" si="54"/>
        <v>Z</v>
      </c>
      <c r="N482" s="5" t="str">
        <f t="shared" si="55"/>
        <v>CZ</v>
      </c>
    </row>
    <row r="483" spans="1:14" ht="15" customHeight="1" x14ac:dyDescent="0.2">
      <c r="A483" s="3" t="str">
        <f>'1. Master Data'!A386</f>
        <v>NT10382</v>
      </c>
      <c r="B483" s="1" t="str">
        <f>'1. Master Data'!B386</f>
        <v>TravelShot 847 Compact</v>
      </c>
      <c r="C483" s="3" t="str">
        <f>'1. Master Data'!C386</f>
        <v>Cameras</v>
      </c>
      <c r="D483" s="3" t="str">
        <f>'1. Master Data'!D386</f>
        <v>East DC</v>
      </c>
      <c r="E483" s="4">
        <f>'1. Master Data'!F386</f>
        <v>362</v>
      </c>
      <c r="F483" s="3">
        <f>'2. Demand History'!AA386</f>
        <v>41</v>
      </c>
      <c r="G483" s="4">
        <f t="shared" si="49"/>
        <v>14842</v>
      </c>
      <c r="H483" s="3">
        <f t="shared" si="50"/>
        <v>479</v>
      </c>
      <c r="I483" s="11">
        <f t="shared" si="51"/>
        <v>165147841</v>
      </c>
      <c r="J483" s="10">
        <f t="shared" si="52"/>
        <v>0.99882724717325777</v>
      </c>
      <c r="K483" s="5" t="str">
        <f t="shared" si="53"/>
        <v>C</v>
      </c>
      <c r="L483" s="8">
        <f>'3. Demand Forecast'!H386</f>
        <v>0.28999999999999998</v>
      </c>
      <c r="M483" s="5" t="str">
        <f t="shared" si="54"/>
        <v>Y</v>
      </c>
      <c r="N483" s="5" t="str">
        <f t="shared" si="55"/>
        <v>CY</v>
      </c>
    </row>
    <row r="484" spans="1:14" ht="15" customHeight="1" x14ac:dyDescent="0.2">
      <c r="A484" s="3" t="str">
        <f>'1. Master Data'!A301</f>
        <v>NT10297</v>
      </c>
      <c r="B484" s="1" t="str">
        <f>'1. Master Data'!B301</f>
        <v>ProMouse G461</v>
      </c>
      <c r="C484" s="3" t="str">
        <f>'1. Master Data'!C301</f>
        <v>Gaming</v>
      </c>
      <c r="D484" s="3" t="str">
        <f>'1. Master Data'!D301</f>
        <v>West DC</v>
      </c>
      <c r="E484" s="4">
        <f>'1. Master Data'!F301</f>
        <v>64</v>
      </c>
      <c r="F484" s="3">
        <f>'2. Demand History'!AA301</f>
        <v>217</v>
      </c>
      <c r="G484" s="4">
        <f t="shared" si="49"/>
        <v>13888</v>
      </c>
      <c r="H484" s="3">
        <f t="shared" si="50"/>
        <v>480</v>
      </c>
      <c r="I484" s="11">
        <f t="shared" si="51"/>
        <v>165161729</v>
      </c>
      <c r="J484" s="10">
        <f t="shared" si="52"/>
        <v>0.99891124289929778</v>
      </c>
      <c r="K484" s="5" t="str">
        <f t="shared" si="53"/>
        <v>C</v>
      </c>
      <c r="L484" s="8">
        <f>'3. Demand Forecast'!H301</f>
        <v>0.3</v>
      </c>
      <c r="M484" s="5" t="str">
        <f t="shared" si="54"/>
        <v>Y</v>
      </c>
      <c r="N484" s="5" t="str">
        <f t="shared" si="55"/>
        <v>CY</v>
      </c>
    </row>
    <row r="485" spans="1:14" ht="15" customHeight="1" x14ac:dyDescent="0.2">
      <c r="A485" s="3" t="str">
        <f>'1. Master Data'!A196</f>
        <v>NT10192</v>
      </c>
      <c r="B485" s="1" t="str">
        <f>'1. Master Data'!B196</f>
        <v>StudioPods 810 ANC</v>
      </c>
      <c r="C485" s="3" t="str">
        <f>'1. Master Data'!C196</f>
        <v>Audio</v>
      </c>
      <c r="D485" s="3" t="str">
        <f>'1. Master Data'!D196</f>
        <v>West DC</v>
      </c>
      <c r="E485" s="4">
        <f>'1. Master Data'!F196</f>
        <v>26</v>
      </c>
      <c r="F485" s="3">
        <f>'2. Demand History'!AA196</f>
        <v>511</v>
      </c>
      <c r="G485" s="4">
        <f t="shared" si="49"/>
        <v>13286</v>
      </c>
      <c r="H485" s="3">
        <f t="shared" si="50"/>
        <v>481</v>
      </c>
      <c r="I485" s="11">
        <f t="shared" si="51"/>
        <v>165175015</v>
      </c>
      <c r="J485" s="10">
        <f t="shared" si="52"/>
        <v>0.99899159768156798</v>
      </c>
      <c r="K485" s="5" t="str">
        <f t="shared" si="53"/>
        <v>C</v>
      </c>
      <c r="L485" s="8">
        <f>'3. Demand Forecast'!H196</f>
        <v>0.23</v>
      </c>
      <c r="M485" s="5" t="str">
        <f t="shared" si="54"/>
        <v>X</v>
      </c>
      <c r="N485" s="5" t="str">
        <f t="shared" si="55"/>
        <v>CX</v>
      </c>
    </row>
    <row r="486" spans="1:14" ht="15" customHeight="1" x14ac:dyDescent="0.2">
      <c r="A486" s="3" t="str">
        <f>'1. Master Data'!A476</f>
        <v>NT10472</v>
      </c>
      <c r="B486" s="1" t="str">
        <f>'1. Master Data'!B476</f>
        <v>Laptop Sleeve 15in V535</v>
      </c>
      <c r="C486" s="3" t="str">
        <f>'1. Master Data'!C476</f>
        <v>Accessories</v>
      </c>
      <c r="D486" s="3" t="str">
        <f>'1. Master Data'!D476</f>
        <v>West DC</v>
      </c>
      <c r="E486" s="4">
        <f>'1. Master Data'!F476</f>
        <v>6</v>
      </c>
      <c r="F486" s="3">
        <f>'2. Demand History'!AA476</f>
        <v>2212</v>
      </c>
      <c r="G486" s="4">
        <f t="shared" si="49"/>
        <v>13272</v>
      </c>
      <c r="H486" s="3">
        <f t="shared" si="50"/>
        <v>482</v>
      </c>
      <c r="I486" s="11">
        <f t="shared" si="51"/>
        <v>165188287</v>
      </c>
      <c r="J486" s="10">
        <f t="shared" si="52"/>
        <v>0.99907186779072721</v>
      </c>
      <c r="K486" s="5" t="str">
        <f t="shared" si="53"/>
        <v>C</v>
      </c>
      <c r="L486" s="8">
        <f>'3. Demand Forecast'!H476</f>
        <v>7.0000000000000007E-2</v>
      </c>
      <c r="M486" s="5" t="str">
        <f t="shared" si="54"/>
        <v>X</v>
      </c>
      <c r="N486" s="5" t="str">
        <f t="shared" si="55"/>
        <v>CX</v>
      </c>
    </row>
    <row r="487" spans="1:14" ht="15" customHeight="1" x14ac:dyDescent="0.2">
      <c r="A487" s="3" t="str">
        <f>'1. Master Data'!A205</f>
        <v>NT10201</v>
      </c>
      <c r="B487" s="1" t="str">
        <f>'1. Master Data'!B205</f>
        <v>FitTrack Band 482</v>
      </c>
      <c r="C487" s="3" t="str">
        <f>'1. Master Data'!C205</f>
        <v>Wearables</v>
      </c>
      <c r="D487" s="3" t="str">
        <f>'1. Master Data'!D205</f>
        <v>West DC</v>
      </c>
      <c r="E487" s="4">
        <f>'1. Master Data'!F205</f>
        <v>76</v>
      </c>
      <c r="F487" s="3">
        <f>'2. Demand History'!AA205</f>
        <v>172</v>
      </c>
      <c r="G487" s="4">
        <f t="shared" si="49"/>
        <v>13072</v>
      </c>
      <c r="H487" s="3">
        <f t="shared" si="50"/>
        <v>483</v>
      </c>
      <c r="I487" s="11">
        <f t="shared" si="51"/>
        <v>165201359</v>
      </c>
      <c r="J487" s="10">
        <f t="shared" si="52"/>
        <v>0.99915092828401608</v>
      </c>
      <c r="K487" s="5" t="str">
        <f t="shared" si="53"/>
        <v>C</v>
      </c>
      <c r="L487" s="8">
        <f>'3. Demand Forecast'!H205</f>
        <v>0.79</v>
      </c>
      <c r="M487" s="5" t="str">
        <f t="shared" si="54"/>
        <v>Z</v>
      </c>
      <c r="N487" s="5" t="str">
        <f t="shared" si="55"/>
        <v>CZ</v>
      </c>
    </row>
    <row r="488" spans="1:14" ht="15" customHeight="1" x14ac:dyDescent="0.2">
      <c r="A488" s="3" t="str">
        <f>'1. Master Data'!A379</f>
        <v>NT10375</v>
      </c>
      <c r="B488" s="1" t="str">
        <f>'1. Master Data'!B379</f>
        <v>ActionCam 660 4K</v>
      </c>
      <c r="C488" s="3" t="str">
        <f>'1. Master Data'!C379</f>
        <v>Cameras</v>
      </c>
      <c r="D488" s="3" t="str">
        <f>'1. Master Data'!D379</f>
        <v>Central DC</v>
      </c>
      <c r="E488" s="4">
        <f>'1. Master Data'!F379</f>
        <v>193</v>
      </c>
      <c r="F488" s="3">
        <f>'2. Demand History'!AA379</f>
        <v>60</v>
      </c>
      <c r="G488" s="4">
        <f t="shared" si="49"/>
        <v>11580</v>
      </c>
      <c r="H488" s="3">
        <f t="shared" si="50"/>
        <v>484</v>
      </c>
      <c r="I488" s="11">
        <f t="shared" si="51"/>
        <v>165212939</v>
      </c>
      <c r="J488" s="10">
        <f t="shared" si="52"/>
        <v>0.9992209650429118</v>
      </c>
      <c r="K488" s="5" t="str">
        <f t="shared" si="53"/>
        <v>C</v>
      </c>
      <c r="L488" s="8">
        <f>'3. Demand Forecast'!H379</f>
        <v>0.3</v>
      </c>
      <c r="M488" s="5" t="str">
        <f t="shared" si="54"/>
        <v>Y</v>
      </c>
      <c r="N488" s="5" t="str">
        <f t="shared" si="55"/>
        <v>CY</v>
      </c>
    </row>
    <row r="489" spans="1:14" ht="15" customHeight="1" x14ac:dyDescent="0.2">
      <c r="A489" s="3" t="str">
        <f>'1. Master Data'!A380</f>
        <v>NT10376</v>
      </c>
      <c r="B489" s="1" t="str">
        <f>'1. Master Data'!B380</f>
        <v>TravelShot 472 Compact</v>
      </c>
      <c r="C489" s="3" t="str">
        <f>'1. Master Data'!C380</f>
        <v>Cameras</v>
      </c>
      <c r="D489" s="3" t="str">
        <f>'1. Master Data'!D380</f>
        <v>East DC</v>
      </c>
      <c r="E489" s="4">
        <f>'1. Master Data'!F380</f>
        <v>281</v>
      </c>
      <c r="F489" s="3">
        <f>'2. Demand History'!AA380</f>
        <v>41</v>
      </c>
      <c r="G489" s="4">
        <f t="shared" si="49"/>
        <v>11521</v>
      </c>
      <c r="H489" s="3">
        <f t="shared" si="50"/>
        <v>485</v>
      </c>
      <c r="I489" s="11">
        <f t="shared" si="51"/>
        <v>165224460</v>
      </c>
      <c r="J489" s="10">
        <f t="shared" si="52"/>
        <v>0.99929064496512576</v>
      </c>
      <c r="K489" s="5" t="str">
        <f t="shared" si="53"/>
        <v>C</v>
      </c>
      <c r="L489" s="8">
        <f>'3. Demand Forecast'!H380</f>
        <v>0.32</v>
      </c>
      <c r="M489" s="5" t="str">
        <f t="shared" si="54"/>
        <v>Y</v>
      </c>
      <c r="N489" s="5" t="str">
        <f t="shared" si="55"/>
        <v>CY</v>
      </c>
    </row>
    <row r="490" spans="1:14" ht="15" customHeight="1" x14ac:dyDescent="0.2">
      <c r="A490" s="3" t="str">
        <f>'1. Master Data'!A448</f>
        <v>NT10444</v>
      </c>
      <c r="B490" s="1" t="str">
        <f>'1. Master Data'!B448</f>
        <v>NovaTab 111 10in</v>
      </c>
      <c r="C490" s="3" t="str">
        <f>'1. Master Data'!C448</f>
        <v>Tablets</v>
      </c>
      <c r="D490" s="3" t="str">
        <f>'1. Master Data'!D448</f>
        <v>West DC</v>
      </c>
      <c r="E490" s="4">
        <f>'1. Master Data'!F448</f>
        <v>144</v>
      </c>
      <c r="F490" s="3">
        <f>'2. Demand History'!AA448</f>
        <v>80</v>
      </c>
      <c r="G490" s="4">
        <f t="shared" si="49"/>
        <v>11520</v>
      </c>
      <c r="H490" s="3">
        <f t="shared" si="50"/>
        <v>486</v>
      </c>
      <c r="I490" s="11">
        <f t="shared" si="51"/>
        <v>165235980</v>
      </c>
      <c r="J490" s="10">
        <f t="shared" si="52"/>
        <v>0.99936031883926035</v>
      </c>
      <c r="K490" s="5" t="str">
        <f t="shared" si="53"/>
        <v>C</v>
      </c>
      <c r="L490" s="8">
        <f>'3. Demand Forecast'!H448</f>
        <v>0.96</v>
      </c>
      <c r="M490" s="5" t="str">
        <f t="shared" si="54"/>
        <v>Z</v>
      </c>
      <c r="N490" s="5" t="str">
        <f t="shared" si="55"/>
        <v>CZ</v>
      </c>
    </row>
    <row r="491" spans="1:14" ht="15" customHeight="1" x14ac:dyDescent="0.2">
      <c r="A491" s="3" t="str">
        <f>'1. Master Data'!A341</f>
        <v>NT10337</v>
      </c>
      <c r="B491" s="1" t="str">
        <f>'1. Master Data'!B341</f>
        <v>LumiBulb 421 RGB</v>
      </c>
      <c r="C491" s="3" t="str">
        <f>'1. Master Data'!C341</f>
        <v>Smart Home</v>
      </c>
      <c r="D491" s="3" t="str">
        <f>'1. Master Data'!D341</f>
        <v>East DC</v>
      </c>
      <c r="E491" s="4">
        <f>'1. Master Data'!F341</f>
        <v>17</v>
      </c>
      <c r="F491" s="3">
        <f>'2. Demand History'!AA341</f>
        <v>671</v>
      </c>
      <c r="G491" s="4">
        <f t="shared" si="49"/>
        <v>11407</v>
      </c>
      <c r="H491" s="3">
        <f t="shared" si="50"/>
        <v>487</v>
      </c>
      <c r="I491" s="11">
        <f t="shared" si="51"/>
        <v>165247387</v>
      </c>
      <c r="J491" s="10">
        <f t="shared" si="52"/>
        <v>0.99942930928042817</v>
      </c>
      <c r="K491" s="5" t="str">
        <f t="shared" si="53"/>
        <v>C</v>
      </c>
      <c r="L491" s="8">
        <f>'3. Demand Forecast'!H341</f>
        <v>1.06</v>
      </c>
      <c r="M491" s="5" t="str">
        <f t="shared" si="54"/>
        <v>Z</v>
      </c>
      <c r="N491" s="5" t="str">
        <f t="shared" si="55"/>
        <v>CZ</v>
      </c>
    </row>
    <row r="492" spans="1:14" ht="15" customHeight="1" x14ac:dyDescent="0.2">
      <c r="A492" s="3" t="str">
        <f>'1. Master Data'!A441</f>
        <v>NT10437</v>
      </c>
      <c r="B492" s="1" t="str">
        <f>'1. Master Data'!B441</f>
        <v>NovaTab 346 Kids</v>
      </c>
      <c r="C492" s="3" t="str">
        <f>'1. Master Data'!C441</f>
        <v>Tablets</v>
      </c>
      <c r="D492" s="3" t="str">
        <f>'1. Master Data'!D441</f>
        <v>East DC</v>
      </c>
      <c r="E492" s="4">
        <f>'1. Master Data'!F441</f>
        <v>247</v>
      </c>
      <c r="F492" s="3">
        <f>'2. Demand History'!AA441</f>
        <v>45</v>
      </c>
      <c r="G492" s="4">
        <f t="shared" si="49"/>
        <v>11115</v>
      </c>
      <c r="H492" s="3">
        <f t="shared" si="50"/>
        <v>488</v>
      </c>
      <c r="I492" s="11">
        <f t="shared" si="51"/>
        <v>165258502</v>
      </c>
      <c r="J492" s="10">
        <f t="shared" si="52"/>
        <v>0.9994965336824253</v>
      </c>
      <c r="K492" s="5" t="str">
        <f t="shared" si="53"/>
        <v>C</v>
      </c>
      <c r="L492" s="8">
        <f>'3. Demand Forecast'!H441</f>
        <v>0.71</v>
      </c>
      <c r="M492" s="5" t="str">
        <f t="shared" si="54"/>
        <v>Z</v>
      </c>
      <c r="N492" s="5" t="str">
        <f t="shared" si="55"/>
        <v>CZ</v>
      </c>
    </row>
    <row r="493" spans="1:14" ht="15" customHeight="1" x14ac:dyDescent="0.2">
      <c r="A493" s="3" t="str">
        <f>'1. Master Data'!A391</f>
        <v>NT10387</v>
      </c>
      <c r="B493" s="1" t="str">
        <f>'1. Master Data'!B391</f>
        <v>OptiZoom 998 DSLR</v>
      </c>
      <c r="C493" s="3" t="str">
        <f>'1. Master Data'!C391</f>
        <v>Cameras</v>
      </c>
      <c r="D493" s="3" t="str">
        <f>'1. Master Data'!D391</f>
        <v>West DC</v>
      </c>
      <c r="E493" s="4">
        <f>'1. Master Data'!F391</f>
        <v>693</v>
      </c>
      <c r="F493" s="3">
        <f>'2. Demand History'!AA391</f>
        <v>16</v>
      </c>
      <c r="G493" s="4">
        <f t="shared" si="49"/>
        <v>11088</v>
      </c>
      <c r="H493" s="3">
        <f t="shared" si="50"/>
        <v>489</v>
      </c>
      <c r="I493" s="11">
        <f t="shared" si="51"/>
        <v>165269590</v>
      </c>
      <c r="J493" s="10">
        <f t="shared" si="52"/>
        <v>0.99956359478627976</v>
      </c>
      <c r="K493" s="5" t="str">
        <f t="shared" si="53"/>
        <v>C</v>
      </c>
      <c r="L493" s="8">
        <f>'3. Demand Forecast'!H391</f>
        <v>0.62</v>
      </c>
      <c r="M493" s="5" t="str">
        <f t="shared" si="54"/>
        <v>Z</v>
      </c>
      <c r="N493" s="5" t="str">
        <f t="shared" si="55"/>
        <v>CZ</v>
      </c>
    </row>
    <row r="494" spans="1:14" ht="15" customHeight="1" x14ac:dyDescent="0.2">
      <c r="A494" s="3" t="str">
        <f>'1. Master Data'!A239</f>
        <v>NT10235</v>
      </c>
      <c r="B494" s="1" t="str">
        <f>'1. Master Data'!B239</f>
        <v>StepOne Tracker 147</v>
      </c>
      <c r="C494" s="3" t="str">
        <f>'1. Master Data'!C239</f>
        <v>Wearables</v>
      </c>
      <c r="D494" s="3" t="str">
        <f>'1. Master Data'!D239</f>
        <v>Central DC</v>
      </c>
      <c r="E494" s="4">
        <f>'1. Master Data'!F239</f>
        <v>28</v>
      </c>
      <c r="F494" s="3">
        <f>'2. Demand History'!AA239</f>
        <v>394</v>
      </c>
      <c r="G494" s="4">
        <f t="shared" si="49"/>
        <v>11032</v>
      </c>
      <c r="H494" s="3">
        <f t="shared" si="50"/>
        <v>490</v>
      </c>
      <c r="I494" s="11">
        <f t="shared" si="51"/>
        <v>165280622</v>
      </c>
      <c r="J494" s="10">
        <f t="shared" si="52"/>
        <v>0.99963031719769069</v>
      </c>
      <c r="K494" s="5" t="str">
        <f t="shared" si="53"/>
        <v>C</v>
      </c>
      <c r="L494" s="8">
        <f>'3. Demand Forecast'!H239</f>
        <v>0.3</v>
      </c>
      <c r="M494" s="5" t="str">
        <f t="shared" si="54"/>
        <v>Y</v>
      </c>
      <c r="N494" s="5" t="str">
        <f t="shared" si="55"/>
        <v>CY</v>
      </c>
    </row>
    <row r="495" spans="1:14" ht="15" customHeight="1" x14ac:dyDescent="0.2">
      <c r="A495" s="3" t="str">
        <f>'1. Master Data'!A306</f>
        <v>NT10302</v>
      </c>
      <c r="B495" s="1" t="str">
        <f>'1. Master Data'!B306</f>
        <v>DoorSense 239</v>
      </c>
      <c r="C495" s="3" t="str">
        <f>'1. Master Data'!C306</f>
        <v>Smart Home</v>
      </c>
      <c r="D495" s="3" t="str">
        <f>'1. Master Data'!D306</f>
        <v>East DC</v>
      </c>
      <c r="E495" s="4">
        <f>'1. Master Data'!F306</f>
        <v>26</v>
      </c>
      <c r="F495" s="3">
        <f>'2. Demand History'!AA306</f>
        <v>404</v>
      </c>
      <c r="G495" s="4">
        <f t="shared" si="49"/>
        <v>10504</v>
      </c>
      <c r="H495" s="3">
        <f t="shared" si="50"/>
        <v>491</v>
      </c>
      <c r="I495" s="11">
        <f t="shared" si="51"/>
        <v>165291126</v>
      </c>
      <c r="J495" s="10">
        <f t="shared" si="52"/>
        <v>0.99969384622320367</v>
      </c>
      <c r="K495" s="5" t="str">
        <f t="shared" si="53"/>
        <v>C</v>
      </c>
      <c r="L495" s="8">
        <f>'3. Demand Forecast'!H306</f>
        <v>0.09</v>
      </c>
      <c r="M495" s="5" t="str">
        <f t="shared" si="54"/>
        <v>X</v>
      </c>
      <c r="N495" s="5" t="str">
        <f t="shared" si="55"/>
        <v>CX</v>
      </c>
    </row>
    <row r="496" spans="1:14" ht="15" customHeight="1" x14ac:dyDescent="0.2">
      <c r="A496" s="3" t="str">
        <f>'1. Master Data'!A245</f>
        <v>NT10241</v>
      </c>
      <c r="B496" s="1" t="str">
        <f>'1. Master Data'!B245</f>
        <v>NovaWatch 498 GPS</v>
      </c>
      <c r="C496" s="3" t="str">
        <f>'1. Master Data'!C245</f>
        <v>Wearables</v>
      </c>
      <c r="D496" s="3" t="str">
        <f>'1. Master Data'!D245</f>
        <v>Central DC</v>
      </c>
      <c r="E496" s="4">
        <f>'1. Master Data'!F245</f>
        <v>52</v>
      </c>
      <c r="F496" s="3">
        <f>'2. Demand History'!AA245</f>
        <v>184</v>
      </c>
      <c r="G496" s="4">
        <f t="shared" si="49"/>
        <v>9568</v>
      </c>
      <c r="H496" s="3">
        <f t="shared" si="50"/>
        <v>492</v>
      </c>
      <c r="I496" s="11">
        <f t="shared" si="51"/>
        <v>165300694</v>
      </c>
      <c r="J496" s="10">
        <f t="shared" si="52"/>
        <v>0.99975171424644327</v>
      </c>
      <c r="K496" s="5" t="str">
        <f t="shared" si="53"/>
        <v>C</v>
      </c>
      <c r="L496" s="8">
        <f>'3. Demand Forecast'!H245</f>
        <v>0.36</v>
      </c>
      <c r="M496" s="5" t="str">
        <f t="shared" si="54"/>
        <v>Y</v>
      </c>
      <c r="N496" s="5" t="str">
        <f t="shared" si="55"/>
        <v>CY</v>
      </c>
    </row>
    <row r="497" spans="1:14" ht="15" customHeight="1" x14ac:dyDescent="0.2">
      <c r="A497" s="3" t="str">
        <f>'1. Master Data'!A170</f>
        <v>NT10166</v>
      </c>
      <c r="B497" s="1" t="str">
        <f>'1. Master Data'!B170</f>
        <v>BassMax Speaker 721</v>
      </c>
      <c r="C497" s="3" t="str">
        <f>'1. Master Data'!C170</f>
        <v>Audio</v>
      </c>
      <c r="D497" s="3" t="str">
        <f>'1. Master Data'!D170</f>
        <v>Central DC</v>
      </c>
      <c r="E497" s="4">
        <f>'1. Master Data'!F170</f>
        <v>27</v>
      </c>
      <c r="F497" s="3">
        <f>'2. Demand History'!AA170</f>
        <v>288</v>
      </c>
      <c r="G497" s="4">
        <f t="shared" si="49"/>
        <v>7776</v>
      </c>
      <c r="H497" s="3">
        <f t="shared" si="50"/>
        <v>493</v>
      </c>
      <c r="I497" s="11">
        <f t="shared" si="51"/>
        <v>165308470</v>
      </c>
      <c r="J497" s="10">
        <f t="shared" si="52"/>
        <v>0.99979874411148406</v>
      </c>
      <c r="K497" s="5" t="str">
        <f t="shared" si="53"/>
        <v>C</v>
      </c>
      <c r="L497" s="8">
        <f>'3. Demand Forecast'!H170</f>
        <v>0.31</v>
      </c>
      <c r="M497" s="5" t="str">
        <f t="shared" si="54"/>
        <v>Y</v>
      </c>
      <c r="N497" s="5" t="str">
        <f t="shared" si="55"/>
        <v>CY</v>
      </c>
    </row>
    <row r="498" spans="1:14" ht="15" customHeight="1" x14ac:dyDescent="0.2">
      <c r="A498" s="3" t="str">
        <f>'1. Master Data'!A202</f>
        <v>NT10198</v>
      </c>
      <c r="B498" s="1" t="str">
        <f>'1. Master Data'!B202</f>
        <v>StudioPods 513 ANC</v>
      </c>
      <c r="C498" s="3" t="str">
        <f>'1. Master Data'!C202</f>
        <v>Audio</v>
      </c>
      <c r="D498" s="3" t="str">
        <f>'1. Master Data'!D202</f>
        <v>East DC</v>
      </c>
      <c r="E498" s="4">
        <f>'1. Master Data'!F202</f>
        <v>15</v>
      </c>
      <c r="F498" s="3">
        <f>'2. Demand History'!AA202</f>
        <v>442</v>
      </c>
      <c r="G498" s="4">
        <f t="shared" si="49"/>
        <v>6630</v>
      </c>
      <c r="H498" s="3">
        <f t="shared" si="50"/>
        <v>494</v>
      </c>
      <c r="I498" s="11">
        <f t="shared" si="51"/>
        <v>165315100</v>
      </c>
      <c r="J498" s="10">
        <f t="shared" si="52"/>
        <v>0.99983884287758762</v>
      </c>
      <c r="K498" s="5" t="str">
        <f t="shared" si="53"/>
        <v>C</v>
      </c>
      <c r="L498" s="8">
        <f>'3. Demand Forecast'!H202</f>
        <v>0.37</v>
      </c>
      <c r="M498" s="5" t="str">
        <f t="shared" si="54"/>
        <v>Y</v>
      </c>
      <c r="N498" s="5" t="str">
        <f t="shared" si="55"/>
        <v>CY</v>
      </c>
    </row>
    <row r="499" spans="1:14" ht="15" customHeight="1" x14ac:dyDescent="0.2">
      <c r="A499" s="3" t="str">
        <f>'1. Master Data'!A502</f>
        <v>NT10498</v>
      </c>
      <c r="B499" s="1" t="str">
        <f>'1. Master Data'!B502</f>
        <v>Screen Guard 259</v>
      </c>
      <c r="C499" s="3" t="str">
        <f>'1. Master Data'!C502</f>
        <v>Accessories</v>
      </c>
      <c r="D499" s="3" t="str">
        <f>'1. Master Data'!D502</f>
        <v>West DC</v>
      </c>
      <c r="E499" s="4">
        <f>'1. Master Data'!F502</f>
        <v>6</v>
      </c>
      <c r="F499" s="3">
        <f>'2. Demand History'!AA502</f>
        <v>1104</v>
      </c>
      <c r="G499" s="4">
        <f t="shared" si="49"/>
        <v>6624</v>
      </c>
      <c r="H499" s="3">
        <f t="shared" si="50"/>
        <v>495</v>
      </c>
      <c r="I499" s="11">
        <f t="shared" si="51"/>
        <v>165321724</v>
      </c>
      <c r="J499" s="10">
        <f t="shared" si="52"/>
        <v>0.99987890535521506</v>
      </c>
      <c r="K499" s="5" t="str">
        <f t="shared" si="53"/>
        <v>C</v>
      </c>
      <c r="L499" s="8">
        <f>'3. Demand Forecast'!H502</f>
        <v>0.09</v>
      </c>
      <c r="M499" s="5" t="str">
        <f t="shared" si="54"/>
        <v>X</v>
      </c>
      <c r="N499" s="5" t="str">
        <f t="shared" si="55"/>
        <v>CX</v>
      </c>
    </row>
    <row r="500" spans="1:14" ht="15" customHeight="1" x14ac:dyDescent="0.2">
      <c r="A500" s="3" t="str">
        <f>'1. Master Data'!A234</f>
        <v>NT10230</v>
      </c>
      <c r="B500" s="1" t="str">
        <f>'1. Master Data'!B234</f>
        <v>FitTrack Band 260</v>
      </c>
      <c r="C500" s="3" t="str">
        <f>'1. Master Data'!C234</f>
        <v>Wearables</v>
      </c>
      <c r="D500" s="3" t="str">
        <f>'1. Master Data'!D234</f>
        <v>Central DC</v>
      </c>
      <c r="E500" s="4">
        <f>'1. Master Data'!F234</f>
        <v>65</v>
      </c>
      <c r="F500" s="3">
        <f>'2. Demand History'!AA234</f>
        <v>101</v>
      </c>
      <c r="G500" s="4">
        <f t="shared" si="49"/>
        <v>6565</v>
      </c>
      <c r="H500" s="3">
        <f t="shared" si="50"/>
        <v>496</v>
      </c>
      <c r="I500" s="11">
        <f t="shared" si="51"/>
        <v>165328289</v>
      </c>
      <c r="J500" s="10">
        <f t="shared" si="52"/>
        <v>0.99991861099616064</v>
      </c>
      <c r="K500" s="5" t="str">
        <f t="shared" si="53"/>
        <v>C</v>
      </c>
      <c r="L500" s="8">
        <f>'3. Demand Forecast'!H234</f>
        <v>0.33</v>
      </c>
      <c r="M500" s="5" t="str">
        <f t="shared" si="54"/>
        <v>Y</v>
      </c>
      <c r="N500" s="5" t="str">
        <f t="shared" si="55"/>
        <v>CY</v>
      </c>
    </row>
    <row r="501" spans="1:14" ht="15" customHeight="1" x14ac:dyDescent="0.2">
      <c r="A501" s="3" t="str">
        <f>'1. Master Data'!A401</f>
        <v>NT10397</v>
      </c>
      <c r="B501" s="1" t="str">
        <f>'1. Master Data'!B401</f>
        <v>MirrorlessM 487</v>
      </c>
      <c r="C501" s="3" t="str">
        <f>'1. Master Data'!C401</f>
        <v>Cameras</v>
      </c>
      <c r="D501" s="3" t="str">
        <f>'1. Master Data'!D401</f>
        <v>Central DC</v>
      </c>
      <c r="E501" s="4">
        <f>'1. Master Data'!F401</f>
        <v>275</v>
      </c>
      <c r="F501" s="3">
        <f>'2. Demand History'!AA401</f>
        <v>18</v>
      </c>
      <c r="G501" s="4">
        <f t="shared" si="49"/>
        <v>4950</v>
      </c>
      <c r="H501" s="3">
        <f t="shared" si="50"/>
        <v>497</v>
      </c>
      <c r="I501" s="11">
        <f t="shared" si="51"/>
        <v>165333239</v>
      </c>
      <c r="J501" s="10">
        <f t="shared" si="52"/>
        <v>0.9999485489889528</v>
      </c>
      <c r="K501" s="5" t="str">
        <f t="shared" si="53"/>
        <v>C</v>
      </c>
      <c r="L501" s="8">
        <f>'3. Demand Forecast'!H401</f>
        <v>0.33</v>
      </c>
      <c r="M501" s="5" t="str">
        <f t="shared" si="54"/>
        <v>Y</v>
      </c>
      <c r="N501" s="5" t="str">
        <f t="shared" si="55"/>
        <v>CY</v>
      </c>
    </row>
    <row r="502" spans="1:14" ht="15" customHeight="1" x14ac:dyDescent="0.2">
      <c r="A502" s="3" t="str">
        <f>'1. Master Data'!A457</f>
        <v>NT10453</v>
      </c>
      <c r="B502" s="1" t="str">
        <f>'1. Master Data'!B457</f>
        <v>Power Bank 10K V720</v>
      </c>
      <c r="C502" s="3" t="str">
        <f>'1. Master Data'!C457</f>
        <v>Accessories</v>
      </c>
      <c r="D502" s="3" t="str">
        <f>'1. Master Data'!D457</f>
        <v>West DC</v>
      </c>
      <c r="E502" s="4">
        <f>'1. Master Data'!F457</f>
        <v>4</v>
      </c>
      <c r="F502" s="3">
        <f>'2. Demand History'!AA457</f>
        <v>907</v>
      </c>
      <c r="G502" s="4">
        <f t="shared" si="49"/>
        <v>3628</v>
      </c>
      <c r="H502" s="3">
        <f t="shared" si="50"/>
        <v>498</v>
      </c>
      <c r="I502" s="11">
        <f t="shared" si="51"/>
        <v>165336867</v>
      </c>
      <c r="J502" s="10">
        <f t="shared" si="52"/>
        <v>0.99997049142084182</v>
      </c>
      <c r="K502" s="5" t="str">
        <f t="shared" si="53"/>
        <v>C</v>
      </c>
      <c r="L502" s="8">
        <f>'3. Demand Forecast'!H457</f>
        <v>0.04</v>
      </c>
      <c r="M502" s="5" t="str">
        <f t="shared" si="54"/>
        <v>X</v>
      </c>
      <c r="N502" s="5" t="str">
        <f t="shared" si="55"/>
        <v>CX</v>
      </c>
    </row>
    <row r="503" spans="1:14" ht="15" customHeight="1" x14ac:dyDescent="0.2">
      <c r="A503" s="3" t="str">
        <f>'1. Master Data'!A155</f>
        <v>NT10151</v>
      </c>
      <c r="B503" s="1" t="str">
        <f>'1. Master Data'!B155</f>
        <v>SoundCore Buds 811</v>
      </c>
      <c r="C503" s="3" t="str">
        <f>'1. Master Data'!C155</f>
        <v>Audio</v>
      </c>
      <c r="D503" s="3" t="str">
        <f>'1. Master Data'!D155</f>
        <v>West DC</v>
      </c>
      <c r="E503" s="4">
        <f>'1. Master Data'!F155</f>
        <v>207</v>
      </c>
      <c r="F503" s="3">
        <f>'2. Demand History'!AA155</f>
        <v>17</v>
      </c>
      <c r="G503" s="4">
        <f t="shared" si="49"/>
        <v>3519</v>
      </c>
      <c r="H503" s="3">
        <f t="shared" si="50"/>
        <v>499</v>
      </c>
      <c r="I503" s="11">
        <f t="shared" si="51"/>
        <v>165340386</v>
      </c>
      <c r="J503" s="10">
        <f t="shared" si="52"/>
        <v>0.99999177461208133</v>
      </c>
      <c r="K503" s="5" t="str">
        <f t="shared" si="53"/>
        <v>C</v>
      </c>
      <c r="L503" s="8">
        <f>'3. Demand Forecast'!H155</f>
        <v>0.36</v>
      </c>
      <c r="M503" s="5" t="str">
        <f t="shared" si="54"/>
        <v>Y</v>
      </c>
      <c r="N503" s="5" t="str">
        <f t="shared" si="55"/>
        <v>CY</v>
      </c>
    </row>
    <row r="504" spans="1:14" ht="15" customHeight="1" x14ac:dyDescent="0.2">
      <c r="A504" s="3" t="str">
        <f>'1. Master Data'!A203</f>
        <v>NT10199</v>
      </c>
      <c r="B504" s="1" t="str">
        <f>'1. Master Data'!B203</f>
        <v>StudioPods 749 ANC</v>
      </c>
      <c r="C504" s="3" t="str">
        <f>'1. Master Data'!C203</f>
        <v>Audio</v>
      </c>
      <c r="D504" s="3" t="str">
        <f>'1. Master Data'!D203</f>
        <v>East DC</v>
      </c>
      <c r="E504" s="4">
        <f>'1. Master Data'!F203</f>
        <v>20</v>
      </c>
      <c r="F504" s="3">
        <f>'2. Demand History'!AA203</f>
        <v>68</v>
      </c>
      <c r="G504" s="4">
        <f t="shared" si="49"/>
        <v>1360</v>
      </c>
      <c r="H504" s="3">
        <f t="shared" si="50"/>
        <v>500</v>
      </c>
      <c r="I504" s="11">
        <f t="shared" si="51"/>
        <v>165341746</v>
      </c>
      <c r="J504" s="10">
        <f t="shared" si="52"/>
        <v>1</v>
      </c>
      <c r="K504" s="5" t="str">
        <f t="shared" si="53"/>
        <v>C</v>
      </c>
      <c r="L504" s="8">
        <f>'3. Demand Forecast'!H203</f>
        <v>0.6</v>
      </c>
      <c r="M504" s="5" t="str">
        <f t="shared" si="54"/>
        <v>Y</v>
      </c>
      <c r="N504" s="5" t="str">
        <f t="shared" si="55"/>
        <v>CY</v>
      </c>
    </row>
    <row r="506" spans="1:14" ht="15" customHeight="1" x14ac:dyDescent="0.2">
      <c r="A506" s="45" t="s">
        <v>1126</v>
      </c>
      <c r="B506" s="45"/>
      <c r="C506" s="45"/>
      <c r="D506" s="45"/>
      <c r="E506" s="45"/>
      <c r="F506" s="45"/>
      <c r="G506" s="45"/>
      <c r="H506" s="45"/>
    </row>
    <row r="507" spans="1:14" ht="15" customHeight="1" x14ac:dyDescent="0.2">
      <c r="A507" s="7"/>
      <c r="B507" s="7" t="s">
        <v>1127</v>
      </c>
      <c r="C507" s="7" t="s">
        <v>1128</v>
      </c>
      <c r="D507" s="7" t="s">
        <v>1129</v>
      </c>
    </row>
    <row r="508" spans="1:14" ht="21.75" customHeight="1" x14ac:dyDescent="0.2">
      <c r="A508" s="7" t="s">
        <v>1130</v>
      </c>
      <c r="B508" s="12">
        <f>COUNTIFS(K5:K504,"A",M5:M504,"X")</f>
        <v>34</v>
      </c>
      <c r="C508" s="12">
        <f>COUNTIFS(K5:K504,"A",M5:M504,"Y")</f>
        <v>135</v>
      </c>
      <c r="D508" s="12">
        <f>COUNTIFS(K5:K504,"A",M5:M504,"Z")</f>
        <v>8</v>
      </c>
    </row>
    <row r="509" spans="1:14" ht="15" customHeight="1" x14ac:dyDescent="0.2">
      <c r="A509" s="7" t="s">
        <v>1131</v>
      </c>
      <c r="B509" s="12">
        <f>COUNTIFS(K5:K504,"B",M5:M504,"X")</f>
        <v>42</v>
      </c>
      <c r="C509" s="12">
        <f>COUNTIFS(K5:K504,"B",M5:M504,"Y")</f>
        <v>94</v>
      </c>
      <c r="D509" s="12">
        <f>COUNTIFS(K5:K504,"B",M5:M504,"Z")</f>
        <v>11</v>
      </c>
    </row>
    <row r="510" spans="1:14" ht="21.75" customHeight="1" x14ac:dyDescent="0.2">
      <c r="A510" s="7" t="s">
        <v>1132</v>
      </c>
      <c r="B510" s="12">
        <f>COUNTIFS(K5:K504,"C",M5:M504,"X")</f>
        <v>58</v>
      </c>
      <c r="C510" s="12">
        <f>COUNTIFS(K5:K504,"C",M5:M504,"Y")</f>
        <v>95</v>
      </c>
      <c r="D510" s="12">
        <f>COUNTIFS(K5:K504,"C",M5:M504,"Z")</f>
        <v>23</v>
      </c>
    </row>
    <row r="512" spans="1:14" ht="15" customHeight="1" x14ac:dyDescent="0.2">
      <c r="A512" s="7" t="s">
        <v>1133</v>
      </c>
      <c r="B512" s="43" t="s">
        <v>1134</v>
      </c>
      <c r="C512" s="43"/>
      <c r="D512" s="43"/>
      <c r="E512" s="43"/>
      <c r="F512" s="43"/>
      <c r="G512" s="43"/>
      <c r="H512" s="43"/>
    </row>
    <row r="513" spans="1:14" ht="15" customHeight="1" x14ac:dyDescent="0.2">
      <c r="A513" s="7" t="s">
        <v>1135</v>
      </c>
      <c r="B513" s="43" t="s">
        <v>1136</v>
      </c>
      <c r="C513" s="43"/>
      <c r="D513" s="43"/>
      <c r="E513" s="43"/>
      <c r="F513" s="43"/>
      <c r="G513" s="43"/>
      <c r="H513" s="43"/>
    </row>
    <row r="514" spans="1:14" ht="15" customHeight="1" x14ac:dyDescent="0.2">
      <c r="A514" s="7" t="s">
        <v>1137</v>
      </c>
      <c r="B514" s="43" t="s">
        <v>1138</v>
      </c>
      <c r="C514" s="43"/>
      <c r="D514" s="43"/>
      <c r="E514" s="43"/>
      <c r="F514" s="43"/>
      <c r="G514" s="43"/>
      <c r="H514" s="43"/>
    </row>
    <row r="515" spans="1:14" ht="15" customHeight="1" x14ac:dyDescent="0.2">
      <c r="A515" s="7" t="s">
        <v>1139</v>
      </c>
      <c r="B515" s="43" t="s">
        <v>1140</v>
      </c>
      <c r="C515" s="43"/>
      <c r="D515" s="43"/>
      <c r="E515" s="43"/>
      <c r="F515" s="43"/>
      <c r="G515" s="43"/>
      <c r="H515" s="43"/>
    </row>
    <row r="518" spans="1:14" ht="15" customHeight="1" x14ac:dyDescent="0.2">
      <c r="A518" s="40" t="s">
        <v>1062</v>
      </c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</row>
    <row r="519" spans="1:14" ht="15" customHeight="1" x14ac:dyDescent="0.2">
      <c r="A519" s="25" t="s">
        <v>1141</v>
      </c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</row>
    <row r="520" spans="1:14" ht="15" customHeight="1" x14ac:dyDescent="0.2">
      <c r="A520" s="25" t="s">
        <v>1142</v>
      </c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</row>
    <row r="521" spans="1:14" ht="15" customHeight="1" x14ac:dyDescent="0.2">
      <c r="A521" s="25" t="s">
        <v>1143</v>
      </c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</row>
    <row r="522" spans="1:14" ht="15" customHeight="1" x14ac:dyDescent="0.2">
      <c r="A522" s="25" t="s">
        <v>1144</v>
      </c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</row>
  </sheetData>
  <mergeCells count="12">
    <mergeCell ref="A1:N1"/>
    <mergeCell ref="A2:N2"/>
    <mergeCell ref="A506:H506"/>
    <mergeCell ref="B512:H512"/>
    <mergeCell ref="B513:H513"/>
    <mergeCell ref="A521:N521"/>
    <mergeCell ref="A522:N522"/>
    <mergeCell ref="B514:H514"/>
    <mergeCell ref="B515:H515"/>
    <mergeCell ref="A518:N518"/>
    <mergeCell ref="A519:N519"/>
    <mergeCell ref="A520:N520"/>
  </mergeCells>
  <conditionalFormatting sqref="K5:K504">
    <cfRule type="cellIs" dxfId="21" priority="2" operator="equal">
      <formula>"A"</formula>
    </cfRule>
    <cfRule type="cellIs" dxfId="20" priority="3" operator="equal">
      <formula>"B"</formula>
    </cfRule>
    <cfRule type="cellIs" dxfId="19" priority="4" operator="equal">
      <formula>"C"</formula>
    </cfRule>
  </conditionalFormatting>
  <conditionalFormatting sqref="M5:M504">
    <cfRule type="cellIs" dxfId="18" priority="5" operator="equal">
      <formula>"X"</formula>
    </cfRule>
    <cfRule type="cellIs" dxfId="17" priority="6" operator="equal">
      <formula>"Y"</formula>
    </cfRule>
    <cfRule type="cellIs" dxfId="16" priority="7" operator="equal">
      <formula>"Z"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11"/>
  <sheetViews>
    <sheetView showGridLines="0" zoomScale="170" zoomScaleNormal="170" workbookViewId="0">
      <pane xSplit="2" ySplit="4" topLeftCell="C59" activePane="bottomRight" state="frozen"/>
      <selection pane="topRight" activeCell="C1" sqref="C1"/>
      <selection pane="bottomLeft" activeCell="A5" sqref="A5"/>
      <selection pane="bottomRight" activeCell="K22" sqref="K22"/>
    </sheetView>
  </sheetViews>
  <sheetFormatPr baseColWidth="10" defaultColWidth="8.6640625" defaultRowHeight="15" x14ac:dyDescent="0.2"/>
  <cols>
    <col min="1" max="1" width="8.6640625" bestFit="1" customWidth="1"/>
    <col min="2" max="2" width="20.1640625" bestFit="1" customWidth="1"/>
    <col min="3" max="3" width="8.5" bestFit="1" customWidth="1"/>
    <col min="4" max="4" width="8.83203125" bestFit="1" customWidth="1"/>
    <col min="5" max="5" width="8.33203125" bestFit="1" customWidth="1"/>
    <col min="6" max="6" width="11.83203125" bestFit="1" customWidth="1"/>
    <col min="7" max="7" width="12.1640625" bestFit="1" customWidth="1"/>
    <col min="8" max="8" width="11.6640625" bestFit="1" customWidth="1"/>
    <col min="9" max="9" width="11" bestFit="1" customWidth="1"/>
    <col min="10" max="10" width="13.5" bestFit="1" customWidth="1"/>
    <col min="11" max="11" width="14.5" bestFit="1" customWidth="1"/>
    <col min="12" max="12" width="8.6640625" bestFit="1" customWidth="1"/>
    <col min="13" max="13" width="11.33203125" bestFit="1" customWidth="1"/>
    <col min="14" max="14" width="10.5" bestFit="1" customWidth="1"/>
    <col min="15" max="15" width="10" bestFit="1" customWidth="1"/>
    <col min="16" max="16" width="10.33203125" bestFit="1" customWidth="1"/>
    <col min="17" max="17" width="10.5" bestFit="1" customWidth="1"/>
    <col min="19" max="22" width="11" customWidth="1"/>
  </cols>
  <sheetData>
    <row r="1" spans="1:22" ht="31.5" customHeight="1" x14ac:dyDescent="0.2">
      <c r="A1" s="41" t="s">
        <v>1145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22" ht="18" customHeight="1" x14ac:dyDescent="0.2">
      <c r="A2" s="32" t="s">
        <v>1146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S2" s="13" t="s">
        <v>1147</v>
      </c>
      <c r="T2" s="13" t="s">
        <v>1148</v>
      </c>
      <c r="U2" s="13" t="s">
        <v>1149</v>
      </c>
      <c r="V2" s="13" t="s">
        <v>1150</v>
      </c>
    </row>
    <row r="3" spans="1:22" ht="15" customHeight="1" x14ac:dyDescent="0.2">
      <c r="S3" s="14">
        <v>1.65</v>
      </c>
      <c r="T3" s="14">
        <v>22</v>
      </c>
      <c r="U3" s="14">
        <v>50</v>
      </c>
      <c r="V3" s="14">
        <v>0.25</v>
      </c>
    </row>
    <row r="4" spans="1:22" ht="24" customHeight="1" x14ac:dyDescent="0.2">
      <c r="A4" s="2" t="s">
        <v>28</v>
      </c>
      <c r="B4" s="2" t="s">
        <v>29</v>
      </c>
      <c r="C4" s="2" t="s">
        <v>31</v>
      </c>
      <c r="D4" s="2" t="s">
        <v>1123</v>
      </c>
      <c r="E4" s="2" t="s">
        <v>1124</v>
      </c>
      <c r="F4" s="2" t="s">
        <v>33</v>
      </c>
      <c r="G4" s="2" t="s">
        <v>1151</v>
      </c>
      <c r="H4" s="2" t="s">
        <v>1152</v>
      </c>
      <c r="I4" s="2" t="s">
        <v>1153</v>
      </c>
      <c r="J4" s="2" t="s">
        <v>1154</v>
      </c>
      <c r="K4" s="2" t="s">
        <v>1155</v>
      </c>
      <c r="L4" s="2" t="s">
        <v>1156</v>
      </c>
      <c r="M4" s="2" t="s">
        <v>36</v>
      </c>
      <c r="N4" s="2" t="s">
        <v>1157</v>
      </c>
      <c r="O4" s="2" t="s">
        <v>1158</v>
      </c>
      <c r="P4" s="2" t="s">
        <v>1159</v>
      </c>
      <c r="Q4" s="2" t="s">
        <v>1160</v>
      </c>
    </row>
    <row r="5" spans="1:22" ht="15" customHeight="1" x14ac:dyDescent="0.2">
      <c r="A5" s="3" t="str">
        <f>'1. Master Data'!A5</f>
        <v>NT10001</v>
      </c>
      <c r="B5" s="1" t="str">
        <f>'1. Master Data'!B5</f>
        <v>Nova X427 128GB</v>
      </c>
      <c r="C5" s="3" t="str">
        <f>'1. Master Data'!D5</f>
        <v>West DC</v>
      </c>
      <c r="D5" s="5" t="str">
        <f>'4. ABC XYZ Analysis'!K5</f>
        <v>A</v>
      </c>
      <c r="E5" s="5" t="str">
        <f>'4. ABC XYZ Analysis'!M5</f>
        <v>Y</v>
      </c>
      <c r="F5" s="4">
        <f>'1. Master Data'!F5</f>
        <v>865</v>
      </c>
      <c r="G5" s="3">
        <f>'1. Master Data'!G5</f>
        <v>17</v>
      </c>
      <c r="H5" s="8">
        <f>'3. Demand Forecast'!F5/$T$3</f>
        <v>4.3227272727272723</v>
      </c>
      <c r="I5" s="8">
        <f>'3. Demand Forecast'!G5/SQRT($T$3)</f>
        <v>6.8650630666506567</v>
      </c>
      <c r="J5" s="5">
        <f t="shared" ref="J5:J68" si="0">ROUNDUP($S$3*I5*SQRT(G5),0)</f>
        <v>47</v>
      </c>
      <c r="K5" s="5">
        <f t="shared" ref="K5:K68" si="1">ROUNDUP(H5*G5+J5,0)</f>
        <v>121</v>
      </c>
      <c r="L5" s="3">
        <f>IF(F5=0,0,ROUNDUP(SQRT(2*'4. ABC XYZ Analysis'!F5*$U$3/(F5*$V$3)),0))</f>
        <v>38</v>
      </c>
      <c r="M5" s="3">
        <f>'1. Master Data'!I5</f>
        <v>124</v>
      </c>
      <c r="N5" s="3">
        <f t="shared" ref="N5:N68" si="2">IF(H5=0,999,ROUND(M5/H5,0))</f>
        <v>29</v>
      </c>
      <c r="O5" s="5" t="str">
        <f t="shared" ref="O5:O68" si="3">IF(M5&lt;=K5,"ORDER NOW",IF(M5&lt;=K5*1.2,"ORDER SOON","OK"))</f>
        <v>ORDER SOON</v>
      </c>
      <c r="P5" s="5" t="str">
        <f t="shared" ref="P5:P68" si="4">IF(O5="ORDER NOW",IF(D5="A","URGENT",IF(D5="B","HIGH","MEDIUM")),IF(O5="ORDER SOON",IF(D5="A","HIGH","MEDIUM"),"LOW"))</f>
        <v>HIGH</v>
      </c>
      <c r="Q5" s="3" t="str">
        <f t="shared" ref="Q5:Q68" si="5">IF(E5="Z","Min Max","Reorder Point")</f>
        <v>Reorder Point</v>
      </c>
    </row>
    <row r="6" spans="1:22" ht="15" customHeight="1" x14ac:dyDescent="0.2">
      <c r="A6" s="3" t="str">
        <f>'1. Master Data'!A6</f>
        <v>NT10002</v>
      </c>
      <c r="B6" s="1" t="str">
        <f>'1. Master Data'!B6</f>
        <v>Pulse 962 Dual SIM</v>
      </c>
      <c r="C6" s="3" t="str">
        <f>'1. Master Data'!D6</f>
        <v>East DC</v>
      </c>
      <c r="D6" s="5" t="str">
        <f>'4. ABC XYZ Analysis'!K6</f>
        <v>A</v>
      </c>
      <c r="E6" s="5" t="str">
        <f>'4. ABC XYZ Analysis'!M6</f>
        <v>Y</v>
      </c>
      <c r="F6" s="4">
        <f>'1. Master Data'!F6</f>
        <v>701</v>
      </c>
      <c r="G6" s="3">
        <f>'1. Master Data'!G6</f>
        <v>44</v>
      </c>
      <c r="H6" s="8">
        <f>'3. Demand Forecast'!F6/$T$3</f>
        <v>2.4</v>
      </c>
      <c r="I6" s="8">
        <f>'3. Demand Forecast'!G6/SQRT($T$3)</f>
        <v>3.368571318418645</v>
      </c>
      <c r="J6" s="5">
        <f t="shared" si="0"/>
        <v>37</v>
      </c>
      <c r="K6" s="5">
        <f t="shared" si="1"/>
        <v>143</v>
      </c>
      <c r="L6" s="3">
        <f>IF(F6=0,0,ROUNDUP(SQRT(2*'4. ABC XYZ Analysis'!F6*$U$3/(F6*$V$3)),0))</f>
        <v>36</v>
      </c>
      <c r="M6" s="3">
        <f>'1. Master Data'!I6</f>
        <v>146</v>
      </c>
      <c r="N6" s="3">
        <f t="shared" si="2"/>
        <v>61</v>
      </c>
      <c r="O6" s="5" t="str">
        <f t="shared" si="3"/>
        <v>ORDER SOON</v>
      </c>
      <c r="P6" s="5" t="str">
        <f t="shared" si="4"/>
        <v>HIGH</v>
      </c>
      <c r="Q6" s="3" t="str">
        <f t="shared" si="5"/>
        <v>Reorder Point</v>
      </c>
    </row>
    <row r="7" spans="1:22" ht="15" customHeight="1" x14ac:dyDescent="0.2">
      <c r="A7" s="3" t="str">
        <f>'1. Master Data'!A7</f>
        <v>NT10003</v>
      </c>
      <c r="B7" s="1" t="str">
        <f>'1. Master Data'!B7</f>
        <v>Nova Lite 936 64GB</v>
      </c>
      <c r="C7" s="3" t="str">
        <f>'1. Master Data'!D7</f>
        <v>West DC</v>
      </c>
      <c r="D7" s="5" t="str">
        <f>'4. ABC XYZ Analysis'!K7</f>
        <v>A</v>
      </c>
      <c r="E7" s="5" t="str">
        <f>'4. ABC XYZ Analysis'!M7</f>
        <v>Y</v>
      </c>
      <c r="F7" s="4">
        <f>'1. Master Data'!F7</f>
        <v>261</v>
      </c>
      <c r="G7" s="3">
        <f>'1. Master Data'!G7</f>
        <v>21</v>
      </c>
      <c r="H7" s="8">
        <f>'3. Demand Forecast'!F7/$T$3</f>
        <v>5.4909090909090912</v>
      </c>
      <c r="I7" s="8">
        <f>'3. Demand Forecast'!G7/SQRT($T$3)</f>
        <v>8.1016272215131959</v>
      </c>
      <c r="J7" s="5">
        <f t="shared" si="0"/>
        <v>62</v>
      </c>
      <c r="K7" s="5">
        <f t="shared" si="1"/>
        <v>178</v>
      </c>
      <c r="L7" s="3">
        <f>IF(F7=0,0,ROUNDUP(SQRT(2*'4. ABC XYZ Analysis'!F7*$U$3/(F7*$V$3)),0))</f>
        <v>78</v>
      </c>
      <c r="M7" s="3">
        <f>'1. Master Data'!I7</f>
        <v>181</v>
      </c>
      <c r="N7" s="3">
        <f t="shared" si="2"/>
        <v>33</v>
      </c>
      <c r="O7" s="5" t="str">
        <f t="shared" si="3"/>
        <v>ORDER SOON</v>
      </c>
      <c r="P7" s="5" t="str">
        <f t="shared" si="4"/>
        <v>HIGH</v>
      </c>
      <c r="Q7" s="3" t="str">
        <f t="shared" si="5"/>
        <v>Reorder Point</v>
      </c>
    </row>
    <row r="8" spans="1:22" ht="15" customHeight="1" x14ac:dyDescent="0.2">
      <c r="A8" s="3" t="str">
        <f>'1. Master Data'!A8</f>
        <v>NT10004</v>
      </c>
      <c r="B8" s="1" t="str">
        <f>'1. Master Data'!B8</f>
        <v>Nova Lite 315 64GB</v>
      </c>
      <c r="C8" s="3" t="str">
        <f>'1. Master Data'!D8</f>
        <v>West DC</v>
      </c>
      <c r="D8" s="5" t="str">
        <f>'4. ABC XYZ Analysis'!K8</f>
        <v>A</v>
      </c>
      <c r="E8" s="5" t="str">
        <f>'4. ABC XYZ Analysis'!M8</f>
        <v>Y</v>
      </c>
      <c r="F8" s="4">
        <f>'1. Master Data'!F8</f>
        <v>606</v>
      </c>
      <c r="G8" s="3">
        <f>'1. Master Data'!G8</f>
        <v>39</v>
      </c>
      <c r="H8" s="8">
        <f>'3. Demand Forecast'!F8/$T$3</f>
        <v>3.0454545454545454</v>
      </c>
      <c r="I8" s="8">
        <f>'3. Demand Forecast'!G8/SQRT($T$3)</f>
        <v>5.2447376223480164</v>
      </c>
      <c r="J8" s="5">
        <f t="shared" si="0"/>
        <v>55</v>
      </c>
      <c r="K8" s="5">
        <f t="shared" si="1"/>
        <v>174</v>
      </c>
      <c r="L8" s="3">
        <f>IF(F8=0,0,ROUNDUP(SQRT(2*'4. ABC XYZ Analysis'!F8*$U$3/(F8*$V$3)),0))</f>
        <v>42</v>
      </c>
      <c r="M8" s="3">
        <f>'1. Master Data'!I8</f>
        <v>177</v>
      </c>
      <c r="N8" s="3">
        <f t="shared" si="2"/>
        <v>58</v>
      </c>
      <c r="O8" s="5" t="str">
        <f t="shared" si="3"/>
        <v>ORDER SOON</v>
      </c>
      <c r="P8" s="5" t="str">
        <f t="shared" si="4"/>
        <v>HIGH</v>
      </c>
      <c r="Q8" s="3" t="str">
        <f t="shared" si="5"/>
        <v>Reorder Point</v>
      </c>
    </row>
    <row r="9" spans="1:22" ht="15" customHeight="1" x14ac:dyDescent="0.2">
      <c r="A9" s="3" t="str">
        <f>'1. Master Data'!A9</f>
        <v>NT10005</v>
      </c>
      <c r="B9" s="1" t="str">
        <f>'1. Master Data'!B9</f>
        <v>Pulse 753 Dual SIM</v>
      </c>
      <c r="C9" s="3" t="str">
        <f>'1. Master Data'!D9</f>
        <v>Central DC</v>
      </c>
      <c r="D9" s="5" t="str">
        <f>'4. ABC XYZ Analysis'!K9</f>
        <v>A</v>
      </c>
      <c r="E9" s="5" t="str">
        <f>'4. ABC XYZ Analysis'!M9</f>
        <v>Y</v>
      </c>
      <c r="F9" s="4">
        <f>'1. Master Data'!F9</f>
        <v>598</v>
      </c>
      <c r="G9" s="3">
        <f>'1. Master Data'!G9</f>
        <v>25</v>
      </c>
      <c r="H9" s="8">
        <f>'3. Demand Forecast'!F9/$T$3</f>
        <v>1.6</v>
      </c>
      <c r="I9" s="8">
        <f>'3. Demand Forecast'!G9/SQRT($T$3)</f>
        <v>2.1320071635561044</v>
      </c>
      <c r="J9" s="5">
        <f t="shared" si="0"/>
        <v>18</v>
      </c>
      <c r="K9" s="5">
        <f t="shared" si="1"/>
        <v>58</v>
      </c>
      <c r="L9" s="3">
        <f>IF(F9=0,0,ROUNDUP(SQRT(2*'4. ABC XYZ Analysis'!F9*$U$3/(F9*$V$3)),0))</f>
        <v>39</v>
      </c>
      <c r="M9" s="3">
        <f>'1. Master Data'!I9</f>
        <v>61</v>
      </c>
      <c r="N9" s="3">
        <f t="shared" si="2"/>
        <v>38</v>
      </c>
      <c r="O9" s="5" t="str">
        <f t="shared" si="3"/>
        <v>ORDER SOON</v>
      </c>
      <c r="P9" s="5" t="str">
        <f t="shared" si="4"/>
        <v>HIGH</v>
      </c>
      <c r="Q9" s="3" t="str">
        <f t="shared" si="5"/>
        <v>Reorder Point</v>
      </c>
    </row>
    <row r="10" spans="1:22" ht="15" customHeight="1" x14ac:dyDescent="0.2">
      <c r="A10" s="3" t="str">
        <f>'1. Master Data'!A10</f>
        <v>NT10006</v>
      </c>
      <c r="B10" s="1" t="str">
        <f>'1. Master Data'!B10</f>
        <v>Edge 244 5G 128GB</v>
      </c>
      <c r="C10" s="3" t="str">
        <f>'1. Master Data'!D10</f>
        <v>Central DC</v>
      </c>
      <c r="D10" s="5" t="str">
        <f>'4. ABC XYZ Analysis'!K10</f>
        <v>A</v>
      </c>
      <c r="E10" s="5" t="str">
        <f>'4. ABC XYZ Analysis'!M10</f>
        <v>Y</v>
      </c>
      <c r="F10" s="4">
        <f>'1. Master Data'!F10</f>
        <v>627</v>
      </c>
      <c r="G10" s="3">
        <f>'1. Master Data'!G10</f>
        <v>35</v>
      </c>
      <c r="H10" s="8">
        <f>'3. Demand Forecast'!F10/$T$3</f>
        <v>3.0090909090909093</v>
      </c>
      <c r="I10" s="8">
        <f>'3. Demand Forecast'!G10/SQRT($T$3)</f>
        <v>4.1147738256632813</v>
      </c>
      <c r="J10" s="5">
        <f t="shared" si="0"/>
        <v>41</v>
      </c>
      <c r="K10" s="5">
        <f t="shared" si="1"/>
        <v>147</v>
      </c>
      <c r="L10" s="3">
        <f>IF(F10=0,0,ROUNDUP(SQRT(2*'4. ABC XYZ Analysis'!F10*$U$3/(F10*$V$3)),0))</f>
        <v>66</v>
      </c>
      <c r="M10" s="3">
        <f>'1. Master Data'!I10</f>
        <v>150</v>
      </c>
      <c r="N10" s="3">
        <f t="shared" si="2"/>
        <v>50</v>
      </c>
      <c r="O10" s="5" t="str">
        <f t="shared" si="3"/>
        <v>ORDER SOON</v>
      </c>
      <c r="P10" s="5" t="str">
        <f t="shared" si="4"/>
        <v>HIGH</v>
      </c>
      <c r="Q10" s="3" t="str">
        <f t="shared" si="5"/>
        <v>Reorder Point</v>
      </c>
    </row>
    <row r="11" spans="1:22" ht="15" customHeight="1" x14ac:dyDescent="0.2">
      <c r="A11" s="3" t="str">
        <f>'1. Master Data'!A11</f>
        <v>NT10007</v>
      </c>
      <c r="B11" s="1" t="str">
        <f>'1. Master Data'!B11</f>
        <v>Pulse 667 Dual SIM</v>
      </c>
      <c r="C11" s="3" t="str">
        <f>'1. Master Data'!D11</f>
        <v>Central DC</v>
      </c>
      <c r="D11" s="5" t="str">
        <f>'4. ABC XYZ Analysis'!K11</f>
        <v>A</v>
      </c>
      <c r="E11" s="5" t="str">
        <f>'4. ABC XYZ Analysis'!M11</f>
        <v>X</v>
      </c>
      <c r="F11" s="4">
        <f>'1. Master Data'!F11</f>
        <v>685</v>
      </c>
      <c r="G11" s="3">
        <f>'1. Master Data'!G11</f>
        <v>36</v>
      </c>
      <c r="H11" s="8">
        <f>'3. Demand Forecast'!F11/$T$3</f>
        <v>1.5636363636363635</v>
      </c>
      <c r="I11" s="8">
        <f>'3. Demand Forecast'!G11/SQRT($T$3)</f>
        <v>2.5797286679028861</v>
      </c>
      <c r="J11" s="5">
        <f t="shared" si="0"/>
        <v>26</v>
      </c>
      <c r="K11" s="5">
        <f t="shared" si="1"/>
        <v>83</v>
      </c>
      <c r="L11" s="3">
        <f>IF(F11=0,0,ROUNDUP(SQRT(2*'4. ABC XYZ Analysis'!F11*$U$3/(F11*$V$3)),0))</f>
        <v>34</v>
      </c>
      <c r="M11" s="3">
        <f>'1. Master Data'!I11</f>
        <v>86</v>
      </c>
      <c r="N11" s="3">
        <f t="shared" si="2"/>
        <v>55</v>
      </c>
      <c r="O11" s="5" t="str">
        <f t="shared" si="3"/>
        <v>ORDER SOON</v>
      </c>
      <c r="P11" s="5" t="str">
        <f t="shared" si="4"/>
        <v>HIGH</v>
      </c>
      <c r="Q11" s="3" t="str">
        <f t="shared" si="5"/>
        <v>Reorder Point</v>
      </c>
    </row>
    <row r="12" spans="1:22" ht="15" customHeight="1" x14ac:dyDescent="0.2">
      <c r="A12" s="3" t="str">
        <f>'1. Master Data'!A12</f>
        <v>NT10008</v>
      </c>
      <c r="B12" s="1" t="str">
        <f>'1. Master Data'!B12</f>
        <v>Edge 637 5G 128GB</v>
      </c>
      <c r="C12" s="3" t="str">
        <f>'1. Master Data'!D12</f>
        <v>West DC</v>
      </c>
      <c r="D12" s="5" t="str">
        <f>'4. ABC XYZ Analysis'!K12</f>
        <v>A</v>
      </c>
      <c r="E12" s="5" t="str">
        <f>'4. ABC XYZ Analysis'!M12</f>
        <v>Y</v>
      </c>
      <c r="F12" s="4">
        <f>'1. Master Data'!F12</f>
        <v>827</v>
      </c>
      <c r="G12" s="3">
        <f>'1. Master Data'!G12</f>
        <v>41</v>
      </c>
      <c r="H12" s="8">
        <f>'3. Demand Forecast'!F12/$T$3</f>
        <v>6.1727272727272728</v>
      </c>
      <c r="I12" s="8">
        <f>'3. Demand Forecast'!G12/SQRT($T$3)</f>
        <v>10.787956247593888</v>
      </c>
      <c r="J12" s="5">
        <f t="shared" si="0"/>
        <v>114</v>
      </c>
      <c r="K12" s="5">
        <f t="shared" si="1"/>
        <v>368</v>
      </c>
      <c r="L12" s="3">
        <f>IF(F12=0,0,ROUNDUP(SQRT(2*'4. ABC XYZ Analysis'!F12*$U$3/(F12*$V$3)),0))</f>
        <v>60</v>
      </c>
      <c r="M12" s="3">
        <f>'1. Master Data'!I12</f>
        <v>370</v>
      </c>
      <c r="N12" s="3">
        <f t="shared" si="2"/>
        <v>60</v>
      </c>
      <c r="O12" s="5" t="str">
        <f t="shared" si="3"/>
        <v>ORDER SOON</v>
      </c>
      <c r="P12" s="5" t="str">
        <f t="shared" si="4"/>
        <v>HIGH</v>
      </c>
      <c r="Q12" s="3" t="str">
        <f t="shared" si="5"/>
        <v>Reorder Point</v>
      </c>
    </row>
    <row r="13" spans="1:22" ht="15" customHeight="1" x14ac:dyDescent="0.2">
      <c r="A13" s="3" t="str">
        <f>'1. Master Data'!A13</f>
        <v>NT10009</v>
      </c>
      <c r="B13" s="1" t="str">
        <f>'1. Master Data'!B13</f>
        <v>Nova X689 128GB</v>
      </c>
      <c r="C13" s="3" t="str">
        <f>'1. Master Data'!D13</f>
        <v>West DC</v>
      </c>
      <c r="D13" s="5" t="str">
        <f>'4. ABC XYZ Analysis'!K13</f>
        <v>A</v>
      </c>
      <c r="E13" s="5" t="str">
        <f>'4. ABC XYZ Analysis'!M13</f>
        <v>Y</v>
      </c>
      <c r="F13" s="4">
        <f>'1. Master Data'!F13</f>
        <v>382</v>
      </c>
      <c r="G13" s="3">
        <f>'1. Master Data'!G13</f>
        <v>26</v>
      </c>
      <c r="H13" s="8">
        <f>'3. Demand Forecast'!F13/$T$3</f>
        <v>2.2454545454545456</v>
      </c>
      <c r="I13" s="8">
        <f>'3. Demand Forecast'!G13/SQRT($T$3)</f>
        <v>2.8355695275296187</v>
      </c>
      <c r="J13" s="5">
        <f t="shared" si="0"/>
        <v>24</v>
      </c>
      <c r="K13" s="5">
        <f t="shared" si="1"/>
        <v>83</v>
      </c>
      <c r="L13" s="3">
        <f>IF(F13=0,0,ROUNDUP(SQRT(2*'4. ABC XYZ Analysis'!F13*$U$3/(F13*$V$3)),0))</f>
        <v>60</v>
      </c>
      <c r="M13" s="3">
        <f>'1. Master Data'!I13</f>
        <v>86</v>
      </c>
      <c r="N13" s="3">
        <f t="shared" si="2"/>
        <v>38</v>
      </c>
      <c r="O13" s="5" t="str">
        <f t="shared" si="3"/>
        <v>ORDER SOON</v>
      </c>
      <c r="P13" s="5" t="str">
        <f t="shared" si="4"/>
        <v>HIGH</v>
      </c>
      <c r="Q13" s="3" t="str">
        <f t="shared" si="5"/>
        <v>Reorder Point</v>
      </c>
    </row>
    <row r="14" spans="1:22" ht="15" customHeight="1" x14ac:dyDescent="0.2">
      <c r="A14" s="3" t="str">
        <f>'1. Master Data'!A14</f>
        <v>NT10010</v>
      </c>
      <c r="B14" s="1" t="str">
        <f>'1. Master Data'!B14</f>
        <v>Nova X834 128GB</v>
      </c>
      <c r="C14" s="3" t="str">
        <f>'1. Master Data'!D14</f>
        <v>West DC</v>
      </c>
      <c r="D14" s="5" t="str">
        <f>'4. ABC XYZ Analysis'!K14</f>
        <v>A</v>
      </c>
      <c r="E14" s="5" t="str">
        <f>'4. ABC XYZ Analysis'!M14</f>
        <v>X</v>
      </c>
      <c r="F14" s="4">
        <f>'1. Master Data'!F14</f>
        <v>395</v>
      </c>
      <c r="G14" s="3">
        <f>'1. Master Data'!G14</f>
        <v>42</v>
      </c>
      <c r="H14" s="8">
        <f>'3. Demand Forecast'!F14/$T$3</f>
        <v>10.445454545454545</v>
      </c>
      <c r="I14" s="8">
        <f>'3. Demand Forecast'!G14/SQRT($T$3)</f>
        <v>15.435731864146197</v>
      </c>
      <c r="J14" s="5">
        <f t="shared" si="0"/>
        <v>166</v>
      </c>
      <c r="K14" s="5">
        <f t="shared" si="1"/>
        <v>605</v>
      </c>
      <c r="L14" s="3">
        <f>IF(F14=0,0,ROUNDUP(SQRT(2*'4. ABC XYZ Analysis'!F14*$U$3/(F14*$V$3)),0))</f>
        <v>143</v>
      </c>
      <c r="M14" s="3">
        <f>'1. Master Data'!I14</f>
        <v>608</v>
      </c>
      <c r="N14" s="3">
        <f t="shared" si="2"/>
        <v>58</v>
      </c>
      <c r="O14" s="5" t="str">
        <f t="shared" si="3"/>
        <v>ORDER SOON</v>
      </c>
      <c r="P14" s="5" t="str">
        <f t="shared" si="4"/>
        <v>HIGH</v>
      </c>
      <c r="Q14" s="3" t="str">
        <f t="shared" si="5"/>
        <v>Reorder Point</v>
      </c>
    </row>
    <row r="15" spans="1:22" ht="15" customHeight="1" x14ac:dyDescent="0.2">
      <c r="A15" s="3" t="str">
        <f>'1. Master Data'!A15</f>
        <v>NT10011</v>
      </c>
      <c r="B15" s="1" t="str">
        <f>'1. Master Data'!B15</f>
        <v>Edge 790 5G 128GB</v>
      </c>
      <c r="C15" s="3" t="str">
        <f>'1. Master Data'!D15</f>
        <v>Central DC</v>
      </c>
      <c r="D15" s="5" t="str">
        <f>'4. ABC XYZ Analysis'!K15</f>
        <v>A</v>
      </c>
      <c r="E15" s="5" t="str">
        <f>'4. ABC XYZ Analysis'!M15</f>
        <v>X</v>
      </c>
      <c r="F15" s="4">
        <f>'1. Master Data'!F15</f>
        <v>507</v>
      </c>
      <c r="G15" s="3">
        <f>'1. Master Data'!G15</f>
        <v>43</v>
      </c>
      <c r="H15" s="8">
        <f>'3. Demand Forecast'!F15/$T$3</f>
        <v>4.1454545454545455</v>
      </c>
      <c r="I15" s="8">
        <f>'3. Demand Forecast'!G15/SQRT($T$3)</f>
        <v>6.3320612757616299</v>
      </c>
      <c r="J15" s="5">
        <f t="shared" si="0"/>
        <v>69</v>
      </c>
      <c r="K15" s="5">
        <f t="shared" si="1"/>
        <v>248</v>
      </c>
      <c r="L15" s="3">
        <f>IF(F15=0,0,ROUNDUP(SQRT(2*'4. ABC XYZ Analysis'!F15*$U$3/(F15*$V$3)),0))</f>
        <v>85</v>
      </c>
      <c r="M15" s="3">
        <f>'1. Master Data'!I15</f>
        <v>251</v>
      </c>
      <c r="N15" s="3">
        <f t="shared" si="2"/>
        <v>61</v>
      </c>
      <c r="O15" s="5" t="str">
        <f t="shared" si="3"/>
        <v>ORDER SOON</v>
      </c>
      <c r="P15" s="5" t="str">
        <f t="shared" si="4"/>
        <v>HIGH</v>
      </c>
      <c r="Q15" s="3" t="str">
        <f t="shared" si="5"/>
        <v>Reorder Point</v>
      </c>
    </row>
    <row r="16" spans="1:22" ht="15" customHeight="1" x14ac:dyDescent="0.2">
      <c r="A16" s="3" t="str">
        <f>'1. Master Data'!A16</f>
        <v>NT10012</v>
      </c>
      <c r="B16" s="1" t="str">
        <f>'1. Master Data'!B16</f>
        <v>Pulse 918 Dual SIM</v>
      </c>
      <c r="C16" s="3" t="str">
        <f>'1. Master Data'!D16</f>
        <v>East DC</v>
      </c>
      <c r="D16" s="5" t="str">
        <f>'4. ABC XYZ Analysis'!K16</f>
        <v>A</v>
      </c>
      <c r="E16" s="5" t="str">
        <f>'4. ABC XYZ Analysis'!M16</f>
        <v>Y</v>
      </c>
      <c r="F16" s="4">
        <f>'1. Master Data'!F16</f>
        <v>693</v>
      </c>
      <c r="G16" s="3">
        <f>'1. Master Data'!G16</f>
        <v>41</v>
      </c>
      <c r="H16" s="8">
        <f>'3. Demand Forecast'!F16/$T$3</f>
        <v>0.45909090909090905</v>
      </c>
      <c r="I16" s="8">
        <f>'3. Demand Forecast'!G16/SQRT($T$3)</f>
        <v>0.59696200579570913</v>
      </c>
      <c r="J16" s="5">
        <f t="shared" si="0"/>
        <v>7</v>
      </c>
      <c r="K16" s="5">
        <f t="shared" si="1"/>
        <v>26</v>
      </c>
      <c r="L16" s="3">
        <f>IF(F16=0,0,ROUNDUP(SQRT(2*'4. ABC XYZ Analysis'!F16*$U$3/(F16*$V$3)),0))</f>
        <v>26</v>
      </c>
      <c r="M16" s="3">
        <f>'1. Master Data'!I16</f>
        <v>29</v>
      </c>
      <c r="N16" s="3">
        <f t="shared" si="2"/>
        <v>63</v>
      </c>
      <c r="O16" s="5" t="str">
        <f t="shared" si="3"/>
        <v>ORDER SOON</v>
      </c>
      <c r="P16" s="5" t="str">
        <f t="shared" si="4"/>
        <v>HIGH</v>
      </c>
      <c r="Q16" s="3" t="str">
        <f t="shared" si="5"/>
        <v>Reorder Point</v>
      </c>
    </row>
    <row r="17" spans="1:17" ht="15" customHeight="1" x14ac:dyDescent="0.2">
      <c r="A17" s="3" t="str">
        <f>'1. Master Data'!A17</f>
        <v>NT10013</v>
      </c>
      <c r="B17" s="1" t="str">
        <f>'1. Master Data'!B17</f>
        <v>Pulse 569 Dual SIM</v>
      </c>
      <c r="C17" s="3" t="str">
        <f>'1. Master Data'!D17</f>
        <v>West DC</v>
      </c>
      <c r="D17" s="5" t="str">
        <f>'4. ABC XYZ Analysis'!K17</f>
        <v>A</v>
      </c>
      <c r="E17" s="5" t="str">
        <f>'4. ABC XYZ Analysis'!M17</f>
        <v>Y</v>
      </c>
      <c r="F17" s="4">
        <f>'1. Master Data'!F17</f>
        <v>454</v>
      </c>
      <c r="G17" s="3">
        <f>'1. Master Data'!G17</f>
        <v>40</v>
      </c>
      <c r="H17" s="8">
        <f>'3. Demand Forecast'!F17/$T$3</f>
        <v>0.18636363636363634</v>
      </c>
      <c r="I17" s="8">
        <f>'3. Demand Forecast'!G17/SQRT($T$3)</f>
        <v>0.63960214906683133</v>
      </c>
      <c r="J17" s="5">
        <f t="shared" si="0"/>
        <v>7</v>
      </c>
      <c r="K17" s="5">
        <f t="shared" si="1"/>
        <v>15</v>
      </c>
      <c r="L17" s="3">
        <f>IF(F17=0,0,ROUNDUP(SQRT(2*'4. ABC XYZ Analysis'!F17*$U$3/(F17*$V$3)),0))</f>
        <v>35</v>
      </c>
      <c r="M17" s="3">
        <f>'1. Master Data'!I17</f>
        <v>24</v>
      </c>
      <c r="N17" s="3">
        <f t="shared" si="2"/>
        <v>129</v>
      </c>
      <c r="O17" s="5" t="str">
        <f t="shared" si="3"/>
        <v>OK</v>
      </c>
      <c r="P17" s="5" t="str">
        <f t="shared" si="4"/>
        <v>LOW</v>
      </c>
      <c r="Q17" s="3" t="str">
        <f t="shared" si="5"/>
        <v>Reorder Point</v>
      </c>
    </row>
    <row r="18" spans="1:17" ht="15" customHeight="1" x14ac:dyDescent="0.2">
      <c r="A18" s="3" t="str">
        <f>'1. Master Data'!A18</f>
        <v>NT10014</v>
      </c>
      <c r="B18" s="1" t="str">
        <f>'1. Master Data'!B18</f>
        <v>Edge 927 5G 128GB</v>
      </c>
      <c r="C18" s="3" t="str">
        <f>'1. Master Data'!D18</f>
        <v>East DC</v>
      </c>
      <c r="D18" s="5" t="str">
        <f>'4. ABC XYZ Analysis'!K18</f>
        <v>A</v>
      </c>
      <c r="E18" s="5" t="str">
        <f>'4. ABC XYZ Analysis'!M18</f>
        <v>Y</v>
      </c>
      <c r="F18" s="4">
        <f>'1. Master Data'!F18</f>
        <v>284</v>
      </c>
      <c r="G18" s="3">
        <f>'1. Master Data'!G18</f>
        <v>43</v>
      </c>
      <c r="H18" s="8">
        <f>'3. Demand Forecast'!F18/$T$3</f>
        <v>0.42272727272727278</v>
      </c>
      <c r="I18" s="8">
        <f>'3. Demand Forecast'!G18/SQRT($T$3)</f>
        <v>1.4071247279470287</v>
      </c>
      <c r="J18" s="5">
        <f t="shared" si="0"/>
        <v>16</v>
      </c>
      <c r="K18" s="5">
        <f t="shared" si="1"/>
        <v>35</v>
      </c>
      <c r="L18" s="3">
        <f>IF(F18=0,0,ROUNDUP(SQRT(2*'4. ABC XYZ Analysis'!F18*$U$3/(F18*$V$3)),0))</f>
        <v>46</v>
      </c>
      <c r="M18" s="3">
        <f>'1. Master Data'!I18</f>
        <v>38</v>
      </c>
      <c r="N18" s="3">
        <f t="shared" si="2"/>
        <v>90</v>
      </c>
      <c r="O18" s="5" t="str">
        <f t="shared" si="3"/>
        <v>ORDER SOON</v>
      </c>
      <c r="P18" s="5" t="str">
        <f t="shared" si="4"/>
        <v>HIGH</v>
      </c>
      <c r="Q18" s="3" t="str">
        <f t="shared" si="5"/>
        <v>Reorder Point</v>
      </c>
    </row>
    <row r="19" spans="1:17" ht="15" customHeight="1" x14ac:dyDescent="0.2">
      <c r="A19" s="3" t="str">
        <f>'1. Master Data'!A19</f>
        <v>NT10015</v>
      </c>
      <c r="B19" s="1" t="str">
        <f>'1. Master Data'!B19</f>
        <v>Edge 805 5G 128GB</v>
      </c>
      <c r="C19" s="3" t="str">
        <f>'1. Master Data'!D19</f>
        <v>East DC</v>
      </c>
      <c r="D19" s="5" t="str">
        <f>'4. ABC XYZ Analysis'!K19</f>
        <v>A</v>
      </c>
      <c r="E19" s="5" t="str">
        <f>'4. ABC XYZ Analysis'!M19</f>
        <v>Y</v>
      </c>
      <c r="F19" s="4">
        <f>'1. Master Data'!F19</f>
        <v>437</v>
      </c>
      <c r="G19" s="3">
        <f>'1. Master Data'!G19</f>
        <v>42</v>
      </c>
      <c r="H19" s="8">
        <f>'3. Demand Forecast'!F19/$T$3</f>
        <v>2.2727272727272729</v>
      </c>
      <c r="I19" s="8">
        <f>'3. Demand Forecast'!G19/SQRT($T$3)</f>
        <v>3.1340505304274733</v>
      </c>
      <c r="J19" s="5">
        <f t="shared" si="0"/>
        <v>34</v>
      </c>
      <c r="K19" s="5">
        <f t="shared" si="1"/>
        <v>130</v>
      </c>
      <c r="L19" s="3">
        <f>IF(F19=0,0,ROUNDUP(SQRT(2*'4. ABC XYZ Analysis'!F19*$U$3/(F19*$V$3)),0))</f>
        <v>75</v>
      </c>
      <c r="M19" s="3">
        <f>'1. Master Data'!I19</f>
        <v>133</v>
      </c>
      <c r="N19" s="3">
        <f t="shared" si="2"/>
        <v>59</v>
      </c>
      <c r="O19" s="5" t="str">
        <f t="shared" si="3"/>
        <v>ORDER SOON</v>
      </c>
      <c r="P19" s="5" t="str">
        <f t="shared" si="4"/>
        <v>HIGH</v>
      </c>
      <c r="Q19" s="3" t="str">
        <f t="shared" si="5"/>
        <v>Reorder Point</v>
      </c>
    </row>
    <row r="20" spans="1:17" ht="15" customHeight="1" x14ac:dyDescent="0.2">
      <c r="A20" s="3" t="str">
        <f>'1. Master Data'!A20</f>
        <v>NT10016</v>
      </c>
      <c r="B20" s="1" t="str">
        <f>'1. Master Data'!B20</f>
        <v>Nova Lite 610 64GB</v>
      </c>
      <c r="C20" s="3" t="str">
        <f>'1. Master Data'!D20</f>
        <v>Central DC</v>
      </c>
      <c r="D20" s="5" t="str">
        <f>'4. ABC XYZ Analysis'!K20</f>
        <v>A</v>
      </c>
      <c r="E20" s="5" t="str">
        <f>'4. ABC XYZ Analysis'!M20</f>
        <v>Y</v>
      </c>
      <c r="F20" s="4">
        <f>'1. Master Data'!F20</f>
        <v>449</v>
      </c>
      <c r="G20" s="3">
        <f>'1. Master Data'!G20</f>
        <v>36</v>
      </c>
      <c r="H20" s="8">
        <f>'3. Demand Forecast'!F20/$T$3</f>
        <v>4.9772727272727275</v>
      </c>
      <c r="I20" s="8">
        <f>'3. Demand Forecast'!G20/SQRT($T$3)</f>
        <v>5.500578481974749</v>
      </c>
      <c r="J20" s="5">
        <f t="shared" si="0"/>
        <v>55</v>
      </c>
      <c r="K20" s="5">
        <f t="shared" si="1"/>
        <v>235</v>
      </c>
      <c r="L20" s="3">
        <f>IF(F20=0,0,ROUNDUP(SQRT(2*'4. ABC XYZ Analysis'!F20*$U$3/(F20*$V$3)),0))</f>
        <v>40</v>
      </c>
      <c r="M20" s="3">
        <f>'1. Master Data'!I20</f>
        <v>238</v>
      </c>
      <c r="N20" s="3">
        <f t="shared" si="2"/>
        <v>48</v>
      </c>
      <c r="O20" s="5" t="str">
        <f t="shared" si="3"/>
        <v>ORDER SOON</v>
      </c>
      <c r="P20" s="5" t="str">
        <f t="shared" si="4"/>
        <v>HIGH</v>
      </c>
      <c r="Q20" s="3" t="str">
        <f t="shared" si="5"/>
        <v>Reorder Point</v>
      </c>
    </row>
    <row r="21" spans="1:17" ht="15" customHeight="1" x14ac:dyDescent="0.2">
      <c r="A21" s="3" t="str">
        <f>'1. Master Data'!A21</f>
        <v>NT10017</v>
      </c>
      <c r="B21" s="1" t="str">
        <f>'1. Master Data'!B21</f>
        <v>Nova X194 128GB</v>
      </c>
      <c r="C21" s="3" t="str">
        <f>'1. Master Data'!D21</f>
        <v>East DC</v>
      </c>
      <c r="D21" s="5" t="str">
        <f>'4. ABC XYZ Analysis'!K21</f>
        <v>A</v>
      </c>
      <c r="E21" s="5" t="str">
        <f>'4. ABC XYZ Analysis'!M21</f>
        <v>Y</v>
      </c>
      <c r="F21" s="4">
        <f>'1. Master Data'!F21</f>
        <v>844</v>
      </c>
      <c r="G21" s="3">
        <f>'1. Master Data'!G21</f>
        <v>21</v>
      </c>
      <c r="H21" s="8">
        <f>'3. Demand Forecast'!F21/$T$3</f>
        <v>1.6272727272727272</v>
      </c>
      <c r="I21" s="8">
        <f>'3. Demand Forecast'!G21/SQRT($T$3)</f>
        <v>2.9634899573429849</v>
      </c>
      <c r="J21" s="5">
        <f t="shared" si="0"/>
        <v>23</v>
      </c>
      <c r="K21" s="5">
        <f t="shared" si="1"/>
        <v>58</v>
      </c>
      <c r="L21" s="3">
        <f>IF(F21=0,0,ROUNDUP(SQRT(2*'4. ABC XYZ Analysis'!F21*$U$3/(F21*$V$3)),0))</f>
        <v>28</v>
      </c>
      <c r="M21" s="3">
        <f>'1. Master Data'!I21</f>
        <v>61</v>
      </c>
      <c r="N21" s="3">
        <f t="shared" si="2"/>
        <v>37</v>
      </c>
      <c r="O21" s="5" t="str">
        <f t="shared" si="3"/>
        <v>ORDER SOON</v>
      </c>
      <c r="P21" s="5" t="str">
        <f t="shared" si="4"/>
        <v>HIGH</v>
      </c>
      <c r="Q21" s="3" t="str">
        <f t="shared" si="5"/>
        <v>Reorder Point</v>
      </c>
    </row>
    <row r="22" spans="1:17" ht="15" customHeight="1" x14ac:dyDescent="0.2">
      <c r="A22" s="3" t="str">
        <f>'1. Master Data'!A22</f>
        <v>NT10018</v>
      </c>
      <c r="B22" s="1" t="str">
        <f>'1. Master Data'!B22</f>
        <v>Nova X223 Pro 256GB</v>
      </c>
      <c r="C22" s="3" t="str">
        <f>'1. Master Data'!D22</f>
        <v>West DC</v>
      </c>
      <c r="D22" s="5" t="str">
        <f>'4. ABC XYZ Analysis'!K22</f>
        <v>A</v>
      </c>
      <c r="E22" s="5" t="str">
        <f>'4. ABC XYZ Analysis'!M22</f>
        <v>Y</v>
      </c>
      <c r="F22" s="4">
        <f>'1. Master Data'!F22</f>
        <v>809</v>
      </c>
      <c r="G22" s="3">
        <f>'1. Master Data'!G22</f>
        <v>26</v>
      </c>
      <c r="H22" s="8">
        <f>'3. Demand Forecast'!F22/$T$3</f>
        <v>6.5863636363636369</v>
      </c>
      <c r="I22" s="8">
        <f>'3. Demand Forecast'!G22/SQRT($T$3)</f>
        <v>8.5067085825888551</v>
      </c>
      <c r="J22" s="5">
        <f t="shared" si="0"/>
        <v>72</v>
      </c>
      <c r="K22" s="5">
        <f t="shared" si="1"/>
        <v>244</v>
      </c>
      <c r="L22" s="3">
        <f>IF(F22=0,0,ROUNDUP(SQRT(2*'4. ABC XYZ Analysis'!F22*$U$3/(F22*$V$3)),0))</f>
        <v>29</v>
      </c>
      <c r="M22" s="3">
        <f>'1. Master Data'!I22</f>
        <v>202</v>
      </c>
      <c r="N22" s="3">
        <f t="shared" si="2"/>
        <v>31</v>
      </c>
      <c r="O22" s="5" t="str">
        <f t="shared" si="3"/>
        <v>ORDER NOW</v>
      </c>
      <c r="P22" s="5" t="str">
        <f t="shared" si="4"/>
        <v>URGENT</v>
      </c>
      <c r="Q22" s="3" t="str">
        <f t="shared" si="5"/>
        <v>Reorder Point</v>
      </c>
    </row>
    <row r="23" spans="1:17" ht="15" customHeight="1" x14ac:dyDescent="0.2">
      <c r="A23" s="3" t="str">
        <f>'1. Master Data'!A23</f>
        <v>NT10019</v>
      </c>
      <c r="B23" s="1" t="str">
        <f>'1. Master Data'!B23</f>
        <v>Nova Lite 258 64GB</v>
      </c>
      <c r="C23" s="3" t="str">
        <f>'1. Master Data'!D23</f>
        <v>West DC</v>
      </c>
      <c r="D23" s="5" t="str">
        <f>'4. ABC XYZ Analysis'!K23</f>
        <v>A</v>
      </c>
      <c r="E23" s="5" t="str">
        <f>'4. ABC XYZ Analysis'!M23</f>
        <v>Y</v>
      </c>
      <c r="F23" s="4">
        <f>'1. Master Data'!F23</f>
        <v>847</v>
      </c>
      <c r="G23" s="3">
        <f>'1. Master Data'!G23</f>
        <v>19</v>
      </c>
      <c r="H23" s="8">
        <f>'3. Demand Forecast'!F23/$T$3</f>
        <v>2.1863636363636365</v>
      </c>
      <c r="I23" s="8">
        <f>'3. Demand Forecast'!G23/SQRT($T$3)</f>
        <v>3.4964917482320108</v>
      </c>
      <c r="J23" s="5">
        <f t="shared" si="0"/>
        <v>26</v>
      </c>
      <c r="K23" s="5">
        <f t="shared" si="1"/>
        <v>68</v>
      </c>
      <c r="L23" s="3">
        <f>IF(F23=0,0,ROUNDUP(SQRT(2*'4. ABC XYZ Analysis'!F23*$U$3/(F23*$V$3)),0))</f>
        <v>19</v>
      </c>
      <c r="M23" s="3">
        <f>'1. Master Data'!I23</f>
        <v>71</v>
      </c>
      <c r="N23" s="3">
        <f t="shared" si="2"/>
        <v>32</v>
      </c>
      <c r="O23" s="5" t="str">
        <f t="shared" si="3"/>
        <v>ORDER SOON</v>
      </c>
      <c r="P23" s="5" t="str">
        <f t="shared" si="4"/>
        <v>HIGH</v>
      </c>
      <c r="Q23" s="3" t="str">
        <f t="shared" si="5"/>
        <v>Reorder Point</v>
      </c>
    </row>
    <row r="24" spans="1:17" ht="15" customHeight="1" x14ac:dyDescent="0.2">
      <c r="A24" s="3" t="str">
        <f>'1. Master Data'!A24</f>
        <v>NT10020</v>
      </c>
      <c r="B24" s="1" t="str">
        <f>'1. Master Data'!B24</f>
        <v>Nova X658 Pro 256GB</v>
      </c>
      <c r="C24" s="3" t="str">
        <f>'1. Master Data'!D24</f>
        <v>West DC</v>
      </c>
      <c r="D24" s="5" t="str">
        <f>'4. ABC XYZ Analysis'!K24</f>
        <v>A</v>
      </c>
      <c r="E24" s="5" t="str">
        <f>'4. ABC XYZ Analysis'!M24</f>
        <v>X</v>
      </c>
      <c r="F24" s="4">
        <f>'1. Master Data'!F24</f>
        <v>852</v>
      </c>
      <c r="G24" s="3">
        <f>'1. Master Data'!G24</f>
        <v>21</v>
      </c>
      <c r="H24" s="8">
        <f>'3. Demand Forecast'!F24/$T$3</f>
        <v>1.7863636363636362</v>
      </c>
      <c r="I24" s="8">
        <f>'3. Demand Forecast'!G24/SQRT($T$3)</f>
        <v>2.9208498140718628</v>
      </c>
      <c r="J24" s="5">
        <f t="shared" si="0"/>
        <v>23</v>
      </c>
      <c r="K24" s="5">
        <f t="shared" si="1"/>
        <v>61</v>
      </c>
      <c r="L24" s="3">
        <f>IF(F24=0,0,ROUNDUP(SQRT(2*'4. ABC XYZ Analysis'!F24*$U$3/(F24*$V$3)),0))</f>
        <v>27</v>
      </c>
      <c r="M24" s="3">
        <f>'1. Master Data'!I24</f>
        <v>64</v>
      </c>
      <c r="N24" s="3">
        <f t="shared" si="2"/>
        <v>36</v>
      </c>
      <c r="O24" s="5" t="str">
        <f t="shared" si="3"/>
        <v>ORDER SOON</v>
      </c>
      <c r="P24" s="5" t="str">
        <f t="shared" si="4"/>
        <v>HIGH</v>
      </c>
      <c r="Q24" s="3" t="str">
        <f t="shared" si="5"/>
        <v>Reorder Point</v>
      </c>
    </row>
    <row r="25" spans="1:17" ht="15" customHeight="1" x14ac:dyDescent="0.2">
      <c r="A25" s="3" t="str">
        <f>'1. Master Data'!A25</f>
        <v>NT10021</v>
      </c>
      <c r="B25" s="1" t="str">
        <f>'1. Master Data'!B25</f>
        <v>Pulse 397 Dual SIM</v>
      </c>
      <c r="C25" s="3" t="str">
        <f>'1. Master Data'!D25</f>
        <v>Central DC</v>
      </c>
      <c r="D25" s="5" t="str">
        <f>'4. ABC XYZ Analysis'!K25</f>
        <v>A</v>
      </c>
      <c r="E25" s="5" t="str">
        <f>'4. ABC XYZ Analysis'!M25</f>
        <v>X</v>
      </c>
      <c r="F25" s="4">
        <f>'1. Master Data'!F25</f>
        <v>413</v>
      </c>
      <c r="G25" s="3">
        <f>'1. Master Data'!G25</f>
        <v>20</v>
      </c>
      <c r="H25" s="8">
        <f>'3. Demand Forecast'!F25/$T$3</f>
        <v>3.0818181818181816</v>
      </c>
      <c r="I25" s="8">
        <f>'3. Demand Forecast'!G25/SQRT($T$3)</f>
        <v>4.7330559030945514</v>
      </c>
      <c r="J25" s="5">
        <f t="shared" si="0"/>
        <v>35</v>
      </c>
      <c r="K25" s="5">
        <f t="shared" si="1"/>
        <v>97</v>
      </c>
      <c r="L25" s="3">
        <f>IF(F25=0,0,ROUNDUP(SQRT(2*'4. ABC XYZ Analysis'!F25*$U$3/(F25*$V$3)),0))</f>
        <v>74</v>
      </c>
      <c r="M25" s="3">
        <f>'1. Master Data'!I25</f>
        <v>100</v>
      </c>
      <c r="N25" s="3">
        <f t="shared" si="2"/>
        <v>32</v>
      </c>
      <c r="O25" s="5" t="str">
        <f t="shared" si="3"/>
        <v>ORDER SOON</v>
      </c>
      <c r="P25" s="5" t="str">
        <f t="shared" si="4"/>
        <v>HIGH</v>
      </c>
      <c r="Q25" s="3" t="str">
        <f t="shared" si="5"/>
        <v>Reorder Point</v>
      </c>
    </row>
    <row r="26" spans="1:17" ht="15" customHeight="1" x14ac:dyDescent="0.2">
      <c r="A26" s="3" t="str">
        <f>'1. Master Data'!A26</f>
        <v>NT10022</v>
      </c>
      <c r="B26" s="1" t="str">
        <f>'1. Master Data'!B26</f>
        <v>Pulse 521 Dual SIM</v>
      </c>
      <c r="C26" s="3" t="str">
        <f>'1. Master Data'!D26</f>
        <v>East DC</v>
      </c>
      <c r="D26" s="5" t="str">
        <f>'4. ABC XYZ Analysis'!K26</f>
        <v>A</v>
      </c>
      <c r="E26" s="5" t="str">
        <f>'4. ABC XYZ Analysis'!M26</f>
        <v>Y</v>
      </c>
      <c r="F26" s="4">
        <f>'1. Master Data'!F26</f>
        <v>782</v>
      </c>
      <c r="G26" s="3">
        <f>'1. Master Data'!G26</f>
        <v>37</v>
      </c>
      <c r="H26" s="8">
        <f>'3. Demand Forecast'!F26/$T$3</f>
        <v>5.3681818181818182</v>
      </c>
      <c r="I26" s="8">
        <f>'3. Demand Forecast'!G26/SQRT($T$3)</f>
        <v>7.8244662902509035</v>
      </c>
      <c r="J26" s="5">
        <f t="shared" si="0"/>
        <v>79</v>
      </c>
      <c r="K26" s="5">
        <f t="shared" si="1"/>
        <v>278</v>
      </c>
      <c r="L26" s="3">
        <f>IF(F26=0,0,ROUNDUP(SQRT(2*'4. ABC XYZ Analysis'!F26*$U$3/(F26*$V$3)),0))</f>
        <v>76</v>
      </c>
      <c r="M26" s="3">
        <f>'1. Master Data'!I26</f>
        <v>281</v>
      </c>
      <c r="N26" s="3">
        <f t="shared" si="2"/>
        <v>52</v>
      </c>
      <c r="O26" s="5" t="str">
        <f t="shared" si="3"/>
        <v>ORDER SOON</v>
      </c>
      <c r="P26" s="5" t="str">
        <f t="shared" si="4"/>
        <v>HIGH</v>
      </c>
      <c r="Q26" s="3" t="str">
        <f t="shared" si="5"/>
        <v>Reorder Point</v>
      </c>
    </row>
    <row r="27" spans="1:17" ht="15" customHeight="1" x14ac:dyDescent="0.2">
      <c r="A27" s="3" t="str">
        <f>'1. Master Data'!A27</f>
        <v>NT10023</v>
      </c>
      <c r="B27" s="1" t="str">
        <f>'1. Master Data'!B27</f>
        <v>Edge 175 5G 128GB</v>
      </c>
      <c r="C27" s="3" t="str">
        <f>'1. Master Data'!D27</f>
        <v>Central DC</v>
      </c>
      <c r="D27" s="5" t="str">
        <f>'4. ABC XYZ Analysis'!K27</f>
        <v>A</v>
      </c>
      <c r="E27" s="5" t="str">
        <f>'4. ABC XYZ Analysis'!M27</f>
        <v>Y</v>
      </c>
      <c r="F27" s="4">
        <f>'1. Master Data'!F27</f>
        <v>611</v>
      </c>
      <c r="G27" s="3">
        <f>'1. Master Data'!G27</f>
        <v>19</v>
      </c>
      <c r="H27" s="8">
        <f>'3. Demand Forecast'!F27/$T$3</f>
        <v>1.3272727272727272</v>
      </c>
      <c r="I27" s="8">
        <f>'3. Demand Forecast'!G27/SQRT($T$3)</f>
        <v>2.025406805378299</v>
      </c>
      <c r="J27" s="5">
        <f t="shared" si="0"/>
        <v>15</v>
      </c>
      <c r="K27" s="5">
        <f t="shared" si="1"/>
        <v>41</v>
      </c>
      <c r="L27" s="3">
        <f>IF(F27=0,0,ROUNDUP(SQRT(2*'4. ABC XYZ Analysis'!F27*$U$3/(F27*$V$3)),0))</f>
        <v>24</v>
      </c>
      <c r="M27" s="3">
        <f>'1. Master Data'!I27</f>
        <v>44</v>
      </c>
      <c r="N27" s="3">
        <f t="shared" si="2"/>
        <v>33</v>
      </c>
      <c r="O27" s="5" t="str">
        <f t="shared" si="3"/>
        <v>ORDER SOON</v>
      </c>
      <c r="P27" s="5" t="str">
        <f t="shared" si="4"/>
        <v>HIGH</v>
      </c>
      <c r="Q27" s="3" t="str">
        <f t="shared" si="5"/>
        <v>Reorder Point</v>
      </c>
    </row>
    <row r="28" spans="1:17" ht="15" customHeight="1" x14ac:dyDescent="0.2">
      <c r="A28" s="3" t="str">
        <f>'1. Master Data'!A28</f>
        <v>NT10024</v>
      </c>
      <c r="B28" s="1" t="str">
        <f>'1. Master Data'!B28</f>
        <v>Nova Lite 799 64GB</v>
      </c>
      <c r="C28" s="3" t="str">
        <f>'1. Master Data'!D28</f>
        <v>Central DC</v>
      </c>
      <c r="D28" s="5" t="str">
        <f>'4. ABC XYZ Analysis'!K28</f>
        <v>A</v>
      </c>
      <c r="E28" s="5" t="str">
        <f>'4. ABC XYZ Analysis'!M28</f>
        <v>Y</v>
      </c>
      <c r="F28" s="4">
        <f>'1. Master Data'!F28</f>
        <v>583</v>
      </c>
      <c r="G28" s="3">
        <f>'1. Master Data'!G28</f>
        <v>42</v>
      </c>
      <c r="H28" s="8">
        <f>'3. Demand Forecast'!F28/$T$3</f>
        <v>6.0136363636363646</v>
      </c>
      <c r="I28" s="8">
        <f>'3. Demand Forecast'!G28/SQRT($T$3)</f>
        <v>8.4853885109532943</v>
      </c>
      <c r="J28" s="5">
        <f t="shared" si="0"/>
        <v>91</v>
      </c>
      <c r="K28" s="5">
        <f t="shared" si="1"/>
        <v>344</v>
      </c>
      <c r="L28" s="3">
        <f>IF(F28=0,0,ROUNDUP(SQRT(2*'4. ABC XYZ Analysis'!F28*$U$3/(F28*$V$3)),0))</f>
        <v>53</v>
      </c>
      <c r="M28" s="3">
        <f>'1. Master Data'!I28</f>
        <v>347</v>
      </c>
      <c r="N28" s="3">
        <f t="shared" si="2"/>
        <v>58</v>
      </c>
      <c r="O28" s="5" t="str">
        <f t="shared" si="3"/>
        <v>ORDER SOON</v>
      </c>
      <c r="P28" s="5" t="str">
        <f t="shared" si="4"/>
        <v>HIGH</v>
      </c>
      <c r="Q28" s="3" t="str">
        <f t="shared" si="5"/>
        <v>Reorder Point</v>
      </c>
    </row>
    <row r="29" spans="1:17" ht="15" customHeight="1" x14ac:dyDescent="0.2">
      <c r="A29" s="3" t="str">
        <f>'1. Master Data'!A29</f>
        <v>NT10025</v>
      </c>
      <c r="B29" s="1" t="str">
        <f>'1. Master Data'!B29</f>
        <v>Pulse 733 Dual SIM</v>
      </c>
      <c r="C29" s="3" t="str">
        <f>'1. Master Data'!D29</f>
        <v>Central DC</v>
      </c>
      <c r="D29" s="5" t="str">
        <f>'4. ABC XYZ Analysis'!K29</f>
        <v>A</v>
      </c>
      <c r="E29" s="5" t="str">
        <f>'4. ABC XYZ Analysis'!M29</f>
        <v>Y</v>
      </c>
      <c r="F29" s="4">
        <f>'1. Master Data'!F29</f>
        <v>855</v>
      </c>
      <c r="G29" s="3">
        <f>'1. Master Data'!G29</f>
        <v>16</v>
      </c>
      <c r="H29" s="8">
        <f>'3. Demand Forecast'!F29/$T$3</f>
        <v>4.0363636363636362</v>
      </c>
      <c r="I29" s="8">
        <f>'3. Demand Forecast'!G29/SQRT($T$3)</f>
        <v>4.882296404543478</v>
      </c>
      <c r="J29" s="5">
        <f t="shared" si="0"/>
        <v>33</v>
      </c>
      <c r="K29" s="5">
        <f t="shared" si="1"/>
        <v>98</v>
      </c>
      <c r="L29" s="3">
        <f>IF(F29=0,0,ROUNDUP(SQRT(2*'4. ABC XYZ Analysis'!F29*$U$3/(F29*$V$3)),0))</f>
        <v>26</v>
      </c>
      <c r="M29" s="3">
        <f>'1. Master Data'!I29</f>
        <v>101</v>
      </c>
      <c r="N29" s="3">
        <f t="shared" si="2"/>
        <v>25</v>
      </c>
      <c r="O29" s="5" t="str">
        <f t="shared" si="3"/>
        <v>ORDER SOON</v>
      </c>
      <c r="P29" s="5" t="str">
        <f t="shared" si="4"/>
        <v>HIGH</v>
      </c>
      <c r="Q29" s="3" t="str">
        <f t="shared" si="5"/>
        <v>Reorder Point</v>
      </c>
    </row>
    <row r="30" spans="1:17" ht="15" customHeight="1" x14ac:dyDescent="0.2">
      <c r="A30" s="3" t="str">
        <f>'1. Master Data'!A30</f>
        <v>NT10026</v>
      </c>
      <c r="B30" s="1" t="str">
        <f>'1. Master Data'!B30</f>
        <v>Edge 712 5G 128GB</v>
      </c>
      <c r="C30" s="3" t="str">
        <f>'1. Master Data'!D30</f>
        <v>East DC</v>
      </c>
      <c r="D30" s="5" t="str">
        <f>'4. ABC XYZ Analysis'!K30</f>
        <v>A</v>
      </c>
      <c r="E30" s="5" t="str">
        <f>'4. ABC XYZ Analysis'!M30</f>
        <v>Y</v>
      </c>
      <c r="F30" s="4">
        <f>'1. Master Data'!F30</f>
        <v>321</v>
      </c>
      <c r="G30" s="3">
        <f>'1. Master Data'!G30</f>
        <v>24</v>
      </c>
      <c r="H30" s="8">
        <f>'3. Demand Forecast'!F30/$T$3</f>
        <v>25.786363636363635</v>
      </c>
      <c r="I30" s="8">
        <f>'3. Demand Forecast'!G30/SQRT($T$3)</f>
        <v>37.800487009849732</v>
      </c>
      <c r="J30" s="5">
        <f t="shared" si="0"/>
        <v>306</v>
      </c>
      <c r="K30" s="5">
        <f t="shared" si="1"/>
        <v>925</v>
      </c>
      <c r="L30" s="3">
        <f>IF(F30=0,0,ROUNDUP(SQRT(2*'4. ABC XYZ Analysis'!F30*$U$3/(F30*$V$3)),0))</f>
        <v>37</v>
      </c>
      <c r="M30" s="3">
        <f>'1. Master Data'!I30</f>
        <v>928</v>
      </c>
      <c r="N30" s="3">
        <f t="shared" si="2"/>
        <v>36</v>
      </c>
      <c r="O30" s="5" t="str">
        <f t="shared" si="3"/>
        <v>ORDER SOON</v>
      </c>
      <c r="P30" s="5" t="str">
        <f t="shared" si="4"/>
        <v>HIGH</v>
      </c>
      <c r="Q30" s="3" t="str">
        <f t="shared" si="5"/>
        <v>Reorder Point</v>
      </c>
    </row>
    <row r="31" spans="1:17" ht="15" customHeight="1" x14ac:dyDescent="0.2">
      <c r="A31" s="3" t="str">
        <f>'1. Master Data'!A31</f>
        <v>NT10027</v>
      </c>
      <c r="B31" s="1" t="str">
        <f>'1. Master Data'!B31</f>
        <v>Nova X763 128GB</v>
      </c>
      <c r="C31" s="3" t="str">
        <f>'1. Master Data'!D31</f>
        <v>East DC</v>
      </c>
      <c r="D31" s="5" t="str">
        <f>'4. ABC XYZ Analysis'!K31</f>
        <v>A</v>
      </c>
      <c r="E31" s="5" t="str">
        <f>'4. ABC XYZ Analysis'!M31</f>
        <v>Y</v>
      </c>
      <c r="F31" s="4">
        <f>'1. Master Data'!F31</f>
        <v>443</v>
      </c>
      <c r="G31" s="3">
        <f>'1. Master Data'!G31</f>
        <v>21</v>
      </c>
      <c r="H31" s="8">
        <f>'3. Demand Forecast'!F31/$T$3</f>
        <v>3.6090909090909093</v>
      </c>
      <c r="I31" s="8">
        <f>'3. Demand Forecast'!G31/SQRT($T$3)</f>
        <v>5.6284989117881148</v>
      </c>
      <c r="J31" s="5">
        <f t="shared" si="0"/>
        <v>43</v>
      </c>
      <c r="K31" s="5">
        <f t="shared" si="1"/>
        <v>119</v>
      </c>
      <c r="L31" s="3">
        <f>IF(F31=0,0,ROUNDUP(SQRT(2*'4. ABC XYZ Analysis'!F31*$U$3/(F31*$V$3)),0))</f>
        <v>57</v>
      </c>
      <c r="M31" s="3">
        <f>'1. Master Data'!I31</f>
        <v>122</v>
      </c>
      <c r="N31" s="3">
        <f t="shared" si="2"/>
        <v>34</v>
      </c>
      <c r="O31" s="5" t="str">
        <f t="shared" si="3"/>
        <v>ORDER SOON</v>
      </c>
      <c r="P31" s="5" t="str">
        <f t="shared" si="4"/>
        <v>HIGH</v>
      </c>
      <c r="Q31" s="3" t="str">
        <f t="shared" si="5"/>
        <v>Reorder Point</v>
      </c>
    </row>
    <row r="32" spans="1:17" ht="15" customHeight="1" x14ac:dyDescent="0.2">
      <c r="A32" s="3" t="str">
        <f>'1. Master Data'!A32</f>
        <v>NT10028</v>
      </c>
      <c r="B32" s="1" t="str">
        <f>'1. Master Data'!B32</f>
        <v>Nova X761 Pro 256GB</v>
      </c>
      <c r="C32" s="3" t="str">
        <f>'1. Master Data'!D32</f>
        <v>East DC</v>
      </c>
      <c r="D32" s="5" t="str">
        <f>'4. ABC XYZ Analysis'!K32</f>
        <v>A</v>
      </c>
      <c r="E32" s="5" t="str">
        <f>'4. ABC XYZ Analysis'!M32</f>
        <v>Y</v>
      </c>
      <c r="F32" s="4">
        <f>'1. Master Data'!F32</f>
        <v>779</v>
      </c>
      <c r="G32" s="3">
        <f>'1. Master Data'!G32</f>
        <v>26</v>
      </c>
      <c r="H32" s="8">
        <f>'3. Demand Forecast'!F32/$T$3</f>
        <v>14.854545454545455</v>
      </c>
      <c r="I32" s="8">
        <f>'3. Demand Forecast'!G32/SQRT($T$3)</f>
        <v>24.49676230925964</v>
      </c>
      <c r="J32" s="5">
        <f t="shared" si="0"/>
        <v>207</v>
      </c>
      <c r="K32" s="5">
        <f t="shared" si="1"/>
        <v>594</v>
      </c>
      <c r="L32" s="3">
        <f>IF(F32=0,0,ROUNDUP(SQRT(2*'4. ABC XYZ Analysis'!F32*$U$3/(F32*$V$3)),0))</f>
        <v>21</v>
      </c>
      <c r="M32" s="3">
        <f>'1. Master Data'!I32</f>
        <v>597</v>
      </c>
      <c r="N32" s="3">
        <f t="shared" si="2"/>
        <v>40</v>
      </c>
      <c r="O32" s="5" t="str">
        <f t="shared" si="3"/>
        <v>ORDER SOON</v>
      </c>
      <c r="P32" s="5" t="str">
        <f t="shared" si="4"/>
        <v>HIGH</v>
      </c>
      <c r="Q32" s="3" t="str">
        <f t="shared" si="5"/>
        <v>Reorder Point</v>
      </c>
    </row>
    <row r="33" spans="1:17" ht="15" customHeight="1" x14ac:dyDescent="0.2">
      <c r="A33" s="3" t="str">
        <f>'1. Master Data'!A33</f>
        <v>NT10029</v>
      </c>
      <c r="B33" s="1" t="str">
        <f>'1. Master Data'!B33</f>
        <v>Edge 379 5G 128GB</v>
      </c>
      <c r="C33" s="3" t="str">
        <f>'1. Master Data'!D33</f>
        <v>East DC</v>
      </c>
      <c r="D33" s="5" t="str">
        <f>'4. ABC XYZ Analysis'!K33</f>
        <v>A</v>
      </c>
      <c r="E33" s="5" t="str">
        <f>'4. ABC XYZ Analysis'!M33</f>
        <v>Y</v>
      </c>
      <c r="F33" s="4">
        <f>'1. Master Data'!F33</f>
        <v>674</v>
      </c>
      <c r="G33" s="3">
        <f>'1. Master Data'!G33</f>
        <v>43</v>
      </c>
      <c r="H33" s="8">
        <f>'3. Demand Forecast'!F33/$T$3</f>
        <v>5.9090909090909092</v>
      </c>
      <c r="I33" s="8">
        <f>'3. Demand Forecast'!G33/SQRT($T$3)</f>
        <v>9.2102709465623711</v>
      </c>
      <c r="J33" s="5">
        <f t="shared" si="0"/>
        <v>100</v>
      </c>
      <c r="K33" s="5">
        <f t="shared" si="1"/>
        <v>355</v>
      </c>
      <c r="L33" s="3">
        <f>IF(F33=0,0,ROUNDUP(SQRT(2*'4. ABC XYZ Analysis'!F33*$U$3/(F33*$V$3)),0))</f>
        <v>41</v>
      </c>
      <c r="M33" s="3">
        <f>'1. Master Data'!I33</f>
        <v>234</v>
      </c>
      <c r="N33" s="3">
        <f t="shared" si="2"/>
        <v>40</v>
      </c>
      <c r="O33" s="5" t="str">
        <f t="shared" si="3"/>
        <v>ORDER NOW</v>
      </c>
      <c r="P33" s="5" t="str">
        <f t="shared" si="4"/>
        <v>URGENT</v>
      </c>
      <c r="Q33" s="3" t="str">
        <f t="shared" si="5"/>
        <v>Reorder Point</v>
      </c>
    </row>
    <row r="34" spans="1:17" ht="15" customHeight="1" x14ac:dyDescent="0.2">
      <c r="A34" s="3" t="str">
        <f>'1. Master Data'!A34</f>
        <v>NT10030</v>
      </c>
      <c r="B34" s="1" t="str">
        <f>'1. Master Data'!B34</f>
        <v>Nova Lite 278 64GB</v>
      </c>
      <c r="C34" s="3" t="str">
        <f>'1. Master Data'!D34</f>
        <v>East DC</v>
      </c>
      <c r="D34" s="5" t="str">
        <f>'4. ABC XYZ Analysis'!K34</f>
        <v>A</v>
      </c>
      <c r="E34" s="5" t="str">
        <f>'4. ABC XYZ Analysis'!M34</f>
        <v>Y</v>
      </c>
      <c r="F34" s="4">
        <f>'1. Master Data'!F34</f>
        <v>759</v>
      </c>
      <c r="G34" s="3">
        <f>'1. Master Data'!G34</f>
        <v>42</v>
      </c>
      <c r="H34" s="8">
        <f>'3. Demand Forecast'!F34/$T$3</f>
        <v>0.15909090909090909</v>
      </c>
      <c r="I34" s="8">
        <f>'3. Demand Forecast'!G34/SQRT($T$3)</f>
        <v>0.51168171925346495</v>
      </c>
      <c r="J34" s="5">
        <f t="shared" si="0"/>
        <v>6</v>
      </c>
      <c r="K34" s="5">
        <f t="shared" si="1"/>
        <v>13</v>
      </c>
      <c r="L34" s="3">
        <f>IF(F34=0,0,ROUNDUP(SQRT(2*'4. ABC XYZ Analysis'!F34*$U$3/(F34*$V$3)),0))</f>
        <v>35</v>
      </c>
      <c r="M34" s="3">
        <f>'1. Master Data'!I34</f>
        <v>16</v>
      </c>
      <c r="N34" s="3">
        <f t="shared" si="2"/>
        <v>101</v>
      </c>
      <c r="O34" s="5" t="str">
        <f t="shared" si="3"/>
        <v>OK</v>
      </c>
      <c r="P34" s="5" t="str">
        <f t="shared" si="4"/>
        <v>LOW</v>
      </c>
      <c r="Q34" s="3" t="str">
        <f t="shared" si="5"/>
        <v>Reorder Point</v>
      </c>
    </row>
    <row r="35" spans="1:17" ht="15" customHeight="1" x14ac:dyDescent="0.2">
      <c r="A35" s="3" t="str">
        <f>'1. Master Data'!A35</f>
        <v>NT10031</v>
      </c>
      <c r="B35" s="1" t="str">
        <f>'1. Master Data'!B35</f>
        <v>Nova Lite 631 64GB</v>
      </c>
      <c r="C35" s="3" t="str">
        <f>'1. Master Data'!D35</f>
        <v>Central DC</v>
      </c>
      <c r="D35" s="5" t="str">
        <f>'4. ABC XYZ Analysis'!K35</f>
        <v>A</v>
      </c>
      <c r="E35" s="5" t="str">
        <f>'4. ABC XYZ Analysis'!M35</f>
        <v>Y</v>
      </c>
      <c r="F35" s="4">
        <f>'1. Master Data'!F35</f>
        <v>372</v>
      </c>
      <c r="G35" s="3">
        <f>'1. Master Data'!G35</f>
        <v>42</v>
      </c>
      <c r="H35" s="8">
        <f>'3. Demand Forecast'!F35/$T$3</f>
        <v>3.8863636363636362</v>
      </c>
      <c r="I35" s="8">
        <f>'3. Demand Forecast'!G35/SQRT($T$3)</f>
        <v>5.1168171925346506</v>
      </c>
      <c r="J35" s="5">
        <f t="shared" si="0"/>
        <v>55</v>
      </c>
      <c r="K35" s="5">
        <f t="shared" si="1"/>
        <v>219</v>
      </c>
      <c r="L35" s="3">
        <f>IF(F35=0,0,ROUNDUP(SQRT(2*'4. ABC XYZ Analysis'!F35*$U$3/(F35*$V$3)),0))</f>
        <v>53</v>
      </c>
      <c r="M35" s="3">
        <f>'1. Master Data'!I35</f>
        <v>222</v>
      </c>
      <c r="N35" s="3">
        <f t="shared" si="2"/>
        <v>57</v>
      </c>
      <c r="O35" s="5" t="str">
        <f t="shared" si="3"/>
        <v>ORDER SOON</v>
      </c>
      <c r="P35" s="5" t="str">
        <f t="shared" si="4"/>
        <v>HIGH</v>
      </c>
      <c r="Q35" s="3" t="str">
        <f t="shared" si="5"/>
        <v>Reorder Point</v>
      </c>
    </row>
    <row r="36" spans="1:17" ht="15" customHeight="1" x14ac:dyDescent="0.2">
      <c r="A36" s="3" t="str">
        <f>'1. Master Data'!A36</f>
        <v>NT10032</v>
      </c>
      <c r="B36" s="1" t="str">
        <f>'1. Master Data'!B36</f>
        <v>Nova X968 128GB</v>
      </c>
      <c r="C36" s="3" t="str">
        <f>'1. Master Data'!D36</f>
        <v>Central DC</v>
      </c>
      <c r="D36" s="5" t="str">
        <f>'4. ABC XYZ Analysis'!K36</f>
        <v>A</v>
      </c>
      <c r="E36" s="5" t="str">
        <f>'4. ABC XYZ Analysis'!M36</f>
        <v>Y</v>
      </c>
      <c r="F36" s="4">
        <f>'1. Master Data'!F36</f>
        <v>255</v>
      </c>
      <c r="G36" s="3">
        <f>'1. Master Data'!G36</f>
        <v>17</v>
      </c>
      <c r="H36" s="8">
        <f>'3. Demand Forecast'!F36/$T$3</f>
        <v>2.5590909090909091</v>
      </c>
      <c r="I36" s="8">
        <f>'3. Demand Forecast'!G36/SQRT($T$3)</f>
        <v>3.8376128944009875</v>
      </c>
      <c r="J36" s="5">
        <f t="shared" si="0"/>
        <v>27</v>
      </c>
      <c r="K36" s="5">
        <f t="shared" si="1"/>
        <v>71</v>
      </c>
      <c r="L36" s="3">
        <f>IF(F36=0,0,ROUNDUP(SQRT(2*'4. ABC XYZ Analysis'!F36*$U$3/(F36*$V$3)),0))</f>
        <v>50</v>
      </c>
      <c r="M36" s="3">
        <f>'1. Master Data'!I36</f>
        <v>74</v>
      </c>
      <c r="N36" s="3">
        <f t="shared" si="2"/>
        <v>29</v>
      </c>
      <c r="O36" s="5" t="str">
        <f t="shared" si="3"/>
        <v>ORDER SOON</v>
      </c>
      <c r="P36" s="5" t="str">
        <f t="shared" si="4"/>
        <v>HIGH</v>
      </c>
      <c r="Q36" s="3" t="str">
        <f t="shared" si="5"/>
        <v>Reorder Point</v>
      </c>
    </row>
    <row r="37" spans="1:17" ht="15" customHeight="1" x14ac:dyDescent="0.2">
      <c r="A37" s="3" t="str">
        <f>'1. Master Data'!A37</f>
        <v>NT10033</v>
      </c>
      <c r="B37" s="1" t="str">
        <f>'1. Master Data'!B37</f>
        <v>Pulse 902 Dual SIM</v>
      </c>
      <c r="C37" s="3" t="str">
        <f>'1. Master Data'!D37</f>
        <v>West DC</v>
      </c>
      <c r="D37" s="5" t="str">
        <f>'4. ABC XYZ Analysis'!K37</f>
        <v>A</v>
      </c>
      <c r="E37" s="5" t="str">
        <f>'4. ABC XYZ Analysis'!M37</f>
        <v>Y</v>
      </c>
      <c r="F37" s="4">
        <f>'1. Master Data'!F37</f>
        <v>610</v>
      </c>
      <c r="G37" s="3">
        <f>'1. Master Data'!G37</f>
        <v>14</v>
      </c>
      <c r="H37" s="8">
        <f>'3. Demand Forecast'!F37/$T$3</f>
        <v>5.668181818181818</v>
      </c>
      <c r="I37" s="8">
        <f>'3. Demand Forecast'!G37/SQRT($T$3)</f>
        <v>8.2082275796910018</v>
      </c>
      <c r="J37" s="5">
        <f t="shared" si="0"/>
        <v>51</v>
      </c>
      <c r="K37" s="5">
        <f t="shared" si="1"/>
        <v>131</v>
      </c>
      <c r="L37" s="3">
        <f>IF(F37=0,0,ROUNDUP(SQRT(2*'4. ABC XYZ Analysis'!F37*$U$3/(F37*$V$3)),0))</f>
        <v>23</v>
      </c>
      <c r="M37" s="3">
        <f>'1. Master Data'!I37</f>
        <v>134</v>
      </c>
      <c r="N37" s="3">
        <f t="shared" si="2"/>
        <v>24</v>
      </c>
      <c r="O37" s="5" t="str">
        <f t="shared" si="3"/>
        <v>ORDER SOON</v>
      </c>
      <c r="P37" s="5" t="str">
        <f t="shared" si="4"/>
        <v>HIGH</v>
      </c>
      <c r="Q37" s="3" t="str">
        <f t="shared" si="5"/>
        <v>Reorder Point</v>
      </c>
    </row>
    <row r="38" spans="1:17" ht="15" customHeight="1" x14ac:dyDescent="0.2">
      <c r="A38" s="3" t="str">
        <f>'1. Master Data'!A38</f>
        <v>NT10034</v>
      </c>
      <c r="B38" s="1" t="str">
        <f>'1. Master Data'!B38</f>
        <v>Pulse 910 Dual SIM</v>
      </c>
      <c r="C38" s="3" t="str">
        <f>'1. Master Data'!D38</f>
        <v>West DC</v>
      </c>
      <c r="D38" s="5" t="str">
        <f>'4. ABC XYZ Analysis'!K38</f>
        <v>A</v>
      </c>
      <c r="E38" s="5" t="str">
        <f>'4. ABC XYZ Analysis'!M38</f>
        <v>Y</v>
      </c>
      <c r="F38" s="4">
        <f>'1. Master Data'!F38</f>
        <v>885</v>
      </c>
      <c r="G38" s="3">
        <f>'1. Master Data'!G38</f>
        <v>15</v>
      </c>
      <c r="H38" s="8">
        <f>'3. Demand Forecast'!F38/$T$3</f>
        <v>1.8</v>
      </c>
      <c r="I38" s="8">
        <f>'3. Demand Forecast'!G38/SQRT($T$3)</f>
        <v>7.7605060753442192</v>
      </c>
      <c r="J38" s="5">
        <f t="shared" si="0"/>
        <v>50</v>
      </c>
      <c r="K38" s="5">
        <f t="shared" si="1"/>
        <v>77</v>
      </c>
      <c r="L38" s="3">
        <f>IF(F38=0,0,ROUNDUP(SQRT(2*'4. ABC XYZ Analysis'!F38*$U$3/(F38*$V$3)),0))</f>
        <v>47</v>
      </c>
      <c r="M38" s="3">
        <f>'1. Master Data'!I38</f>
        <v>80</v>
      </c>
      <c r="N38" s="3">
        <f t="shared" si="2"/>
        <v>44</v>
      </c>
      <c r="O38" s="5" t="str">
        <f t="shared" si="3"/>
        <v>ORDER SOON</v>
      </c>
      <c r="P38" s="5" t="str">
        <f t="shared" si="4"/>
        <v>HIGH</v>
      </c>
      <c r="Q38" s="3" t="str">
        <f t="shared" si="5"/>
        <v>Reorder Point</v>
      </c>
    </row>
    <row r="39" spans="1:17" ht="15" customHeight="1" x14ac:dyDescent="0.2">
      <c r="A39" s="3" t="str">
        <f>'1. Master Data'!A39</f>
        <v>NT10035</v>
      </c>
      <c r="B39" s="1" t="str">
        <f>'1. Master Data'!B39</f>
        <v>Nova X683 Pro 256GB</v>
      </c>
      <c r="C39" s="3" t="str">
        <f>'1. Master Data'!D39</f>
        <v>East DC</v>
      </c>
      <c r="D39" s="5" t="str">
        <f>'4. ABC XYZ Analysis'!K39</f>
        <v>A</v>
      </c>
      <c r="E39" s="5" t="str">
        <f>'4. ABC XYZ Analysis'!M39</f>
        <v>X</v>
      </c>
      <c r="F39" s="4">
        <f>'1. Master Data'!F39</f>
        <v>524</v>
      </c>
      <c r="G39" s="3">
        <f>'1. Master Data'!G39</f>
        <v>44</v>
      </c>
      <c r="H39" s="8">
        <f>'3. Demand Forecast'!F39/$T$3</f>
        <v>12.877272727272727</v>
      </c>
      <c r="I39" s="8">
        <f>'3. Demand Forecast'!G39/SQRT($T$3)</f>
        <v>19.912946907614014</v>
      </c>
      <c r="J39" s="5">
        <f t="shared" si="0"/>
        <v>218</v>
      </c>
      <c r="K39" s="5">
        <f t="shared" si="1"/>
        <v>785</v>
      </c>
      <c r="L39" s="3">
        <f>IF(F39=0,0,ROUNDUP(SQRT(2*'4. ABC XYZ Analysis'!F39*$U$3/(F39*$V$3)),0))</f>
        <v>89</v>
      </c>
      <c r="M39" s="3">
        <f>'1. Master Data'!I39</f>
        <v>446</v>
      </c>
      <c r="N39" s="3">
        <f t="shared" si="2"/>
        <v>35</v>
      </c>
      <c r="O39" s="5" t="str">
        <f t="shared" si="3"/>
        <v>ORDER NOW</v>
      </c>
      <c r="P39" s="5" t="str">
        <f t="shared" si="4"/>
        <v>URGENT</v>
      </c>
      <c r="Q39" s="3" t="str">
        <f t="shared" si="5"/>
        <v>Reorder Point</v>
      </c>
    </row>
    <row r="40" spans="1:17" ht="15" customHeight="1" x14ac:dyDescent="0.2">
      <c r="A40" s="3" t="str">
        <f>'1. Master Data'!A40</f>
        <v>NT10036</v>
      </c>
      <c r="B40" s="1" t="str">
        <f>'1. Master Data'!B40</f>
        <v>Edge 275 5G 128GB</v>
      </c>
      <c r="C40" s="3" t="str">
        <f>'1. Master Data'!D40</f>
        <v>West DC</v>
      </c>
      <c r="D40" s="5" t="str">
        <f>'4. ABC XYZ Analysis'!K40</f>
        <v>A</v>
      </c>
      <c r="E40" s="5" t="str">
        <f>'4. ABC XYZ Analysis'!M40</f>
        <v>X</v>
      </c>
      <c r="F40" s="4">
        <f>'1. Master Data'!F40</f>
        <v>311</v>
      </c>
      <c r="G40" s="3">
        <f>'1. Master Data'!G40</f>
        <v>24</v>
      </c>
      <c r="H40" s="8">
        <f>'3. Demand Forecast'!F40/$T$3</f>
        <v>1.4272727272727272</v>
      </c>
      <c r="I40" s="8">
        <f>'3. Demand Forecast'!G40/SQRT($T$3)</f>
        <v>2.2599275933694702</v>
      </c>
      <c r="J40" s="5">
        <f t="shared" si="0"/>
        <v>19</v>
      </c>
      <c r="K40" s="5">
        <f t="shared" si="1"/>
        <v>54</v>
      </c>
      <c r="L40" s="3">
        <f>IF(F40=0,0,ROUNDUP(SQRT(2*'4. ABC XYZ Analysis'!F40*$U$3/(F40*$V$3)),0))</f>
        <v>119</v>
      </c>
      <c r="M40" s="3">
        <f>'1. Master Data'!I40</f>
        <v>110</v>
      </c>
      <c r="N40" s="3">
        <f t="shared" si="2"/>
        <v>77</v>
      </c>
      <c r="O40" s="5" t="str">
        <f t="shared" si="3"/>
        <v>OK</v>
      </c>
      <c r="P40" s="5" t="str">
        <f t="shared" si="4"/>
        <v>LOW</v>
      </c>
      <c r="Q40" s="3" t="str">
        <f t="shared" si="5"/>
        <v>Reorder Point</v>
      </c>
    </row>
    <row r="41" spans="1:17" ht="15" customHeight="1" x14ac:dyDescent="0.2">
      <c r="A41" s="3" t="str">
        <f>'1. Master Data'!A41</f>
        <v>NT10037</v>
      </c>
      <c r="B41" s="1" t="str">
        <f>'1. Master Data'!B41</f>
        <v>Nova X618 128GB</v>
      </c>
      <c r="C41" s="3" t="str">
        <f>'1. Master Data'!D41</f>
        <v>Central DC</v>
      </c>
      <c r="D41" s="5" t="str">
        <f>'4. ABC XYZ Analysis'!K41</f>
        <v>A</v>
      </c>
      <c r="E41" s="5" t="str">
        <f>'4. ABC XYZ Analysis'!M41</f>
        <v>Y</v>
      </c>
      <c r="F41" s="4">
        <f>'1. Master Data'!F41</f>
        <v>852</v>
      </c>
      <c r="G41" s="3">
        <f>'1. Master Data'!G41</f>
        <v>39</v>
      </c>
      <c r="H41" s="8">
        <f>'3. Demand Forecast'!F41/$T$3</f>
        <v>5.6409090909090907</v>
      </c>
      <c r="I41" s="8">
        <f>'3. Demand Forecast'!G41/SQRT($T$3)</f>
        <v>6.3320612757616299</v>
      </c>
      <c r="J41" s="5">
        <f t="shared" si="0"/>
        <v>66</v>
      </c>
      <c r="K41" s="5">
        <f t="shared" si="1"/>
        <v>286</v>
      </c>
      <c r="L41" s="3">
        <f>IF(F41=0,0,ROUNDUP(SQRT(2*'4. ABC XYZ Analysis'!F41*$U$3/(F41*$V$3)),0))</f>
        <v>19</v>
      </c>
      <c r="M41" s="3">
        <f>'1. Master Data'!I41</f>
        <v>224</v>
      </c>
      <c r="N41" s="3">
        <f t="shared" si="2"/>
        <v>40</v>
      </c>
      <c r="O41" s="5" t="str">
        <f t="shared" si="3"/>
        <v>ORDER NOW</v>
      </c>
      <c r="P41" s="5" t="str">
        <f t="shared" si="4"/>
        <v>URGENT</v>
      </c>
      <c r="Q41" s="3" t="str">
        <f t="shared" si="5"/>
        <v>Reorder Point</v>
      </c>
    </row>
    <row r="42" spans="1:17" ht="15" customHeight="1" x14ac:dyDescent="0.2">
      <c r="A42" s="3" t="str">
        <f>'1. Master Data'!A42</f>
        <v>NT10038</v>
      </c>
      <c r="B42" s="1" t="str">
        <f>'1. Master Data'!B42</f>
        <v>Nova X367 Pro 256GB</v>
      </c>
      <c r="C42" s="3" t="str">
        <f>'1. Master Data'!D42</f>
        <v>Central DC</v>
      </c>
      <c r="D42" s="5" t="str">
        <f>'4. ABC XYZ Analysis'!K42</f>
        <v>A</v>
      </c>
      <c r="E42" s="5" t="str">
        <f>'4. ABC XYZ Analysis'!M42</f>
        <v>Y</v>
      </c>
      <c r="F42" s="4">
        <f>'1. Master Data'!F42</f>
        <v>264</v>
      </c>
      <c r="G42" s="3">
        <f>'1. Master Data'!G42</f>
        <v>36</v>
      </c>
      <c r="H42" s="8">
        <f>'3. Demand Forecast'!F42/$T$3</f>
        <v>1.4772727272727273</v>
      </c>
      <c r="I42" s="8">
        <f>'3. Demand Forecast'!G42/SQRT($T$3)</f>
        <v>1.7908860173871277</v>
      </c>
      <c r="J42" s="5">
        <f t="shared" si="0"/>
        <v>18</v>
      </c>
      <c r="K42" s="5">
        <f t="shared" si="1"/>
        <v>72</v>
      </c>
      <c r="L42" s="3">
        <f>IF(F42=0,0,ROUNDUP(SQRT(2*'4. ABC XYZ Analysis'!F42*$U$3/(F42*$V$3)),0))</f>
        <v>33</v>
      </c>
      <c r="M42" s="3">
        <f>'1. Master Data'!I42</f>
        <v>142</v>
      </c>
      <c r="N42" s="3">
        <f t="shared" si="2"/>
        <v>96</v>
      </c>
      <c r="O42" s="5" t="str">
        <f t="shared" si="3"/>
        <v>OK</v>
      </c>
      <c r="P42" s="5" t="str">
        <f t="shared" si="4"/>
        <v>LOW</v>
      </c>
      <c r="Q42" s="3" t="str">
        <f t="shared" si="5"/>
        <v>Reorder Point</v>
      </c>
    </row>
    <row r="43" spans="1:17" ht="15" customHeight="1" x14ac:dyDescent="0.2">
      <c r="A43" s="3" t="str">
        <f>'1. Master Data'!A43</f>
        <v>NT10039</v>
      </c>
      <c r="B43" s="1" t="str">
        <f>'1. Master Data'!B43</f>
        <v>Nova X158 128GB</v>
      </c>
      <c r="C43" s="3" t="str">
        <f>'1. Master Data'!D43</f>
        <v>Central DC</v>
      </c>
      <c r="D43" s="5" t="str">
        <f>'4. ABC XYZ Analysis'!K43</f>
        <v>A</v>
      </c>
      <c r="E43" s="5" t="str">
        <f>'4. ABC XYZ Analysis'!M43</f>
        <v>Y</v>
      </c>
      <c r="F43" s="4">
        <f>'1. Master Data'!F43</f>
        <v>273</v>
      </c>
      <c r="G43" s="3">
        <f>'1. Master Data'!G43</f>
        <v>17</v>
      </c>
      <c r="H43" s="8">
        <f>'3. Demand Forecast'!F43/$T$3</f>
        <v>6.495454545454546</v>
      </c>
      <c r="I43" s="8">
        <f>'3. Demand Forecast'!G43/SQRT($T$3)</f>
        <v>9.4661118061891028</v>
      </c>
      <c r="J43" s="5">
        <f t="shared" si="0"/>
        <v>65</v>
      </c>
      <c r="K43" s="5">
        <f t="shared" si="1"/>
        <v>176</v>
      </c>
      <c r="L43" s="3">
        <f>IF(F43=0,0,ROUNDUP(SQRT(2*'4. ABC XYZ Analysis'!F43*$U$3/(F43*$V$3)),0))</f>
        <v>32</v>
      </c>
      <c r="M43" s="3">
        <f>'1. Master Data'!I43</f>
        <v>179</v>
      </c>
      <c r="N43" s="3">
        <f t="shared" si="2"/>
        <v>28</v>
      </c>
      <c r="O43" s="5" t="str">
        <f t="shared" si="3"/>
        <v>ORDER SOON</v>
      </c>
      <c r="P43" s="5" t="str">
        <f t="shared" si="4"/>
        <v>HIGH</v>
      </c>
      <c r="Q43" s="3" t="str">
        <f t="shared" si="5"/>
        <v>Reorder Point</v>
      </c>
    </row>
    <row r="44" spans="1:17" ht="15" customHeight="1" x14ac:dyDescent="0.2">
      <c r="A44" s="3" t="str">
        <f>'1. Master Data'!A44</f>
        <v>NT10040</v>
      </c>
      <c r="B44" s="1" t="str">
        <f>'1. Master Data'!B44</f>
        <v>Nova Lite 898 64GB</v>
      </c>
      <c r="C44" s="3" t="str">
        <f>'1. Master Data'!D44</f>
        <v>Central DC</v>
      </c>
      <c r="D44" s="5" t="str">
        <f>'4. ABC XYZ Analysis'!K44</f>
        <v>A</v>
      </c>
      <c r="E44" s="5" t="str">
        <f>'4. ABC XYZ Analysis'!M44</f>
        <v>Y</v>
      </c>
      <c r="F44" s="4">
        <f>'1. Master Data'!F44</f>
        <v>890</v>
      </c>
      <c r="G44" s="3">
        <f>'1. Master Data'!G44</f>
        <v>44</v>
      </c>
      <c r="H44" s="8">
        <f>'3. Demand Forecast'!F44/$T$3</f>
        <v>2.0136363636363637</v>
      </c>
      <c r="I44" s="8">
        <f>'3. Demand Forecast'!G44/SQRT($T$3)</f>
        <v>7.1635440695485109</v>
      </c>
      <c r="J44" s="5">
        <f t="shared" si="0"/>
        <v>79</v>
      </c>
      <c r="K44" s="5">
        <f t="shared" si="1"/>
        <v>168</v>
      </c>
      <c r="L44" s="3">
        <f>IF(F44=0,0,ROUNDUP(SQRT(2*'4. ABC XYZ Analysis'!F44*$U$3/(F44*$V$3)),0))</f>
        <v>23</v>
      </c>
      <c r="M44" s="3">
        <f>'1. Master Data'!I44</f>
        <v>171</v>
      </c>
      <c r="N44" s="3">
        <f t="shared" si="2"/>
        <v>85</v>
      </c>
      <c r="O44" s="5" t="str">
        <f t="shared" si="3"/>
        <v>ORDER SOON</v>
      </c>
      <c r="P44" s="5" t="str">
        <f t="shared" si="4"/>
        <v>HIGH</v>
      </c>
      <c r="Q44" s="3" t="str">
        <f t="shared" si="5"/>
        <v>Reorder Point</v>
      </c>
    </row>
    <row r="45" spans="1:17" ht="15" customHeight="1" x14ac:dyDescent="0.2">
      <c r="A45" s="3" t="str">
        <f>'1. Master Data'!A45</f>
        <v>NT10041</v>
      </c>
      <c r="B45" s="1" t="str">
        <f>'1. Master Data'!B45</f>
        <v>Nova Lite 722 64GB</v>
      </c>
      <c r="C45" s="3" t="str">
        <f>'1. Master Data'!D45</f>
        <v>East DC</v>
      </c>
      <c r="D45" s="5" t="str">
        <f>'4. ABC XYZ Analysis'!K45</f>
        <v>A</v>
      </c>
      <c r="E45" s="5" t="str">
        <f>'4. ABC XYZ Analysis'!M45</f>
        <v>Y</v>
      </c>
      <c r="F45" s="4">
        <f>'1. Master Data'!F45</f>
        <v>723</v>
      </c>
      <c r="G45" s="3">
        <f>'1. Master Data'!G45</f>
        <v>23</v>
      </c>
      <c r="H45" s="8">
        <f>'3. Demand Forecast'!F45/$T$3</f>
        <v>3.377272727272727</v>
      </c>
      <c r="I45" s="8">
        <f>'3. Demand Forecast'!G45/SQRT($T$3)</f>
        <v>4.2640143271122088</v>
      </c>
      <c r="J45" s="5">
        <f t="shared" si="0"/>
        <v>34</v>
      </c>
      <c r="K45" s="5">
        <f t="shared" si="1"/>
        <v>112</v>
      </c>
      <c r="L45" s="3">
        <f>IF(F45=0,0,ROUNDUP(SQRT(2*'4. ABC XYZ Analysis'!F45*$U$3/(F45*$V$3)),0))</f>
        <v>35</v>
      </c>
      <c r="M45" s="3">
        <f>'1. Master Data'!I45</f>
        <v>89</v>
      </c>
      <c r="N45" s="3">
        <f t="shared" si="2"/>
        <v>26</v>
      </c>
      <c r="O45" s="5" t="str">
        <f t="shared" si="3"/>
        <v>ORDER NOW</v>
      </c>
      <c r="P45" s="5" t="str">
        <f t="shared" si="4"/>
        <v>URGENT</v>
      </c>
      <c r="Q45" s="3" t="str">
        <f t="shared" si="5"/>
        <v>Reorder Point</v>
      </c>
    </row>
    <row r="46" spans="1:17" ht="15" customHeight="1" x14ac:dyDescent="0.2">
      <c r="A46" s="3" t="str">
        <f>'1. Master Data'!A46</f>
        <v>NT10042</v>
      </c>
      <c r="B46" s="1" t="str">
        <f>'1. Master Data'!B46</f>
        <v>Nova Lite 981 64GB</v>
      </c>
      <c r="C46" s="3" t="str">
        <f>'1. Master Data'!D46</f>
        <v>West DC</v>
      </c>
      <c r="D46" s="5" t="str">
        <f>'4. ABC XYZ Analysis'!K46</f>
        <v>A</v>
      </c>
      <c r="E46" s="5" t="str">
        <f>'4. ABC XYZ Analysis'!M46</f>
        <v>Y</v>
      </c>
      <c r="F46" s="4">
        <f>'1. Master Data'!F46</f>
        <v>548</v>
      </c>
      <c r="G46" s="3">
        <f>'1. Master Data'!G46</f>
        <v>41</v>
      </c>
      <c r="H46" s="8">
        <f>'3. Demand Forecast'!F46/$T$3</f>
        <v>6.1590909090909092</v>
      </c>
      <c r="I46" s="8">
        <f>'3. Demand Forecast'!G46/SQRT($T$3)</f>
        <v>11.683399256287451</v>
      </c>
      <c r="J46" s="5">
        <f t="shared" si="0"/>
        <v>124</v>
      </c>
      <c r="K46" s="5">
        <f t="shared" si="1"/>
        <v>377</v>
      </c>
      <c r="L46" s="3">
        <f>IF(F46=0,0,ROUNDUP(SQRT(2*'4. ABC XYZ Analysis'!F46*$U$3/(F46*$V$3)),0))</f>
        <v>23</v>
      </c>
      <c r="M46" s="3">
        <f>'1. Master Data'!I46</f>
        <v>380</v>
      </c>
      <c r="N46" s="3">
        <f t="shared" si="2"/>
        <v>62</v>
      </c>
      <c r="O46" s="5" t="str">
        <f t="shared" si="3"/>
        <v>ORDER SOON</v>
      </c>
      <c r="P46" s="5" t="str">
        <f t="shared" si="4"/>
        <v>HIGH</v>
      </c>
      <c r="Q46" s="3" t="str">
        <f t="shared" si="5"/>
        <v>Reorder Point</v>
      </c>
    </row>
    <row r="47" spans="1:17" ht="15" customHeight="1" x14ac:dyDescent="0.2">
      <c r="A47" s="3" t="str">
        <f>'1. Master Data'!A47</f>
        <v>NT10043</v>
      </c>
      <c r="B47" s="1" t="str">
        <f>'1. Master Data'!B47</f>
        <v>Edge 999 5G 128GB</v>
      </c>
      <c r="C47" s="3" t="str">
        <f>'1. Master Data'!D47</f>
        <v>East DC</v>
      </c>
      <c r="D47" s="5" t="str">
        <f>'4. ABC XYZ Analysis'!K47</f>
        <v>A</v>
      </c>
      <c r="E47" s="5" t="str">
        <f>'4. ABC XYZ Analysis'!M47</f>
        <v>Y</v>
      </c>
      <c r="F47" s="4">
        <f>'1. Master Data'!F47</f>
        <v>588</v>
      </c>
      <c r="G47" s="3">
        <f>'1. Master Data'!G47</f>
        <v>18</v>
      </c>
      <c r="H47" s="8">
        <f>'3. Demand Forecast'!F47/$T$3</f>
        <v>1.2772727272727273</v>
      </c>
      <c r="I47" s="8">
        <f>'3. Demand Forecast'!G47/SQRT($T$3)</f>
        <v>2.025406805378299</v>
      </c>
      <c r="J47" s="5">
        <f t="shared" si="0"/>
        <v>15</v>
      </c>
      <c r="K47" s="5">
        <f t="shared" si="1"/>
        <v>38</v>
      </c>
      <c r="L47" s="3">
        <f>IF(F47=0,0,ROUNDUP(SQRT(2*'4. ABC XYZ Analysis'!F47*$U$3/(F47*$V$3)),0))</f>
        <v>22</v>
      </c>
      <c r="M47" s="3">
        <f>'1. Master Data'!I47</f>
        <v>110</v>
      </c>
      <c r="N47" s="3">
        <f t="shared" si="2"/>
        <v>86</v>
      </c>
      <c r="O47" s="5" t="str">
        <f t="shared" si="3"/>
        <v>OK</v>
      </c>
      <c r="P47" s="5" t="str">
        <f t="shared" si="4"/>
        <v>LOW</v>
      </c>
      <c r="Q47" s="3" t="str">
        <f t="shared" si="5"/>
        <v>Reorder Point</v>
      </c>
    </row>
    <row r="48" spans="1:17" ht="15" customHeight="1" x14ac:dyDescent="0.2">
      <c r="A48" s="3" t="str">
        <f>'1. Master Data'!A48</f>
        <v>NT10044</v>
      </c>
      <c r="B48" s="1" t="str">
        <f>'1. Master Data'!B48</f>
        <v>Nova Lite 886 64GB</v>
      </c>
      <c r="C48" s="3" t="str">
        <f>'1. Master Data'!D48</f>
        <v>Central DC</v>
      </c>
      <c r="D48" s="5" t="str">
        <f>'4. ABC XYZ Analysis'!K48</f>
        <v>A</v>
      </c>
      <c r="E48" s="5" t="str">
        <f>'4. ABC XYZ Analysis'!M48</f>
        <v>Y</v>
      </c>
      <c r="F48" s="4">
        <f>'1. Master Data'!F48</f>
        <v>849</v>
      </c>
      <c r="G48" s="3">
        <f>'1. Master Data'!G48</f>
        <v>40</v>
      </c>
      <c r="H48" s="8">
        <f>'3. Demand Forecast'!F48/$T$3</f>
        <v>6.0863636363636369</v>
      </c>
      <c r="I48" s="8">
        <f>'3. Demand Forecast'!G48/SQRT($T$3)</f>
        <v>10.42551502978935</v>
      </c>
      <c r="J48" s="5">
        <f t="shared" si="0"/>
        <v>109</v>
      </c>
      <c r="K48" s="5">
        <f t="shared" si="1"/>
        <v>353</v>
      </c>
      <c r="L48" s="3">
        <f>IF(F48=0,0,ROUNDUP(SQRT(2*'4. ABC XYZ Analysis'!F48*$U$3/(F48*$V$3)),0))</f>
        <v>49</v>
      </c>
      <c r="M48" s="3">
        <f>'1. Master Data'!I48</f>
        <v>126</v>
      </c>
      <c r="N48" s="3">
        <f t="shared" si="2"/>
        <v>21</v>
      </c>
      <c r="O48" s="5" t="str">
        <f t="shared" si="3"/>
        <v>ORDER NOW</v>
      </c>
      <c r="P48" s="5" t="str">
        <f t="shared" si="4"/>
        <v>URGENT</v>
      </c>
      <c r="Q48" s="3" t="str">
        <f t="shared" si="5"/>
        <v>Reorder Point</v>
      </c>
    </row>
    <row r="49" spans="1:17" ht="15" customHeight="1" x14ac:dyDescent="0.2">
      <c r="A49" s="3" t="str">
        <f>'1. Master Data'!A49</f>
        <v>NT10045</v>
      </c>
      <c r="B49" s="1" t="str">
        <f>'1. Master Data'!B49</f>
        <v>Nova X674 Pro 256GB</v>
      </c>
      <c r="C49" s="3" t="str">
        <f>'1. Master Data'!D49</f>
        <v>West DC</v>
      </c>
      <c r="D49" s="5" t="str">
        <f>'4. ABC XYZ Analysis'!K49</f>
        <v>A</v>
      </c>
      <c r="E49" s="5" t="str">
        <f>'4. ABC XYZ Analysis'!M49</f>
        <v>Y</v>
      </c>
      <c r="F49" s="4">
        <f>'1. Master Data'!F49</f>
        <v>365</v>
      </c>
      <c r="G49" s="3">
        <f>'1. Master Data'!G49</f>
        <v>25</v>
      </c>
      <c r="H49" s="8">
        <f>'3. Demand Forecast'!F49/$T$3</f>
        <v>3.1363636363636362</v>
      </c>
      <c r="I49" s="8">
        <f>'3. Demand Forecast'!G49/SQRT($T$3)</f>
        <v>3.6883723929520604</v>
      </c>
      <c r="J49" s="5">
        <f t="shared" si="0"/>
        <v>31</v>
      </c>
      <c r="K49" s="5">
        <f t="shared" si="1"/>
        <v>110</v>
      </c>
      <c r="L49" s="3">
        <f>IF(F49=0,0,ROUNDUP(SQRT(2*'4. ABC XYZ Analysis'!F49*$U$3/(F49*$V$3)),0))</f>
        <v>88</v>
      </c>
      <c r="M49" s="3">
        <f>'1. Master Data'!I49</f>
        <v>113</v>
      </c>
      <c r="N49" s="3">
        <f t="shared" si="2"/>
        <v>36</v>
      </c>
      <c r="O49" s="5" t="str">
        <f t="shared" si="3"/>
        <v>ORDER SOON</v>
      </c>
      <c r="P49" s="5" t="str">
        <f t="shared" si="4"/>
        <v>HIGH</v>
      </c>
      <c r="Q49" s="3" t="str">
        <f t="shared" si="5"/>
        <v>Reorder Point</v>
      </c>
    </row>
    <row r="50" spans="1:17" ht="15" customHeight="1" x14ac:dyDescent="0.2">
      <c r="A50" s="3" t="str">
        <f>'1. Master Data'!A50</f>
        <v>NT10046</v>
      </c>
      <c r="B50" s="1" t="str">
        <f>'1. Master Data'!B50</f>
        <v>Nova Lite 711 64GB</v>
      </c>
      <c r="C50" s="3" t="str">
        <f>'1. Master Data'!D50</f>
        <v>Central DC</v>
      </c>
      <c r="D50" s="5" t="str">
        <f>'4. ABC XYZ Analysis'!K50</f>
        <v>A</v>
      </c>
      <c r="E50" s="5" t="str">
        <f>'4. ABC XYZ Analysis'!M50</f>
        <v>Y</v>
      </c>
      <c r="F50" s="4">
        <f>'1. Master Data'!F50</f>
        <v>684</v>
      </c>
      <c r="G50" s="3">
        <f>'1. Master Data'!G50</f>
        <v>35</v>
      </c>
      <c r="H50" s="8">
        <f>'3. Demand Forecast'!F50/$T$3</f>
        <v>4.0590909090909086</v>
      </c>
      <c r="I50" s="8">
        <f>'3. Demand Forecast'!G50/SQRT($T$3)</f>
        <v>6.1615007026771407</v>
      </c>
      <c r="J50" s="5">
        <f t="shared" si="0"/>
        <v>61</v>
      </c>
      <c r="K50" s="5">
        <f t="shared" si="1"/>
        <v>204</v>
      </c>
      <c r="L50" s="3">
        <f>IF(F50=0,0,ROUNDUP(SQRT(2*'4. ABC XYZ Analysis'!F50*$U$3/(F50*$V$3)),0))</f>
        <v>31</v>
      </c>
      <c r="M50" s="3">
        <f>'1. Master Data'!I50</f>
        <v>207</v>
      </c>
      <c r="N50" s="3">
        <f t="shared" si="2"/>
        <v>51</v>
      </c>
      <c r="O50" s="5" t="str">
        <f t="shared" si="3"/>
        <v>ORDER SOON</v>
      </c>
      <c r="P50" s="5" t="str">
        <f t="shared" si="4"/>
        <v>HIGH</v>
      </c>
      <c r="Q50" s="3" t="str">
        <f t="shared" si="5"/>
        <v>Reorder Point</v>
      </c>
    </row>
    <row r="51" spans="1:17" ht="15" customHeight="1" x14ac:dyDescent="0.2">
      <c r="A51" s="3" t="str">
        <f>'1. Master Data'!A51</f>
        <v>NT10047</v>
      </c>
      <c r="B51" s="1" t="str">
        <f>'1. Master Data'!B51</f>
        <v>Edge 345 5G 128GB</v>
      </c>
      <c r="C51" s="3" t="str">
        <f>'1. Master Data'!D51</f>
        <v>West DC</v>
      </c>
      <c r="D51" s="5" t="str">
        <f>'4. ABC XYZ Analysis'!K51</f>
        <v>A</v>
      </c>
      <c r="E51" s="5" t="str">
        <f>'4. ABC XYZ Analysis'!M51</f>
        <v>Y</v>
      </c>
      <c r="F51" s="4">
        <f>'1. Master Data'!F51</f>
        <v>474</v>
      </c>
      <c r="G51" s="3">
        <f>'1. Master Data'!G51</f>
        <v>45</v>
      </c>
      <c r="H51" s="8">
        <f>'3. Demand Forecast'!F51/$T$3</f>
        <v>8.6454545454545446</v>
      </c>
      <c r="I51" s="8">
        <f>'3. Demand Forecast'!G51/SQRT($T$3)</f>
        <v>12.045840474091989</v>
      </c>
      <c r="J51" s="5">
        <f t="shared" si="0"/>
        <v>134</v>
      </c>
      <c r="K51" s="5">
        <f t="shared" si="1"/>
        <v>524</v>
      </c>
      <c r="L51" s="3">
        <f>IF(F51=0,0,ROUNDUP(SQRT(2*'4. ABC XYZ Analysis'!F51*$U$3/(F51*$V$3)),0))</f>
        <v>27</v>
      </c>
      <c r="M51" s="3">
        <f>'1. Master Data'!I51</f>
        <v>526</v>
      </c>
      <c r="N51" s="3">
        <f t="shared" si="2"/>
        <v>61</v>
      </c>
      <c r="O51" s="5" t="str">
        <f t="shared" si="3"/>
        <v>ORDER SOON</v>
      </c>
      <c r="P51" s="5" t="str">
        <f t="shared" si="4"/>
        <v>HIGH</v>
      </c>
      <c r="Q51" s="3" t="str">
        <f t="shared" si="5"/>
        <v>Reorder Point</v>
      </c>
    </row>
    <row r="52" spans="1:17" ht="15" customHeight="1" x14ac:dyDescent="0.2">
      <c r="A52" s="3" t="str">
        <f>'1. Master Data'!A52</f>
        <v>NT10048</v>
      </c>
      <c r="B52" s="1" t="str">
        <f>'1. Master Data'!B52</f>
        <v>Pulse 800 Dual SIM</v>
      </c>
      <c r="C52" s="3" t="str">
        <f>'1. Master Data'!D52</f>
        <v>Central DC</v>
      </c>
      <c r="D52" s="5" t="str">
        <f>'4. ABC XYZ Analysis'!K52</f>
        <v>A</v>
      </c>
      <c r="E52" s="5" t="str">
        <f>'4. ABC XYZ Analysis'!M52</f>
        <v>Y</v>
      </c>
      <c r="F52" s="4">
        <f>'1. Master Data'!F52</f>
        <v>401</v>
      </c>
      <c r="G52" s="3">
        <f>'1. Master Data'!G52</f>
        <v>39</v>
      </c>
      <c r="H52" s="8">
        <f>'3. Demand Forecast'!F52/$T$3</f>
        <v>1.1363636363636365</v>
      </c>
      <c r="I52" s="8">
        <f>'3. Demand Forecast'!G52/SQRT($T$3)</f>
        <v>3.6244121780453771</v>
      </c>
      <c r="J52" s="5">
        <f t="shared" si="0"/>
        <v>38</v>
      </c>
      <c r="K52" s="5">
        <f t="shared" si="1"/>
        <v>83</v>
      </c>
      <c r="L52" s="3">
        <f>IF(F52=0,0,ROUNDUP(SQRT(2*'4. ABC XYZ Analysis'!F52*$U$3/(F52*$V$3)),0))</f>
        <v>39</v>
      </c>
      <c r="M52" s="3">
        <f>'1. Master Data'!I52</f>
        <v>86</v>
      </c>
      <c r="N52" s="3">
        <f t="shared" si="2"/>
        <v>76</v>
      </c>
      <c r="O52" s="5" t="str">
        <f t="shared" si="3"/>
        <v>ORDER SOON</v>
      </c>
      <c r="P52" s="5" t="str">
        <f t="shared" si="4"/>
        <v>HIGH</v>
      </c>
      <c r="Q52" s="3" t="str">
        <f t="shared" si="5"/>
        <v>Reorder Point</v>
      </c>
    </row>
    <row r="53" spans="1:17" ht="15" customHeight="1" x14ac:dyDescent="0.2">
      <c r="A53" s="3" t="str">
        <f>'1. Master Data'!A53</f>
        <v>NT10049</v>
      </c>
      <c r="B53" s="1" t="str">
        <f>'1. Master Data'!B53</f>
        <v>Nova Lite 422 64GB</v>
      </c>
      <c r="C53" s="3" t="str">
        <f>'1. Master Data'!D53</f>
        <v>West DC</v>
      </c>
      <c r="D53" s="5" t="str">
        <f>'4. ABC XYZ Analysis'!K53</f>
        <v>A</v>
      </c>
      <c r="E53" s="5" t="str">
        <f>'4. ABC XYZ Analysis'!M53</f>
        <v>Y</v>
      </c>
      <c r="F53" s="4">
        <f>'1. Master Data'!F53</f>
        <v>857</v>
      </c>
      <c r="G53" s="3">
        <f>'1. Master Data'!G53</f>
        <v>24</v>
      </c>
      <c r="H53" s="8">
        <f>'3. Demand Forecast'!F53/$T$3</f>
        <v>2.5772727272727276</v>
      </c>
      <c r="I53" s="8">
        <f>'3. Demand Forecast'!G53/SQRT($T$3)</f>
        <v>3.0700903155207904</v>
      </c>
      <c r="J53" s="5">
        <f t="shared" si="0"/>
        <v>25</v>
      </c>
      <c r="K53" s="5">
        <f t="shared" si="1"/>
        <v>87</v>
      </c>
      <c r="L53" s="3">
        <f>IF(F53=0,0,ROUNDUP(SQRT(2*'4. ABC XYZ Analysis'!F53*$U$3/(F53*$V$3)),0))</f>
        <v>23</v>
      </c>
      <c r="M53" s="3">
        <f>'1. Master Data'!I53</f>
        <v>90</v>
      </c>
      <c r="N53" s="3">
        <f t="shared" si="2"/>
        <v>35</v>
      </c>
      <c r="O53" s="5" t="str">
        <f t="shared" si="3"/>
        <v>ORDER SOON</v>
      </c>
      <c r="P53" s="5" t="str">
        <f t="shared" si="4"/>
        <v>HIGH</v>
      </c>
      <c r="Q53" s="3" t="str">
        <f t="shared" si="5"/>
        <v>Reorder Point</v>
      </c>
    </row>
    <row r="54" spans="1:17" ht="15" customHeight="1" x14ac:dyDescent="0.2">
      <c r="A54" s="3" t="str">
        <f>'1. Master Data'!A54</f>
        <v>NT10050</v>
      </c>
      <c r="B54" s="1" t="str">
        <f>'1. Master Data'!B54</f>
        <v>Nova Lite 448 64GB</v>
      </c>
      <c r="C54" s="3" t="str">
        <f>'1. Master Data'!D54</f>
        <v>East DC</v>
      </c>
      <c r="D54" s="5" t="str">
        <f>'4. ABC XYZ Analysis'!K54</f>
        <v>A</v>
      </c>
      <c r="E54" s="5" t="str">
        <f>'4. ABC XYZ Analysis'!M54</f>
        <v>Y</v>
      </c>
      <c r="F54" s="4">
        <f>'1. Master Data'!F54</f>
        <v>261</v>
      </c>
      <c r="G54" s="3">
        <f>'1. Master Data'!G54</f>
        <v>35</v>
      </c>
      <c r="H54" s="8">
        <f>'3. Demand Forecast'!F54/$T$3</f>
        <v>7.4909090909090912</v>
      </c>
      <c r="I54" s="8">
        <f>'3. Demand Forecast'!G54/SQRT($T$3)</f>
        <v>8.7625494422155885</v>
      </c>
      <c r="J54" s="5">
        <f t="shared" si="0"/>
        <v>86</v>
      </c>
      <c r="K54" s="5">
        <f t="shared" si="1"/>
        <v>349</v>
      </c>
      <c r="L54" s="3">
        <f>IF(F54=0,0,ROUNDUP(SQRT(2*'4. ABC XYZ Analysis'!F54*$U$3/(F54*$V$3)),0))</f>
        <v>50</v>
      </c>
      <c r="M54" s="3">
        <f>'1. Master Data'!I54</f>
        <v>352</v>
      </c>
      <c r="N54" s="3">
        <f t="shared" si="2"/>
        <v>47</v>
      </c>
      <c r="O54" s="5" t="str">
        <f t="shared" si="3"/>
        <v>ORDER SOON</v>
      </c>
      <c r="P54" s="5" t="str">
        <f t="shared" si="4"/>
        <v>HIGH</v>
      </c>
      <c r="Q54" s="3" t="str">
        <f t="shared" si="5"/>
        <v>Reorder Point</v>
      </c>
    </row>
    <row r="55" spans="1:17" ht="15" customHeight="1" x14ac:dyDescent="0.2">
      <c r="A55" s="3" t="str">
        <f>'1. Master Data'!A55</f>
        <v>NT10051</v>
      </c>
      <c r="B55" s="1" t="str">
        <f>'1. Master Data'!B55</f>
        <v>CreatorPro 982 i9 16in</v>
      </c>
      <c r="C55" s="3" t="str">
        <f>'1. Master Data'!D55</f>
        <v>Central DC</v>
      </c>
      <c r="D55" s="5" t="str">
        <f>'4. ABC XYZ Analysis'!K55</f>
        <v>A</v>
      </c>
      <c r="E55" s="5" t="str">
        <f>'4. ABC XYZ Analysis'!M55</f>
        <v>Y</v>
      </c>
      <c r="F55" s="4">
        <f>'1. Master Data'!F55</f>
        <v>1137</v>
      </c>
      <c r="G55" s="3">
        <f>'1. Master Data'!G55</f>
        <v>41</v>
      </c>
      <c r="H55" s="8">
        <f>'3. Demand Forecast'!F55/$T$3</f>
        <v>8.3227272727272723</v>
      </c>
      <c r="I55" s="8">
        <f>'3. Demand Forecast'!G55/SQRT($T$3)</f>
        <v>11.85395982937194</v>
      </c>
      <c r="J55" s="5">
        <f t="shared" si="0"/>
        <v>126</v>
      </c>
      <c r="K55" s="5">
        <f t="shared" si="1"/>
        <v>468</v>
      </c>
      <c r="L55" s="3">
        <f>IF(F55=0,0,ROUNDUP(SQRT(2*'4. ABC XYZ Analysis'!F55*$U$3/(F55*$V$3)),0))</f>
        <v>15</v>
      </c>
      <c r="M55" s="3">
        <f>'1. Master Data'!I55</f>
        <v>471</v>
      </c>
      <c r="N55" s="3">
        <f t="shared" si="2"/>
        <v>57</v>
      </c>
      <c r="O55" s="5" t="str">
        <f t="shared" si="3"/>
        <v>ORDER SOON</v>
      </c>
      <c r="P55" s="5" t="str">
        <f t="shared" si="4"/>
        <v>HIGH</v>
      </c>
      <c r="Q55" s="3" t="str">
        <f t="shared" si="5"/>
        <v>Reorder Point</v>
      </c>
    </row>
    <row r="56" spans="1:17" ht="15" customHeight="1" x14ac:dyDescent="0.2">
      <c r="A56" s="3" t="str">
        <f>'1. Master Data'!A56</f>
        <v>NT10052</v>
      </c>
      <c r="B56" s="1" t="str">
        <f>'1. Master Data'!B56</f>
        <v>ProBook 483 i7 15in</v>
      </c>
      <c r="C56" s="3" t="str">
        <f>'1. Master Data'!D56</f>
        <v>West DC</v>
      </c>
      <c r="D56" s="5" t="str">
        <f>'4. ABC XYZ Analysis'!K56</f>
        <v>A</v>
      </c>
      <c r="E56" s="5" t="str">
        <f>'4. ABC XYZ Analysis'!M56</f>
        <v>X</v>
      </c>
      <c r="F56" s="4">
        <f>'1. Master Data'!F56</f>
        <v>1337</v>
      </c>
      <c r="G56" s="3">
        <f>'1. Master Data'!G56</f>
        <v>25</v>
      </c>
      <c r="H56" s="8">
        <f>'3. Demand Forecast'!F56/$T$3</f>
        <v>1.1454545454545455</v>
      </c>
      <c r="I56" s="8">
        <f>'3. Demand Forecast'!G56/SQRT($T$3)</f>
        <v>5.2234175507124556</v>
      </c>
      <c r="J56" s="5">
        <f t="shared" si="0"/>
        <v>44</v>
      </c>
      <c r="K56" s="5">
        <f t="shared" si="1"/>
        <v>73</v>
      </c>
      <c r="L56" s="3">
        <f>IF(F56=0,0,ROUNDUP(SQRT(2*'4. ABC XYZ Analysis'!F56*$U$3/(F56*$V$3)),0))</f>
        <v>48</v>
      </c>
      <c r="M56" s="3">
        <f>'1. Master Data'!I56</f>
        <v>76</v>
      </c>
      <c r="N56" s="3">
        <f t="shared" si="2"/>
        <v>66</v>
      </c>
      <c r="O56" s="5" t="str">
        <f t="shared" si="3"/>
        <v>ORDER SOON</v>
      </c>
      <c r="P56" s="5" t="str">
        <f t="shared" si="4"/>
        <v>HIGH</v>
      </c>
      <c r="Q56" s="3" t="str">
        <f t="shared" si="5"/>
        <v>Reorder Point</v>
      </c>
    </row>
    <row r="57" spans="1:17" ht="15" customHeight="1" x14ac:dyDescent="0.2">
      <c r="A57" s="3" t="str">
        <f>'1. Master Data'!A57</f>
        <v>NT10053</v>
      </c>
      <c r="B57" s="1" t="str">
        <f>'1. Master Data'!B57</f>
        <v>CreatorPro 419 i9 16in</v>
      </c>
      <c r="C57" s="3" t="str">
        <f>'1. Master Data'!D57</f>
        <v>West DC</v>
      </c>
      <c r="D57" s="5" t="str">
        <f>'4. ABC XYZ Analysis'!K57</f>
        <v>A</v>
      </c>
      <c r="E57" s="5" t="str">
        <f>'4. ABC XYZ Analysis'!M57</f>
        <v>Y</v>
      </c>
      <c r="F57" s="4">
        <f>'1. Master Data'!F57</f>
        <v>1240</v>
      </c>
      <c r="G57" s="3">
        <f>'1. Master Data'!G57</f>
        <v>37</v>
      </c>
      <c r="H57" s="8">
        <f>'3. Demand Forecast'!F57/$T$3</f>
        <v>0.53181818181818175</v>
      </c>
      <c r="I57" s="8">
        <f>'3. Demand Forecast'!G57/SQRT($T$3)</f>
        <v>0.70356236397351435</v>
      </c>
      <c r="J57" s="5">
        <f t="shared" si="0"/>
        <v>8</v>
      </c>
      <c r="K57" s="5">
        <f t="shared" si="1"/>
        <v>28</v>
      </c>
      <c r="L57" s="3">
        <f>IF(F57=0,0,ROUNDUP(SQRT(2*'4. ABC XYZ Analysis'!F57*$U$3/(F57*$V$3)),0))</f>
        <v>29</v>
      </c>
      <c r="M57" s="3">
        <f>'1. Master Data'!I57</f>
        <v>31</v>
      </c>
      <c r="N57" s="3">
        <f t="shared" si="2"/>
        <v>58</v>
      </c>
      <c r="O57" s="5" t="str">
        <f t="shared" si="3"/>
        <v>ORDER SOON</v>
      </c>
      <c r="P57" s="5" t="str">
        <f t="shared" si="4"/>
        <v>HIGH</v>
      </c>
      <c r="Q57" s="3" t="str">
        <f t="shared" si="5"/>
        <v>Reorder Point</v>
      </c>
    </row>
    <row r="58" spans="1:17" ht="15" customHeight="1" x14ac:dyDescent="0.2">
      <c r="A58" s="3" t="str">
        <f>'1. Master Data'!A58</f>
        <v>NT10054</v>
      </c>
      <c r="B58" s="1" t="str">
        <f>'1. Master Data'!B58</f>
        <v>WorkMate 914 i3 14in</v>
      </c>
      <c r="C58" s="3" t="str">
        <f>'1. Master Data'!D58</f>
        <v>West DC</v>
      </c>
      <c r="D58" s="5" t="str">
        <f>'4. ABC XYZ Analysis'!K58</f>
        <v>A</v>
      </c>
      <c r="E58" s="5" t="str">
        <f>'4. ABC XYZ Analysis'!M58</f>
        <v>Y</v>
      </c>
      <c r="F58" s="4">
        <f>'1. Master Data'!F58</f>
        <v>753</v>
      </c>
      <c r="G58" s="3">
        <f>'1. Master Data'!G58</f>
        <v>45</v>
      </c>
      <c r="H58" s="8">
        <f>'3. Demand Forecast'!F58/$T$3</f>
        <v>0.73636363636363633</v>
      </c>
      <c r="I58" s="8">
        <f>'3. Demand Forecast'!G58/SQRT($T$3)</f>
        <v>0.98072329523580792</v>
      </c>
      <c r="J58" s="5">
        <f t="shared" si="0"/>
        <v>11</v>
      </c>
      <c r="K58" s="5">
        <f t="shared" si="1"/>
        <v>45</v>
      </c>
      <c r="L58" s="3">
        <f>IF(F58=0,0,ROUNDUP(SQRT(2*'4. ABC XYZ Analysis'!F58*$U$3/(F58*$V$3)),0))</f>
        <v>37</v>
      </c>
      <c r="M58" s="3">
        <f>'1. Master Data'!I58</f>
        <v>79</v>
      </c>
      <c r="N58" s="3">
        <f t="shared" si="2"/>
        <v>107</v>
      </c>
      <c r="O58" s="5" t="str">
        <f t="shared" si="3"/>
        <v>OK</v>
      </c>
      <c r="P58" s="5" t="str">
        <f t="shared" si="4"/>
        <v>LOW</v>
      </c>
      <c r="Q58" s="3" t="str">
        <f t="shared" si="5"/>
        <v>Reorder Point</v>
      </c>
    </row>
    <row r="59" spans="1:17" ht="15" customHeight="1" x14ac:dyDescent="0.2">
      <c r="A59" s="3" t="str">
        <f>'1. Master Data'!A59</f>
        <v>NT10055</v>
      </c>
      <c r="B59" s="1" t="str">
        <f>'1. Master Data'!B59</f>
        <v>UltraSlim 241 Ryzen 5</v>
      </c>
      <c r="C59" s="3" t="str">
        <f>'1. Master Data'!D59</f>
        <v>West DC</v>
      </c>
      <c r="D59" s="5" t="str">
        <f>'4. ABC XYZ Analysis'!K59</f>
        <v>A</v>
      </c>
      <c r="E59" s="5" t="str">
        <f>'4. ABC XYZ Analysis'!M59</f>
        <v>Y</v>
      </c>
      <c r="F59" s="4">
        <f>'1. Master Data'!F59</f>
        <v>1492</v>
      </c>
      <c r="G59" s="3">
        <f>'1. Master Data'!G59</f>
        <v>35</v>
      </c>
      <c r="H59" s="8">
        <f>'3. Demand Forecast'!F59/$T$3</f>
        <v>0.44090909090909086</v>
      </c>
      <c r="I59" s="8">
        <f>'3. Demand Forecast'!G59/SQRT($T$3)</f>
        <v>0.53300179088902611</v>
      </c>
      <c r="J59" s="5">
        <f t="shared" si="0"/>
        <v>6</v>
      </c>
      <c r="K59" s="5">
        <f t="shared" si="1"/>
        <v>22</v>
      </c>
      <c r="L59" s="3">
        <f>IF(F59=0,0,ROUNDUP(SQRT(2*'4. ABC XYZ Analysis'!F59*$U$3/(F59*$V$3)),0))</f>
        <v>12</v>
      </c>
      <c r="M59" s="3">
        <f>'1. Master Data'!I59</f>
        <v>25</v>
      </c>
      <c r="N59" s="3">
        <f t="shared" si="2"/>
        <v>57</v>
      </c>
      <c r="O59" s="5" t="str">
        <f t="shared" si="3"/>
        <v>ORDER SOON</v>
      </c>
      <c r="P59" s="5" t="str">
        <f t="shared" si="4"/>
        <v>HIGH</v>
      </c>
      <c r="Q59" s="3" t="str">
        <f t="shared" si="5"/>
        <v>Reorder Point</v>
      </c>
    </row>
    <row r="60" spans="1:17" ht="15" customHeight="1" x14ac:dyDescent="0.2">
      <c r="A60" s="3" t="str">
        <f>'1. Master Data'!A60</f>
        <v>NT10056</v>
      </c>
      <c r="B60" s="1" t="str">
        <f>'1. Master Data'!B60</f>
        <v>ProBook 502 i5 14in</v>
      </c>
      <c r="C60" s="3" t="str">
        <f>'1. Master Data'!D60</f>
        <v>West DC</v>
      </c>
      <c r="D60" s="5" t="str">
        <f>'4. ABC XYZ Analysis'!K60</f>
        <v>A</v>
      </c>
      <c r="E60" s="5" t="str">
        <f>'4. ABC XYZ Analysis'!M60</f>
        <v>Y</v>
      </c>
      <c r="F60" s="4">
        <f>'1. Master Data'!F60</f>
        <v>1457</v>
      </c>
      <c r="G60" s="3">
        <f>'1. Master Data'!G60</f>
        <v>26</v>
      </c>
      <c r="H60" s="8">
        <f>'3. Demand Forecast'!F60/$T$3</f>
        <v>2.6</v>
      </c>
      <c r="I60" s="8">
        <f>'3. Demand Forecast'!G60/SQRT($T$3)</f>
        <v>3.5604519631386942</v>
      </c>
      <c r="J60" s="5">
        <f t="shared" si="0"/>
        <v>30</v>
      </c>
      <c r="K60" s="5">
        <f t="shared" si="1"/>
        <v>98</v>
      </c>
      <c r="L60" s="3">
        <f>IF(F60=0,0,ROUNDUP(SQRT(2*'4. ABC XYZ Analysis'!F60*$U$3/(F60*$V$3)),0))</f>
        <v>13</v>
      </c>
      <c r="M60" s="3">
        <f>'1. Master Data'!I60</f>
        <v>101</v>
      </c>
      <c r="N60" s="3">
        <f t="shared" si="2"/>
        <v>39</v>
      </c>
      <c r="O60" s="5" t="str">
        <f t="shared" si="3"/>
        <v>ORDER SOON</v>
      </c>
      <c r="P60" s="5" t="str">
        <f t="shared" si="4"/>
        <v>HIGH</v>
      </c>
      <c r="Q60" s="3" t="str">
        <f t="shared" si="5"/>
        <v>Reorder Point</v>
      </c>
    </row>
    <row r="61" spans="1:17" ht="15" customHeight="1" x14ac:dyDescent="0.2">
      <c r="A61" s="3" t="str">
        <f>'1. Master Data'!A61</f>
        <v>NT10057</v>
      </c>
      <c r="B61" s="1" t="str">
        <f>'1. Master Data'!B61</f>
        <v>ProBook 187 i5 14in</v>
      </c>
      <c r="C61" s="3" t="str">
        <f>'1. Master Data'!D61</f>
        <v>West DC</v>
      </c>
      <c r="D61" s="5" t="str">
        <f>'4. ABC XYZ Analysis'!K61</f>
        <v>A</v>
      </c>
      <c r="E61" s="5" t="str">
        <f>'4. ABC XYZ Analysis'!M61</f>
        <v>Y</v>
      </c>
      <c r="F61" s="4">
        <f>'1. Master Data'!F61</f>
        <v>1083</v>
      </c>
      <c r="G61" s="3">
        <f>'1. Master Data'!G61</f>
        <v>41</v>
      </c>
      <c r="H61" s="8">
        <f>'3. Demand Forecast'!F61/$T$3</f>
        <v>1.0363636363636364</v>
      </c>
      <c r="I61" s="8">
        <f>'3. Demand Forecast'!G61/SQRT($T$3)</f>
        <v>4.5198551867389405</v>
      </c>
      <c r="J61" s="5">
        <f t="shared" si="0"/>
        <v>48</v>
      </c>
      <c r="K61" s="5">
        <f t="shared" si="1"/>
        <v>91</v>
      </c>
      <c r="L61" s="3">
        <f>IF(F61=0,0,ROUNDUP(SQRT(2*'4. ABC XYZ Analysis'!F61*$U$3/(F61*$V$3)),0))</f>
        <v>14</v>
      </c>
      <c r="M61" s="3">
        <f>'1. Master Data'!I61</f>
        <v>94</v>
      </c>
      <c r="N61" s="3">
        <f t="shared" si="2"/>
        <v>91</v>
      </c>
      <c r="O61" s="5" t="str">
        <f t="shared" si="3"/>
        <v>ORDER SOON</v>
      </c>
      <c r="P61" s="5" t="str">
        <f t="shared" si="4"/>
        <v>HIGH</v>
      </c>
      <c r="Q61" s="3" t="str">
        <f t="shared" si="5"/>
        <v>Reorder Point</v>
      </c>
    </row>
    <row r="62" spans="1:17" ht="15" customHeight="1" x14ac:dyDescent="0.2">
      <c r="A62" s="3" t="str">
        <f>'1. Master Data'!A62</f>
        <v>NT10058</v>
      </c>
      <c r="B62" s="1" t="str">
        <f>'1. Master Data'!B62</f>
        <v>CreatorPro 778 i9 16in</v>
      </c>
      <c r="C62" s="3" t="str">
        <f>'1. Master Data'!D62</f>
        <v>East DC</v>
      </c>
      <c r="D62" s="5" t="str">
        <f>'4. ABC XYZ Analysis'!K62</f>
        <v>A</v>
      </c>
      <c r="E62" s="5" t="str">
        <f>'4. ABC XYZ Analysis'!M62</f>
        <v>Y</v>
      </c>
      <c r="F62" s="4">
        <f>'1. Master Data'!F62</f>
        <v>999</v>
      </c>
      <c r="G62" s="3">
        <f>'1. Master Data'!G62</f>
        <v>37</v>
      </c>
      <c r="H62" s="8">
        <f>'3. Demand Forecast'!F62/$T$3</f>
        <v>1.3636363636363635</v>
      </c>
      <c r="I62" s="8">
        <f>'3. Demand Forecast'!G62/SQRT($T$3)</f>
        <v>2.2599275933694702</v>
      </c>
      <c r="J62" s="5">
        <f t="shared" si="0"/>
        <v>23</v>
      </c>
      <c r="K62" s="5">
        <f t="shared" si="1"/>
        <v>74</v>
      </c>
      <c r="L62" s="3">
        <f>IF(F62=0,0,ROUNDUP(SQRT(2*'4. ABC XYZ Analysis'!F62*$U$3/(F62*$V$3)),0))</f>
        <v>15</v>
      </c>
      <c r="M62" s="3">
        <f>'1. Master Data'!I62</f>
        <v>77</v>
      </c>
      <c r="N62" s="3">
        <f t="shared" si="2"/>
        <v>56</v>
      </c>
      <c r="O62" s="5" t="str">
        <f t="shared" si="3"/>
        <v>ORDER SOON</v>
      </c>
      <c r="P62" s="5" t="str">
        <f t="shared" si="4"/>
        <v>HIGH</v>
      </c>
      <c r="Q62" s="3" t="str">
        <f t="shared" si="5"/>
        <v>Reorder Point</v>
      </c>
    </row>
    <row r="63" spans="1:17" ht="15" customHeight="1" x14ac:dyDescent="0.2">
      <c r="A63" s="3" t="str">
        <f>'1. Master Data'!A63</f>
        <v>NT10059</v>
      </c>
      <c r="B63" s="1" t="str">
        <f>'1. Master Data'!B63</f>
        <v>WorkMate 293 i3 14in</v>
      </c>
      <c r="C63" s="3" t="str">
        <f>'1. Master Data'!D63</f>
        <v>West DC</v>
      </c>
      <c r="D63" s="5" t="str">
        <f>'4. ABC XYZ Analysis'!K63</f>
        <v>A</v>
      </c>
      <c r="E63" s="5" t="str">
        <f>'4. ABC XYZ Analysis'!M63</f>
        <v>Y</v>
      </c>
      <c r="F63" s="4">
        <f>'1. Master Data'!F63</f>
        <v>1383</v>
      </c>
      <c r="G63" s="3">
        <f>'1. Master Data'!G63</f>
        <v>44</v>
      </c>
      <c r="H63" s="8">
        <f>'3. Demand Forecast'!F63/$T$3</f>
        <v>3.1136363636363638</v>
      </c>
      <c r="I63" s="8">
        <f>'3. Demand Forecast'!G63/SQRT($T$3)</f>
        <v>4.6477756165523072</v>
      </c>
      <c r="J63" s="5">
        <f t="shared" si="0"/>
        <v>51</v>
      </c>
      <c r="K63" s="5">
        <f t="shared" si="1"/>
        <v>188</v>
      </c>
      <c r="L63" s="3">
        <f>IF(F63=0,0,ROUNDUP(SQRT(2*'4. ABC XYZ Analysis'!F63*$U$3/(F63*$V$3)),0))</f>
        <v>12</v>
      </c>
      <c r="M63" s="3">
        <f>'1. Master Data'!I63</f>
        <v>191</v>
      </c>
      <c r="N63" s="3">
        <f t="shared" si="2"/>
        <v>61</v>
      </c>
      <c r="O63" s="5" t="str">
        <f t="shared" si="3"/>
        <v>ORDER SOON</v>
      </c>
      <c r="P63" s="5" t="str">
        <f t="shared" si="4"/>
        <v>HIGH</v>
      </c>
      <c r="Q63" s="3" t="str">
        <f t="shared" si="5"/>
        <v>Reorder Point</v>
      </c>
    </row>
    <row r="64" spans="1:17" ht="15" customHeight="1" x14ac:dyDescent="0.2">
      <c r="A64" s="3" t="str">
        <f>'1. Master Data'!A64</f>
        <v>NT10060</v>
      </c>
      <c r="B64" s="1" t="str">
        <f>'1. Master Data'!B64</f>
        <v>ProBook 839 i7 15in</v>
      </c>
      <c r="C64" s="3" t="str">
        <f>'1. Master Data'!D64</f>
        <v>West DC</v>
      </c>
      <c r="D64" s="5" t="str">
        <f>'4. ABC XYZ Analysis'!K64</f>
        <v>A</v>
      </c>
      <c r="E64" s="5" t="str">
        <f>'4. ABC XYZ Analysis'!M64</f>
        <v>Y</v>
      </c>
      <c r="F64" s="4">
        <f>'1. Master Data'!F64</f>
        <v>1044</v>
      </c>
      <c r="G64" s="3">
        <f>'1. Master Data'!G64</f>
        <v>37</v>
      </c>
      <c r="H64" s="8">
        <f>'3. Demand Forecast'!F64/$T$3</f>
        <v>1.9909090909090907</v>
      </c>
      <c r="I64" s="8">
        <f>'3. Demand Forecast'!G64/SQRT($T$3)</f>
        <v>9.6793125225447127</v>
      </c>
      <c r="J64" s="5">
        <f t="shared" si="0"/>
        <v>98</v>
      </c>
      <c r="K64" s="5">
        <f t="shared" si="1"/>
        <v>172</v>
      </c>
      <c r="L64" s="3">
        <f>IF(F64=0,0,ROUNDUP(SQRT(2*'4. ABC XYZ Analysis'!F64*$U$3/(F64*$V$3)),0))</f>
        <v>18</v>
      </c>
      <c r="M64" s="3">
        <f>'1. Master Data'!I64</f>
        <v>175</v>
      </c>
      <c r="N64" s="3">
        <f t="shared" si="2"/>
        <v>88</v>
      </c>
      <c r="O64" s="5" t="str">
        <f t="shared" si="3"/>
        <v>ORDER SOON</v>
      </c>
      <c r="P64" s="5" t="str">
        <f t="shared" si="4"/>
        <v>HIGH</v>
      </c>
      <c r="Q64" s="3" t="str">
        <f t="shared" si="5"/>
        <v>Reorder Point</v>
      </c>
    </row>
    <row r="65" spans="1:17" ht="15" customHeight="1" x14ac:dyDescent="0.2">
      <c r="A65" s="3" t="str">
        <f>'1. Master Data'!A65</f>
        <v>NT10061</v>
      </c>
      <c r="B65" s="1" t="str">
        <f>'1. Master Data'!B65</f>
        <v>ProBook 962 i5 14in</v>
      </c>
      <c r="C65" s="3" t="str">
        <f>'1. Master Data'!D65</f>
        <v>West DC</v>
      </c>
      <c r="D65" s="5" t="str">
        <f>'4. ABC XYZ Analysis'!K65</f>
        <v>A</v>
      </c>
      <c r="E65" s="5" t="str">
        <f>'4. ABC XYZ Analysis'!M65</f>
        <v>Y</v>
      </c>
      <c r="F65" s="4">
        <f>'1. Master Data'!F65</f>
        <v>1153</v>
      </c>
      <c r="G65" s="3">
        <f>'1. Master Data'!G65</f>
        <v>19</v>
      </c>
      <c r="H65" s="8">
        <f>'3. Demand Forecast'!F65/$T$3</f>
        <v>1.3636363636363635</v>
      </c>
      <c r="I65" s="8">
        <f>'3. Demand Forecast'!G65/SQRT($T$3)</f>
        <v>2.3452078799117149</v>
      </c>
      <c r="J65" s="5">
        <f t="shared" si="0"/>
        <v>17</v>
      </c>
      <c r="K65" s="5">
        <f t="shared" si="1"/>
        <v>43</v>
      </c>
      <c r="L65" s="3">
        <f>IF(F65=0,0,ROUNDUP(SQRT(2*'4. ABC XYZ Analysis'!F65*$U$3/(F65*$V$3)),0))</f>
        <v>41</v>
      </c>
      <c r="M65" s="3">
        <f>'1. Master Data'!I65</f>
        <v>46</v>
      </c>
      <c r="N65" s="3">
        <f t="shared" si="2"/>
        <v>34</v>
      </c>
      <c r="O65" s="5" t="str">
        <f t="shared" si="3"/>
        <v>ORDER SOON</v>
      </c>
      <c r="P65" s="5" t="str">
        <f t="shared" si="4"/>
        <v>HIGH</v>
      </c>
      <c r="Q65" s="3" t="str">
        <f t="shared" si="5"/>
        <v>Reorder Point</v>
      </c>
    </row>
    <row r="66" spans="1:17" ht="15" customHeight="1" x14ac:dyDescent="0.2">
      <c r="A66" s="3" t="str">
        <f>'1. Master Data'!A66</f>
        <v>NT10062</v>
      </c>
      <c r="B66" s="1" t="str">
        <f>'1. Master Data'!B66</f>
        <v>CreatorPro 354 i9 16in</v>
      </c>
      <c r="C66" s="3" t="str">
        <f>'1. Master Data'!D66</f>
        <v>Central DC</v>
      </c>
      <c r="D66" s="5" t="str">
        <f>'4. ABC XYZ Analysis'!K66</f>
        <v>A</v>
      </c>
      <c r="E66" s="5" t="str">
        <f>'4. ABC XYZ Analysis'!M66</f>
        <v>X</v>
      </c>
      <c r="F66" s="4">
        <f>'1. Master Data'!F66</f>
        <v>1068</v>
      </c>
      <c r="G66" s="3">
        <f>'1. Master Data'!G66</f>
        <v>36</v>
      </c>
      <c r="H66" s="8">
        <f>'3. Demand Forecast'!F66/$T$3</f>
        <v>0.84545454545454557</v>
      </c>
      <c r="I66" s="8">
        <f>'3. Demand Forecast'!G66/SQRT($T$3)</f>
        <v>1.1939240115914183</v>
      </c>
      <c r="J66" s="5">
        <f t="shared" si="0"/>
        <v>12</v>
      </c>
      <c r="K66" s="5">
        <f t="shared" si="1"/>
        <v>43</v>
      </c>
      <c r="L66" s="3">
        <f>IF(F66=0,0,ROUNDUP(SQRT(2*'4. ABC XYZ Analysis'!F66*$U$3/(F66*$V$3)),0))</f>
        <v>56</v>
      </c>
      <c r="M66" s="3">
        <f>'1. Master Data'!I66</f>
        <v>46</v>
      </c>
      <c r="N66" s="3">
        <f t="shared" si="2"/>
        <v>54</v>
      </c>
      <c r="O66" s="5" t="str">
        <f t="shared" si="3"/>
        <v>ORDER SOON</v>
      </c>
      <c r="P66" s="5" t="str">
        <f t="shared" si="4"/>
        <v>HIGH</v>
      </c>
      <c r="Q66" s="3" t="str">
        <f t="shared" si="5"/>
        <v>Reorder Point</v>
      </c>
    </row>
    <row r="67" spans="1:17" ht="15" customHeight="1" x14ac:dyDescent="0.2">
      <c r="A67" s="3" t="str">
        <f>'1. Master Data'!A67</f>
        <v>NT10063</v>
      </c>
      <c r="B67" s="1" t="str">
        <f>'1. Master Data'!B67</f>
        <v>UltraSlim 731 Ryzen 5</v>
      </c>
      <c r="C67" s="3" t="str">
        <f>'1. Master Data'!D67</f>
        <v>West DC</v>
      </c>
      <c r="D67" s="5" t="str">
        <f>'4. ABC XYZ Analysis'!K67</f>
        <v>A</v>
      </c>
      <c r="E67" s="5" t="str">
        <f>'4. ABC XYZ Analysis'!M67</f>
        <v>Y</v>
      </c>
      <c r="F67" s="4">
        <f>'1. Master Data'!F67</f>
        <v>640</v>
      </c>
      <c r="G67" s="3">
        <f>'1. Master Data'!G67</f>
        <v>28</v>
      </c>
      <c r="H67" s="8">
        <f>'3. Demand Forecast'!F67/$T$3</f>
        <v>0.34090909090909088</v>
      </c>
      <c r="I67" s="8">
        <f>'3. Demand Forecast'!G67/SQRT($T$3)</f>
        <v>0.66092222070239237</v>
      </c>
      <c r="J67" s="5">
        <f t="shared" si="0"/>
        <v>6</v>
      </c>
      <c r="K67" s="5">
        <f t="shared" si="1"/>
        <v>16</v>
      </c>
      <c r="L67" s="3">
        <f>IF(F67=0,0,ROUNDUP(SQRT(2*'4. ABC XYZ Analysis'!F67*$U$3/(F67*$V$3)),0))</f>
        <v>17</v>
      </c>
      <c r="M67" s="3">
        <f>'1. Master Data'!I67</f>
        <v>19</v>
      </c>
      <c r="N67" s="3">
        <f t="shared" si="2"/>
        <v>56</v>
      </c>
      <c r="O67" s="5" t="str">
        <f t="shared" si="3"/>
        <v>ORDER SOON</v>
      </c>
      <c r="P67" s="5" t="str">
        <f t="shared" si="4"/>
        <v>HIGH</v>
      </c>
      <c r="Q67" s="3" t="str">
        <f t="shared" si="5"/>
        <v>Reorder Point</v>
      </c>
    </row>
    <row r="68" spans="1:17" ht="15" customHeight="1" x14ac:dyDescent="0.2">
      <c r="A68" s="3" t="str">
        <f>'1. Master Data'!A68</f>
        <v>NT10064</v>
      </c>
      <c r="B68" s="1" t="str">
        <f>'1. Master Data'!B68</f>
        <v>ProBook 948 i7 15in</v>
      </c>
      <c r="C68" s="3" t="str">
        <f>'1. Master Data'!D68</f>
        <v>East DC</v>
      </c>
      <c r="D68" s="5" t="str">
        <f>'4. ABC XYZ Analysis'!K68</f>
        <v>A</v>
      </c>
      <c r="E68" s="5" t="str">
        <f>'4. ABC XYZ Analysis'!M68</f>
        <v>Y</v>
      </c>
      <c r="F68" s="4">
        <f>'1. Master Data'!F68</f>
        <v>1333</v>
      </c>
      <c r="G68" s="3">
        <f>'1. Master Data'!G68</f>
        <v>28</v>
      </c>
      <c r="H68" s="8">
        <f>'3. Demand Forecast'!F68/$T$3</f>
        <v>2.9863636363636363</v>
      </c>
      <c r="I68" s="8">
        <f>'3. Demand Forecast'!G68/SQRT($T$3)</f>
        <v>4.3492946136544521</v>
      </c>
      <c r="J68" s="5">
        <f t="shared" si="0"/>
        <v>38</v>
      </c>
      <c r="K68" s="5">
        <f t="shared" si="1"/>
        <v>122</v>
      </c>
      <c r="L68" s="3">
        <f>IF(F68=0,0,ROUNDUP(SQRT(2*'4. ABC XYZ Analysis'!F68*$U$3/(F68*$V$3)),0))</f>
        <v>14</v>
      </c>
      <c r="M68" s="3">
        <f>'1. Master Data'!I68</f>
        <v>87</v>
      </c>
      <c r="N68" s="3">
        <f t="shared" si="2"/>
        <v>29</v>
      </c>
      <c r="O68" s="5" t="str">
        <f t="shared" si="3"/>
        <v>ORDER NOW</v>
      </c>
      <c r="P68" s="5" t="str">
        <f t="shared" si="4"/>
        <v>URGENT</v>
      </c>
      <c r="Q68" s="3" t="str">
        <f t="shared" si="5"/>
        <v>Reorder Point</v>
      </c>
    </row>
    <row r="69" spans="1:17" ht="15" customHeight="1" x14ac:dyDescent="0.2">
      <c r="A69" s="3" t="str">
        <f>'1. Master Data'!A69</f>
        <v>NT10065</v>
      </c>
      <c r="B69" s="1" t="str">
        <f>'1. Master Data'!B69</f>
        <v>ProBook 927 i5 14in</v>
      </c>
      <c r="C69" s="3" t="str">
        <f>'1. Master Data'!D69</f>
        <v>East DC</v>
      </c>
      <c r="D69" s="5" t="str">
        <f>'4. ABC XYZ Analysis'!K69</f>
        <v>A</v>
      </c>
      <c r="E69" s="5" t="str">
        <f>'4. ABC XYZ Analysis'!M69</f>
        <v>Y</v>
      </c>
      <c r="F69" s="4">
        <f>'1. Master Data'!F69</f>
        <v>1039</v>
      </c>
      <c r="G69" s="3">
        <f>'1. Master Data'!G69</f>
        <v>30</v>
      </c>
      <c r="H69" s="8">
        <f>'3. Demand Forecast'!F69/$T$3</f>
        <v>1.25</v>
      </c>
      <c r="I69" s="8">
        <f>'3. Demand Forecast'!G69/SQRT($T$3)</f>
        <v>1.8761663039293719</v>
      </c>
      <c r="J69" s="5">
        <f t="shared" ref="J69:J132" si="6">ROUNDUP($S$3*I69*SQRT(G69),0)</f>
        <v>17</v>
      </c>
      <c r="K69" s="5">
        <f t="shared" ref="K69:K132" si="7">ROUNDUP(H69*G69+J69,0)</f>
        <v>55</v>
      </c>
      <c r="L69" s="3">
        <f>IF(F69=0,0,ROUNDUP(SQRT(2*'4. ABC XYZ Analysis'!F69*$U$3/(F69*$V$3)),0))</f>
        <v>21</v>
      </c>
      <c r="M69" s="3">
        <f>'1. Master Data'!I69</f>
        <v>58</v>
      </c>
      <c r="N69" s="3">
        <f t="shared" ref="N69:N132" si="8">IF(H69=0,999,ROUND(M69/H69,0))</f>
        <v>46</v>
      </c>
      <c r="O69" s="5" t="str">
        <f t="shared" ref="O69:O132" si="9">IF(M69&lt;=K69,"ORDER NOW",IF(M69&lt;=K69*1.2,"ORDER SOON","OK"))</f>
        <v>ORDER SOON</v>
      </c>
      <c r="P69" s="5" t="str">
        <f t="shared" ref="P69:P132" si="10">IF(O69="ORDER NOW",IF(D69="A","URGENT",IF(D69="B","HIGH","MEDIUM")),IF(O69="ORDER SOON",IF(D69="A","HIGH","MEDIUM"),"LOW"))</f>
        <v>HIGH</v>
      </c>
      <c r="Q69" s="3" t="str">
        <f t="shared" ref="Q69:Q132" si="11">IF(E69="Z","Min Max","Reorder Point")</f>
        <v>Reorder Point</v>
      </c>
    </row>
    <row r="70" spans="1:17" ht="15" customHeight="1" x14ac:dyDescent="0.2">
      <c r="A70" s="3" t="str">
        <f>'1. Master Data'!A70</f>
        <v>NT10066</v>
      </c>
      <c r="B70" s="1" t="str">
        <f>'1. Master Data'!B70</f>
        <v>UltraSlim 542 Ryzen 5</v>
      </c>
      <c r="C70" s="3" t="str">
        <f>'1. Master Data'!D70</f>
        <v>East DC</v>
      </c>
      <c r="D70" s="5" t="str">
        <f>'4. ABC XYZ Analysis'!K70</f>
        <v>A</v>
      </c>
      <c r="E70" s="5" t="str">
        <f>'4. ABC XYZ Analysis'!M70</f>
        <v>Y</v>
      </c>
      <c r="F70" s="4">
        <f>'1. Master Data'!F70</f>
        <v>1410</v>
      </c>
      <c r="G70" s="3">
        <f>'1. Master Data'!G70</f>
        <v>23</v>
      </c>
      <c r="H70" s="8">
        <f>'3. Demand Forecast'!F70/$T$3</f>
        <v>4.2954545454545459</v>
      </c>
      <c r="I70" s="8">
        <f>'3. Demand Forecast'!G70/SQRT($T$3)</f>
        <v>6.0549003444993357</v>
      </c>
      <c r="J70" s="5">
        <f t="shared" si="6"/>
        <v>48</v>
      </c>
      <c r="K70" s="5">
        <f t="shared" si="7"/>
        <v>147</v>
      </c>
      <c r="L70" s="3">
        <f>IF(F70=0,0,ROUNDUP(SQRT(2*'4. ABC XYZ Analysis'!F70*$U$3/(F70*$V$3)),0))</f>
        <v>44</v>
      </c>
      <c r="M70" s="3">
        <f>'1. Master Data'!I70</f>
        <v>69</v>
      </c>
      <c r="N70" s="3">
        <f t="shared" si="8"/>
        <v>16</v>
      </c>
      <c r="O70" s="5" t="str">
        <f t="shared" si="9"/>
        <v>ORDER NOW</v>
      </c>
      <c r="P70" s="5" t="str">
        <f t="shared" si="10"/>
        <v>URGENT</v>
      </c>
      <c r="Q70" s="3" t="str">
        <f t="shared" si="11"/>
        <v>Reorder Point</v>
      </c>
    </row>
    <row r="71" spans="1:17" ht="15" customHeight="1" x14ac:dyDescent="0.2">
      <c r="A71" s="3" t="str">
        <f>'1. Master Data'!A71</f>
        <v>NT10067</v>
      </c>
      <c r="B71" s="1" t="str">
        <f>'1. Master Data'!B71</f>
        <v>UltraSlim 877 Ryzen 5</v>
      </c>
      <c r="C71" s="3" t="str">
        <f>'1. Master Data'!D71</f>
        <v>West DC</v>
      </c>
      <c r="D71" s="5" t="str">
        <f>'4. ABC XYZ Analysis'!K71</f>
        <v>A</v>
      </c>
      <c r="E71" s="5" t="str">
        <f>'4. ABC XYZ Analysis'!M71</f>
        <v>Y</v>
      </c>
      <c r="F71" s="4">
        <f>'1. Master Data'!F71</f>
        <v>1181</v>
      </c>
      <c r="G71" s="3">
        <f>'1. Master Data'!G71</f>
        <v>24</v>
      </c>
      <c r="H71" s="8">
        <f>'3. Demand Forecast'!F71/$T$3</f>
        <v>1.1090909090909091</v>
      </c>
      <c r="I71" s="8">
        <f>'3. Demand Forecast'!G71/SQRT($T$3)</f>
        <v>1.3858046563114679</v>
      </c>
      <c r="J71" s="5">
        <f t="shared" si="6"/>
        <v>12</v>
      </c>
      <c r="K71" s="5">
        <f t="shared" si="7"/>
        <v>39</v>
      </c>
      <c r="L71" s="3">
        <f>IF(F71=0,0,ROUNDUP(SQRT(2*'4. ABC XYZ Analysis'!F71*$U$3/(F71*$V$3)),0))</f>
        <v>14</v>
      </c>
      <c r="M71" s="3">
        <f>'1. Master Data'!I71</f>
        <v>42</v>
      </c>
      <c r="N71" s="3">
        <f t="shared" si="8"/>
        <v>38</v>
      </c>
      <c r="O71" s="5" t="str">
        <f t="shared" si="9"/>
        <v>ORDER SOON</v>
      </c>
      <c r="P71" s="5" t="str">
        <f t="shared" si="10"/>
        <v>HIGH</v>
      </c>
      <c r="Q71" s="3" t="str">
        <f t="shared" si="11"/>
        <v>Reorder Point</v>
      </c>
    </row>
    <row r="72" spans="1:17" ht="15" customHeight="1" x14ac:dyDescent="0.2">
      <c r="A72" s="3" t="str">
        <f>'1. Master Data'!A72</f>
        <v>NT10068</v>
      </c>
      <c r="B72" s="1" t="str">
        <f>'1. Master Data'!B72</f>
        <v>ProBook 541 i7 15in</v>
      </c>
      <c r="C72" s="3" t="str">
        <f>'1. Master Data'!D72</f>
        <v>East DC</v>
      </c>
      <c r="D72" s="5" t="str">
        <f>'4. ABC XYZ Analysis'!K72</f>
        <v>A</v>
      </c>
      <c r="E72" s="5" t="str">
        <f>'4. ABC XYZ Analysis'!M72</f>
        <v>X</v>
      </c>
      <c r="F72" s="4">
        <f>'1. Master Data'!F72</f>
        <v>641</v>
      </c>
      <c r="G72" s="3">
        <f>'1. Master Data'!G72</f>
        <v>23</v>
      </c>
      <c r="H72" s="8">
        <f>'3. Demand Forecast'!F72/$T$3</f>
        <v>0.49090909090909096</v>
      </c>
      <c r="I72" s="8">
        <f>'3. Demand Forecast'!G72/SQRT($T$3)</f>
        <v>0.74620250724463644</v>
      </c>
      <c r="J72" s="5">
        <f t="shared" si="6"/>
        <v>6</v>
      </c>
      <c r="K72" s="5">
        <f t="shared" si="7"/>
        <v>18</v>
      </c>
      <c r="L72" s="3">
        <f>IF(F72=0,0,ROUNDUP(SQRT(2*'4. ABC XYZ Analysis'!F72*$U$3/(F72*$V$3)),0))</f>
        <v>54</v>
      </c>
      <c r="M72" s="3">
        <f>'1. Master Data'!I72</f>
        <v>35</v>
      </c>
      <c r="N72" s="3">
        <f t="shared" si="8"/>
        <v>71</v>
      </c>
      <c r="O72" s="5" t="str">
        <f t="shared" si="9"/>
        <v>OK</v>
      </c>
      <c r="P72" s="5" t="str">
        <f t="shared" si="10"/>
        <v>LOW</v>
      </c>
      <c r="Q72" s="3" t="str">
        <f t="shared" si="11"/>
        <v>Reorder Point</v>
      </c>
    </row>
    <row r="73" spans="1:17" ht="15" customHeight="1" x14ac:dyDescent="0.2">
      <c r="A73" s="3" t="str">
        <f>'1. Master Data'!A73</f>
        <v>NT10069</v>
      </c>
      <c r="B73" s="1" t="str">
        <f>'1. Master Data'!B73</f>
        <v>CreatorPro 741 i9 16in</v>
      </c>
      <c r="C73" s="3" t="str">
        <f>'1. Master Data'!D73</f>
        <v>East DC</v>
      </c>
      <c r="D73" s="5" t="str">
        <f>'4. ABC XYZ Analysis'!K73</f>
        <v>A</v>
      </c>
      <c r="E73" s="5" t="str">
        <f>'4. ABC XYZ Analysis'!M73</f>
        <v>X</v>
      </c>
      <c r="F73" s="4">
        <f>'1. Master Data'!F73</f>
        <v>1079</v>
      </c>
      <c r="G73" s="3">
        <f>'1. Master Data'!G73</f>
        <v>21</v>
      </c>
      <c r="H73" s="8">
        <f>'3. Demand Forecast'!F73/$T$3</f>
        <v>3.2045454545454546</v>
      </c>
      <c r="I73" s="8">
        <f>'3. Demand Forecast'!G73/SQRT($T$3)</f>
        <v>4.0721336823921597</v>
      </c>
      <c r="J73" s="5">
        <f t="shared" si="6"/>
        <v>31</v>
      </c>
      <c r="K73" s="5">
        <f t="shared" si="7"/>
        <v>99</v>
      </c>
      <c r="L73" s="3">
        <f>IF(F73=0,0,ROUNDUP(SQRT(2*'4. ABC XYZ Analysis'!F73*$U$3/(F73*$V$3)),0))</f>
        <v>30</v>
      </c>
      <c r="M73" s="3">
        <f>'1. Master Data'!I73</f>
        <v>102</v>
      </c>
      <c r="N73" s="3">
        <f t="shared" si="8"/>
        <v>32</v>
      </c>
      <c r="O73" s="5" t="str">
        <f t="shared" si="9"/>
        <v>ORDER SOON</v>
      </c>
      <c r="P73" s="5" t="str">
        <f t="shared" si="10"/>
        <v>HIGH</v>
      </c>
      <c r="Q73" s="3" t="str">
        <f t="shared" si="11"/>
        <v>Reorder Point</v>
      </c>
    </row>
    <row r="74" spans="1:17" ht="15" customHeight="1" x14ac:dyDescent="0.2">
      <c r="A74" s="3" t="str">
        <f>'1. Master Data'!A74</f>
        <v>NT10070</v>
      </c>
      <c r="B74" s="1" t="str">
        <f>'1. Master Data'!B74</f>
        <v>UltraSlim 400 Ryzen 5</v>
      </c>
      <c r="C74" s="3" t="str">
        <f>'1. Master Data'!D74</f>
        <v>Central DC</v>
      </c>
      <c r="D74" s="5" t="str">
        <f>'4. ABC XYZ Analysis'!K74</f>
        <v>A</v>
      </c>
      <c r="E74" s="5" t="str">
        <f>'4. ABC XYZ Analysis'!M74</f>
        <v>Y</v>
      </c>
      <c r="F74" s="4">
        <f>'1. Master Data'!F74</f>
        <v>1221</v>
      </c>
      <c r="G74" s="3">
        <f>'1. Master Data'!G74</f>
        <v>28</v>
      </c>
      <c r="H74" s="8">
        <f>'3. Demand Forecast'!F74/$T$3</f>
        <v>1.6136363636363635</v>
      </c>
      <c r="I74" s="8">
        <f>'3. Demand Forecast'!G74/SQRT($T$3)</f>
        <v>2.0467268770138598</v>
      </c>
      <c r="J74" s="5">
        <f t="shared" si="6"/>
        <v>18</v>
      </c>
      <c r="K74" s="5">
        <f t="shared" si="7"/>
        <v>64</v>
      </c>
      <c r="L74" s="3">
        <f>IF(F74=0,0,ROUNDUP(SQRT(2*'4. ABC XYZ Analysis'!F74*$U$3/(F74*$V$3)),0))</f>
        <v>22</v>
      </c>
      <c r="M74" s="3">
        <f>'1. Master Data'!I74</f>
        <v>67</v>
      </c>
      <c r="N74" s="3">
        <f t="shared" si="8"/>
        <v>42</v>
      </c>
      <c r="O74" s="5" t="str">
        <f t="shared" si="9"/>
        <v>ORDER SOON</v>
      </c>
      <c r="P74" s="5" t="str">
        <f t="shared" si="10"/>
        <v>HIGH</v>
      </c>
      <c r="Q74" s="3" t="str">
        <f t="shared" si="11"/>
        <v>Reorder Point</v>
      </c>
    </row>
    <row r="75" spans="1:17" ht="15" customHeight="1" x14ac:dyDescent="0.2">
      <c r="A75" s="3" t="str">
        <f>'1. Master Data'!A75</f>
        <v>NT10071</v>
      </c>
      <c r="B75" s="1" t="str">
        <f>'1. Master Data'!B75</f>
        <v>WorkMate 444 i3 14in</v>
      </c>
      <c r="C75" s="3" t="str">
        <f>'1. Master Data'!D75</f>
        <v>West DC</v>
      </c>
      <c r="D75" s="5" t="str">
        <f>'4. ABC XYZ Analysis'!K75</f>
        <v>A</v>
      </c>
      <c r="E75" s="5" t="str">
        <f>'4. ABC XYZ Analysis'!M75</f>
        <v>Y</v>
      </c>
      <c r="F75" s="4">
        <f>'1. Master Data'!F75</f>
        <v>1413</v>
      </c>
      <c r="G75" s="3">
        <f>'1. Master Data'!G75</f>
        <v>45</v>
      </c>
      <c r="H75" s="8">
        <f>'3. Demand Forecast'!F75/$T$3</f>
        <v>1.6590909090909092</v>
      </c>
      <c r="I75" s="8">
        <f>'3. Demand Forecast'!G75/SQRT($T$3)</f>
        <v>2.8782096708007407</v>
      </c>
      <c r="J75" s="5">
        <f t="shared" si="6"/>
        <v>32</v>
      </c>
      <c r="K75" s="5">
        <f t="shared" si="7"/>
        <v>107</v>
      </c>
      <c r="L75" s="3">
        <f>IF(F75=0,0,ROUNDUP(SQRT(2*'4. ABC XYZ Analysis'!F75*$U$3/(F75*$V$3)),0))</f>
        <v>16</v>
      </c>
      <c r="M75" s="3">
        <f>'1. Master Data'!I75</f>
        <v>78</v>
      </c>
      <c r="N75" s="3">
        <f t="shared" si="8"/>
        <v>47</v>
      </c>
      <c r="O75" s="5" t="str">
        <f t="shared" si="9"/>
        <v>ORDER NOW</v>
      </c>
      <c r="P75" s="5" t="str">
        <f t="shared" si="10"/>
        <v>URGENT</v>
      </c>
      <c r="Q75" s="3" t="str">
        <f t="shared" si="11"/>
        <v>Reorder Point</v>
      </c>
    </row>
    <row r="76" spans="1:17" ht="15" customHeight="1" x14ac:dyDescent="0.2">
      <c r="A76" s="3" t="str">
        <f>'1. Master Data'!A76</f>
        <v>NT10072</v>
      </c>
      <c r="B76" s="1" t="str">
        <f>'1. Master Data'!B76</f>
        <v>CreatorPro 629 i9 16in</v>
      </c>
      <c r="C76" s="3" t="str">
        <f>'1. Master Data'!D76</f>
        <v>East DC</v>
      </c>
      <c r="D76" s="5" t="str">
        <f>'4. ABC XYZ Analysis'!K76</f>
        <v>A</v>
      </c>
      <c r="E76" s="5" t="str">
        <f>'4. ABC XYZ Analysis'!M76</f>
        <v>Y</v>
      </c>
      <c r="F76" s="4">
        <f>'1. Master Data'!F76</f>
        <v>1121</v>
      </c>
      <c r="G76" s="3">
        <f>'1. Master Data'!G76</f>
        <v>41</v>
      </c>
      <c r="H76" s="8">
        <f>'3. Demand Forecast'!F76/$T$3</f>
        <v>11.7</v>
      </c>
      <c r="I76" s="8">
        <f>'3. Demand Forecast'!G76/SQRT($T$3)</f>
        <v>17.01341716517771</v>
      </c>
      <c r="J76" s="5">
        <f t="shared" si="6"/>
        <v>180</v>
      </c>
      <c r="K76" s="5">
        <f t="shared" si="7"/>
        <v>660</v>
      </c>
      <c r="L76" s="3">
        <f>IF(F76=0,0,ROUNDUP(SQRT(2*'4. ABC XYZ Analysis'!F76*$U$3/(F76*$V$3)),0))</f>
        <v>16</v>
      </c>
      <c r="M76" s="3">
        <f>'1. Master Data'!I76</f>
        <v>663</v>
      </c>
      <c r="N76" s="3">
        <f t="shared" si="8"/>
        <v>57</v>
      </c>
      <c r="O76" s="5" t="str">
        <f t="shared" si="9"/>
        <v>ORDER SOON</v>
      </c>
      <c r="P76" s="5" t="str">
        <f t="shared" si="10"/>
        <v>HIGH</v>
      </c>
      <c r="Q76" s="3" t="str">
        <f t="shared" si="11"/>
        <v>Reorder Point</v>
      </c>
    </row>
    <row r="77" spans="1:17" ht="15" customHeight="1" x14ac:dyDescent="0.2">
      <c r="A77" s="3" t="str">
        <f>'1. Master Data'!A77</f>
        <v>NT10073</v>
      </c>
      <c r="B77" s="1" t="str">
        <f>'1. Master Data'!B77</f>
        <v>ProBook 373 i5 14in</v>
      </c>
      <c r="C77" s="3" t="str">
        <f>'1. Master Data'!D77</f>
        <v>Central DC</v>
      </c>
      <c r="D77" s="5" t="str">
        <f>'4. ABC XYZ Analysis'!K77</f>
        <v>A</v>
      </c>
      <c r="E77" s="5" t="str">
        <f>'4. ABC XYZ Analysis'!M77</f>
        <v>Y</v>
      </c>
      <c r="F77" s="4">
        <f>'1. Master Data'!F77</f>
        <v>1084</v>
      </c>
      <c r="G77" s="3">
        <f>'1. Master Data'!G77</f>
        <v>20</v>
      </c>
      <c r="H77" s="8">
        <f>'3. Demand Forecast'!F77/$T$3</f>
        <v>1.9909090909090907</v>
      </c>
      <c r="I77" s="8">
        <f>'3. Demand Forecast'!G77/SQRT($T$3)</f>
        <v>2.537088524631764</v>
      </c>
      <c r="J77" s="5">
        <f t="shared" si="6"/>
        <v>19</v>
      </c>
      <c r="K77" s="5">
        <f t="shared" si="7"/>
        <v>59</v>
      </c>
      <c r="L77" s="3">
        <f>IF(F77=0,0,ROUNDUP(SQRT(2*'4. ABC XYZ Analysis'!F77*$U$3/(F77*$V$3)),0))</f>
        <v>14</v>
      </c>
      <c r="M77" s="3">
        <f>'1. Master Data'!I77</f>
        <v>62</v>
      </c>
      <c r="N77" s="3">
        <f t="shared" si="8"/>
        <v>31</v>
      </c>
      <c r="O77" s="5" t="str">
        <f t="shared" si="9"/>
        <v>ORDER SOON</v>
      </c>
      <c r="P77" s="5" t="str">
        <f t="shared" si="10"/>
        <v>HIGH</v>
      </c>
      <c r="Q77" s="3" t="str">
        <f t="shared" si="11"/>
        <v>Reorder Point</v>
      </c>
    </row>
    <row r="78" spans="1:17" ht="15" customHeight="1" x14ac:dyDescent="0.2">
      <c r="A78" s="3" t="str">
        <f>'1. Master Data'!A78</f>
        <v>NT10074</v>
      </c>
      <c r="B78" s="1" t="str">
        <f>'1. Master Data'!B78</f>
        <v>WorkMate 446 i3 14in</v>
      </c>
      <c r="C78" s="3" t="str">
        <f>'1. Master Data'!D78</f>
        <v>Central DC</v>
      </c>
      <c r="D78" s="5" t="str">
        <f>'4. ABC XYZ Analysis'!K78</f>
        <v>A</v>
      </c>
      <c r="E78" s="5" t="str">
        <f>'4. ABC XYZ Analysis'!M78</f>
        <v>X</v>
      </c>
      <c r="F78" s="4">
        <f>'1. Master Data'!F78</f>
        <v>850</v>
      </c>
      <c r="G78" s="3">
        <f>'1. Master Data'!G78</f>
        <v>35</v>
      </c>
      <c r="H78" s="8">
        <f>'3. Demand Forecast'!F78/$T$3</f>
        <v>2.3409090909090908</v>
      </c>
      <c r="I78" s="8">
        <f>'3. Demand Forecast'!G78/SQRT($T$3)</f>
        <v>3.1980107453341562</v>
      </c>
      <c r="J78" s="5">
        <f t="shared" si="6"/>
        <v>32</v>
      </c>
      <c r="K78" s="5">
        <f t="shared" si="7"/>
        <v>114</v>
      </c>
      <c r="L78" s="3">
        <f>IF(F78=0,0,ROUNDUP(SQRT(2*'4. ABC XYZ Analysis'!F78*$U$3/(F78*$V$3)),0))</f>
        <v>16</v>
      </c>
      <c r="M78" s="3">
        <f>'1. Master Data'!I78</f>
        <v>117</v>
      </c>
      <c r="N78" s="3">
        <f t="shared" si="8"/>
        <v>50</v>
      </c>
      <c r="O78" s="5" t="str">
        <f t="shared" si="9"/>
        <v>ORDER SOON</v>
      </c>
      <c r="P78" s="5" t="str">
        <f t="shared" si="10"/>
        <v>HIGH</v>
      </c>
      <c r="Q78" s="3" t="str">
        <f t="shared" si="11"/>
        <v>Reorder Point</v>
      </c>
    </row>
    <row r="79" spans="1:17" ht="15" customHeight="1" x14ac:dyDescent="0.2">
      <c r="A79" s="3" t="str">
        <f>'1. Master Data'!A79</f>
        <v>NT10075</v>
      </c>
      <c r="B79" s="1" t="str">
        <f>'1. Master Data'!B79</f>
        <v>UltraSlim 118 Ryzen 5</v>
      </c>
      <c r="C79" s="3" t="str">
        <f>'1. Master Data'!D79</f>
        <v>East DC</v>
      </c>
      <c r="D79" s="5" t="str">
        <f>'4. ABC XYZ Analysis'!K79</f>
        <v>A</v>
      </c>
      <c r="E79" s="5" t="str">
        <f>'4. ABC XYZ Analysis'!M79</f>
        <v>Y</v>
      </c>
      <c r="F79" s="4">
        <f>'1. Master Data'!F79</f>
        <v>1454</v>
      </c>
      <c r="G79" s="3">
        <f>'1. Master Data'!G79</f>
        <v>42</v>
      </c>
      <c r="H79" s="8">
        <f>'3. Demand Forecast'!F79/$T$3</f>
        <v>1.3272727272727272</v>
      </c>
      <c r="I79" s="8">
        <f>'3. Demand Forecast'!G79/SQRT($T$3)</f>
        <v>2.2172874500983486</v>
      </c>
      <c r="J79" s="5">
        <f t="shared" si="6"/>
        <v>24</v>
      </c>
      <c r="K79" s="5">
        <f t="shared" si="7"/>
        <v>80</v>
      </c>
      <c r="L79" s="3">
        <f>IF(F79=0,0,ROUNDUP(SQRT(2*'4. ABC XYZ Analysis'!F79*$U$3/(F79*$V$3)),0))</f>
        <v>24</v>
      </c>
      <c r="M79" s="3">
        <f>'1. Master Data'!I79</f>
        <v>26</v>
      </c>
      <c r="N79" s="3">
        <f t="shared" si="8"/>
        <v>20</v>
      </c>
      <c r="O79" s="5" t="str">
        <f t="shared" si="9"/>
        <v>ORDER NOW</v>
      </c>
      <c r="P79" s="5" t="str">
        <f t="shared" si="10"/>
        <v>URGENT</v>
      </c>
      <c r="Q79" s="3" t="str">
        <f t="shared" si="11"/>
        <v>Reorder Point</v>
      </c>
    </row>
    <row r="80" spans="1:17" ht="15" customHeight="1" x14ac:dyDescent="0.2">
      <c r="A80" s="3" t="str">
        <f>'1. Master Data'!A80</f>
        <v>NT10076</v>
      </c>
      <c r="B80" s="1" t="str">
        <f>'1. Master Data'!B80</f>
        <v>CreatorPro 809 i9 16in</v>
      </c>
      <c r="C80" s="3" t="str">
        <f>'1. Master Data'!D80</f>
        <v>Central DC</v>
      </c>
      <c r="D80" s="5" t="str">
        <f>'4. ABC XYZ Analysis'!K80</f>
        <v>A</v>
      </c>
      <c r="E80" s="5" t="str">
        <f>'4. ABC XYZ Analysis'!M80</f>
        <v>Y</v>
      </c>
      <c r="F80" s="4">
        <f>'1. Master Data'!F80</f>
        <v>423</v>
      </c>
      <c r="G80" s="3">
        <f>'1. Master Data'!G80</f>
        <v>43</v>
      </c>
      <c r="H80" s="8">
        <f>'3. Demand Forecast'!F80/$T$3</f>
        <v>9.6318181818181827</v>
      </c>
      <c r="I80" s="8">
        <f>'3. Demand Forecast'!G80/SQRT($T$3)</f>
        <v>13.922006778021361</v>
      </c>
      <c r="J80" s="5">
        <f t="shared" si="6"/>
        <v>151</v>
      </c>
      <c r="K80" s="5">
        <f t="shared" si="7"/>
        <v>566</v>
      </c>
      <c r="L80" s="3">
        <f>IF(F80=0,0,ROUNDUP(SQRT(2*'4. ABC XYZ Analysis'!F80*$U$3/(F80*$V$3)),0))</f>
        <v>21</v>
      </c>
      <c r="M80" s="3">
        <f>'1. Master Data'!I80</f>
        <v>363</v>
      </c>
      <c r="N80" s="3">
        <f t="shared" si="8"/>
        <v>38</v>
      </c>
      <c r="O80" s="5" t="str">
        <f t="shared" si="9"/>
        <v>ORDER NOW</v>
      </c>
      <c r="P80" s="5" t="str">
        <f t="shared" si="10"/>
        <v>URGENT</v>
      </c>
      <c r="Q80" s="3" t="str">
        <f t="shared" si="11"/>
        <v>Reorder Point</v>
      </c>
    </row>
    <row r="81" spans="1:17" ht="15" customHeight="1" x14ac:dyDescent="0.2">
      <c r="A81" s="3" t="str">
        <f>'1. Master Data'!A81</f>
        <v>NT10077</v>
      </c>
      <c r="B81" s="1" t="str">
        <f>'1. Master Data'!B81</f>
        <v>ProBook 720 i7 15in</v>
      </c>
      <c r="C81" s="3" t="str">
        <f>'1. Master Data'!D81</f>
        <v>West DC</v>
      </c>
      <c r="D81" s="5" t="str">
        <f>'4. ABC XYZ Analysis'!K81</f>
        <v>A</v>
      </c>
      <c r="E81" s="5" t="str">
        <f>'4. ABC XYZ Analysis'!M81</f>
        <v>Y</v>
      </c>
      <c r="F81" s="4">
        <f>'1. Master Data'!F81</f>
        <v>572</v>
      </c>
      <c r="G81" s="3">
        <f>'1. Master Data'!G81</f>
        <v>39</v>
      </c>
      <c r="H81" s="8">
        <f>'3. Demand Forecast'!F81/$T$3</f>
        <v>2.127272727272727</v>
      </c>
      <c r="I81" s="8">
        <f>'3. Demand Forecast'!G81/SQRT($T$3)</f>
        <v>2.8995297424363016</v>
      </c>
      <c r="J81" s="5">
        <f t="shared" si="6"/>
        <v>30</v>
      </c>
      <c r="K81" s="5">
        <f t="shared" si="7"/>
        <v>113</v>
      </c>
      <c r="L81" s="3">
        <f>IF(F81=0,0,ROUNDUP(SQRT(2*'4. ABC XYZ Analysis'!F81*$U$3/(F81*$V$3)),0))</f>
        <v>21</v>
      </c>
      <c r="M81" s="3">
        <f>'1. Master Data'!I81</f>
        <v>116</v>
      </c>
      <c r="N81" s="3">
        <f t="shared" si="8"/>
        <v>55</v>
      </c>
      <c r="O81" s="5" t="str">
        <f t="shared" si="9"/>
        <v>ORDER SOON</v>
      </c>
      <c r="P81" s="5" t="str">
        <f t="shared" si="10"/>
        <v>HIGH</v>
      </c>
      <c r="Q81" s="3" t="str">
        <f t="shared" si="11"/>
        <v>Reorder Point</v>
      </c>
    </row>
    <row r="82" spans="1:17" ht="15" customHeight="1" x14ac:dyDescent="0.2">
      <c r="A82" s="3" t="str">
        <f>'1. Master Data'!A82</f>
        <v>NT10078</v>
      </c>
      <c r="B82" s="1" t="str">
        <f>'1. Master Data'!B82</f>
        <v>CreatorPro 672 i9 16in</v>
      </c>
      <c r="C82" s="3" t="str">
        <f>'1. Master Data'!D82</f>
        <v>East DC</v>
      </c>
      <c r="D82" s="5" t="str">
        <f>'4. ABC XYZ Analysis'!K82</f>
        <v>A</v>
      </c>
      <c r="E82" s="5" t="str">
        <f>'4. ABC XYZ Analysis'!M82</f>
        <v>Y</v>
      </c>
      <c r="F82" s="4">
        <f>'1. Master Data'!F82</f>
        <v>457</v>
      </c>
      <c r="G82" s="3">
        <f>'1. Master Data'!G82</f>
        <v>36</v>
      </c>
      <c r="H82" s="8">
        <f>'3. Demand Forecast'!F82/$T$3</f>
        <v>1.240909090909091</v>
      </c>
      <c r="I82" s="8">
        <f>'3. Demand Forecast'!G82/SQRT($T$3)</f>
        <v>1.8548462322938106</v>
      </c>
      <c r="J82" s="5">
        <f t="shared" si="6"/>
        <v>19</v>
      </c>
      <c r="K82" s="5">
        <f t="shared" si="7"/>
        <v>64</v>
      </c>
      <c r="L82" s="3">
        <f>IF(F82=0,0,ROUNDUP(SQRT(2*'4. ABC XYZ Analysis'!F82*$U$3/(F82*$V$3)),0))</f>
        <v>48</v>
      </c>
      <c r="M82" s="3">
        <f>'1. Master Data'!I82</f>
        <v>67</v>
      </c>
      <c r="N82" s="3">
        <f t="shared" si="8"/>
        <v>54</v>
      </c>
      <c r="O82" s="5" t="str">
        <f t="shared" si="9"/>
        <v>ORDER SOON</v>
      </c>
      <c r="P82" s="5" t="str">
        <f t="shared" si="10"/>
        <v>HIGH</v>
      </c>
      <c r="Q82" s="3" t="str">
        <f t="shared" si="11"/>
        <v>Reorder Point</v>
      </c>
    </row>
    <row r="83" spans="1:17" ht="15" customHeight="1" x14ac:dyDescent="0.2">
      <c r="A83" s="3" t="str">
        <f>'1. Master Data'!A83</f>
        <v>NT10079</v>
      </c>
      <c r="B83" s="1" t="str">
        <f>'1. Master Data'!B83</f>
        <v>CreatorPro 851 i9 16in</v>
      </c>
      <c r="C83" s="3" t="str">
        <f>'1. Master Data'!D83</f>
        <v>Central DC</v>
      </c>
      <c r="D83" s="5" t="str">
        <f>'4. ABC XYZ Analysis'!K83</f>
        <v>A</v>
      </c>
      <c r="E83" s="5" t="str">
        <f>'4. ABC XYZ Analysis'!M83</f>
        <v>Y</v>
      </c>
      <c r="F83" s="4">
        <f>'1. Master Data'!F83</f>
        <v>1098</v>
      </c>
      <c r="G83" s="3">
        <f>'1. Master Data'!G83</f>
        <v>42</v>
      </c>
      <c r="H83" s="8">
        <f>'3. Demand Forecast'!F83/$T$3</f>
        <v>1.4636363636363638</v>
      </c>
      <c r="I83" s="8">
        <f>'3. Demand Forecast'!G83/SQRT($T$3)</f>
        <v>2.1746473068272261</v>
      </c>
      <c r="J83" s="5">
        <f t="shared" si="6"/>
        <v>24</v>
      </c>
      <c r="K83" s="5">
        <f t="shared" si="7"/>
        <v>86</v>
      </c>
      <c r="L83" s="3">
        <f>IF(F83=0,0,ROUNDUP(SQRT(2*'4. ABC XYZ Analysis'!F83*$U$3/(F83*$V$3)),0))</f>
        <v>28</v>
      </c>
      <c r="M83" s="3">
        <f>'1. Master Data'!I83</f>
        <v>89</v>
      </c>
      <c r="N83" s="3">
        <f t="shared" si="8"/>
        <v>61</v>
      </c>
      <c r="O83" s="5" t="str">
        <f t="shared" si="9"/>
        <v>ORDER SOON</v>
      </c>
      <c r="P83" s="5" t="str">
        <f t="shared" si="10"/>
        <v>HIGH</v>
      </c>
      <c r="Q83" s="3" t="str">
        <f t="shared" si="11"/>
        <v>Reorder Point</v>
      </c>
    </row>
    <row r="84" spans="1:17" ht="15" customHeight="1" x14ac:dyDescent="0.2">
      <c r="A84" s="3" t="str">
        <f>'1. Master Data'!A84</f>
        <v>NT10080</v>
      </c>
      <c r="B84" s="1" t="str">
        <f>'1. Master Data'!B84</f>
        <v>UltraSlim 600 Ryzen 5</v>
      </c>
      <c r="C84" s="3" t="str">
        <f>'1. Master Data'!D84</f>
        <v>Central DC</v>
      </c>
      <c r="D84" s="5" t="str">
        <f>'4. ABC XYZ Analysis'!K84</f>
        <v>A</v>
      </c>
      <c r="E84" s="5" t="str">
        <f>'4. ABC XYZ Analysis'!M84</f>
        <v>Y</v>
      </c>
      <c r="F84" s="4">
        <f>'1. Master Data'!F84</f>
        <v>475</v>
      </c>
      <c r="G84" s="3">
        <f>'1. Master Data'!G84</f>
        <v>22</v>
      </c>
      <c r="H84" s="8">
        <f>'3. Demand Forecast'!F84/$T$3</f>
        <v>5.3363636363636369</v>
      </c>
      <c r="I84" s="8">
        <f>'3. Demand Forecast'!G84/SQRT($T$3)</f>
        <v>9.8711931672647619</v>
      </c>
      <c r="J84" s="5">
        <f t="shared" si="6"/>
        <v>77</v>
      </c>
      <c r="K84" s="5">
        <f t="shared" si="7"/>
        <v>195</v>
      </c>
      <c r="L84" s="3">
        <f>IF(F84=0,0,ROUNDUP(SQRT(2*'4. ABC XYZ Analysis'!F84*$U$3/(F84*$V$3)),0))</f>
        <v>41</v>
      </c>
      <c r="M84" s="3">
        <f>'1. Master Data'!I84</f>
        <v>198</v>
      </c>
      <c r="N84" s="3">
        <f t="shared" si="8"/>
        <v>37</v>
      </c>
      <c r="O84" s="5" t="str">
        <f t="shared" si="9"/>
        <v>ORDER SOON</v>
      </c>
      <c r="P84" s="5" t="str">
        <f t="shared" si="10"/>
        <v>HIGH</v>
      </c>
      <c r="Q84" s="3" t="str">
        <f t="shared" si="11"/>
        <v>Reorder Point</v>
      </c>
    </row>
    <row r="85" spans="1:17" ht="15" customHeight="1" x14ac:dyDescent="0.2">
      <c r="A85" s="3" t="str">
        <f>'1. Master Data'!A85</f>
        <v>NT10081</v>
      </c>
      <c r="B85" s="1" t="str">
        <f>'1. Master Data'!B85</f>
        <v>UltraSlim 956 Ryzen 5</v>
      </c>
      <c r="C85" s="3" t="str">
        <f>'1. Master Data'!D85</f>
        <v>East DC</v>
      </c>
      <c r="D85" s="5" t="str">
        <f>'4. ABC XYZ Analysis'!K85</f>
        <v>A</v>
      </c>
      <c r="E85" s="5" t="str">
        <f>'4. ABC XYZ Analysis'!M85</f>
        <v>Y</v>
      </c>
      <c r="F85" s="4">
        <f>'1. Master Data'!F85</f>
        <v>1152</v>
      </c>
      <c r="G85" s="3">
        <f>'1. Master Data'!G85</f>
        <v>21</v>
      </c>
      <c r="H85" s="8">
        <f>'3. Demand Forecast'!F85/$T$3</f>
        <v>0.43181818181818182</v>
      </c>
      <c r="I85" s="8">
        <f>'3. Demand Forecast'!G85/SQRT($T$3)</f>
        <v>0.53300179088902611</v>
      </c>
      <c r="J85" s="5">
        <f t="shared" si="6"/>
        <v>5</v>
      </c>
      <c r="K85" s="5">
        <f t="shared" si="7"/>
        <v>15</v>
      </c>
      <c r="L85" s="3">
        <f>IF(F85=0,0,ROUNDUP(SQRT(2*'4. ABC XYZ Analysis'!F85*$U$3/(F85*$V$3)),0))</f>
        <v>13</v>
      </c>
      <c r="M85" s="3">
        <f>'1. Master Data'!I85</f>
        <v>17</v>
      </c>
      <c r="N85" s="3">
        <f t="shared" si="8"/>
        <v>39</v>
      </c>
      <c r="O85" s="5" t="str">
        <f t="shared" si="9"/>
        <v>ORDER SOON</v>
      </c>
      <c r="P85" s="5" t="str">
        <f t="shared" si="10"/>
        <v>HIGH</v>
      </c>
      <c r="Q85" s="3" t="str">
        <f t="shared" si="11"/>
        <v>Reorder Point</v>
      </c>
    </row>
    <row r="86" spans="1:17" ht="15" customHeight="1" x14ac:dyDescent="0.2">
      <c r="A86" s="3" t="str">
        <f>'1. Master Data'!A86</f>
        <v>NT10082</v>
      </c>
      <c r="B86" s="1" t="str">
        <f>'1. Master Data'!B86</f>
        <v>CreatorPro 155 i9 16in</v>
      </c>
      <c r="C86" s="3" t="str">
        <f>'1. Master Data'!D86</f>
        <v>Central DC</v>
      </c>
      <c r="D86" s="5" t="str">
        <f>'4. ABC XYZ Analysis'!K86</f>
        <v>A</v>
      </c>
      <c r="E86" s="5" t="str">
        <f>'4. ABC XYZ Analysis'!M86</f>
        <v>X</v>
      </c>
      <c r="F86" s="4">
        <f>'1. Master Data'!F86</f>
        <v>1442</v>
      </c>
      <c r="G86" s="3">
        <f>'1. Master Data'!G86</f>
        <v>19</v>
      </c>
      <c r="H86" s="8">
        <f>'3. Demand Forecast'!F86/$T$3</f>
        <v>0.71363636363636362</v>
      </c>
      <c r="I86" s="8">
        <f>'3. Demand Forecast'!G86/SQRT($T$3)</f>
        <v>0.93808315196468595</v>
      </c>
      <c r="J86" s="5">
        <f t="shared" si="6"/>
        <v>7</v>
      </c>
      <c r="K86" s="5">
        <f t="shared" si="7"/>
        <v>21</v>
      </c>
      <c r="L86" s="3">
        <f>IF(F86=0,0,ROUNDUP(SQRT(2*'4. ABC XYZ Analysis'!F86*$U$3/(F86*$V$3)),0))</f>
        <v>20</v>
      </c>
      <c r="M86" s="3">
        <f>'1. Master Data'!I86</f>
        <v>24</v>
      </c>
      <c r="N86" s="3">
        <f t="shared" si="8"/>
        <v>34</v>
      </c>
      <c r="O86" s="5" t="str">
        <f t="shared" si="9"/>
        <v>ORDER SOON</v>
      </c>
      <c r="P86" s="5" t="str">
        <f t="shared" si="10"/>
        <v>HIGH</v>
      </c>
      <c r="Q86" s="3" t="str">
        <f t="shared" si="11"/>
        <v>Reorder Point</v>
      </c>
    </row>
    <row r="87" spans="1:17" ht="15" customHeight="1" x14ac:dyDescent="0.2">
      <c r="A87" s="3" t="str">
        <f>'1. Master Data'!A87</f>
        <v>NT10083</v>
      </c>
      <c r="B87" s="1" t="str">
        <f>'1. Master Data'!B87</f>
        <v>CreatorPro 192 i9 16in</v>
      </c>
      <c r="C87" s="3" t="str">
        <f>'1. Master Data'!D87</f>
        <v>East DC</v>
      </c>
      <c r="D87" s="5" t="str">
        <f>'4. ABC XYZ Analysis'!K87</f>
        <v>A</v>
      </c>
      <c r="E87" s="5" t="str">
        <f>'4. ABC XYZ Analysis'!M87</f>
        <v>X</v>
      </c>
      <c r="F87" s="4">
        <f>'1. Master Data'!F87</f>
        <v>1051</v>
      </c>
      <c r="G87" s="3">
        <f>'1. Master Data'!G87</f>
        <v>25</v>
      </c>
      <c r="H87" s="8">
        <f>'3. Demand Forecast'!F87/$T$3</f>
        <v>2.1999999999999997</v>
      </c>
      <c r="I87" s="8">
        <f>'3. Demand Forecast'!G87/SQRT($T$3)</f>
        <v>2.8995297424363016</v>
      </c>
      <c r="J87" s="5">
        <f t="shared" si="6"/>
        <v>24</v>
      </c>
      <c r="K87" s="5">
        <f t="shared" si="7"/>
        <v>79</v>
      </c>
      <c r="L87" s="3">
        <f>IF(F87=0,0,ROUNDUP(SQRT(2*'4. ABC XYZ Analysis'!F87*$U$3/(F87*$V$3)),0))</f>
        <v>17</v>
      </c>
      <c r="M87" s="3">
        <f>'1. Master Data'!I87</f>
        <v>26</v>
      </c>
      <c r="N87" s="3">
        <f t="shared" si="8"/>
        <v>12</v>
      </c>
      <c r="O87" s="5" t="str">
        <f t="shared" si="9"/>
        <v>ORDER NOW</v>
      </c>
      <c r="P87" s="5" t="str">
        <f t="shared" si="10"/>
        <v>URGENT</v>
      </c>
      <c r="Q87" s="3" t="str">
        <f t="shared" si="11"/>
        <v>Reorder Point</v>
      </c>
    </row>
    <row r="88" spans="1:17" ht="15" customHeight="1" x14ac:dyDescent="0.2">
      <c r="A88" s="3" t="str">
        <f>'1. Master Data'!A88</f>
        <v>NT10084</v>
      </c>
      <c r="B88" s="1" t="str">
        <f>'1. Master Data'!B88</f>
        <v>CreatorPro 984 i9 16in</v>
      </c>
      <c r="C88" s="3" t="str">
        <f>'1. Master Data'!D88</f>
        <v>East DC</v>
      </c>
      <c r="D88" s="5" t="str">
        <f>'4. ABC XYZ Analysis'!K88</f>
        <v>A</v>
      </c>
      <c r="E88" s="5" t="str">
        <f>'4. ABC XYZ Analysis'!M88</f>
        <v>Y</v>
      </c>
      <c r="F88" s="4">
        <f>'1. Master Data'!F88</f>
        <v>1481</v>
      </c>
      <c r="G88" s="3">
        <f>'1. Master Data'!G88</f>
        <v>39</v>
      </c>
      <c r="H88" s="8">
        <f>'3. Demand Forecast'!F88/$T$3</f>
        <v>2.0727272727272728</v>
      </c>
      <c r="I88" s="8">
        <f>'3. Demand Forecast'!G88/SQRT($T$3)</f>
        <v>3.0700903155207904</v>
      </c>
      <c r="J88" s="5">
        <f t="shared" si="6"/>
        <v>32</v>
      </c>
      <c r="K88" s="5">
        <f t="shared" si="7"/>
        <v>113</v>
      </c>
      <c r="L88" s="3">
        <f>IF(F88=0,0,ROUNDUP(SQRT(2*'4. ABC XYZ Analysis'!F88*$U$3/(F88*$V$3)),0))</f>
        <v>29</v>
      </c>
      <c r="M88" s="3">
        <f>'1. Master Data'!I88</f>
        <v>116</v>
      </c>
      <c r="N88" s="3">
        <f t="shared" si="8"/>
        <v>56</v>
      </c>
      <c r="O88" s="5" t="str">
        <f t="shared" si="9"/>
        <v>ORDER SOON</v>
      </c>
      <c r="P88" s="5" t="str">
        <f t="shared" si="10"/>
        <v>HIGH</v>
      </c>
      <c r="Q88" s="3" t="str">
        <f t="shared" si="11"/>
        <v>Reorder Point</v>
      </c>
    </row>
    <row r="89" spans="1:17" ht="15" customHeight="1" x14ac:dyDescent="0.2">
      <c r="A89" s="3" t="str">
        <f>'1. Master Data'!A89</f>
        <v>NT10085</v>
      </c>
      <c r="B89" s="1" t="str">
        <f>'1. Master Data'!B89</f>
        <v>CreatorPro 319 i9 16in</v>
      </c>
      <c r="C89" s="3" t="str">
        <f>'1. Master Data'!D89</f>
        <v>West DC</v>
      </c>
      <c r="D89" s="5" t="str">
        <f>'4. ABC XYZ Analysis'!K89</f>
        <v>A</v>
      </c>
      <c r="E89" s="5" t="str">
        <f>'4. ABC XYZ Analysis'!M89</f>
        <v>Y</v>
      </c>
      <c r="F89" s="4">
        <f>'1. Master Data'!F89</f>
        <v>893</v>
      </c>
      <c r="G89" s="3">
        <f>'1. Master Data'!G89</f>
        <v>42</v>
      </c>
      <c r="H89" s="8">
        <f>'3. Demand Forecast'!F89/$T$3</f>
        <v>1.0590909090909091</v>
      </c>
      <c r="I89" s="8">
        <f>'3. Demand Forecast'!G89/SQRT($T$3)</f>
        <v>1.6629655875737612</v>
      </c>
      <c r="J89" s="5">
        <f t="shared" si="6"/>
        <v>18</v>
      </c>
      <c r="K89" s="5">
        <f t="shared" si="7"/>
        <v>63</v>
      </c>
      <c r="L89" s="3">
        <f>IF(F89=0,0,ROUNDUP(SQRT(2*'4. ABC XYZ Analysis'!F89*$U$3/(F89*$V$3)),0))</f>
        <v>16</v>
      </c>
      <c r="M89" s="3">
        <f>'1. Master Data'!I89</f>
        <v>66</v>
      </c>
      <c r="N89" s="3">
        <f t="shared" si="8"/>
        <v>62</v>
      </c>
      <c r="O89" s="5" t="str">
        <f t="shared" si="9"/>
        <v>ORDER SOON</v>
      </c>
      <c r="P89" s="5" t="str">
        <f t="shared" si="10"/>
        <v>HIGH</v>
      </c>
      <c r="Q89" s="3" t="str">
        <f t="shared" si="11"/>
        <v>Reorder Point</v>
      </c>
    </row>
    <row r="90" spans="1:17" ht="15" customHeight="1" x14ac:dyDescent="0.2">
      <c r="A90" s="3" t="str">
        <f>'1. Master Data'!A90</f>
        <v>NT10086</v>
      </c>
      <c r="B90" s="1" t="str">
        <f>'1. Master Data'!B90</f>
        <v>ProBook 626 i7 15in</v>
      </c>
      <c r="C90" s="3" t="str">
        <f>'1. Master Data'!D90</f>
        <v>Central DC</v>
      </c>
      <c r="D90" s="5" t="str">
        <f>'4. ABC XYZ Analysis'!K90</f>
        <v>A</v>
      </c>
      <c r="E90" s="5" t="str">
        <f>'4. ABC XYZ Analysis'!M90</f>
        <v>X</v>
      </c>
      <c r="F90" s="4">
        <f>'1. Master Data'!F90</f>
        <v>1400</v>
      </c>
      <c r="G90" s="3">
        <f>'1. Master Data'!G90</f>
        <v>39</v>
      </c>
      <c r="H90" s="8">
        <f>'3. Demand Forecast'!F90/$T$3</f>
        <v>0.9181818181818181</v>
      </c>
      <c r="I90" s="8">
        <f>'3. Demand Forecast'!G90/SQRT($T$3)</f>
        <v>1.42844479958259</v>
      </c>
      <c r="J90" s="5">
        <f t="shared" si="6"/>
        <v>15</v>
      </c>
      <c r="K90" s="5">
        <f t="shared" si="7"/>
        <v>51</v>
      </c>
      <c r="L90" s="3">
        <f>IF(F90=0,0,ROUNDUP(SQRT(2*'4. ABC XYZ Analysis'!F90*$U$3/(F90*$V$3)),0))</f>
        <v>37</v>
      </c>
      <c r="M90" s="3">
        <f>'1. Master Data'!I90</f>
        <v>54</v>
      </c>
      <c r="N90" s="3">
        <f t="shared" si="8"/>
        <v>59</v>
      </c>
      <c r="O90" s="5" t="str">
        <f t="shared" si="9"/>
        <v>ORDER SOON</v>
      </c>
      <c r="P90" s="5" t="str">
        <f t="shared" si="10"/>
        <v>HIGH</v>
      </c>
      <c r="Q90" s="3" t="str">
        <f t="shared" si="11"/>
        <v>Reorder Point</v>
      </c>
    </row>
    <row r="91" spans="1:17" ht="15" customHeight="1" x14ac:dyDescent="0.2">
      <c r="A91" s="3" t="str">
        <f>'1. Master Data'!A91</f>
        <v>NT10087</v>
      </c>
      <c r="B91" s="1" t="str">
        <f>'1. Master Data'!B91</f>
        <v>UltraSlim 766 Ryzen 5</v>
      </c>
      <c r="C91" s="3" t="str">
        <f>'1. Master Data'!D91</f>
        <v>West DC</v>
      </c>
      <c r="D91" s="5" t="str">
        <f>'4. ABC XYZ Analysis'!K91</f>
        <v>A</v>
      </c>
      <c r="E91" s="5" t="str">
        <f>'4. ABC XYZ Analysis'!M91</f>
        <v>Y</v>
      </c>
      <c r="F91" s="4">
        <f>'1. Master Data'!F91</f>
        <v>1504</v>
      </c>
      <c r="G91" s="3">
        <f>'1. Master Data'!G91</f>
        <v>26</v>
      </c>
      <c r="H91" s="8">
        <f>'3. Demand Forecast'!F91/$T$3</f>
        <v>1.0818181818181818</v>
      </c>
      <c r="I91" s="8">
        <f>'3. Demand Forecast'!G91/SQRT($T$3)</f>
        <v>1.6629655875737612</v>
      </c>
      <c r="J91" s="5">
        <f t="shared" si="6"/>
        <v>14</v>
      </c>
      <c r="K91" s="5">
        <f t="shared" si="7"/>
        <v>43</v>
      </c>
      <c r="L91" s="3">
        <f>IF(F91=0,0,ROUNDUP(SQRT(2*'4. ABC XYZ Analysis'!F91*$U$3/(F91*$V$3)),0))</f>
        <v>18</v>
      </c>
      <c r="M91" s="3">
        <f>'1. Master Data'!I91</f>
        <v>46</v>
      </c>
      <c r="N91" s="3">
        <f t="shared" si="8"/>
        <v>43</v>
      </c>
      <c r="O91" s="5" t="str">
        <f t="shared" si="9"/>
        <v>ORDER SOON</v>
      </c>
      <c r="P91" s="5" t="str">
        <f t="shared" si="10"/>
        <v>HIGH</v>
      </c>
      <c r="Q91" s="3" t="str">
        <f t="shared" si="11"/>
        <v>Reorder Point</v>
      </c>
    </row>
    <row r="92" spans="1:17" ht="15" customHeight="1" x14ac:dyDescent="0.2">
      <c r="A92" s="3" t="str">
        <f>'1. Master Data'!A92</f>
        <v>NT10088</v>
      </c>
      <c r="B92" s="1" t="str">
        <f>'1. Master Data'!B92</f>
        <v>ProBook 846 i7 15in</v>
      </c>
      <c r="C92" s="3" t="str">
        <f>'1. Master Data'!D92</f>
        <v>East DC</v>
      </c>
      <c r="D92" s="5" t="str">
        <f>'4. ABC XYZ Analysis'!K92</f>
        <v>A</v>
      </c>
      <c r="E92" s="5" t="str">
        <f>'4. ABC XYZ Analysis'!M92</f>
        <v>Z</v>
      </c>
      <c r="F92" s="4">
        <f>'1. Master Data'!F92</f>
        <v>1573</v>
      </c>
      <c r="G92" s="3">
        <f>'1. Master Data'!G92</f>
        <v>37</v>
      </c>
      <c r="H92" s="8">
        <f>'3. Demand Forecast'!F92/$T$3</f>
        <v>0.25</v>
      </c>
      <c r="I92" s="8">
        <f>'3. Demand Forecast'!G92/SQRT($T$3)</f>
        <v>1.087323653413613</v>
      </c>
      <c r="J92" s="5">
        <f t="shared" si="6"/>
        <v>11</v>
      </c>
      <c r="K92" s="5">
        <f t="shared" si="7"/>
        <v>21</v>
      </c>
      <c r="L92" s="3">
        <f>IF(F92=0,0,ROUNDUP(SQRT(2*'4. ABC XYZ Analysis'!F92*$U$3/(F92*$V$3)),0))</f>
        <v>12</v>
      </c>
      <c r="M92" s="3">
        <f>'1. Master Data'!I92</f>
        <v>24</v>
      </c>
      <c r="N92" s="3">
        <f t="shared" si="8"/>
        <v>96</v>
      </c>
      <c r="O92" s="5" t="str">
        <f t="shared" si="9"/>
        <v>ORDER SOON</v>
      </c>
      <c r="P92" s="5" t="str">
        <f t="shared" si="10"/>
        <v>HIGH</v>
      </c>
      <c r="Q92" s="3" t="str">
        <f t="shared" si="11"/>
        <v>Min Max</v>
      </c>
    </row>
    <row r="93" spans="1:17" ht="15" customHeight="1" x14ac:dyDescent="0.2">
      <c r="A93" s="3" t="str">
        <f>'1. Master Data'!A93</f>
        <v>NT10089</v>
      </c>
      <c r="B93" s="1" t="str">
        <f>'1. Master Data'!B93</f>
        <v>UltraSlim 908 Ryzen 5</v>
      </c>
      <c r="C93" s="3" t="str">
        <f>'1. Master Data'!D93</f>
        <v>Central DC</v>
      </c>
      <c r="D93" s="5" t="str">
        <f>'4. ABC XYZ Analysis'!K93</f>
        <v>A</v>
      </c>
      <c r="E93" s="5" t="str">
        <f>'4. ABC XYZ Analysis'!M93</f>
        <v>Y</v>
      </c>
      <c r="F93" s="4">
        <f>'1. Master Data'!F93</f>
        <v>685</v>
      </c>
      <c r="G93" s="3">
        <f>'1. Master Data'!G93</f>
        <v>20</v>
      </c>
      <c r="H93" s="8">
        <f>'3. Demand Forecast'!F93/$T$3</f>
        <v>1.2545454545454546</v>
      </c>
      <c r="I93" s="8">
        <f>'3. Demand Forecast'!G93/SQRT($T$3)</f>
        <v>1.8335261606582496</v>
      </c>
      <c r="J93" s="5">
        <f t="shared" si="6"/>
        <v>14</v>
      </c>
      <c r="K93" s="5">
        <f t="shared" si="7"/>
        <v>40</v>
      </c>
      <c r="L93" s="3">
        <f>IF(F93=0,0,ROUNDUP(SQRT(2*'4. ABC XYZ Analysis'!F93*$U$3/(F93*$V$3)),0))</f>
        <v>35</v>
      </c>
      <c r="M93" s="3">
        <f>'1. Master Data'!I93</f>
        <v>116</v>
      </c>
      <c r="N93" s="3">
        <f t="shared" si="8"/>
        <v>92</v>
      </c>
      <c r="O93" s="5" t="str">
        <f t="shared" si="9"/>
        <v>OK</v>
      </c>
      <c r="P93" s="5" t="str">
        <f t="shared" si="10"/>
        <v>LOW</v>
      </c>
      <c r="Q93" s="3" t="str">
        <f t="shared" si="11"/>
        <v>Reorder Point</v>
      </c>
    </row>
    <row r="94" spans="1:17" ht="15" customHeight="1" x14ac:dyDescent="0.2">
      <c r="A94" s="3" t="str">
        <f>'1. Master Data'!A94</f>
        <v>NT10090</v>
      </c>
      <c r="B94" s="1" t="str">
        <f>'1. Master Data'!B94</f>
        <v>ProBook 568 i7 15in</v>
      </c>
      <c r="C94" s="3" t="str">
        <f>'1. Master Data'!D94</f>
        <v>Central DC</v>
      </c>
      <c r="D94" s="5" t="str">
        <f>'4. ABC XYZ Analysis'!K94</f>
        <v>A</v>
      </c>
      <c r="E94" s="5" t="str">
        <f>'4. ABC XYZ Analysis'!M94</f>
        <v>Y</v>
      </c>
      <c r="F94" s="4">
        <f>'1. Master Data'!F94</f>
        <v>509</v>
      </c>
      <c r="G94" s="3">
        <f>'1. Master Data'!G94</f>
        <v>37</v>
      </c>
      <c r="H94" s="8">
        <f>'3. Demand Forecast'!F94/$T$3</f>
        <v>2.5590909090909091</v>
      </c>
      <c r="I94" s="8">
        <f>'3. Demand Forecast'!G94/SQRT($T$3)</f>
        <v>2.4091680948183978</v>
      </c>
      <c r="J94" s="5">
        <f t="shared" si="6"/>
        <v>25</v>
      </c>
      <c r="K94" s="5">
        <f t="shared" si="7"/>
        <v>120</v>
      </c>
      <c r="L94" s="3">
        <f>IF(F94=0,0,ROUNDUP(SQRT(2*'4. ABC XYZ Analysis'!F94*$U$3/(F94*$V$3)),0))</f>
        <v>37</v>
      </c>
      <c r="M94" s="3">
        <f>'1. Master Data'!I94</f>
        <v>123</v>
      </c>
      <c r="N94" s="3">
        <f t="shared" si="8"/>
        <v>48</v>
      </c>
      <c r="O94" s="5" t="str">
        <f t="shared" si="9"/>
        <v>ORDER SOON</v>
      </c>
      <c r="P94" s="5" t="str">
        <f t="shared" si="10"/>
        <v>HIGH</v>
      </c>
      <c r="Q94" s="3" t="str">
        <f t="shared" si="11"/>
        <v>Reorder Point</v>
      </c>
    </row>
    <row r="95" spans="1:17" ht="15" customHeight="1" x14ac:dyDescent="0.2">
      <c r="A95" s="3" t="str">
        <f>'1. Master Data'!A95</f>
        <v>NT10091</v>
      </c>
      <c r="B95" s="1" t="str">
        <f>'1. Master Data'!B95</f>
        <v>CreatorPro 601 i9 16in</v>
      </c>
      <c r="C95" s="3" t="str">
        <f>'1. Master Data'!D95</f>
        <v>West DC</v>
      </c>
      <c r="D95" s="5" t="str">
        <f>'4. ABC XYZ Analysis'!K95</f>
        <v>A</v>
      </c>
      <c r="E95" s="5" t="str">
        <f>'4. ABC XYZ Analysis'!M95</f>
        <v>Y</v>
      </c>
      <c r="F95" s="4">
        <f>'1. Master Data'!F95</f>
        <v>852</v>
      </c>
      <c r="G95" s="3">
        <f>'1. Master Data'!G95</f>
        <v>39</v>
      </c>
      <c r="H95" s="8">
        <f>'3. Demand Forecast'!F95/$T$3</f>
        <v>0.45454545454545453</v>
      </c>
      <c r="I95" s="8">
        <f>'3. Demand Forecast'!G95/SQRT($T$3)</f>
        <v>0.61828207743127017</v>
      </c>
      <c r="J95" s="5">
        <f t="shared" si="6"/>
        <v>7</v>
      </c>
      <c r="K95" s="5">
        <f t="shared" si="7"/>
        <v>25</v>
      </c>
      <c r="L95" s="3">
        <f>IF(F95=0,0,ROUNDUP(SQRT(2*'4. ABC XYZ Analysis'!F95*$U$3/(F95*$V$3)),0))</f>
        <v>36</v>
      </c>
      <c r="M95" s="3">
        <f>'1. Master Data'!I95</f>
        <v>28</v>
      </c>
      <c r="N95" s="3">
        <f t="shared" si="8"/>
        <v>62</v>
      </c>
      <c r="O95" s="5" t="str">
        <f t="shared" si="9"/>
        <v>ORDER SOON</v>
      </c>
      <c r="P95" s="5" t="str">
        <f t="shared" si="10"/>
        <v>HIGH</v>
      </c>
      <c r="Q95" s="3" t="str">
        <f t="shared" si="11"/>
        <v>Reorder Point</v>
      </c>
    </row>
    <row r="96" spans="1:17" ht="15" customHeight="1" x14ac:dyDescent="0.2">
      <c r="A96" s="3" t="str">
        <f>'1. Master Data'!A96</f>
        <v>NT10092</v>
      </c>
      <c r="B96" s="1" t="str">
        <f>'1. Master Data'!B96</f>
        <v>WorkMate 258 i3 14in</v>
      </c>
      <c r="C96" s="3" t="str">
        <f>'1. Master Data'!D96</f>
        <v>West DC</v>
      </c>
      <c r="D96" s="5" t="str">
        <f>'4. ABC XYZ Analysis'!K96</f>
        <v>A</v>
      </c>
      <c r="E96" s="5" t="str">
        <f>'4. ABC XYZ Analysis'!M96</f>
        <v>Y</v>
      </c>
      <c r="F96" s="4">
        <f>'1. Master Data'!F96</f>
        <v>1440</v>
      </c>
      <c r="G96" s="3">
        <f>'1. Master Data'!G96</f>
        <v>20</v>
      </c>
      <c r="H96" s="8">
        <f>'3. Demand Forecast'!F96/$T$3</f>
        <v>2.6136363636363638</v>
      </c>
      <c r="I96" s="8">
        <f>'3. Demand Forecast'!G96/SQRT($T$3)</f>
        <v>3.5178118198675721</v>
      </c>
      <c r="J96" s="5">
        <f t="shared" si="6"/>
        <v>26</v>
      </c>
      <c r="K96" s="5">
        <f t="shared" si="7"/>
        <v>79</v>
      </c>
      <c r="L96" s="3">
        <f>IF(F96=0,0,ROUNDUP(SQRT(2*'4. ABC XYZ Analysis'!F96*$U$3/(F96*$V$3)),0))</f>
        <v>24</v>
      </c>
      <c r="M96" s="3">
        <f>'1. Master Data'!I96</f>
        <v>82</v>
      </c>
      <c r="N96" s="3">
        <f t="shared" si="8"/>
        <v>31</v>
      </c>
      <c r="O96" s="5" t="str">
        <f t="shared" si="9"/>
        <v>ORDER SOON</v>
      </c>
      <c r="P96" s="5" t="str">
        <f t="shared" si="10"/>
        <v>HIGH</v>
      </c>
      <c r="Q96" s="3" t="str">
        <f t="shared" si="11"/>
        <v>Reorder Point</v>
      </c>
    </row>
    <row r="97" spans="1:17" ht="15" customHeight="1" x14ac:dyDescent="0.2">
      <c r="A97" s="3" t="str">
        <f>'1. Master Data'!A97</f>
        <v>NT10093</v>
      </c>
      <c r="B97" s="1" t="str">
        <f>'1. Master Data'!B97</f>
        <v>UltraSlim 436 Ryzen 5</v>
      </c>
      <c r="C97" s="3" t="str">
        <f>'1. Master Data'!D97</f>
        <v>Central DC</v>
      </c>
      <c r="D97" s="5" t="str">
        <f>'4. ABC XYZ Analysis'!K97</f>
        <v>A</v>
      </c>
      <c r="E97" s="5" t="str">
        <f>'4. ABC XYZ Analysis'!M97</f>
        <v>X</v>
      </c>
      <c r="F97" s="4">
        <f>'1. Master Data'!F97</f>
        <v>1430</v>
      </c>
      <c r="G97" s="3">
        <f>'1. Master Data'!G97</f>
        <v>37</v>
      </c>
      <c r="H97" s="8">
        <f>'3. Demand Forecast'!F97/$T$3</f>
        <v>0.35454545454545455</v>
      </c>
      <c r="I97" s="8">
        <f>'3. Demand Forecast'!G97/SQRT($T$3)</f>
        <v>0.44772150434678193</v>
      </c>
      <c r="J97" s="5">
        <f t="shared" si="6"/>
        <v>5</v>
      </c>
      <c r="K97" s="5">
        <f t="shared" si="7"/>
        <v>19</v>
      </c>
      <c r="L97" s="3">
        <f>IF(F97=0,0,ROUNDUP(SQRT(2*'4. ABC XYZ Analysis'!F97*$U$3/(F97*$V$3)),0))</f>
        <v>18</v>
      </c>
      <c r="M97" s="3">
        <f>'1. Master Data'!I97</f>
        <v>22</v>
      </c>
      <c r="N97" s="3">
        <f t="shared" si="8"/>
        <v>62</v>
      </c>
      <c r="O97" s="5" t="str">
        <f t="shared" si="9"/>
        <v>ORDER SOON</v>
      </c>
      <c r="P97" s="5" t="str">
        <f t="shared" si="10"/>
        <v>HIGH</v>
      </c>
      <c r="Q97" s="3" t="str">
        <f t="shared" si="11"/>
        <v>Reorder Point</v>
      </c>
    </row>
    <row r="98" spans="1:17" ht="15" customHeight="1" x14ac:dyDescent="0.2">
      <c r="A98" s="3" t="str">
        <f>'1. Master Data'!A98</f>
        <v>NT10094</v>
      </c>
      <c r="B98" s="1" t="str">
        <f>'1. Master Data'!B98</f>
        <v>ProBook 953 i7 15in</v>
      </c>
      <c r="C98" s="3" t="str">
        <f>'1. Master Data'!D98</f>
        <v>Central DC</v>
      </c>
      <c r="D98" s="5" t="str">
        <f>'4. ABC XYZ Analysis'!K98</f>
        <v>A</v>
      </c>
      <c r="E98" s="5" t="str">
        <f>'4. ABC XYZ Analysis'!M98</f>
        <v>Y</v>
      </c>
      <c r="F98" s="4">
        <f>'1. Master Data'!F98</f>
        <v>860</v>
      </c>
      <c r="G98" s="3">
        <f>'1. Master Data'!G98</f>
        <v>38</v>
      </c>
      <c r="H98" s="8">
        <f>'3. Demand Forecast'!F98/$T$3</f>
        <v>2.3090909090909091</v>
      </c>
      <c r="I98" s="8">
        <f>'3. Demand Forecast'!G98/SQRT($T$3)</f>
        <v>3.006130100614107</v>
      </c>
      <c r="J98" s="5">
        <f t="shared" si="6"/>
        <v>31</v>
      </c>
      <c r="K98" s="5">
        <f t="shared" si="7"/>
        <v>119</v>
      </c>
      <c r="L98" s="3">
        <f>IF(F98=0,0,ROUNDUP(SQRT(2*'4. ABC XYZ Analysis'!F98*$U$3/(F98*$V$3)),0))</f>
        <v>17</v>
      </c>
      <c r="M98" s="3">
        <f>'1. Master Data'!I98</f>
        <v>122</v>
      </c>
      <c r="N98" s="3">
        <f t="shared" si="8"/>
        <v>53</v>
      </c>
      <c r="O98" s="5" t="str">
        <f t="shared" si="9"/>
        <v>ORDER SOON</v>
      </c>
      <c r="P98" s="5" t="str">
        <f t="shared" si="10"/>
        <v>HIGH</v>
      </c>
      <c r="Q98" s="3" t="str">
        <f t="shared" si="11"/>
        <v>Reorder Point</v>
      </c>
    </row>
    <row r="99" spans="1:17" ht="15" customHeight="1" x14ac:dyDescent="0.2">
      <c r="A99" s="3" t="str">
        <f>'1. Master Data'!A99</f>
        <v>NT10095</v>
      </c>
      <c r="B99" s="1" t="str">
        <f>'1. Master Data'!B99</f>
        <v>ProBook 648 i7 15in</v>
      </c>
      <c r="C99" s="3" t="str">
        <f>'1. Master Data'!D99</f>
        <v>East DC</v>
      </c>
      <c r="D99" s="5" t="str">
        <f>'4. ABC XYZ Analysis'!K99</f>
        <v>A</v>
      </c>
      <c r="E99" s="5" t="str">
        <f>'4. ABC XYZ Analysis'!M99</f>
        <v>Y</v>
      </c>
      <c r="F99" s="4">
        <f>'1. Master Data'!F99</f>
        <v>1266</v>
      </c>
      <c r="G99" s="3">
        <f>'1. Master Data'!G99</f>
        <v>29</v>
      </c>
      <c r="H99" s="8">
        <f>'3. Demand Forecast'!F99/$T$3</f>
        <v>1.7681818181818181</v>
      </c>
      <c r="I99" s="8">
        <f>'3. Demand Forecast'!G99/SQRT($T$3)</f>
        <v>3.0274501722496678</v>
      </c>
      <c r="J99" s="5">
        <f t="shared" si="6"/>
        <v>27</v>
      </c>
      <c r="K99" s="5">
        <f t="shared" si="7"/>
        <v>79</v>
      </c>
      <c r="L99" s="3">
        <f>IF(F99=0,0,ROUNDUP(SQRT(2*'4. ABC XYZ Analysis'!F99*$U$3/(F99*$V$3)),0))</f>
        <v>14</v>
      </c>
      <c r="M99" s="3">
        <f>'1. Master Data'!I99</f>
        <v>82</v>
      </c>
      <c r="N99" s="3">
        <f t="shared" si="8"/>
        <v>46</v>
      </c>
      <c r="O99" s="5" t="str">
        <f t="shared" si="9"/>
        <v>ORDER SOON</v>
      </c>
      <c r="P99" s="5" t="str">
        <f t="shared" si="10"/>
        <v>HIGH</v>
      </c>
      <c r="Q99" s="3" t="str">
        <f t="shared" si="11"/>
        <v>Reorder Point</v>
      </c>
    </row>
    <row r="100" spans="1:17" ht="15" customHeight="1" x14ac:dyDescent="0.2">
      <c r="A100" s="3" t="str">
        <f>'1. Master Data'!A100</f>
        <v>NT10096</v>
      </c>
      <c r="B100" s="1" t="str">
        <f>'1. Master Data'!B100</f>
        <v>UltraSlim 744 Ryzen 5</v>
      </c>
      <c r="C100" s="3" t="str">
        <f>'1. Master Data'!D100</f>
        <v>East DC</v>
      </c>
      <c r="D100" s="5" t="str">
        <f>'4. ABC XYZ Analysis'!K100</f>
        <v>A</v>
      </c>
      <c r="E100" s="5" t="str">
        <f>'4. ABC XYZ Analysis'!M100</f>
        <v>Y</v>
      </c>
      <c r="F100" s="4">
        <f>'1. Master Data'!F100</f>
        <v>1386</v>
      </c>
      <c r="G100" s="3">
        <f>'1. Master Data'!G100</f>
        <v>26</v>
      </c>
      <c r="H100" s="8">
        <f>'3. Demand Forecast'!F100/$T$3</f>
        <v>0.35454545454545455</v>
      </c>
      <c r="I100" s="8">
        <f>'3. Demand Forecast'!G100/SQRT($T$3)</f>
        <v>0.44772150434678193</v>
      </c>
      <c r="J100" s="5">
        <f t="shared" si="6"/>
        <v>4</v>
      </c>
      <c r="K100" s="5">
        <f t="shared" si="7"/>
        <v>14</v>
      </c>
      <c r="L100" s="3">
        <f>IF(F100=0,0,ROUNDUP(SQRT(2*'4. ABC XYZ Analysis'!F100*$U$3/(F100*$V$3)),0))</f>
        <v>12</v>
      </c>
      <c r="M100" s="3">
        <f>'1. Master Data'!I100</f>
        <v>17</v>
      </c>
      <c r="N100" s="3">
        <f t="shared" si="8"/>
        <v>48</v>
      </c>
      <c r="O100" s="5" t="str">
        <f t="shared" si="9"/>
        <v>OK</v>
      </c>
      <c r="P100" s="5" t="str">
        <f t="shared" si="10"/>
        <v>LOW</v>
      </c>
      <c r="Q100" s="3" t="str">
        <f t="shared" si="11"/>
        <v>Reorder Point</v>
      </c>
    </row>
    <row r="101" spans="1:17" ht="15" customHeight="1" x14ac:dyDescent="0.2">
      <c r="A101" s="3" t="str">
        <f>'1. Master Data'!A101</f>
        <v>NT10097</v>
      </c>
      <c r="B101" s="1" t="str">
        <f>'1. Master Data'!B101</f>
        <v>ProBook 462 i5 14in</v>
      </c>
      <c r="C101" s="3" t="str">
        <f>'1. Master Data'!D101</f>
        <v>Central DC</v>
      </c>
      <c r="D101" s="5" t="str">
        <f>'4. ABC XYZ Analysis'!K101</f>
        <v>A</v>
      </c>
      <c r="E101" s="5" t="str">
        <f>'4. ABC XYZ Analysis'!M101</f>
        <v>X</v>
      </c>
      <c r="F101" s="4">
        <f>'1. Master Data'!F101</f>
        <v>752</v>
      </c>
      <c r="G101" s="3">
        <f>'1. Master Data'!G101</f>
        <v>36</v>
      </c>
      <c r="H101" s="8">
        <f>'3. Demand Forecast'!F101/$T$3</f>
        <v>1.0863636363636362</v>
      </c>
      <c r="I101" s="8">
        <f>'3. Demand Forecast'!G101/SQRT($T$3)</f>
        <v>1.8974863755649329</v>
      </c>
      <c r="J101" s="5">
        <f t="shared" si="6"/>
        <v>19</v>
      </c>
      <c r="K101" s="5">
        <f t="shared" si="7"/>
        <v>59</v>
      </c>
      <c r="L101" s="3">
        <f>IF(F101=0,0,ROUNDUP(SQRT(2*'4. ABC XYZ Analysis'!F101*$U$3/(F101*$V$3)),0))</f>
        <v>33</v>
      </c>
      <c r="M101" s="3">
        <f>'1. Master Data'!I101</f>
        <v>62</v>
      </c>
      <c r="N101" s="3">
        <f t="shared" si="8"/>
        <v>57</v>
      </c>
      <c r="O101" s="5" t="str">
        <f t="shared" si="9"/>
        <v>ORDER SOON</v>
      </c>
      <c r="P101" s="5" t="str">
        <f t="shared" si="10"/>
        <v>HIGH</v>
      </c>
      <c r="Q101" s="3" t="str">
        <f t="shared" si="11"/>
        <v>Reorder Point</v>
      </c>
    </row>
    <row r="102" spans="1:17" ht="15" customHeight="1" x14ac:dyDescent="0.2">
      <c r="A102" s="3" t="str">
        <f>'1. Master Data'!A102</f>
        <v>NT10098</v>
      </c>
      <c r="B102" s="1" t="str">
        <f>'1. Master Data'!B102</f>
        <v>ProBook 660 i5 14in</v>
      </c>
      <c r="C102" s="3" t="str">
        <f>'1. Master Data'!D102</f>
        <v>East DC</v>
      </c>
      <c r="D102" s="5" t="str">
        <f>'4. ABC XYZ Analysis'!K102</f>
        <v>A</v>
      </c>
      <c r="E102" s="5" t="str">
        <f>'4. ABC XYZ Analysis'!M102</f>
        <v>X</v>
      </c>
      <c r="F102" s="4">
        <f>'1. Master Data'!F102</f>
        <v>950</v>
      </c>
      <c r="G102" s="3">
        <f>'1. Master Data'!G102</f>
        <v>45</v>
      </c>
      <c r="H102" s="8">
        <f>'3. Demand Forecast'!F102/$T$3</f>
        <v>1.3136363636363635</v>
      </c>
      <c r="I102" s="8">
        <f>'3. Demand Forecast'!G102/SQRT($T$3)</f>
        <v>2.1106870919205432</v>
      </c>
      <c r="J102" s="5">
        <f t="shared" si="6"/>
        <v>24</v>
      </c>
      <c r="K102" s="5">
        <f t="shared" si="7"/>
        <v>84</v>
      </c>
      <c r="L102" s="3">
        <f>IF(F102=0,0,ROUNDUP(SQRT(2*'4. ABC XYZ Analysis'!F102*$U$3/(F102*$V$3)),0))</f>
        <v>23</v>
      </c>
      <c r="M102" s="3">
        <f>'1. Master Data'!I102</f>
        <v>87</v>
      </c>
      <c r="N102" s="3">
        <f t="shared" si="8"/>
        <v>66</v>
      </c>
      <c r="O102" s="5" t="str">
        <f t="shared" si="9"/>
        <v>ORDER SOON</v>
      </c>
      <c r="P102" s="5" t="str">
        <f t="shared" si="10"/>
        <v>HIGH</v>
      </c>
      <c r="Q102" s="3" t="str">
        <f t="shared" si="11"/>
        <v>Reorder Point</v>
      </c>
    </row>
    <row r="103" spans="1:17" ht="15" customHeight="1" x14ac:dyDescent="0.2">
      <c r="A103" s="3" t="str">
        <f>'1. Master Data'!A103</f>
        <v>NT10099</v>
      </c>
      <c r="B103" s="1" t="str">
        <f>'1. Master Data'!B103</f>
        <v>WorkMate 633 i3 14in</v>
      </c>
      <c r="C103" s="3" t="str">
        <f>'1. Master Data'!D103</f>
        <v>West DC</v>
      </c>
      <c r="D103" s="5" t="str">
        <f>'4. ABC XYZ Analysis'!K103</f>
        <v>A</v>
      </c>
      <c r="E103" s="5" t="str">
        <f>'4. ABC XYZ Analysis'!M103</f>
        <v>Y</v>
      </c>
      <c r="F103" s="4">
        <f>'1. Master Data'!F103</f>
        <v>1125</v>
      </c>
      <c r="G103" s="3">
        <f>'1. Master Data'!G103</f>
        <v>22</v>
      </c>
      <c r="H103" s="8">
        <f>'3. Demand Forecast'!F103/$T$3</f>
        <v>5.0727272727272723</v>
      </c>
      <c r="I103" s="8">
        <f>'3. Demand Forecast'!G103/SQRT($T$3)</f>
        <v>7.9310666484287085</v>
      </c>
      <c r="J103" s="5">
        <f t="shared" si="6"/>
        <v>62</v>
      </c>
      <c r="K103" s="5">
        <f t="shared" si="7"/>
        <v>174</v>
      </c>
      <c r="L103" s="3">
        <f>IF(F103=0,0,ROUNDUP(SQRT(2*'4. ABC XYZ Analysis'!F103*$U$3/(F103*$V$3)),0))</f>
        <v>12</v>
      </c>
      <c r="M103" s="3">
        <f>'1. Master Data'!I103</f>
        <v>177</v>
      </c>
      <c r="N103" s="3">
        <f t="shared" si="8"/>
        <v>35</v>
      </c>
      <c r="O103" s="5" t="str">
        <f t="shared" si="9"/>
        <v>ORDER SOON</v>
      </c>
      <c r="P103" s="5" t="str">
        <f t="shared" si="10"/>
        <v>HIGH</v>
      </c>
      <c r="Q103" s="3" t="str">
        <f t="shared" si="11"/>
        <v>Reorder Point</v>
      </c>
    </row>
    <row r="104" spans="1:17" ht="15" customHeight="1" x14ac:dyDescent="0.2">
      <c r="A104" s="3" t="str">
        <f>'1. Master Data'!A104</f>
        <v>NT10100</v>
      </c>
      <c r="B104" s="1" t="str">
        <f>'1. Master Data'!B104</f>
        <v>ProBook 467 i7 15in</v>
      </c>
      <c r="C104" s="3" t="str">
        <f>'1. Master Data'!D104</f>
        <v>Central DC</v>
      </c>
      <c r="D104" s="5" t="str">
        <f>'4. ABC XYZ Analysis'!K104</f>
        <v>A</v>
      </c>
      <c r="E104" s="5" t="str">
        <f>'4. ABC XYZ Analysis'!M104</f>
        <v>Y</v>
      </c>
      <c r="F104" s="4">
        <f>'1. Master Data'!F104</f>
        <v>498</v>
      </c>
      <c r="G104" s="3">
        <f>'1. Master Data'!G104</f>
        <v>24</v>
      </c>
      <c r="H104" s="8">
        <f>'3. Demand Forecast'!F104/$T$3</f>
        <v>1.4909090909090907</v>
      </c>
      <c r="I104" s="8">
        <f>'3. Demand Forecast'!G104/SQRT($T$3)</f>
        <v>6.7797827801084116</v>
      </c>
      <c r="J104" s="5">
        <f t="shared" si="6"/>
        <v>55</v>
      </c>
      <c r="K104" s="5">
        <f t="shared" si="7"/>
        <v>91</v>
      </c>
      <c r="L104" s="3">
        <f>IF(F104=0,0,ROUNDUP(SQRT(2*'4. ABC XYZ Analysis'!F104*$U$3/(F104*$V$3)),0))</f>
        <v>26</v>
      </c>
      <c r="M104" s="3">
        <f>'1. Master Data'!I104</f>
        <v>94</v>
      </c>
      <c r="N104" s="3">
        <f t="shared" si="8"/>
        <v>63</v>
      </c>
      <c r="O104" s="5" t="str">
        <f t="shared" si="9"/>
        <v>ORDER SOON</v>
      </c>
      <c r="P104" s="5" t="str">
        <f t="shared" si="10"/>
        <v>HIGH</v>
      </c>
      <c r="Q104" s="3" t="str">
        <f t="shared" si="11"/>
        <v>Reorder Point</v>
      </c>
    </row>
    <row r="105" spans="1:17" ht="15" customHeight="1" x14ac:dyDescent="0.2">
      <c r="A105" s="3" t="str">
        <f>'1. Master Data'!A105</f>
        <v>NT10101</v>
      </c>
      <c r="B105" s="1" t="str">
        <f>'1. Master Data'!B105</f>
        <v>VisionQ 798in QLED</v>
      </c>
      <c r="C105" s="3" t="str">
        <f>'1. Master Data'!D105</f>
        <v>West DC</v>
      </c>
      <c r="D105" s="5" t="str">
        <f>'4. ABC XYZ Analysis'!K105</f>
        <v>A</v>
      </c>
      <c r="E105" s="5" t="str">
        <f>'4. ABC XYZ Analysis'!M105</f>
        <v>X</v>
      </c>
      <c r="F105" s="4">
        <f>'1. Master Data'!F105</f>
        <v>1259</v>
      </c>
      <c r="G105" s="3">
        <f>'1. Master Data'!G105</f>
        <v>39</v>
      </c>
      <c r="H105" s="8">
        <f>'3. Demand Forecast'!F105/$T$3</f>
        <v>0.46363636363636362</v>
      </c>
      <c r="I105" s="8">
        <f>'3. Demand Forecast'!G105/SQRT($T$3)</f>
        <v>0.78884265051575864</v>
      </c>
      <c r="J105" s="5">
        <f t="shared" si="6"/>
        <v>9</v>
      </c>
      <c r="K105" s="5">
        <f t="shared" si="7"/>
        <v>28</v>
      </c>
      <c r="L105" s="3">
        <f>IF(F105=0,0,ROUNDUP(SQRT(2*'4. ABC XYZ Analysis'!F105*$U$3/(F105*$V$3)),0))</f>
        <v>77</v>
      </c>
      <c r="M105" s="3">
        <f>'1. Master Data'!I105</f>
        <v>31</v>
      </c>
      <c r="N105" s="3">
        <f t="shared" si="8"/>
        <v>67</v>
      </c>
      <c r="O105" s="5" t="str">
        <f t="shared" si="9"/>
        <v>ORDER SOON</v>
      </c>
      <c r="P105" s="5" t="str">
        <f t="shared" si="10"/>
        <v>HIGH</v>
      </c>
      <c r="Q105" s="3" t="str">
        <f t="shared" si="11"/>
        <v>Reorder Point</v>
      </c>
    </row>
    <row r="106" spans="1:17" ht="15" customHeight="1" x14ac:dyDescent="0.2">
      <c r="A106" s="3" t="str">
        <f>'1. Master Data'!A106</f>
        <v>NT10102</v>
      </c>
      <c r="B106" s="1" t="str">
        <f>'1. Master Data'!B106</f>
        <v>VisionLED 933in 4K</v>
      </c>
      <c r="C106" s="3" t="str">
        <f>'1. Master Data'!D106</f>
        <v>Central DC</v>
      </c>
      <c r="D106" s="5" t="str">
        <f>'4. ABC XYZ Analysis'!K106</f>
        <v>A</v>
      </c>
      <c r="E106" s="5" t="str">
        <f>'4. ABC XYZ Analysis'!M106</f>
        <v>X</v>
      </c>
      <c r="F106" s="4">
        <f>'1. Master Data'!F106</f>
        <v>376</v>
      </c>
      <c r="G106" s="3">
        <f>'1. Master Data'!G106</f>
        <v>36</v>
      </c>
      <c r="H106" s="8">
        <f>'3. Demand Forecast'!F106/$T$3</f>
        <v>1.4818181818181819</v>
      </c>
      <c r="I106" s="8">
        <f>'3. Demand Forecast'!G106/SQRT($T$3)</f>
        <v>5.5645386968814323</v>
      </c>
      <c r="J106" s="5">
        <f t="shared" si="6"/>
        <v>56</v>
      </c>
      <c r="K106" s="5">
        <f t="shared" si="7"/>
        <v>110</v>
      </c>
      <c r="L106" s="3">
        <f>IF(F106=0,0,ROUNDUP(SQRT(2*'4. ABC XYZ Analysis'!F106*$U$3/(F106*$V$3)),0))</f>
        <v>37</v>
      </c>
      <c r="M106" s="3">
        <f>'1. Master Data'!I106</f>
        <v>113</v>
      </c>
      <c r="N106" s="3">
        <f t="shared" si="8"/>
        <v>76</v>
      </c>
      <c r="O106" s="5" t="str">
        <f t="shared" si="9"/>
        <v>ORDER SOON</v>
      </c>
      <c r="P106" s="5" t="str">
        <f t="shared" si="10"/>
        <v>HIGH</v>
      </c>
      <c r="Q106" s="3" t="str">
        <f t="shared" si="11"/>
        <v>Reorder Point</v>
      </c>
    </row>
    <row r="107" spans="1:17" ht="15" customHeight="1" x14ac:dyDescent="0.2">
      <c r="A107" s="3" t="str">
        <f>'1. Master Data'!A107</f>
        <v>NT10103</v>
      </c>
      <c r="B107" s="1" t="str">
        <f>'1. Master Data'!B107</f>
        <v>VisionLED 495in 4K</v>
      </c>
      <c r="C107" s="3" t="str">
        <f>'1. Master Data'!D107</f>
        <v>East DC</v>
      </c>
      <c r="D107" s="5" t="str">
        <f>'4. ABC XYZ Analysis'!K107</f>
        <v>A</v>
      </c>
      <c r="E107" s="5" t="str">
        <f>'4. ABC XYZ Analysis'!M107</f>
        <v>Y</v>
      </c>
      <c r="F107" s="4">
        <f>'1. Master Data'!F107</f>
        <v>1280</v>
      </c>
      <c r="G107" s="3">
        <f>'1. Master Data'!G107</f>
        <v>41</v>
      </c>
      <c r="H107" s="8">
        <f>'3. Demand Forecast'!F107/$T$3</f>
        <v>3.2409090909090907</v>
      </c>
      <c r="I107" s="8">
        <f>'3. Demand Forecast'!G107/SQRT($T$3)</f>
        <v>5.1168171925346506</v>
      </c>
      <c r="J107" s="5">
        <f t="shared" si="6"/>
        <v>55</v>
      </c>
      <c r="K107" s="5">
        <f t="shared" si="7"/>
        <v>188</v>
      </c>
      <c r="L107" s="3">
        <f>IF(F107=0,0,ROUNDUP(SQRT(2*'4. ABC XYZ Analysis'!F107*$U$3/(F107*$V$3)),0))</f>
        <v>14</v>
      </c>
      <c r="M107" s="3">
        <f>'1. Master Data'!I107</f>
        <v>190</v>
      </c>
      <c r="N107" s="3">
        <f t="shared" si="8"/>
        <v>59</v>
      </c>
      <c r="O107" s="5" t="str">
        <f t="shared" si="9"/>
        <v>ORDER SOON</v>
      </c>
      <c r="P107" s="5" t="str">
        <f t="shared" si="10"/>
        <v>HIGH</v>
      </c>
      <c r="Q107" s="3" t="str">
        <f t="shared" si="11"/>
        <v>Reorder Point</v>
      </c>
    </row>
    <row r="108" spans="1:17" ht="15" customHeight="1" x14ac:dyDescent="0.2">
      <c r="A108" s="3" t="str">
        <f>'1. Master Data'!A108</f>
        <v>NT10104</v>
      </c>
      <c r="B108" s="1" t="str">
        <f>'1. Master Data'!B108</f>
        <v>VisionLED 501in 4K</v>
      </c>
      <c r="C108" s="3" t="str">
        <f>'1. Master Data'!D108</f>
        <v>East DC</v>
      </c>
      <c r="D108" s="5" t="str">
        <f>'4. ABC XYZ Analysis'!K108</f>
        <v>A</v>
      </c>
      <c r="E108" s="5" t="str">
        <f>'4. ABC XYZ Analysis'!M108</f>
        <v>Y</v>
      </c>
      <c r="F108" s="4">
        <f>'1. Master Data'!F108</f>
        <v>1395</v>
      </c>
      <c r="G108" s="3">
        <f>'1. Master Data'!G108</f>
        <v>34</v>
      </c>
      <c r="H108" s="8">
        <f>'3. Demand Forecast'!F108/$T$3</f>
        <v>8.5590909090909104</v>
      </c>
      <c r="I108" s="8">
        <f>'3. Demand Forecast'!G108/SQRT($T$3)</f>
        <v>12.557522193345454</v>
      </c>
      <c r="J108" s="5">
        <f t="shared" si="6"/>
        <v>121</v>
      </c>
      <c r="K108" s="5">
        <f t="shared" si="7"/>
        <v>413</v>
      </c>
      <c r="L108" s="3">
        <f>IF(F108=0,0,ROUNDUP(SQRT(2*'4. ABC XYZ Analysis'!F108*$U$3/(F108*$V$3)),0))</f>
        <v>16</v>
      </c>
      <c r="M108" s="3">
        <f>'1. Master Data'!I108</f>
        <v>271</v>
      </c>
      <c r="N108" s="3">
        <f t="shared" si="8"/>
        <v>32</v>
      </c>
      <c r="O108" s="5" t="str">
        <f t="shared" si="9"/>
        <v>ORDER NOW</v>
      </c>
      <c r="P108" s="5" t="str">
        <f t="shared" si="10"/>
        <v>URGENT</v>
      </c>
      <c r="Q108" s="3" t="str">
        <f t="shared" si="11"/>
        <v>Reorder Point</v>
      </c>
    </row>
    <row r="109" spans="1:17" ht="15" customHeight="1" x14ac:dyDescent="0.2">
      <c r="A109" s="3" t="str">
        <f>'1. Master Data'!A109</f>
        <v>NT10105</v>
      </c>
      <c r="B109" s="1" t="str">
        <f>'1. Master Data'!B109</f>
        <v>VisionLED 850in 4K</v>
      </c>
      <c r="C109" s="3" t="str">
        <f>'1. Master Data'!D109</f>
        <v>Central DC</v>
      </c>
      <c r="D109" s="5" t="str">
        <f>'4. ABC XYZ Analysis'!K109</f>
        <v>A</v>
      </c>
      <c r="E109" s="5" t="str">
        <f>'4. ABC XYZ Analysis'!M109</f>
        <v>Y</v>
      </c>
      <c r="F109" s="4">
        <f>'1. Master Data'!F109</f>
        <v>613</v>
      </c>
      <c r="G109" s="3">
        <f>'1. Master Data'!G109</f>
        <v>43</v>
      </c>
      <c r="H109" s="8">
        <f>'3. Demand Forecast'!F109/$T$3</f>
        <v>1.1727272727272728</v>
      </c>
      <c r="I109" s="8">
        <f>'3. Demand Forecast'!G109/SQRT($T$3)</f>
        <v>1.556365229395956</v>
      </c>
      <c r="J109" s="5">
        <f t="shared" si="6"/>
        <v>17</v>
      </c>
      <c r="K109" s="5">
        <f t="shared" si="7"/>
        <v>68</v>
      </c>
      <c r="L109" s="3">
        <f>IF(F109=0,0,ROUNDUP(SQRT(2*'4. ABC XYZ Analysis'!F109*$U$3/(F109*$V$3)),0))</f>
        <v>37</v>
      </c>
      <c r="M109" s="3">
        <f>'1. Master Data'!I109</f>
        <v>71</v>
      </c>
      <c r="N109" s="3">
        <f t="shared" si="8"/>
        <v>61</v>
      </c>
      <c r="O109" s="5" t="str">
        <f t="shared" si="9"/>
        <v>ORDER SOON</v>
      </c>
      <c r="P109" s="5" t="str">
        <f t="shared" si="10"/>
        <v>HIGH</v>
      </c>
      <c r="Q109" s="3" t="str">
        <f t="shared" si="11"/>
        <v>Reorder Point</v>
      </c>
    </row>
    <row r="110" spans="1:17" ht="15" customHeight="1" x14ac:dyDescent="0.2">
      <c r="A110" s="3" t="str">
        <f>'1. Master Data'!A110</f>
        <v>NT10106</v>
      </c>
      <c r="B110" s="1" t="str">
        <f>'1. Master Data'!B110</f>
        <v>CinemaMax 807in 8K</v>
      </c>
      <c r="C110" s="3" t="str">
        <f>'1. Master Data'!D110</f>
        <v>Central DC</v>
      </c>
      <c r="D110" s="5" t="str">
        <f>'4. ABC XYZ Analysis'!K110</f>
        <v>A</v>
      </c>
      <c r="E110" s="5" t="str">
        <f>'4. ABC XYZ Analysis'!M110</f>
        <v>Z</v>
      </c>
      <c r="F110" s="4">
        <f>'1. Master Data'!F110</f>
        <v>788</v>
      </c>
      <c r="G110" s="3">
        <f>'1. Master Data'!G110</f>
        <v>38</v>
      </c>
      <c r="H110" s="8">
        <f>'3. Demand Forecast'!F110/$T$3</f>
        <v>0.59090909090909094</v>
      </c>
      <c r="I110" s="8">
        <f>'3. Demand Forecast'!G110/SQRT($T$3)</f>
        <v>0.93808315196468595</v>
      </c>
      <c r="J110" s="5">
        <f t="shared" si="6"/>
        <v>10</v>
      </c>
      <c r="K110" s="5">
        <f t="shared" si="7"/>
        <v>33</v>
      </c>
      <c r="L110" s="3">
        <f>IF(F110=0,0,ROUNDUP(SQRT(2*'4. ABC XYZ Analysis'!F110*$U$3/(F110*$V$3)),0))</f>
        <v>17</v>
      </c>
      <c r="M110" s="3">
        <f>'1. Master Data'!I110</f>
        <v>36</v>
      </c>
      <c r="N110" s="3">
        <f t="shared" si="8"/>
        <v>61</v>
      </c>
      <c r="O110" s="5" t="str">
        <f t="shared" si="9"/>
        <v>ORDER SOON</v>
      </c>
      <c r="P110" s="5" t="str">
        <f t="shared" si="10"/>
        <v>HIGH</v>
      </c>
      <c r="Q110" s="3" t="str">
        <f t="shared" si="11"/>
        <v>Min Max</v>
      </c>
    </row>
    <row r="111" spans="1:17" ht="15" customHeight="1" x14ac:dyDescent="0.2">
      <c r="A111" s="3" t="str">
        <f>'1. Master Data'!A111</f>
        <v>NT10107</v>
      </c>
      <c r="B111" s="1" t="str">
        <f>'1. Master Data'!B111</f>
        <v>VisionOLED 709in 4K</v>
      </c>
      <c r="C111" s="3" t="str">
        <f>'1. Master Data'!D111</f>
        <v>West DC</v>
      </c>
      <c r="D111" s="5" t="str">
        <f>'4. ABC XYZ Analysis'!K111</f>
        <v>A</v>
      </c>
      <c r="E111" s="5" t="str">
        <f>'4. ABC XYZ Analysis'!M111</f>
        <v>Y</v>
      </c>
      <c r="F111" s="4">
        <f>'1. Master Data'!F111</f>
        <v>686</v>
      </c>
      <c r="G111" s="3">
        <f>'1. Master Data'!G111</f>
        <v>39</v>
      </c>
      <c r="H111" s="8">
        <f>'3. Demand Forecast'!F111/$T$3</f>
        <v>2.1636363636363636</v>
      </c>
      <c r="I111" s="8">
        <f>'3. Demand Forecast'!G111/SQRT($T$3)</f>
        <v>2.9848100289785457</v>
      </c>
      <c r="J111" s="5">
        <f t="shared" si="6"/>
        <v>31</v>
      </c>
      <c r="K111" s="5">
        <f t="shared" si="7"/>
        <v>116</v>
      </c>
      <c r="L111" s="3">
        <f>IF(F111=0,0,ROUNDUP(SQRT(2*'4. ABC XYZ Analysis'!F111*$U$3/(F111*$V$3)),0))</f>
        <v>32</v>
      </c>
      <c r="M111" s="3">
        <f>'1. Master Data'!I111</f>
        <v>119</v>
      </c>
      <c r="N111" s="3">
        <f t="shared" si="8"/>
        <v>55</v>
      </c>
      <c r="O111" s="5" t="str">
        <f t="shared" si="9"/>
        <v>ORDER SOON</v>
      </c>
      <c r="P111" s="5" t="str">
        <f t="shared" si="10"/>
        <v>HIGH</v>
      </c>
      <c r="Q111" s="3" t="str">
        <f t="shared" si="11"/>
        <v>Reorder Point</v>
      </c>
    </row>
    <row r="112" spans="1:17" ht="15" customHeight="1" x14ac:dyDescent="0.2">
      <c r="A112" s="3" t="str">
        <f>'1. Master Data'!A112</f>
        <v>NT10108</v>
      </c>
      <c r="B112" s="1" t="str">
        <f>'1. Master Data'!B112</f>
        <v>CinemaMax 594in 8K</v>
      </c>
      <c r="C112" s="3" t="str">
        <f>'1. Master Data'!D112</f>
        <v>East DC</v>
      </c>
      <c r="D112" s="5" t="str">
        <f>'4. ABC XYZ Analysis'!K112</f>
        <v>A</v>
      </c>
      <c r="E112" s="5" t="str">
        <f>'4. ABC XYZ Analysis'!M112</f>
        <v>Y</v>
      </c>
      <c r="F112" s="4">
        <f>'1. Master Data'!F112</f>
        <v>747</v>
      </c>
      <c r="G112" s="3">
        <f>'1. Master Data'!G112</f>
        <v>39</v>
      </c>
      <c r="H112" s="8">
        <f>'3. Demand Forecast'!F112/$T$3</f>
        <v>2.2181818181818183</v>
      </c>
      <c r="I112" s="8">
        <f>'3. Demand Forecast'!G112/SQRT($T$3)</f>
        <v>8.8051895854867102</v>
      </c>
      <c r="J112" s="5">
        <f t="shared" si="6"/>
        <v>91</v>
      </c>
      <c r="K112" s="5">
        <f t="shared" si="7"/>
        <v>178</v>
      </c>
      <c r="L112" s="3">
        <f>IF(F112=0,0,ROUNDUP(SQRT(2*'4. ABC XYZ Analysis'!F112*$U$3/(F112*$V$3)),0))</f>
        <v>16</v>
      </c>
      <c r="M112" s="3">
        <f>'1. Master Data'!I112</f>
        <v>181</v>
      </c>
      <c r="N112" s="3">
        <f t="shared" si="8"/>
        <v>82</v>
      </c>
      <c r="O112" s="5" t="str">
        <f t="shared" si="9"/>
        <v>ORDER SOON</v>
      </c>
      <c r="P112" s="5" t="str">
        <f t="shared" si="10"/>
        <v>HIGH</v>
      </c>
      <c r="Q112" s="3" t="str">
        <f t="shared" si="11"/>
        <v>Reorder Point</v>
      </c>
    </row>
    <row r="113" spans="1:17" ht="15" customHeight="1" x14ac:dyDescent="0.2">
      <c r="A113" s="3" t="str">
        <f>'1. Master Data'!A113</f>
        <v>NT10109</v>
      </c>
      <c r="B113" s="1" t="str">
        <f>'1. Master Data'!B113</f>
        <v>VisionQ 346in QLED</v>
      </c>
      <c r="C113" s="3" t="str">
        <f>'1. Master Data'!D113</f>
        <v>Central DC</v>
      </c>
      <c r="D113" s="5" t="str">
        <f>'4. ABC XYZ Analysis'!K113</f>
        <v>A</v>
      </c>
      <c r="E113" s="5" t="str">
        <f>'4. ABC XYZ Analysis'!M113</f>
        <v>Y</v>
      </c>
      <c r="F113" s="4">
        <f>'1. Master Data'!F113</f>
        <v>1184</v>
      </c>
      <c r="G113" s="3">
        <f>'1. Master Data'!G113</f>
        <v>36</v>
      </c>
      <c r="H113" s="8">
        <f>'3. Demand Forecast'!F113/$T$3</f>
        <v>2.4363636363636365</v>
      </c>
      <c r="I113" s="8">
        <f>'3. Demand Forecast'!G113/SQRT($T$3)</f>
        <v>3.1340505304274733</v>
      </c>
      <c r="J113" s="5">
        <f t="shared" si="6"/>
        <v>32</v>
      </c>
      <c r="K113" s="5">
        <f t="shared" si="7"/>
        <v>120</v>
      </c>
      <c r="L113" s="3">
        <f>IF(F113=0,0,ROUNDUP(SQRT(2*'4. ABC XYZ Analysis'!F113*$U$3/(F113*$V$3)),0))</f>
        <v>19</v>
      </c>
      <c r="M113" s="3">
        <f>'1. Master Data'!I113</f>
        <v>123</v>
      </c>
      <c r="N113" s="3">
        <f t="shared" si="8"/>
        <v>50</v>
      </c>
      <c r="O113" s="5" t="str">
        <f t="shared" si="9"/>
        <v>ORDER SOON</v>
      </c>
      <c r="P113" s="5" t="str">
        <f t="shared" si="10"/>
        <v>HIGH</v>
      </c>
      <c r="Q113" s="3" t="str">
        <f t="shared" si="11"/>
        <v>Reorder Point</v>
      </c>
    </row>
    <row r="114" spans="1:17" ht="15" customHeight="1" x14ac:dyDescent="0.2">
      <c r="A114" s="3" t="str">
        <f>'1. Master Data'!A114</f>
        <v>NT10110</v>
      </c>
      <c r="B114" s="1" t="str">
        <f>'1. Master Data'!B114</f>
        <v>VisionOLED 643in 4K</v>
      </c>
      <c r="C114" s="3" t="str">
        <f>'1. Master Data'!D114</f>
        <v>West DC</v>
      </c>
      <c r="D114" s="5" t="str">
        <f>'4. ABC XYZ Analysis'!K114</f>
        <v>A</v>
      </c>
      <c r="E114" s="5" t="str">
        <f>'4. ABC XYZ Analysis'!M114</f>
        <v>X</v>
      </c>
      <c r="F114" s="4">
        <f>'1. Master Data'!F114</f>
        <v>1054</v>
      </c>
      <c r="G114" s="3">
        <f>'1. Master Data'!G114</f>
        <v>41</v>
      </c>
      <c r="H114" s="8">
        <f>'3. Demand Forecast'!F114/$T$3</f>
        <v>1.3954545454545455</v>
      </c>
      <c r="I114" s="8">
        <f>'3. Demand Forecast'!G114/SQRT($T$3)</f>
        <v>4.9888967627212839</v>
      </c>
      <c r="J114" s="5">
        <f t="shared" si="6"/>
        <v>53</v>
      </c>
      <c r="K114" s="5">
        <f t="shared" si="7"/>
        <v>111</v>
      </c>
      <c r="L114" s="3">
        <f>IF(F114=0,0,ROUNDUP(SQRT(2*'4. ABC XYZ Analysis'!F114*$U$3/(F114*$V$3)),0))</f>
        <v>46</v>
      </c>
      <c r="M114" s="3">
        <f>'1. Master Data'!I114</f>
        <v>114</v>
      </c>
      <c r="N114" s="3">
        <f t="shared" si="8"/>
        <v>82</v>
      </c>
      <c r="O114" s="5" t="str">
        <f t="shared" si="9"/>
        <v>ORDER SOON</v>
      </c>
      <c r="P114" s="5" t="str">
        <f t="shared" si="10"/>
        <v>HIGH</v>
      </c>
      <c r="Q114" s="3" t="str">
        <f t="shared" si="11"/>
        <v>Reorder Point</v>
      </c>
    </row>
    <row r="115" spans="1:17" ht="15" customHeight="1" x14ac:dyDescent="0.2">
      <c r="A115" s="3" t="str">
        <f>'1. Master Data'!A115</f>
        <v>NT10111</v>
      </c>
      <c r="B115" s="1" t="str">
        <f>'1. Master Data'!B115</f>
        <v>VisionOLED 568in 4K</v>
      </c>
      <c r="C115" s="3" t="str">
        <f>'1. Master Data'!D115</f>
        <v>East DC</v>
      </c>
      <c r="D115" s="5" t="str">
        <f>'4. ABC XYZ Analysis'!K115</f>
        <v>A</v>
      </c>
      <c r="E115" s="5" t="str">
        <f>'4. ABC XYZ Analysis'!M115</f>
        <v>Y</v>
      </c>
      <c r="F115" s="4">
        <f>'1. Master Data'!F115</f>
        <v>527</v>
      </c>
      <c r="G115" s="3">
        <f>'1. Master Data'!G115</f>
        <v>44</v>
      </c>
      <c r="H115" s="8">
        <f>'3. Demand Forecast'!F115/$T$3</f>
        <v>0.77727272727272734</v>
      </c>
      <c r="I115" s="8">
        <f>'3. Demand Forecast'!G115/SQRT($T$3)</f>
        <v>0.93808315196468595</v>
      </c>
      <c r="J115" s="5">
        <f t="shared" si="6"/>
        <v>11</v>
      </c>
      <c r="K115" s="5">
        <f t="shared" si="7"/>
        <v>46</v>
      </c>
      <c r="L115" s="3">
        <f>IF(F115=0,0,ROUNDUP(SQRT(2*'4. ABC XYZ Analysis'!F115*$U$3/(F115*$V$3)),0))</f>
        <v>64</v>
      </c>
      <c r="M115" s="3">
        <f>'1. Master Data'!I115</f>
        <v>49</v>
      </c>
      <c r="N115" s="3">
        <f t="shared" si="8"/>
        <v>63</v>
      </c>
      <c r="O115" s="5" t="str">
        <f t="shared" si="9"/>
        <v>ORDER SOON</v>
      </c>
      <c r="P115" s="5" t="str">
        <f t="shared" si="10"/>
        <v>HIGH</v>
      </c>
      <c r="Q115" s="3" t="str">
        <f t="shared" si="11"/>
        <v>Reorder Point</v>
      </c>
    </row>
    <row r="116" spans="1:17" ht="15" customHeight="1" x14ac:dyDescent="0.2">
      <c r="A116" s="3" t="str">
        <f>'1. Master Data'!A116</f>
        <v>NT10112</v>
      </c>
      <c r="B116" s="1" t="str">
        <f>'1. Master Data'!B116</f>
        <v>VisionOLED 301in 4K</v>
      </c>
      <c r="C116" s="3" t="str">
        <f>'1. Master Data'!D116</f>
        <v>East DC</v>
      </c>
      <c r="D116" s="5" t="str">
        <f>'4. ABC XYZ Analysis'!K116</f>
        <v>A</v>
      </c>
      <c r="E116" s="5" t="str">
        <f>'4. ABC XYZ Analysis'!M116</f>
        <v>Y</v>
      </c>
      <c r="F116" s="4">
        <f>'1. Master Data'!F116</f>
        <v>646</v>
      </c>
      <c r="G116" s="3">
        <f>'1. Master Data'!G116</f>
        <v>36</v>
      </c>
      <c r="H116" s="8">
        <f>'3. Demand Forecast'!F116/$T$3</f>
        <v>0.37272727272727268</v>
      </c>
      <c r="I116" s="8">
        <f>'3. Demand Forecast'!G116/SQRT($T$3)</f>
        <v>0.53300179088902611</v>
      </c>
      <c r="J116" s="5">
        <f t="shared" si="6"/>
        <v>6</v>
      </c>
      <c r="K116" s="5">
        <f t="shared" si="7"/>
        <v>20</v>
      </c>
      <c r="L116" s="3">
        <f>IF(F116=0,0,ROUNDUP(SQRT(2*'4. ABC XYZ Analysis'!F116*$U$3/(F116*$V$3)),0))</f>
        <v>59</v>
      </c>
      <c r="M116" s="3">
        <f>'1. Master Data'!I116</f>
        <v>26</v>
      </c>
      <c r="N116" s="3">
        <f t="shared" si="8"/>
        <v>70</v>
      </c>
      <c r="O116" s="5" t="str">
        <f t="shared" si="9"/>
        <v>OK</v>
      </c>
      <c r="P116" s="5" t="str">
        <f t="shared" si="10"/>
        <v>LOW</v>
      </c>
      <c r="Q116" s="3" t="str">
        <f t="shared" si="11"/>
        <v>Reorder Point</v>
      </c>
    </row>
    <row r="117" spans="1:17" ht="15" customHeight="1" x14ac:dyDescent="0.2">
      <c r="A117" s="3" t="str">
        <f>'1. Master Data'!A117</f>
        <v>NT10113</v>
      </c>
      <c r="B117" s="1" t="str">
        <f>'1. Master Data'!B117</f>
        <v>VisionLED 323in 4K</v>
      </c>
      <c r="C117" s="3" t="str">
        <f>'1. Master Data'!D117</f>
        <v>West DC</v>
      </c>
      <c r="D117" s="5" t="str">
        <f>'4. ABC XYZ Analysis'!K117</f>
        <v>A</v>
      </c>
      <c r="E117" s="5" t="str">
        <f>'4. ABC XYZ Analysis'!M117</f>
        <v>Y</v>
      </c>
      <c r="F117" s="4">
        <f>'1. Master Data'!F117</f>
        <v>1425</v>
      </c>
      <c r="G117" s="3">
        <f>'1. Master Data'!G117</f>
        <v>39</v>
      </c>
      <c r="H117" s="8">
        <f>'3. Demand Forecast'!F117/$T$3</f>
        <v>1.9136363636363638</v>
      </c>
      <c r="I117" s="8">
        <f>'3. Demand Forecast'!G117/SQRT($T$3)</f>
        <v>2.6650089544451303</v>
      </c>
      <c r="J117" s="5">
        <f t="shared" si="6"/>
        <v>28</v>
      </c>
      <c r="K117" s="5">
        <f t="shared" si="7"/>
        <v>103</v>
      </c>
      <c r="L117" s="3">
        <f>IF(F117=0,0,ROUNDUP(SQRT(2*'4. ABC XYZ Analysis'!F117*$U$3/(F117*$V$3)),0))</f>
        <v>13</v>
      </c>
      <c r="M117" s="3">
        <f>'1. Master Data'!I117</f>
        <v>106</v>
      </c>
      <c r="N117" s="3">
        <f t="shared" si="8"/>
        <v>55</v>
      </c>
      <c r="O117" s="5" t="str">
        <f t="shared" si="9"/>
        <v>ORDER SOON</v>
      </c>
      <c r="P117" s="5" t="str">
        <f t="shared" si="10"/>
        <v>HIGH</v>
      </c>
      <c r="Q117" s="3" t="str">
        <f t="shared" si="11"/>
        <v>Reorder Point</v>
      </c>
    </row>
    <row r="118" spans="1:17" ht="15" customHeight="1" x14ac:dyDescent="0.2">
      <c r="A118" s="3" t="str">
        <f>'1. Master Data'!A118</f>
        <v>NT10114</v>
      </c>
      <c r="B118" s="1" t="str">
        <f>'1. Master Data'!B118</f>
        <v>CinemaMax 961in 8K</v>
      </c>
      <c r="C118" s="3" t="str">
        <f>'1. Master Data'!D118</f>
        <v>Central DC</v>
      </c>
      <c r="D118" s="5" t="str">
        <f>'4. ABC XYZ Analysis'!K118</f>
        <v>A</v>
      </c>
      <c r="E118" s="5" t="str">
        <f>'4. ABC XYZ Analysis'!M118</f>
        <v>X</v>
      </c>
      <c r="F118" s="4">
        <f>'1. Master Data'!F118</f>
        <v>1632</v>
      </c>
      <c r="G118" s="3">
        <f>'1. Master Data'!G118</f>
        <v>35</v>
      </c>
      <c r="H118" s="8">
        <f>'3. Demand Forecast'!F118/$T$3</f>
        <v>1.8772727272727272</v>
      </c>
      <c r="I118" s="8">
        <f>'3. Demand Forecast'!G118/SQRT($T$3)</f>
        <v>2.430488166453959</v>
      </c>
      <c r="J118" s="5">
        <f t="shared" si="6"/>
        <v>24</v>
      </c>
      <c r="K118" s="5">
        <f t="shared" si="7"/>
        <v>90</v>
      </c>
      <c r="L118" s="3">
        <f>IF(F118=0,0,ROUNDUP(SQRT(2*'4. ABC XYZ Analysis'!F118*$U$3/(F118*$V$3)),0))</f>
        <v>22</v>
      </c>
      <c r="M118" s="3">
        <f>'1. Master Data'!I118</f>
        <v>49</v>
      </c>
      <c r="N118" s="3">
        <f t="shared" si="8"/>
        <v>26</v>
      </c>
      <c r="O118" s="5" t="str">
        <f t="shared" si="9"/>
        <v>ORDER NOW</v>
      </c>
      <c r="P118" s="5" t="str">
        <f t="shared" si="10"/>
        <v>URGENT</v>
      </c>
      <c r="Q118" s="3" t="str">
        <f t="shared" si="11"/>
        <v>Reorder Point</v>
      </c>
    </row>
    <row r="119" spans="1:17" ht="15" customHeight="1" x14ac:dyDescent="0.2">
      <c r="A119" s="3" t="str">
        <f>'1. Master Data'!A119</f>
        <v>NT10115</v>
      </c>
      <c r="B119" s="1" t="str">
        <f>'1. Master Data'!B119</f>
        <v>VisionLED 272in 4K</v>
      </c>
      <c r="C119" s="3" t="str">
        <f>'1. Master Data'!D119</f>
        <v>East DC</v>
      </c>
      <c r="D119" s="5" t="str">
        <f>'4. ABC XYZ Analysis'!K119</f>
        <v>A</v>
      </c>
      <c r="E119" s="5" t="str">
        <f>'4. ABC XYZ Analysis'!M119</f>
        <v>Y</v>
      </c>
      <c r="F119" s="4">
        <f>'1. Master Data'!F119</f>
        <v>719</v>
      </c>
      <c r="G119" s="3">
        <f>'1. Master Data'!G119</f>
        <v>36</v>
      </c>
      <c r="H119" s="8">
        <f>'3. Demand Forecast'!F119/$T$3</f>
        <v>0.4272727272727273</v>
      </c>
      <c r="I119" s="8">
        <f>'3. Demand Forecast'!G119/SQRT($T$3)</f>
        <v>0.61828207743127017</v>
      </c>
      <c r="J119" s="5">
        <f t="shared" si="6"/>
        <v>7</v>
      </c>
      <c r="K119" s="5">
        <f t="shared" si="7"/>
        <v>23</v>
      </c>
      <c r="L119" s="3">
        <f>IF(F119=0,0,ROUNDUP(SQRT(2*'4. ABC XYZ Analysis'!F119*$U$3/(F119*$V$3)),0))</f>
        <v>41</v>
      </c>
      <c r="M119" s="3">
        <f>'1. Master Data'!I119</f>
        <v>44</v>
      </c>
      <c r="N119" s="3">
        <f t="shared" si="8"/>
        <v>103</v>
      </c>
      <c r="O119" s="5" t="str">
        <f t="shared" si="9"/>
        <v>OK</v>
      </c>
      <c r="P119" s="5" t="str">
        <f t="shared" si="10"/>
        <v>LOW</v>
      </c>
      <c r="Q119" s="3" t="str">
        <f t="shared" si="11"/>
        <v>Reorder Point</v>
      </c>
    </row>
    <row r="120" spans="1:17" ht="15" customHeight="1" x14ac:dyDescent="0.2">
      <c r="A120" s="3" t="str">
        <f>'1. Master Data'!A120</f>
        <v>NT10116</v>
      </c>
      <c r="B120" s="1" t="str">
        <f>'1. Master Data'!B120</f>
        <v>CinemaMax 365in 8K</v>
      </c>
      <c r="C120" s="3" t="str">
        <f>'1. Master Data'!D120</f>
        <v>West DC</v>
      </c>
      <c r="D120" s="5" t="str">
        <f>'4. ABC XYZ Analysis'!K120</f>
        <v>A</v>
      </c>
      <c r="E120" s="5" t="str">
        <f>'4. ABC XYZ Analysis'!M120</f>
        <v>X</v>
      </c>
      <c r="F120" s="4">
        <f>'1. Master Data'!F120</f>
        <v>1790</v>
      </c>
      <c r="G120" s="3">
        <f>'1. Master Data'!G120</f>
        <v>43</v>
      </c>
      <c r="H120" s="8">
        <f>'3. Demand Forecast'!F120/$T$3</f>
        <v>1.718181818181818</v>
      </c>
      <c r="I120" s="8">
        <f>'3. Demand Forecast'!G120/SQRT($T$3)</f>
        <v>2.3452078799117149</v>
      </c>
      <c r="J120" s="5">
        <f t="shared" si="6"/>
        <v>26</v>
      </c>
      <c r="K120" s="5">
        <f t="shared" si="7"/>
        <v>100</v>
      </c>
      <c r="L120" s="3">
        <f>IF(F120=0,0,ROUNDUP(SQRT(2*'4. ABC XYZ Analysis'!F120*$U$3/(F120*$V$3)),0))</f>
        <v>31</v>
      </c>
      <c r="M120" s="3">
        <f>'1. Master Data'!I120</f>
        <v>103</v>
      </c>
      <c r="N120" s="3">
        <f t="shared" si="8"/>
        <v>60</v>
      </c>
      <c r="O120" s="5" t="str">
        <f t="shared" si="9"/>
        <v>ORDER SOON</v>
      </c>
      <c r="P120" s="5" t="str">
        <f t="shared" si="10"/>
        <v>HIGH</v>
      </c>
      <c r="Q120" s="3" t="str">
        <f t="shared" si="11"/>
        <v>Reorder Point</v>
      </c>
    </row>
    <row r="121" spans="1:17" ht="15" customHeight="1" x14ac:dyDescent="0.2">
      <c r="A121" s="3" t="str">
        <f>'1. Master Data'!A121</f>
        <v>NT10117</v>
      </c>
      <c r="B121" s="1" t="str">
        <f>'1. Master Data'!B121</f>
        <v>VisionOLED 607in 4K</v>
      </c>
      <c r="C121" s="3" t="str">
        <f>'1. Master Data'!D121</f>
        <v>East DC</v>
      </c>
      <c r="D121" s="5" t="str">
        <f>'4. ABC XYZ Analysis'!K121</f>
        <v>A</v>
      </c>
      <c r="E121" s="5" t="str">
        <f>'4. ABC XYZ Analysis'!M121</f>
        <v>Z</v>
      </c>
      <c r="F121" s="4">
        <f>'1. Master Data'!F121</f>
        <v>1020</v>
      </c>
      <c r="G121" s="3">
        <f>'1. Master Data'!G121</f>
        <v>40</v>
      </c>
      <c r="H121" s="8">
        <f>'3. Demand Forecast'!F121/$T$3</f>
        <v>0.5</v>
      </c>
      <c r="I121" s="8">
        <f>'3. Demand Forecast'!G121/SQRT($T$3)</f>
        <v>2.601048739538447</v>
      </c>
      <c r="J121" s="5">
        <f t="shared" si="6"/>
        <v>28</v>
      </c>
      <c r="K121" s="5">
        <f t="shared" si="7"/>
        <v>48</v>
      </c>
      <c r="L121" s="3">
        <f>IF(F121=0,0,ROUNDUP(SQRT(2*'4. ABC XYZ Analysis'!F121*$U$3/(F121*$V$3)),0))</f>
        <v>67</v>
      </c>
      <c r="M121" s="3">
        <f>'1. Master Data'!I121</f>
        <v>51</v>
      </c>
      <c r="N121" s="3">
        <f t="shared" si="8"/>
        <v>102</v>
      </c>
      <c r="O121" s="5" t="str">
        <f t="shared" si="9"/>
        <v>ORDER SOON</v>
      </c>
      <c r="P121" s="5" t="str">
        <f t="shared" si="10"/>
        <v>HIGH</v>
      </c>
      <c r="Q121" s="3" t="str">
        <f t="shared" si="11"/>
        <v>Min Max</v>
      </c>
    </row>
    <row r="122" spans="1:17" ht="15" customHeight="1" x14ac:dyDescent="0.2">
      <c r="A122" s="3" t="str">
        <f>'1. Master Data'!A122</f>
        <v>NT10118</v>
      </c>
      <c r="B122" s="1" t="str">
        <f>'1. Master Data'!B122</f>
        <v>VisionOLED 132in 4K</v>
      </c>
      <c r="C122" s="3" t="str">
        <f>'1. Master Data'!D122</f>
        <v>West DC</v>
      </c>
      <c r="D122" s="5" t="str">
        <f>'4. ABC XYZ Analysis'!K122</f>
        <v>A</v>
      </c>
      <c r="E122" s="5" t="str">
        <f>'4. ABC XYZ Analysis'!M122</f>
        <v>Y</v>
      </c>
      <c r="F122" s="4">
        <f>'1. Master Data'!F122</f>
        <v>1090</v>
      </c>
      <c r="G122" s="3">
        <f>'1. Master Data'!G122</f>
        <v>38</v>
      </c>
      <c r="H122" s="8">
        <f>'3. Demand Forecast'!F122/$T$3</f>
        <v>1.6181818181818182</v>
      </c>
      <c r="I122" s="8">
        <f>'3. Demand Forecast'!G122/SQRT($T$3)</f>
        <v>2.3025677366405928</v>
      </c>
      <c r="J122" s="5">
        <f t="shared" si="6"/>
        <v>24</v>
      </c>
      <c r="K122" s="5">
        <f t="shared" si="7"/>
        <v>86</v>
      </c>
      <c r="L122" s="3">
        <f>IF(F122=0,0,ROUNDUP(SQRT(2*'4. ABC XYZ Analysis'!F122*$U$3/(F122*$V$3)),0))</f>
        <v>12</v>
      </c>
      <c r="M122" s="3">
        <f>'1. Master Data'!I122</f>
        <v>89</v>
      </c>
      <c r="N122" s="3">
        <f t="shared" si="8"/>
        <v>55</v>
      </c>
      <c r="O122" s="5" t="str">
        <f t="shared" si="9"/>
        <v>ORDER SOON</v>
      </c>
      <c r="P122" s="5" t="str">
        <f t="shared" si="10"/>
        <v>HIGH</v>
      </c>
      <c r="Q122" s="3" t="str">
        <f t="shared" si="11"/>
        <v>Reorder Point</v>
      </c>
    </row>
    <row r="123" spans="1:17" ht="15" customHeight="1" x14ac:dyDescent="0.2">
      <c r="A123" s="3" t="str">
        <f>'1. Master Data'!A123</f>
        <v>NT10119</v>
      </c>
      <c r="B123" s="1" t="str">
        <f>'1. Master Data'!B123</f>
        <v>VisionOLED 275in 4K</v>
      </c>
      <c r="C123" s="3" t="str">
        <f>'1. Master Data'!D123</f>
        <v>West DC</v>
      </c>
      <c r="D123" s="5" t="str">
        <f>'4. ABC XYZ Analysis'!K123</f>
        <v>A</v>
      </c>
      <c r="E123" s="5" t="str">
        <f>'4. ABC XYZ Analysis'!M123</f>
        <v>Y</v>
      </c>
      <c r="F123" s="4">
        <f>'1. Master Data'!F123</f>
        <v>1445</v>
      </c>
      <c r="G123" s="3">
        <f>'1. Master Data'!G123</f>
        <v>34</v>
      </c>
      <c r="H123" s="8">
        <f>'3. Demand Forecast'!F123/$T$3</f>
        <v>0.10454545454545454</v>
      </c>
      <c r="I123" s="8">
        <f>'3. Demand Forecast'!G123/SQRT($T$3)</f>
        <v>0.49036164761790396</v>
      </c>
      <c r="J123" s="5">
        <f t="shared" si="6"/>
        <v>5</v>
      </c>
      <c r="K123" s="5">
        <f t="shared" si="7"/>
        <v>9</v>
      </c>
      <c r="L123" s="3">
        <f>IF(F123=0,0,ROUNDUP(SQRT(2*'4. ABC XYZ Analysis'!F123*$U$3/(F123*$V$3)),0))</f>
        <v>14</v>
      </c>
      <c r="M123" s="3">
        <f>'1. Master Data'!I123</f>
        <v>12</v>
      </c>
      <c r="N123" s="3">
        <f t="shared" si="8"/>
        <v>115</v>
      </c>
      <c r="O123" s="5" t="str">
        <f t="shared" si="9"/>
        <v>OK</v>
      </c>
      <c r="P123" s="5" t="str">
        <f t="shared" si="10"/>
        <v>LOW</v>
      </c>
      <c r="Q123" s="3" t="str">
        <f t="shared" si="11"/>
        <v>Reorder Point</v>
      </c>
    </row>
    <row r="124" spans="1:17" ht="15" customHeight="1" x14ac:dyDescent="0.2">
      <c r="A124" s="3" t="str">
        <f>'1. Master Data'!A124</f>
        <v>NT10120</v>
      </c>
      <c r="B124" s="1" t="str">
        <f>'1. Master Data'!B124</f>
        <v>VisionOLED 579in 4K</v>
      </c>
      <c r="C124" s="3" t="str">
        <f>'1. Master Data'!D124</f>
        <v>West DC</v>
      </c>
      <c r="D124" s="5" t="str">
        <f>'4. ABC XYZ Analysis'!K124</f>
        <v>A</v>
      </c>
      <c r="E124" s="5" t="str">
        <f>'4. ABC XYZ Analysis'!M124</f>
        <v>Z</v>
      </c>
      <c r="F124" s="4">
        <f>'1. Master Data'!F124</f>
        <v>1005</v>
      </c>
      <c r="G124" s="3">
        <f>'1. Master Data'!G124</f>
        <v>32</v>
      </c>
      <c r="H124" s="8">
        <f>'3. Demand Forecast'!F124/$T$3</f>
        <v>0.33181818181818179</v>
      </c>
      <c r="I124" s="8">
        <f>'3. Demand Forecast'!G124/SQRT($T$3)</f>
        <v>0.53300179088902611</v>
      </c>
      <c r="J124" s="5">
        <f t="shared" si="6"/>
        <v>5</v>
      </c>
      <c r="K124" s="5">
        <f t="shared" si="7"/>
        <v>16</v>
      </c>
      <c r="L124" s="3">
        <f>IF(F124=0,0,ROUNDUP(SQRT(2*'4. ABC XYZ Analysis'!F124*$U$3/(F124*$V$3)),0))</f>
        <v>16</v>
      </c>
      <c r="M124" s="3">
        <f>'1. Master Data'!I124</f>
        <v>24</v>
      </c>
      <c r="N124" s="3">
        <f t="shared" si="8"/>
        <v>72</v>
      </c>
      <c r="O124" s="5" t="str">
        <f t="shared" si="9"/>
        <v>OK</v>
      </c>
      <c r="P124" s="5" t="str">
        <f t="shared" si="10"/>
        <v>LOW</v>
      </c>
      <c r="Q124" s="3" t="str">
        <f t="shared" si="11"/>
        <v>Min Max</v>
      </c>
    </row>
    <row r="125" spans="1:17" ht="15" customHeight="1" x14ac:dyDescent="0.2">
      <c r="A125" s="3" t="str">
        <f>'1. Master Data'!A125</f>
        <v>NT10121</v>
      </c>
      <c r="B125" s="1" t="str">
        <f>'1. Master Data'!B125</f>
        <v>VisionOLED 942in 4K</v>
      </c>
      <c r="C125" s="3" t="str">
        <f>'1. Master Data'!D125</f>
        <v>Central DC</v>
      </c>
      <c r="D125" s="5" t="str">
        <f>'4. ABC XYZ Analysis'!K125</f>
        <v>A</v>
      </c>
      <c r="E125" s="5" t="str">
        <f>'4. ABC XYZ Analysis'!M125</f>
        <v>Y</v>
      </c>
      <c r="F125" s="4">
        <f>'1. Master Data'!F125</f>
        <v>605</v>
      </c>
      <c r="G125" s="3">
        <f>'1. Master Data'!G125</f>
        <v>43</v>
      </c>
      <c r="H125" s="8">
        <f>'3. Demand Forecast'!F125/$T$3</f>
        <v>2.0272727272727273</v>
      </c>
      <c r="I125" s="8">
        <f>'3. Demand Forecast'!G125/SQRT($T$3)</f>
        <v>2.8995297424363016</v>
      </c>
      <c r="J125" s="5">
        <f t="shared" si="6"/>
        <v>32</v>
      </c>
      <c r="K125" s="5">
        <f t="shared" si="7"/>
        <v>120</v>
      </c>
      <c r="L125" s="3">
        <f>IF(F125=0,0,ROUNDUP(SQRT(2*'4. ABC XYZ Analysis'!F125*$U$3/(F125*$V$3)),0))</f>
        <v>59</v>
      </c>
      <c r="M125" s="3">
        <f>'1. Master Data'!I125</f>
        <v>123</v>
      </c>
      <c r="N125" s="3">
        <f t="shared" si="8"/>
        <v>61</v>
      </c>
      <c r="O125" s="5" t="str">
        <f t="shared" si="9"/>
        <v>ORDER SOON</v>
      </c>
      <c r="P125" s="5" t="str">
        <f t="shared" si="10"/>
        <v>HIGH</v>
      </c>
      <c r="Q125" s="3" t="str">
        <f t="shared" si="11"/>
        <v>Reorder Point</v>
      </c>
    </row>
    <row r="126" spans="1:17" ht="15" customHeight="1" x14ac:dyDescent="0.2">
      <c r="A126" s="3" t="str">
        <f>'1. Master Data'!A126</f>
        <v>NT10122</v>
      </c>
      <c r="B126" s="1" t="str">
        <f>'1. Master Data'!B126</f>
        <v>VisionLED 242in 4K</v>
      </c>
      <c r="C126" s="3" t="str">
        <f>'1. Master Data'!D126</f>
        <v>Central DC</v>
      </c>
      <c r="D126" s="5" t="str">
        <f>'4. ABC XYZ Analysis'!K126</f>
        <v>A</v>
      </c>
      <c r="E126" s="5" t="str">
        <f>'4. ABC XYZ Analysis'!M126</f>
        <v>Y</v>
      </c>
      <c r="F126" s="4">
        <f>'1. Master Data'!F126</f>
        <v>483</v>
      </c>
      <c r="G126" s="3">
        <f>'1. Master Data'!G126</f>
        <v>38</v>
      </c>
      <c r="H126" s="8">
        <f>'3. Demand Forecast'!F126/$T$3</f>
        <v>2.7045454545454546</v>
      </c>
      <c r="I126" s="8">
        <f>'3. Demand Forecast'!G126/SQRT($T$3)</f>
        <v>3.7736526794943046</v>
      </c>
      <c r="J126" s="5">
        <f t="shared" si="6"/>
        <v>39</v>
      </c>
      <c r="K126" s="5">
        <f t="shared" si="7"/>
        <v>142</v>
      </c>
      <c r="L126" s="3">
        <f>IF(F126=0,0,ROUNDUP(SQRT(2*'4. ABC XYZ Analysis'!F126*$U$3/(F126*$V$3)),0))</f>
        <v>40</v>
      </c>
      <c r="M126" s="3">
        <f>'1. Master Data'!I126</f>
        <v>145</v>
      </c>
      <c r="N126" s="3">
        <f t="shared" si="8"/>
        <v>54</v>
      </c>
      <c r="O126" s="5" t="str">
        <f t="shared" si="9"/>
        <v>ORDER SOON</v>
      </c>
      <c r="P126" s="5" t="str">
        <f t="shared" si="10"/>
        <v>HIGH</v>
      </c>
      <c r="Q126" s="3" t="str">
        <f t="shared" si="11"/>
        <v>Reorder Point</v>
      </c>
    </row>
    <row r="127" spans="1:17" ht="15" customHeight="1" x14ac:dyDescent="0.2">
      <c r="A127" s="3" t="str">
        <f>'1. Master Data'!A127</f>
        <v>NT10123</v>
      </c>
      <c r="B127" s="1" t="str">
        <f>'1. Master Data'!B127</f>
        <v>VisionQ 624in QLED</v>
      </c>
      <c r="C127" s="3" t="str">
        <f>'1. Master Data'!D127</f>
        <v>East DC</v>
      </c>
      <c r="D127" s="5" t="str">
        <f>'4. ABC XYZ Analysis'!K127</f>
        <v>A</v>
      </c>
      <c r="E127" s="5" t="str">
        <f>'4. ABC XYZ Analysis'!M127</f>
        <v>Y</v>
      </c>
      <c r="F127" s="4">
        <f>'1. Master Data'!F127</f>
        <v>1696</v>
      </c>
      <c r="G127" s="3">
        <f>'1. Master Data'!G127</f>
        <v>33</v>
      </c>
      <c r="H127" s="8">
        <f>'3. Demand Forecast'!F127/$T$3</f>
        <v>1.718181818181818</v>
      </c>
      <c r="I127" s="8">
        <f>'3. Demand Forecast'!G127/SQRT($T$3)</f>
        <v>2.7929293842584966</v>
      </c>
      <c r="J127" s="5">
        <f t="shared" si="6"/>
        <v>27</v>
      </c>
      <c r="K127" s="5">
        <f t="shared" si="7"/>
        <v>84</v>
      </c>
      <c r="L127" s="3">
        <f>IF(F127=0,0,ROUNDUP(SQRT(2*'4. ABC XYZ Analysis'!F127*$U$3/(F127*$V$3)),0))</f>
        <v>24</v>
      </c>
      <c r="M127" s="3">
        <f>'1. Master Data'!I127</f>
        <v>87</v>
      </c>
      <c r="N127" s="3">
        <f t="shared" si="8"/>
        <v>51</v>
      </c>
      <c r="O127" s="5" t="str">
        <f t="shared" si="9"/>
        <v>ORDER SOON</v>
      </c>
      <c r="P127" s="5" t="str">
        <f t="shared" si="10"/>
        <v>HIGH</v>
      </c>
      <c r="Q127" s="3" t="str">
        <f t="shared" si="11"/>
        <v>Reorder Point</v>
      </c>
    </row>
    <row r="128" spans="1:17" ht="15" customHeight="1" x14ac:dyDescent="0.2">
      <c r="A128" s="3" t="str">
        <f>'1. Master Data'!A128</f>
        <v>NT10124</v>
      </c>
      <c r="B128" s="1" t="str">
        <f>'1. Master Data'!B128</f>
        <v>VisionLED 486in 4K</v>
      </c>
      <c r="C128" s="3" t="str">
        <f>'1. Master Data'!D128</f>
        <v>West DC</v>
      </c>
      <c r="D128" s="5" t="str">
        <f>'4. ABC XYZ Analysis'!K128</f>
        <v>A</v>
      </c>
      <c r="E128" s="5" t="str">
        <f>'4. ABC XYZ Analysis'!M128</f>
        <v>Y</v>
      </c>
      <c r="F128" s="4">
        <f>'1. Master Data'!F128</f>
        <v>1517</v>
      </c>
      <c r="G128" s="3">
        <f>'1. Master Data'!G128</f>
        <v>36</v>
      </c>
      <c r="H128" s="8">
        <f>'3. Demand Forecast'!F128/$T$3</f>
        <v>2.0181818181818181</v>
      </c>
      <c r="I128" s="8">
        <f>'3. Demand Forecast'!G128/SQRT($T$3)</f>
        <v>2.9634899573429849</v>
      </c>
      <c r="J128" s="5">
        <f t="shared" si="6"/>
        <v>30</v>
      </c>
      <c r="K128" s="5">
        <f t="shared" si="7"/>
        <v>103</v>
      </c>
      <c r="L128" s="3">
        <f>IF(F128=0,0,ROUNDUP(SQRT(2*'4. ABC XYZ Analysis'!F128*$U$3/(F128*$V$3)),0))</f>
        <v>18</v>
      </c>
      <c r="M128" s="3">
        <f>'1. Master Data'!I128</f>
        <v>106</v>
      </c>
      <c r="N128" s="3">
        <f t="shared" si="8"/>
        <v>53</v>
      </c>
      <c r="O128" s="5" t="str">
        <f t="shared" si="9"/>
        <v>ORDER SOON</v>
      </c>
      <c r="P128" s="5" t="str">
        <f t="shared" si="10"/>
        <v>HIGH</v>
      </c>
      <c r="Q128" s="3" t="str">
        <f t="shared" si="11"/>
        <v>Reorder Point</v>
      </c>
    </row>
    <row r="129" spans="1:17" ht="15" customHeight="1" x14ac:dyDescent="0.2">
      <c r="A129" s="3" t="str">
        <f>'1. Master Data'!A129</f>
        <v>NT10125</v>
      </c>
      <c r="B129" s="1" t="str">
        <f>'1. Master Data'!B129</f>
        <v>VisionOLED 414in 4K</v>
      </c>
      <c r="C129" s="3" t="str">
        <f>'1. Master Data'!D129</f>
        <v>East DC</v>
      </c>
      <c r="D129" s="5" t="str">
        <f>'4. ABC XYZ Analysis'!K129</f>
        <v>A</v>
      </c>
      <c r="E129" s="5" t="str">
        <f>'4. ABC XYZ Analysis'!M129</f>
        <v>Y</v>
      </c>
      <c r="F129" s="4">
        <f>'1. Master Data'!F129</f>
        <v>1001</v>
      </c>
      <c r="G129" s="3">
        <f>'1. Master Data'!G129</f>
        <v>32</v>
      </c>
      <c r="H129" s="8">
        <f>'3. Demand Forecast'!F129/$T$3</f>
        <v>5.504545454545454</v>
      </c>
      <c r="I129" s="8">
        <f>'3. Demand Forecast'!G129/SQRT($T$3)</f>
        <v>7.4407050008108033</v>
      </c>
      <c r="J129" s="5">
        <f t="shared" si="6"/>
        <v>70</v>
      </c>
      <c r="K129" s="5">
        <f t="shared" si="7"/>
        <v>247</v>
      </c>
      <c r="L129" s="3">
        <f>IF(F129=0,0,ROUNDUP(SQRT(2*'4. ABC XYZ Analysis'!F129*$U$3/(F129*$V$3)),0))</f>
        <v>11</v>
      </c>
      <c r="M129" s="3">
        <f>'1. Master Data'!I129</f>
        <v>250</v>
      </c>
      <c r="N129" s="3">
        <f t="shared" si="8"/>
        <v>45</v>
      </c>
      <c r="O129" s="5" t="str">
        <f t="shared" si="9"/>
        <v>ORDER SOON</v>
      </c>
      <c r="P129" s="5" t="str">
        <f t="shared" si="10"/>
        <v>HIGH</v>
      </c>
      <c r="Q129" s="3" t="str">
        <f t="shared" si="11"/>
        <v>Reorder Point</v>
      </c>
    </row>
    <row r="130" spans="1:17" ht="15" customHeight="1" x14ac:dyDescent="0.2">
      <c r="A130" s="3" t="str">
        <f>'1. Master Data'!A130</f>
        <v>NT10126</v>
      </c>
      <c r="B130" s="1" t="str">
        <f>'1. Master Data'!B130</f>
        <v>VisionOLED 780in 4K</v>
      </c>
      <c r="C130" s="3" t="str">
        <f>'1. Master Data'!D130</f>
        <v>West DC</v>
      </c>
      <c r="D130" s="5" t="str">
        <f>'4. ABC XYZ Analysis'!K130</f>
        <v>A</v>
      </c>
      <c r="E130" s="5" t="str">
        <f>'4. ABC XYZ Analysis'!M130</f>
        <v>X</v>
      </c>
      <c r="F130" s="4">
        <f>'1. Master Data'!F130</f>
        <v>625</v>
      </c>
      <c r="G130" s="3">
        <f>'1. Master Data'!G130</f>
        <v>44</v>
      </c>
      <c r="H130" s="8">
        <f>'3. Demand Forecast'!F130/$T$3</f>
        <v>1.7681818181818181</v>
      </c>
      <c r="I130" s="8">
        <f>'3. Demand Forecast'!G130/SQRT($T$3)</f>
        <v>2.601048739538447</v>
      </c>
      <c r="J130" s="5">
        <f t="shared" si="6"/>
        <v>29</v>
      </c>
      <c r="K130" s="5">
        <f t="shared" si="7"/>
        <v>107</v>
      </c>
      <c r="L130" s="3">
        <f>IF(F130=0,0,ROUNDUP(SQRT(2*'4. ABC XYZ Analysis'!F130*$U$3/(F130*$V$3)),0))</f>
        <v>74</v>
      </c>
      <c r="M130" s="3">
        <f>'1. Master Data'!I130</f>
        <v>110</v>
      </c>
      <c r="N130" s="3">
        <f t="shared" si="8"/>
        <v>62</v>
      </c>
      <c r="O130" s="5" t="str">
        <f t="shared" si="9"/>
        <v>ORDER SOON</v>
      </c>
      <c r="P130" s="5" t="str">
        <f t="shared" si="10"/>
        <v>HIGH</v>
      </c>
      <c r="Q130" s="3" t="str">
        <f t="shared" si="11"/>
        <v>Reorder Point</v>
      </c>
    </row>
    <row r="131" spans="1:17" ht="15" customHeight="1" x14ac:dyDescent="0.2">
      <c r="A131" s="3" t="str">
        <f>'1. Master Data'!A131</f>
        <v>NT10127</v>
      </c>
      <c r="B131" s="1" t="str">
        <f>'1. Master Data'!B131</f>
        <v>CinemaMax 215in 8K</v>
      </c>
      <c r="C131" s="3" t="str">
        <f>'1. Master Data'!D131</f>
        <v>Central DC</v>
      </c>
      <c r="D131" s="5" t="str">
        <f>'4. ABC XYZ Analysis'!K131</f>
        <v>A</v>
      </c>
      <c r="E131" s="5" t="str">
        <f>'4. ABC XYZ Analysis'!M131</f>
        <v>Y</v>
      </c>
      <c r="F131" s="4">
        <f>'1. Master Data'!F131</f>
        <v>308</v>
      </c>
      <c r="G131" s="3">
        <f>'1. Master Data'!G131</f>
        <v>34</v>
      </c>
      <c r="H131" s="8">
        <f>'3. Demand Forecast'!F131/$T$3</f>
        <v>1.8681818181818182</v>
      </c>
      <c r="I131" s="8">
        <f>'3. Demand Forecast'!G131/SQRT($T$3)</f>
        <v>2.4518082380895199</v>
      </c>
      <c r="J131" s="5">
        <f t="shared" si="6"/>
        <v>24</v>
      </c>
      <c r="K131" s="5">
        <f t="shared" si="7"/>
        <v>88</v>
      </c>
      <c r="L131" s="3">
        <f>IF(F131=0,0,ROUNDUP(SQRT(2*'4. ABC XYZ Analysis'!F131*$U$3/(F131*$V$3)),0))</f>
        <v>23</v>
      </c>
      <c r="M131" s="3">
        <f>'1. Master Data'!I131</f>
        <v>91</v>
      </c>
      <c r="N131" s="3">
        <f t="shared" si="8"/>
        <v>49</v>
      </c>
      <c r="O131" s="5" t="str">
        <f t="shared" si="9"/>
        <v>ORDER SOON</v>
      </c>
      <c r="P131" s="5" t="str">
        <f t="shared" si="10"/>
        <v>HIGH</v>
      </c>
      <c r="Q131" s="3" t="str">
        <f t="shared" si="11"/>
        <v>Reorder Point</v>
      </c>
    </row>
    <row r="132" spans="1:17" ht="15" customHeight="1" x14ac:dyDescent="0.2">
      <c r="A132" s="3" t="str">
        <f>'1. Master Data'!A132</f>
        <v>NT10128</v>
      </c>
      <c r="B132" s="1" t="str">
        <f>'1. Master Data'!B132</f>
        <v>VisionQ 120in QLED</v>
      </c>
      <c r="C132" s="3" t="str">
        <f>'1. Master Data'!D132</f>
        <v>West DC</v>
      </c>
      <c r="D132" s="5" t="str">
        <f>'4. ABC XYZ Analysis'!K132</f>
        <v>A</v>
      </c>
      <c r="E132" s="5" t="str">
        <f>'4. ABC XYZ Analysis'!M132</f>
        <v>Y</v>
      </c>
      <c r="F132" s="4">
        <f>'1. Master Data'!F132</f>
        <v>905</v>
      </c>
      <c r="G132" s="3">
        <f>'1. Master Data'!G132</f>
        <v>41</v>
      </c>
      <c r="H132" s="8">
        <f>'3. Demand Forecast'!F132/$T$3</f>
        <v>2.65</v>
      </c>
      <c r="I132" s="8">
        <f>'3. Demand Forecast'!G132/SQRT($T$3)</f>
        <v>3.8162928227654263</v>
      </c>
      <c r="J132" s="5">
        <f t="shared" si="6"/>
        <v>41</v>
      </c>
      <c r="K132" s="5">
        <f t="shared" si="7"/>
        <v>150</v>
      </c>
      <c r="L132" s="3">
        <f>IF(F132=0,0,ROUNDUP(SQRT(2*'4. ABC XYZ Analysis'!F132*$U$3/(F132*$V$3)),0))</f>
        <v>21</v>
      </c>
      <c r="M132" s="3">
        <f>'1. Master Data'!I132</f>
        <v>153</v>
      </c>
      <c r="N132" s="3">
        <f t="shared" si="8"/>
        <v>58</v>
      </c>
      <c r="O132" s="5" t="str">
        <f t="shared" si="9"/>
        <v>ORDER SOON</v>
      </c>
      <c r="P132" s="5" t="str">
        <f t="shared" si="10"/>
        <v>HIGH</v>
      </c>
      <c r="Q132" s="3" t="str">
        <f t="shared" si="11"/>
        <v>Reorder Point</v>
      </c>
    </row>
    <row r="133" spans="1:17" ht="15" customHeight="1" x14ac:dyDescent="0.2">
      <c r="A133" s="3" t="str">
        <f>'1. Master Data'!A133</f>
        <v>NT10129</v>
      </c>
      <c r="B133" s="1" t="str">
        <f>'1. Master Data'!B133</f>
        <v>VisionLED 554in 4K</v>
      </c>
      <c r="C133" s="3" t="str">
        <f>'1. Master Data'!D133</f>
        <v>East DC</v>
      </c>
      <c r="D133" s="5" t="str">
        <f>'4. ABC XYZ Analysis'!K133</f>
        <v>A</v>
      </c>
      <c r="E133" s="5" t="str">
        <f>'4. ABC XYZ Analysis'!M133</f>
        <v>Z</v>
      </c>
      <c r="F133" s="4">
        <f>'1. Master Data'!F133</f>
        <v>765</v>
      </c>
      <c r="G133" s="3">
        <f>'1. Master Data'!G133</f>
        <v>33</v>
      </c>
      <c r="H133" s="8">
        <f>'3. Demand Forecast'!F133/$T$3</f>
        <v>2.2636363636363637</v>
      </c>
      <c r="I133" s="8">
        <f>'3. Demand Forecast'!G133/SQRT($T$3)</f>
        <v>2.9208498140718628</v>
      </c>
      <c r="J133" s="5">
        <f t="shared" ref="J133:J196" si="12">ROUNDUP($S$3*I133*SQRT(G133),0)</f>
        <v>28</v>
      </c>
      <c r="K133" s="5">
        <f t="shared" ref="K133:K196" si="13">ROUNDUP(H133*G133+J133,0)</f>
        <v>103</v>
      </c>
      <c r="L133" s="3">
        <f>IF(F133=0,0,ROUNDUP(SQRT(2*'4. ABC XYZ Analysis'!F133*$U$3/(F133*$V$3)),0))</f>
        <v>16</v>
      </c>
      <c r="M133" s="3">
        <f>'1. Master Data'!I133</f>
        <v>106</v>
      </c>
      <c r="N133" s="3">
        <f t="shared" ref="N133:N196" si="14">IF(H133=0,999,ROUND(M133/H133,0))</f>
        <v>47</v>
      </c>
      <c r="O133" s="5" t="str">
        <f t="shared" ref="O133:O196" si="15">IF(M133&lt;=K133,"ORDER NOW",IF(M133&lt;=K133*1.2,"ORDER SOON","OK"))</f>
        <v>ORDER SOON</v>
      </c>
      <c r="P133" s="5" t="str">
        <f t="shared" ref="P133:P196" si="16">IF(O133="ORDER NOW",IF(D133="A","URGENT",IF(D133="B","HIGH","MEDIUM")),IF(O133="ORDER SOON",IF(D133="A","HIGH","MEDIUM"),"LOW"))</f>
        <v>HIGH</v>
      </c>
      <c r="Q133" s="3" t="str">
        <f t="shared" ref="Q133:Q196" si="17">IF(E133="Z","Min Max","Reorder Point")</f>
        <v>Min Max</v>
      </c>
    </row>
    <row r="134" spans="1:17" ht="15" customHeight="1" x14ac:dyDescent="0.2">
      <c r="A134" s="3" t="str">
        <f>'1. Master Data'!A134</f>
        <v>NT10130</v>
      </c>
      <c r="B134" s="1" t="str">
        <f>'1. Master Data'!B134</f>
        <v>CinemaMax 380in 8K</v>
      </c>
      <c r="C134" s="3" t="str">
        <f>'1. Master Data'!D134</f>
        <v>West DC</v>
      </c>
      <c r="D134" s="5" t="str">
        <f>'4. ABC XYZ Analysis'!K134</f>
        <v>A</v>
      </c>
      <c r="E134" s="5" t="str">
        <f>'4. ABC XYZ Analysis'!M134</f>
        <v>Y</v>
      </c>
      <c r="F134" s="4">
        <f>'1. Master Data'!F134</f>
        <v>1209</v>
      </c>
      <c r="G134" s="3">
        <f>'1. Master Data'!G134</f>
        <v>44</v>
      </c>
      <c r="H134" s="8">
        <f>'3. Demand Forecast'!F134/$T$3</f>
        <v>0.57727272727272727</v>
      </c>
      <c r="I134" s="8">
        <f>'3. Demand Forecast'!G134/SQRT($T$3)</f>
        <v>0.68224229233795342</v>
      </c>
      <c r="J134" s="5">
        <f t="shared" si="12"/>
        <v>8</v>
      </c>
      <c r="K134" s="5">
        <f t="shared" si="13"/>
        <v>34</v>
      </c>
      <c r="L134" s="3">
        <f>IF(F134=0,0,ROUNDUP(SQRT(2*'4. ABC XYZ Analysis'!F134*$U$3/(F134*$V$3)),0))</f>
        <v>11</v>
      </c>
      <c r="M134" s="3">
        <f>'1. Master Data'!I134</f>
        <v>44</v>
      </c>
      <c r="N134" s="3">
        <f t="shared" si="14"/>
        <v>76</v>
      </c>
      <c r="O134" s="5" t="str">
        <f t="shared" si="15"/>
        <v>OK</v>
      </c>
      <c r="P134" s="5" t="str">
        <f t="shared" si="16"/>
        <v>LOW</v>
      </c>
      <c r="Q134" s="3" t="str">
        <f t="shared" si="17"/>
        <v>Reorder Point</v>
      </c>
    </row>
    <row r="135" spans="1:17" ht="15" customHeight="1" x14ac:dyDescent="0.2">
      <c r="A135" s="3" t="str">
        <f>'1. Master Data'!A135</f>
        <v>NT10131</v>
      </c>
      <c r="B135" s="1" t="str">
        <f>'1. Master Data'!B135</f>
        <v>CinemaMax 580in 8K</v>
      </c>
      <c r="C135" s="3" t="str">
        <f>'1. Master Data'!D135</f>
        <v>East DC</v>
      </c>
      <c r="D135" s="5" t="str">
        <f>'4. ABC XYZ Analysis'!K135</f>
        <v>A</v>
      </c>
      <c r="E135" s="5" t="str">
        <f>'4. ABC XYZ Analysis'!M135</f>
        <v>Y</v>
      </c>
      <c r="F135" s="4">
        <f>'1. Master Data'!F135</f>
        <v>644</v>
      </c>
      <c r="G135" s="3">
        <f>'1. Master Data'!G135</f>
        <v>37</v>
      </c>
      <c r="H135" s="8">
        <f>'3. Demand Forecast'!F135/$T$3</f>
        <v>0.65</v>
      </c>
      <c r="I135" s="8">
        <f>'3. Demand Forecast'!G135/SQRT($T$3)</f>
        <v>0.93808315196468595</v>
      </c>
      <c r="J135" s="5">
        <f t="shared" si="12"/>
        <v>10</v>
      </c>
      <c r="K135" s="5">
        <f t="shared" si="13"/>
        <v>35</v>
      </c>
      <c r="L135" s="3">
        <f>IF(F135=0,0,ROUNDUP(SQRT(2*'4. ABC XYZ Analysis'!F135*$U$3/(F135*$V$3)),0))</f>
        <v>77</v>
      </c>
      <c r="M135" s="3">
        <f>'1. Master Data'!I135</f>
        <v>38</v>
      </c>
      <c r="N135" s="3">
        <f t="shared" si="14"/>
        <v>58</v>
      </c>
      <c r="O135" s="5" t="str">
        <f t="shared" si="15"/>
        <v>ORDER SOON</v>
      </c>
      <c r="P135" s="5" t="str">
        <f t="shared" si="16"/>
        <v>HIGH</v>
      </c>
      <c r="Q135" s="3" t="str">
        <f t="shared" si="17"/>
        <v>Reorder Point</v>
      </c>
    </row>
    <row r="136" spans="1:17" ht="15" customHeight="1" x14ac:dyDescent="0.2">
      <c r="A136" s="3" t="str">
        <f>'1. Master Data'!A136</f>
        <v>NT10132</v>
      </c>
      <c r="B136" s="1" t="str">
        <f>'1. Master Data'!B136</f>
        <v>VisionOLED 815in 4K</v>
      </c>
      <c r="C136" s="3" t="str">
        <f>'1. Master Data'!D136</f>
        <v>Central DC</v>
      </c>
      <c r="D136" s="5" t="str">
        <f>'4. ABC XYZ Analysis'!K136</f>
        <v>A</v>
      </c>
      <c r="E136" s="5" t="str">
        <f>'4. ABC XYZ Analysis'!M136</f>
        <v>X</v>
      </c>
      <c r="F136" s="4">
        <f>'1. Master Data'!F136</f>
        <v>1126</v>
      </c>
      <c r="G136" s="3">
        <f>'1. Master Data'!G136</f>
        <v>43</v>
      </c>
      <c r="H136" s="8">
        <f>'3. Demand Forecast'!F136/$T$3</f>
        <v>0.94090909090909092</v>
      </c>
      <c r="I136" s="8">
        <f>'3. Demand Forecast'!G136/SQRT($T$3)</f>
        <v>1.5137250861248339</v>
      </c>
      <c r="J136" s="5">
        <f t="shared" si="12"/>
        <v>17</v>
      </c>
      <c r="K136" s="5">
        <f t="shared" si="13"/>
        <v>58</v>
      </c>
      <c r="L136" s="3">
        <f>IF(F136=0,0,ROUNDUP(SQRT(2*'4. ABC XYZ Analysis'!F136*$U$3/(F136*$V$3)),0))</f>
        <v>37</v>
      </c>
      <c r="M136" s="3">
        <f>'1. Master Data'!I136</f>
        <v>61</v>
      </c>
      <c r="N136" s="3">
        <f t="shared" si="14"/>
        <v>65</v>
      </c>
      <c r="O136" s="5" t="str">
        <f t="shared" si="15"/>
        <v>ORDER SOON</v>
      </c>
      <c r="P136" s="5" t="str">
        <f t="shared" si="16"/>
        <v>HIGH</v>
      </c>
      <c r="Q136" s="3" t="str">
        <f t="shared" si="17"/>
        <v>Reorder Point</v>
      </c>
    </row>
    <row r="137" spans="1:17" ht="15" customHeight="1" x14ac:dyDescent="0.2">
      <c r="A137" s="3" t="str">
        <f>'1. Master Data'!A137</f>
        <v>NT10133</v>
      </c>
      <c r="B137" s="1" t="str">
        <f>'1. Master Data'!B137</f>
        <v>VisionOLED 919in 4K</v>
      </c>
      <c r="C137" s="3" t="str">
        <f>'1. Master Data'!D137</f>
        <v>West DC</v>
      </c>
      <c r="D137" s="5" t="str">
        <f>'4. ABC XYZ Analysis'!K137</f>
        <v>A</v>
      </c>
      <c r="E137" s="5" t="str">
        <f>'4. ABC XYZ Analysis'!M137</f>
        <v>Y</v>
      </c>
      <c r="F137" s="4">
        <f>'1. Master Data'!F137</f>
        <v>1088</v>
      </c>
      <c r="G137" s="3">
        <f>'1. Master Data'!G137</f>
        <v>35</v>
      </c>
      <c r="H137" s="8">
        <f>'3. Demand Forecast'!F137/$T$3</f>
        <v>0.71818181818181825</v>
      </c>
      <c r="I137" s="8">
        <f>'3. Demand Forecast'!G137/SQRT($T$3)</f>
        <v>1.0020433668713691</v>
      </c>
      <c r="J137" s="5">
        <f t="shared" si="12"/>
        <v>10</v>
      </c>
      <c r="K137" s="5">
        <f t="shared" si="13"/>
        <v>36</v>
      </c>
      <c r="L137" s="3">
        <f>IF(F137=0,0,ROUNDUP(SQRT(2*'4. ABC XYZ Analysis'!F137*$U$3/(F137*$V$3)),0))</f>
        <v>31</v>
      </c>
      <c r="M137" s="3">
        <f>'1. Master Data'!I137</f>
        <v>39</v>
      </c>
      <c r="N137" s="3">
        <f t="shared" si="14"/>
        <v>54</v>
      </c>
      <c r="O137" s="5" t="str">
        <f t="shared" si="15"/>
        <v>ORDER SOON</v>
      </c>
      <c r="P137" s="5" t="str">
        <f t="shared" si="16"/>
        <v>HIGH</v>
      </c>
      <c r="Q137" s="3" t="str">
        <f t="shared" si="17"/>
        <v>Reorder Point</v>
      </c>
    </row>
    <row r="138" spans="1:17" ht="15" customHeight="1" x14ac:dyDescent="0.2">
      <c r="A138" s="3" t="str">
        <f>'1. Master Data'!A138</f>
        <v>NT10134</v>
      </c>
      <c r="B138" s="1" t="str">
        <f>'1. Master Data'!B138</f>
        <v>CinemaMax 312in 8K</v>
      </c>
      <c r="C138" s="3" t="str">
        <f>'1. Master Data'!D138</f>
        <v>Central DC</v>
      </c>
      <c r="D138" s="5" t="str">
        <f>'4. ABC XYZ Analysis'!K138</f>
        <v>A</v>
      </c>
      <c r="E138" s="5" t="str">
        <f>'4. ABC XYZ Analysis'!M138</f>
        <v>Z</v>
      </c>
      <c r="F138" s="4">
        <f>'1. Master Data'!F138</f>
        <v>1402</v>
      </c>
      <c r="G138" s="3">
        <f>'1. Master Data'!G138</f>
        <v>40</v>
      </c>
      <c r="H138" s="8">
        <f>'3. Demand Forecast'!F138/$T$3</f>
        <v>2.709090909090909</v>
      </c>
      <c r="I138" s="8">
        <f>'3. Demand Forecast'!G138/SQRT($T$3)</f>
        <v>3.9228931809432317</v>
      </c>
      <c r="J138" s="5">
        <f t="shared" si="12"/>
        <v>41</v>
      </c>
      <c r="K138" s="5">
        <f t="shared" si="13"/>
        <v>150</v>
      </c>
      <c r="L138" s="3">
        <f>IF(F138=0,0,ROUNDUP(SQRT(2*'4. ABC XYZ Analysis'!F138*$U$3/(F138*$V$3)),0))</f>
        <v>10</v>
      </c>
      <c r="M138" s="3">
        <f>'1. Master Data'!I138</f>
        <v>153</v>
      </c>
      <c r="N138" s="3">
        <f t="shared" si="14"/>
        <v>56</v>
      </c>
      <c r="O138" s="5" t="str">
        <f t="shared" si="15"/>
        <v>ORDER SOON</v>
      </c>
      <c r="P138" s="5" t="str">
        <f t="shared" si="16"/>
        <v>HIGH</v>
      </c>
      <c r="Q138" s="3" t="str">
        <f t="shared" si="17"/>
        <v>Min Max</v>
      </c>
    </row>
    <row r="139" spans="1:17" ht="15" customHeight="1" x14ac:dyDescent="0.2">
      <c r="A139" s="3" t="str">
        <f>'1. Master Data'!A139</f>
        <v>NT10135</v>
      </c>
      <c r="B139" s="1" t="str">
        <f>'1. Master Data'!B139</f>
        <v>CinemaMax 348in 8K</v>
      </c>
      <c r="C139" s="3" t="str">
        <f>'1. Master Data'!D139</f>
        <v>East DC</v>
      </c>
      <c r="D139" s="5" t="str">
        <f>'4. ABC XYZ Analysis'!K139</f>
        <v>A</v>
      </c>
      <c r="E139" s="5" t="str">
        <f>'4. ABC XYZ Analysis'!M139</f>
        <v>Y</v>
      </c>
      <c r="F139" s="4">
        <f>'1. Master Data'!F139</f>
        <v>918</v>
      </c>
      <c r="G139" s="3">
        <f>'1. Master Data'!G139</f>
        <v>40</v>
      </c>
      <c r="H139" s="8">
        <f>'3. Demand Forecast'!F139/$T$3</f>
        <v>0.51818181818181819</v>
      </c>
      <c r="I139" s="8">
        <f>'3. Demand Forecast'!G139/SQRT($T$3)</f>
        <v>0.57564193416014819</v>
      </c>
      <c r="J139" s="5">
        <f t="shared" si="12"/>
        <v>7</v>
      </c>
      <c r="K139" s="5">
        <f t="shared" si="13"/>
        <v>28</v>
      </c>
      <c r="L139" s="3">
        <f>IF(F139=0,0,ROUNDUP(SQRT(2*'4. ABC XYZ Analysis'!F139*$U$3/(F139*$V$3)),0))</f>
        <v>32</v>
      </c>
      <c r="M139" s="3">
        <f>'1. Master Data'!I139</f>
        <v>30</v>
      </c>
      <c r="N139" s="3">
        <f t="shared" si="14"/>
        <v>58</v>
      </c>
      <c r="O139" s="5" t="str">
        <f t="shared" si="15"/>
        <v>ORDER SOON</v>
      </c>
      <c r="P139" s="5" t="str">
        <f t="shared" si="16"/>
        <v>HIGH</v>
      </c>
      <c r="Q139" s="3" t="str">
        <f t="shared" si="17"/>
        <v>Reorder Point</v>
      </c>
    </row>
    <row r="140" spans="1:17" ht="15" customHeight="1" x14ac:dyDescent="0.2">
      <c r="A140" s="3" t="str">
        <f>'1. Master Data'!A140</f>
        <v>NT10136</v>
      </c>
      <c r="B140" s="1" t="str">
        <f>'1. Master Data'!B140</f>
        <v>VisionQ 273in QLED</v>
      </c>
      <c r="C140" s="3" t="str">
        <f>'1. Master Data'!D140</f>
        <v>West DC</v>
      </c>
      <c r="D140" s="5" t="str">
        <f>'4. ABC XYZ Analysis'!K140</f>
        <v>A</v>
      </c>
      <c r="E140" s="5" t="str">
        <f>'4. ABC XYZ Analysis'!M140</f>
        <v>Y</v>
      </c>
      <c r="F140" s="4">
        <f>'1. Master Data'!F140</f>
        <v>1488</v>
      </c>
      <c r="G140" s="3">
        <f>'1. Master Data'!G140</f>
        <v>42</v>
      </c>
      <c r="H140" s="8">
        <f>'3. Demand Forecast'!F140/$T$3</f>
        <v>0.30909090909090908</v>
      </c>
      <c r="I140" s="8">
        <f>'3. Demand Forecast'!G140/SQRT($T$3)</f>
        <v>0.49036164761790396</v>
      </c>
      <c r="J140" s="5">
        <f t="shared" si="12"/>
        <v>6</v>
      </c>
      <c r="K140" s="5">
        <f t="shared" si="13"/>
        <v>19</v>
      </c>
      <c r="L140" s="3">
        <f>IF(F140=0,0,ROUNDUP(SQRT(2*'4. ABC XYZ Analysis'!F140*$U$3/(F140*$V$3)),0))</f>
        <v>12</v>
      </c>
      <c r="M140" s="3">
        <f>'1. Master Data'!I140</f>
        <v>23</v>
      </c>
      <c r="N140" s="3">
        <f t="shared" si="14"/>
        <v>74</v>
      </c>
      <c r="O140" s="5" t="str">
        <f t="shared" si="15"/>
        <v>OK</v>
      </c>
      <c r="P140" s="5" t="str">
        <f t="shared" si="16"/>
        <v>LOW</v>
      </c>
      <c r="Q140" s="3" t="str">
        <f t="shared" si="17"/>
        <v>Reorder Point</v>
      </c>
    </row>
    <row r="141" spans="1:17" ht="15" customHeight="1" x14ac:dyDescent="0.2">
      <c r="A141" s="3" t="str">
        <f>'1. Master Data'!A141</f>
        <v>NT10137</v>
      </c>
      <c r="B141" s="1" t="str">
        <f>'1. Master Data'!B141</f>
        <v>VisionLED 726in 4K</v>
      </c>
      <c r="C141" s="3" t="str">
        <f>'1. Master Data'!D141</f>
        <v>West DC</v>
      </c>
      <c r="D141" s="5" t="str">
        <f>'4. ABC XYZ Analysis'!K141</f>
        <v>A</v>
      </c>
      <c r="E141" s="5" t="str">
        <f>'4. ABC XYZ Analysis'!M141</f>
        <v>Y</v>
      </c>
      <c r="F141" s="4">
        <f>'1. Master Data'!F141</f>
        <v>374</v>
      </c>
      <c r="G141" s="3">
        <f>'1. Master Data'!G141</f>
        <v>43</v>
      </c>
      <c r="H141" s="8">
        <f>'3. Demand Forecast'!F141/$T$3</f>
        <v>2.2636363636363637</v>
      </c>
      <c r="I141" s="8">
        <f>'3. Demand Forecast'!G141/SQRT($T$3)</f>
        <v>3.3046111035119616</v>
      </c>
      <c r="J141" s="5">
        <f t="shared" si="12"/>
        <v>36</v>
      </c>
      <c r="K141" s="5">
        <f t="shared" si="13"/>
        <v>134</v>
      </c>
      <c r="L141" s="3">
        <f>IF(F141=0,0,ROUNDUP(SQRT(2*'4. ABC XYZ Analysis'!F141*$U$3/(F141*$V$3)),0))</f>
        <v>34</v>
      </c>
      <c r="M141" s="3">
        <f>'1. Master Data'!I141</f>
        <v>137</v>
      </c>
      <c r="N141" s="3">
        <f t="shared" si="14"/>
        <v>61</v>
      </c>
      <c r="O141" s="5" t="str">
        <f t="shared" si="15"/>
        <v>ORDER SOON</v>
      </c>
      <c r="P141" s="5" t="str">
        <f t="shared" si="16"/>
        <v>HIGH</v>
      </c>
      <c r="Q141" s="3" t="str">
        <f t="shared" si="17"/>
        <v>Reorder Point</v>
      </c>
    </row>
    <row r="142" spans="1:17" ht="15" customHeight="1" x14ac:dyDescent="0.2">
      <c r="A142" s="3" t="str">
        <f>'1. Master Data'!A142</f>
        <v>NT10138</v>
      </c>
      <c r="B142" s="1" t="str">
        <f>'1. Master Data'!B142</f>
        <v>VisionQ 956in QLED</v>
      </c>
      <c r="C142" s="3" t="str">
        <f>'1. Master Data'!D142</f>
        <v>West DC</v>
      </c>
      <c r="D142" s="5" t="str">
        <f>'4. ABC XYZ Analysis'!K142</f>
        <v>A</v>
      </c>
      <c r="E142" s="5" t="str">
        <f>'4. ABC XYZ Analysis'!M142</f>
        <v>Y</v>
      </c>
      <c r="F142" s="4">
        <f>'1. Master Data'!F142</f>
        <v>1715</v>
      </c>
      <c r="G142" s="3">
        <f>'1. Master Data'!G142</f>
        <v>35</v>
      </c>
      <c r="H142" s="8">
        <f>'3. Demand Forecast'!F142/$T$3</f>
        <v>1.7772727272727273</v>
      </c>
      <c r="I142" s="8">
        <f>'3. Demand Forecast'!G142/SQRT($T$3)</f>
        <v>2.7289691693518137</v>
      </c>
      <c r="J142" s="5">
        <f t="shared" si="12"/>
        <v>27</v>
      </c>
      <c r="K142" s="5">
        <f t="shared" si="13"/>
        <v>90</v>
      </c>
      <c r="L142" s="3">
        <f>IF(F142=0,0,ROUNDUP(SQRT(2*'4. ABC XYZ Analysis'!F142*$U$3/(F142*$V$3)),0))</f>
        <v>15</v>
      </c>
      <c r="M142" s="3">
        <f>'1. Master Data'!I142</f>
        <v>72</v>
      </c>
      <c r="N142" s="3">
        <f t="shared" si="14"/>
        <v>41</v>
      </c>
      <c r="O142" s="5" t="str">
        <f t="shared" si="15"/>
        <v>ORDER NOW</v>
      </c>
      <c r="P142" s="5" t="str">
        <f t="shared" si="16"/>
        <v>URGENT</v>
      </c>
      <c r="Q142" s="3" t="str">
        <f t="shared" si="17"/>
        <v>Reorder Point</v>
      </c>
    </row>
    <row r="143" spans="1:17" ht="15" customHeight="1" x14ac:dyDescent="0.2">
      <c r="A143" s="3" t="str">
        <f>'1. Master Data'!A143</f>
        <v>NT10139</v>
      </c>
      <c r="B143" s="1" t="str">
        <f>'1. Master Data'!B143</f>
        <v>VisionQ 920in QLED</v>
      </c>
      <c r="C143" s="3" t="str">
        <f>'1. Master Data'!D143</f>
        <v>Central DC</v>
      </c>
      <c r="D143" s="5" t="str">
        <f>'4. ABC XYZ Analysis'!K143</f>
        <v>A</v>
      </c>
      <c r="E143" s="5" t="str">
        <f>'4. ABC XYZ Analysis'!M143</f>
        <v>Y</v>
      </c>
      <c r="F143" s="4">
        <f>'1. Master Data'!F143</f>
        <v>1097</v>
      </c>
      <c r="G143" s="3">
        <f>'1. Master Data'!G143</f>
        <v>37</v>
      </c>
      <c r="H143" s="8">
        <f>'3. Demand Forecast'!F143/$T$3</f>
        <v>9.9500000000000011</v>
      </c>
      <c r="I143" s="8">
        <f>'3. Demand Forecast'!G143/SQRT($T$3)</f>
        <v>12.429601763532087</v>
      </c>
      <c r="J143" s="5">
        <f t="shared" si="12"/>
        <v>125</v>
      </c>
      <c r="K143" s="5">
        <f t="shared" si="13"/>
        <v>494</v>
      </c>
      <c r="L143" s="3">
        <f>IF(F143=0,0,ROUNDUP(SQRT(2*'4. ABC XYZ Analysis'!F143*$U$3/(F143*$V$3)),0))</f>
        <v>30</v>
      </c>
      <c r="M143" s="3">
        <f>'1. Master Data'!I143</f>
        <v>390</v>
      </c>
      <c r="N143" s="3">
        <f t="shared" si="14"/>
        <v>39</v>
      </c>
      <c r="O143" s="5" t="str">
        <f t="shared" si="15"/>
        <v>ORDER NOW</v>
      </c>
      <c r="P143" s="5" t="str">
        <f t="shared" si="16"/>
        <v>URGENT</v>
      </c>
      <c r="Q143" s="3" t="str">
        <f t="shared" si="17"/>
        <v>Reorder Point</v>
      </c>
    </row>
    <row r="144" spans="1:17" ht="15" customHeight="1" x14ac:dyDescent="0.2">
      <c r="A144" s="3" t="str">
        <f>'1. Master Data'!A144</f>
        <v>NT10140</v>
      </c>
      <c r="B144" s="1" t="str">
        <f>'1. Master Data'!B144</f>
        <v>VisionQ 974in QLED</v>
      </c>
      <c r="C144" s="3" t="str">
        <f>'1. Master Data'!D144</f>
        <v>East DC</v>
      </c>
      <c r="D144" s="5" t="str">
        <f>'4. ABC XYZ Analysis'!K144</f>
        <v>A</v>
      </c>
      <c r="E144" s="5" t="str">
        <f>'4. ABC XYZ Analysis'!M144</f>
        <v>Y</v>
      </c>
      <c r="F144" s="4">
        <f>'1. Master Data'!F144</f>
        <v>1497</v>
      </c>
      <c r="G144" s="3">
        <f>'1. Master Data'!G144</f>
        <v>40</v>
      </c>
      <c r="H144" s="8">
        <f>'3. Demand Forecast'!F144/$T$3</f>
        <v>0.65909090909090906</v>
      </c>
      <c r="I144" s="8">
        <f>'3. Demand Forecast'!G144/SQRT($T$3)</f>
        <v>0.8741229370580027</v>
      </c>
      <c r="J144" s="5">
        <f t="shared" si="12"/>
        <v>10</v>
      </c>
      <c r="K144" s="5">
        <f t="shared" si="13"/>
        <v>37</v>
      </c>
      <c r="L144" s="3">
        <f>IF(F144=0,0,ROUNDUP(SQRT(2*'4. ABC XYZ Analysis'!F144*$U$3/(F144*$V$3)),0))</f>
        <v>30</v>
      </c>
      <c r="M144" s="3">
        <f>'1. Master Data'!I144</f>
        <v>40</v>
      </c>
      <c r="N144" s="3">
        <f t="shared" si="14"/>
        <v>61</v>
      </c>
      <c r="O144" s="5" t="str">
        <f t="shared" si="15"/>
        <v>ORDER SOON</v>
      </c>
      <c r="P144" s="5" t="str">
        <f t="shared" si="16"/>
        <v>HIGH</v>
      </c>
      <c r="Q144" s="3" t="str">
        <f t="shared" si="17"/>
        <v>Reorder Point</v>
      </c>
    </row>
    <row r="145" spans="1:17" ht="15" customHeight="1" x14ac:dyDescent="0.2">
      <c r="A145" s="3" t="str">
        <f>'1. Master Data'!A145</f>
        <v>NT10141</v>
      </c>
      <c r="B145" s="1" t="str">
        <f>'1. Master Data'!B145</f>
        <v>VisionLED 341in 4K</v>
      </c>
      <c r="C145" s="3" t="str">
        <f>'1. Master Data'!D145</f>
        <v>East DC</v>
      </c>
      <c r="D145" s="5" t="str">
        <f>'4. ABC XYZ Analysis'!K145</f>
        <v>A</v>
      </c>
      <c r="E145" s="5" t="str">
        <f>'4. ABC XYZ Analysis'!M145</f>
        <v>Y</v>
      </c>
      <c r="F145" s="4">
        <f>'1. Master Data'!F145</f>
        <v>1304</v>
      </c>
      <c r="G145" s="3">
        <f>'1. Master Data'!G145</f>
        <v>34</v>
      </c>
      <c r="H145" s="8">
        <f>'3. Demand Forecast'!F145/$T$3</f>
        <v>1.8363636363636362</v>
      </c>
      <c r="I145" s="8">
        <f>'3. Demand Forecast'!G145/SQRT($T$3)</f>
        <v>3.3259311751475225</v>
      </c>
      <c r="J145" s="5">
        <f t="shared" si="12"/>
        <v>32</v>
      </c>
      <c r="K145" s="5">
        <f t="shared" si="13"/>
        <v>95</v>
      </c>
      <c r="L145" s="3">
        <f>IF(F145=0,0,ROUNDUP(SQRT(2*'4. ABC XYZ Analysis'!F145*$U$3/(F145*$V$3)),0))</f>
        <v>14</v>
      </c>
      <c r="M145" s="3">
        <f>'1. Master Data'!I145</f>
        <v>98</v>
      </c>
      <c r="N145" s="3">
        <f t="shared" si="14"/>
        <v>53</v>
      </c>
      <c r="O145" s="5" t="str">
        <f t="shared" si="15"/>
        <v>ORDER SOON</v>
      </c>
      <c r="P145" s="5" t="str">
        <f t="shared" si="16"/>
        <v>HIGH</v>
      </c>
      <c r="Q145" s="3" t="str">
        <f t="shared" si="17"/>
        <v>Reorder Point</v>
      </c>
    </row>
    <row r="146" spans="1:17" ht="15" customHeight="1" x14ac:dyDescent="0.2">
      <c r="A146" s="3" t="str">
        <f>'1. Master Data'!A146</f>
        <v>NT10142</v>
      </c>
      <c r="B146" s="1" t="str">
        <f>'1. Master Data'!B146</f>
        <v>CinemaMax 625in 8K</v>
      </c>
      <c r="C146" s="3" t="str">
        <f>'1. Master Data'!D146</f>
        <v>Central DC</v>
      </c>
      <c r="D146" s="5" t="str">
        <f>'4. ABC XYZ Analysis'!K146</f>
        <v>A</v>
      </c>
      <c r="E146" s="5" t="str">
        <f>'4. ABC XYZ Analysis'!M146</f>
        <v>Z</v>
      </c>
      <c r="F146" s="4">
        <f>'1. Master Data'!F146</f>
        <v>363</v>
      </c>
      <c r="G146" s="3">
        <f>'1. Master Data'!G146</f>
        <v>37</v>
      </c>
      <c r="H146" s="8">
        <f>'3. Demand Forecast'!F146/$T$3</f>
        <v>0.42272727272727278</v>
      </c>
      <c r="I146" s="8">
        <f>'3. Demand Forecast'!G146/SQRT($T$3)</f>
        <v>0.57564193416014819</v>
      </c>
      <c r="J146" s="5">
        <f t="shared" si="12"/>
        <v>6</v>
      </c>
      <c r="K146" s="5">
        <f t="shared" si="13"/>
        <v>22</v>
      </c>
      <c r="L146" s="3">
        <f>IF(F146=0,0,ROUNDUP(SQRT(2*'4. ABC XYZ Analysis'!F146*$U$3/(F146*$V$3)),0))</f>
        <v>21</v>
      </c>
      <c r="M146" s="3">
        <f>'1. Master Data'!I146</f>
        <v>25</v>
      </c>
      <c r="N146" s="3">
        <f t="shared" si="14"/>
        <v>59</v>
      </c>
      <c r="O146" s="5" t="str">
        <f t="shared" si="15"/>
        <v>ORDER SOON</v>
      </c>
      <c r="P146" s="5" t="str">
        <f t="shared" si="16"/>
        <v>HIGH</v>
      </c>
      <c r="Q146" s="3" t="str">
        <f t="shared" si="17"/>
        <v>Min Max</v>
      </c>
    </row>
    <row r="147" spans="1:17" ht="15" customHeight="1" x14ac:dyDescent="0.2">
      <c r="A147" s="3" t="str">
        <f>'1. Master Data'!A147</f>
        <v>NT10143</v>
      </c>
      <c r="B147" s="1" t="str">
        <f>'1. Master Data'!B147</f>
        <v>VisionLED 568in 4K</v>
      </c>
      <c r="C147" s="3" t="str">
        <f>'1. Master Data'!D147</f>
        <v>Central DC</v>
      </c>
      <c r="D147" s="5" t="str">
        <f>'4. ABC XYZ Analysis'!K147</f>
        <v>A</v>
      </c>
      <c r="E147" s="5" t="str">
        <f>'4. ABC XYZ Analysis'!M147</f>
        <v>Y</v>
      </c>
      <c r="F147" s="4">
        <f>'1. Master Data'!F147</f>
        <v>1356</v>
      </c>
      <c r="G147" s="3">
        <f>'1. Master Data'!G147</f>
        <v>42</v>
      </c>
      <c r="H147" s="8">
        <f>'3. Demand Forecast'!F147/$T$3</f>
        <v>2.6727272727272724</v>
      </c>
      <c r="I147" s="8">
        <f>'3. Demand Forecast'!G147/SQRT($T$3)</f>
        <v>3.944213252578793</v>
      </c>
      <c r="J147" s="5">
        <f t="shared" si="12"/>
        <v>43</v>
      </c>
      <c r="K147" s="5">
        <f t="shared" si="13"/>
        <v>156</v>
      </c>
      <c r="L147" s="3">
        <f>IF(F147=0,0,ROUNDUP(SQRT(2*'4. ABC XYZ Analysis'!F147*$U$3/(F147*$V$3)),0))</f>
        <v>18</v>
      </c>
      <c r="M147" s="3">
        <f>'1. Master Data'!I147</f>
        <v>159</v>
      </c>
      <c r="N147" s="3">
        <f t="shared" si="14"/>
        <v>59</v>
      </c>
      <c r="O147" s="5" t="str">
        <f t="shared" si="15"/>
        <v>ORDER SOON</v>
      </c>
      <c r="P147" s="5" t="str">
        <f t="shared" si="16"/>
        <v>HIGH</v>
      </c>
      <c r="Q147" s="3" t="str">
        <f t="shared" si="17"/>
        <v>Reorder Point</v>
      </c>
    </row>
    <row r="148" spans="1:17" ht="15" customHeight="1" x14ac:dyDescent="0.2">
      <c r="A148" s="3" t="str">
        <f>'1. Master Data'!A148</f>
        <v>NT10144</v>
      </c>
      <c r="B148" s="1" t="str">
        <f>'1. Master Data'!B148</f>
        <v>VisionOLED 428in 4K</v>
      </c>
      <c r="C148" s="3" t="str">
        <f>'1. Master Data'!D148</f>
        <v>Central DC</v>
      </c>
      <c r="D148" s="5" t="str">
        <f>'4. ABC XYZ Analysis'!K148</f>
        <v>A</v>
      </c>
      <c r="E148" s="5" t="str">
        <f>'4. ABC XYZ Analysis'!M148</f>
        <v>Y</v>
      </c>
      <c r="F148" s="4">
        <f>'1. Master Data'!F148</f>
        <v>498</v>
      </c>
      <c r="G148" s="3">
        <f>'1. Master Data'!G148</f>
        <v>32</v>
      </c>
      <c r="H148" s="8">
        <f>'3. Demand Forecast'!F148/$T$3</f>
        <v>1.009090909090909</v>
      </c>
      <c r="I148" s="8">
        <f>'3. Demand Forecast'!G148/SQRT($T$3)</f>
        <v>1.4924050144892729</v>
      </c>
      <c r="J148" s="5">
        <f t="shared" si="12"/>
        <v>14</v>
      </c>
      <c r="K148" s="5">
        <f t="shared" si="13"/>
        <v>47</v>
      </c>
      <c r="L148" s="3">
        <f>IF(F148=0,0,ROUNDUP(SQRT(2*'4. ABC XYZ Analysis'!F148*$U$3/(F148*$V$3)),0))</f>
        <v>35</v>
      </c>
      <c r="M148" s="3">
        <f>'1. Master Data'!I148</f>
        <v>70</v>
      </c>
      <c r="N148" s="3">
        <f t="shared" si="14"/>
        <v>69</v>
      </c>
      <c r="O148" s="5" t="str">
        <f t="shared" si="15"/>
        <v>OK</v>
      </c>
      <c r="P148" s="5" t="str">
        <f t="shared" si="16"/>
        <v>LOW</v>
      </c>
      <c r="Q148" s="3" t="str">
        <f t="shared" si="17"/>
        <v>Reorder Point</v>
      </c>
    </row>
    <row r="149" spans="1:17" ht="15" customHeight="1" x14ac:dyDescent="0.2">
      <c r="A149" s="3" t="str">
        <f>'1. Master Data'!A149</f>
        <v>NT10145</v>
      </c>
      <c r="B149" s="1" t="str">
        <f>'1. Master Data'!B149</f>
        <v>CinemaMax 201in 8K</v>
      </c>
      <c r="C149" s="3" t="str">
        <f>'1. Master Data'!D149</f>
        <v>East DC</v>
      </c>
      <c r="D149" s="5" t="str">
        <f>'4. ABC XYZ Analysis'!K149</f>
        <v>A</v>
      </c>
      <c r="E149" s="5" t="str">
        <f>'4. ABC XYZ Analysis'!M149</f>
        <v>Y</v>
      </c>
      <c r="F149" s="4">
        <f>'1. Master Data'!F149</f>
        <v>1435</v>
      </c>
      <c r="G149" s="3">
        <f>'1. Master Data'!G149</f>
        <v>35</v>
      </c>
      <c r="H149" s="8">
        <f>'3. Demand Forecast'!F149/$T$3</f>
        <v>2.5136363636363637</v>
      </c>
      <c r="I149" s="8">
        <f>'3. Demand Forecast'!G149/SQRT($T$3)</f>
        <v>3.47517167659645</v>
      </c>
      <c r="J149" s="5">
        <f t="shared" si="12"/>
        <v>34</v>
      </c>
      <c r="K149" s="5">
        <f t="shared" si="13"/>
        <v>122</v>
      </c>
      <c r="L149" s="3">
        <f>IF(F149=0,0,ROUNDUP(SQRT(2*'4. ABC XYZ Analysis'!F149*$U$3/(F149*$V$3)),0))</f>
        <v>28</v>
      </c>
      <c r="M149" s="3">
        <f>'1. Master Data'!I149</f>
        <v>127</v>
      </c>
      <c r="N149" s="3">
        <f t="shared" si="14"/>
        <v>51</v>
      </c>
      <c r="O149" s="5" t="str">
        <f t="shared" si="15"/>
        <v>ORDER SOON</v>
      </c>
      <c r="P149" s="5" t="str">
        <f t="shared" si="16"/>
        <v>HIGH</v>
      </c>
      <c r="Q149" s="3" t="str">
        <f t="shared" si="17"/>
        <v>Reorder Point</v>
      </c>
    </row>
    <row r="150" spans="1:17" ht="15" customHeight="1" x14ac:dyDescent="0.2">
      <c r="A150" s="3" t="str">
        <f>'1. Master Data'!A150</f>
        <v>NT10146</v>
      </c>
      <c r="B150" s="1" t="str">
        <f>'1. Master Data'!B150</f>
        <v>VisionLED 188in 4K</v>
      </c>
      <c r="C150" s="3" t="str">
        <f>'1. Master Data'!D150</f>
        <v>West DC</v>
      </c>
      <c r="D150" s="5" t="str">
        <f>'4. ABC XYZ Analysis'!K150</f>
        <v>A</v>
      </c>
      <c r="E150" s="5" t="str">
        <f>'4. ABC XYZ Analysis'!M150</f>
        <v>Y</v>
      </c>
      <c r="F150" s="4">
        <f>'1. Master Data'!F150</f>
        <v>605</v>
      </c>
      <c r="G150" s="3">
        <f>'1. Master Data'!G150</f>
        <v>35</v>
      </c>
      <c r="H150" s="8">
        <f>'3. Demand Forecast'!F150/$T$3</f>
        <v>0.75454545454545463</v>
      </c>
      <c r="I150" s="8">
        <f>'3. Demand Forecast'!G150/SQRT($T$3)</f>
        <v>1.0446835101424912</v>
      </c>
      <c r="J150" s="5">
        <f t="shared" si="12"/>
        <v>11</v>
      </c>
      <c r="K150" s="5">
        <f t="shared" si="13"/>
        <v>38</v>
      </c>
      <c r="L150" s="3">
        <f>IF(F150=0,0,ROUNDUP(SQRT(2*'4. ABC XYZ Analysis'!F150*$U$3/(F150*$V$3)),0))</f>
        <v>17</v>
      </c>
      <c r="M150" s="3">
        <f>'1. Master Data'!I150</f>
        <v>41</v>
      </c>
      <c r="N150" s="3">
        <f t="shared" si="14"/>
        <v>54</v>
      </c>
      <c r="O150" s="5" t="str">
        <f t="shared" si="15"/>
        <v>ORDER SOON</v>
      </c>
      <c r="P150" s="5" t="str">
        <f t="shared" si="16"/>
        <v>HIGH</v>
      </c>
      <c r="Q150" s="3" t="str">
        <f t="shared" si="17"/>
        <v>Reorder Point</v>
      </c>
    </row>
    <row r="151" spans="1:17" ht="15" customHeight="1" x14ac:dyDescent="0.2">
      <c r="A151" s="3" t="str">
        <f>'1. Master Data'!A151</f>
        <v>NT10147</v>
      </c>
      <c r="B151" s="1" t="str">
        <f>'1. Master Data'!B151</f>
        <v>CinemaMax 871in 8K</v>
      </c>
      <c r="C151" s="3" t="str">
        <f>'1. Master Data'!D151</f>
        <v>East DC</v>
      </c>
      <c r="D151" s="5" t="str">
        <f>'4. ABC XYZ Analysis'!K151</f>
        <v>A</v>
      </c>
      <c r="E151" s="5" t="str">
        <f>'4. ABC XYZ Analysis'!M151</f>
        <v>Y</v>
      </c>
      <c r="F151" s="4">
        <f>'1. Master Data'!F151</f>
        <v>342</v>
      </c>
      <c r="G151" s="3">
        <f>'1. Master Data'!G151</f>
        <v>33</v>
      </c>
      <c r="H151" s="8">
        <f>'3. Demand Forecast'!F151/$T$3</f>
        <v>1.1318181818181818</v>
      </c>
      <c r="I151" s="8">
        <f>'3. Demand Forecast'!G151/SQRT($T$3)</f>
        <v>5.6284989117881148</v>
      </c>
      <c r="J151" s="5">
        <f t="shared" si="12"/>
        <v>54</v>
      </c>
      <c r="K151" s="5">
        <f t="shared" si="13"/>
        <v>92</v>
      </c>
      <c r="L151" s="3">
        <f>IF(F151=0,0,ROUNDUP(SQRT(2*'4. ABC XYZ Analysis'!F151*$U$3/(F151*$V$3)),0))</f>
        <v>21</v>
      </c>
      <c r="M151" s="3">
        <f>'1. Master Data'!I151</f>
        <v>95</v>
      </c>
      <c r="N151" s="3">
        <f t="shared" si="14"/>
        <v>84</v>
      </c>
      <c r="O151" s="5" t="str">
        <f t="shared" si="15"/>
        <v>ORDER SOON</v>
      </c>
      <c r="P151" s="5" t="str">
        <f t="shared" si="16"/>
        <v>HIGH</v>
      </c>
      <c r="Q151" s="3" t="str">
        <f t="shared" si="17"/>
        <v>Reorder Point</v>
      </c>
    </row>
    <row r="152" spans="1:17" ht="15" customHeight="1" x14ac:dyDescent="0.2">
      <c r="A152" s="3" t="str">
        <f>'1. Master Data'!A152</f>
        <v>NT10148</v>
      </c>
      <c r="B152" s="1" t="str">
        <f>'1. Master Data'!B152</f>
        <v>CinemaMax 609in 8K</v>
      </c>
      <c r="C152" s="3" t="str">
        <f>'1. Master Data'!D152</f>
        <v>East DC</v>
      </c>
      <c r="D152" s="5" t="str">
        <f>'4. ABC XYZ Analysis'!K152</f>
        <v>A</v>
      </c>
      <c r="E152" s="5" t="str">
        <f>'4. ABC XYZ Analysis'!M152</f>
        <v>X</v>
      </c>
      <c r="F152" s="4">
        <f>'1. Master Data'!F152</f>
        <v>1273</v>
      </c>
      <c r="G152" s="3">
        <f>'1. Master Data'!G152</f>
        <v>39</v>
      </c>
      <c r="H152" s="8">
        <f>'3. Demand Forecast'!F152/$T$3</f>
        <v>1.85</v>
      </c>
      <c r="I152" s="8">
        <f>'3. Demand Forecast'!G152/SQRT($T$3)</f>
        <v>1.9614465904716158</v>
      </c>
      <c r="J152" s="5">
        <f t="shared" si="12"/>
        <v>21</v>
      </c>
      <c r="K152" s="5">
        <f t="shared" si="13"/>
        <v>94</v>
      </c>
      <c r="L152" s="3">
        <f>IF(F152=0,0,ROUNDUP(SQRT(2*'4. ABC XYZ Analysis'!F152*$U$3/(F152*$V$3)),0))</f>
        <v>32</v>
      </c>
      <c r="M152" s="3">
        <f>'1. Master Data'!I152</f>
        <v>97</v>
      </c>
      <c r="N152" s="3">
        <f t="shared" si="14"/>
        <v>52</v>
      </c>
      <c r="O152" s="5" t="str">
        <f t="shared" si="15"/>
        <v>ORDER SOON</v>
      </c>
      <c r="P152" s="5" t="str">
        <f t="shared" si="16"/>
        <v>HIGH</v>
      </c>
      <c r="Q152" s="3" t="str">
        <f t="shared" si="17"/>
        <v>Reorder Point</v>
      </c>
    </row>
    <row r="153" spans="1:17" ht="15" customHeight="1" x14ac:dyDescent="0.2">
      <c r="A153" s="3" t="str">
        <f>'1. Master Data'!A153</f>
        <v>NT10149</v>
      </c>
      <c r="B153" s="1" t="str">
        <f>'1. Master Data'!B153</f>
        <v>CinemaMax 755in 8K</v>
      </c>
      <c r="C153" s="3" t="str">
        <f>'1. Master Data'!D153</f>
        <v>East DC</v>
      </c>
      <c r="D153" s="5" t="str">
        <f>'4. ABC XYZ Analysis'!K153</f>
        <v>A</v>
      </c>
      <c r="E153" s="5" t="str">
        <f>'4. ABC XYZ Analysis'!M153</f>
        <v>Y</v>
      </c>
      <c r="F153" s="4">
        <f>'1. Master Data'!F153</f>
        <v>1759</v>
      </c>
      <c r="G153" s="3">
        <f>'1. Master Data'!G153</f>
        <v>36</v>
      </c>
      <c r="H153" s="8">
        <f>'3. Demand Forecast'!F153/$T$3</f>
        <v>2.8909090909090911</v>
      </c>
      <c r="I153" s="8">
        <f>'3. Demand Forecast'!G153/SQRT($T$3)</f>
        <v>3.6883723929520604</v>
      </c>
      <c r="J153" s="5">
        <f t="shared" si="12"/>
        <v>37</v>
      </c>
      <c r="K153" s="5">
        <f t="shared" si="13"/>
        <v>142</v>
      </c>
      <c r="L153" s="3">
        <f>IF(F153=0,0,ROUNDUP(SQRT(2*'4. ABC XYZ Analysis'!F153*$U$3/(F153*$V$3)),0))</f>
        <v>20</v>
      </c>
      <c r="M153" s="3">
        <f>'1. Master Data'!I153</f>
        <v>145</v>
      </c>
      <c r="N153" s="3">
        <f t="shared" si="14"/>
        <v>50</v>
      </c>
      <c r="O153" s="5" t="str">
        <f t="shared" si="15"/>
        <v>ORDER SOON</v>
      </c>
      <c r="P153" s="5" t="str">
        <f t="shared" si="16"/>
        <v>HIGH</v>
      </c>
      <c r="Q153" s="3" t="str">
        <f t="shared" si="17"/>
        <v>Reorder Point</v>
      </c>
    </row>
    <row r="154" spans="1:17" ht="15" customHeight="1" x14ac:dyDescent="0.2">
      <c r="A154" s="3" t="str">
        <f>'1. Master Data'!A154</f>
        <v>NT10150</v>
      </c>
      <c r="B154" s="1" t="str">
        <f>'1. Master Data'!B154</f>
        <v>VisionLED 977in 4K</v>
      </c>
      <c r="C154" s="3" t="str">
        <f>'1. Master Data'!D154</f>
        <v>Central DC</v>
      </c>
      <c r="D154" s="5" t="str">
        <f>'4. ABC XYZ Analysis'!K154</f>
        <v>A</v>
      </c>
      <c r="E154" s="5" t="str">
        <f>'4. ABC XYZ Analysis'!M154</f>
        <v>Y</v>
      </c>
      <c r="F154" s="4">
        <f>'1. Master Data'!F154</f>
        <v>1541</v>
      </c>
      <c r="G154" s="3">
        <f>'1. Master Data'!G154</f>
        <v>41</v>
      </c>
      <c r="H154" s="8">
        <f>'3. Demand Forecast'!F154/$T$3</f>
        <v>2.1681818181818184</v>
      </c>
      <c r="I154" s="8">
        <f>'3. Demand Forecast'!G154/SQRT($T$3)</f>
        <v>2.9421698857074241</v>
      </c>
      <c r="J154" s="5">
        <f t="shared" si="12"/>
        <v>32</v>
      </c>
      <c r="K154" s="5">
        <f t="shared" si="13"/>
        <v>121</v>
      </c>
      <c r="L154" s="3">
        <f>IF(F154=0,0,ROUNDUP(SQRT(2*'4. ABC XYZ Analysis'!F154*$U$3/(F154*$V$3)),0))</f>
        <v>9</v>
      </c>
      <c r="M154" s="3">
        <f>'1. Master Data'!I154</f>
        <v>124</v>
      </c>
      <c r="N154" s="3">
        <f t="shared" si="14"/>
        <v>57</v>
      </c>
      <c r="O154" s="5" t="str">
        <f t="shared" si="15"/>
        <v>ORDER SOON</v>
      </c>
      <c r="P154" s="5" t="str">
        <f t="shared" si="16"/>
        <v>HIGH</v>
      </c>
      <c r="Q154" s="3" t="str">
        <f t="shared" si="17"/>
        <v>Reorder Point</v>
      </c>
    </row>
    <row r="155" spans="1:17" ht="15" customHeight="1" x14ac:dyDescent="0.2">
      <c r="A155" s="3" t="str">
        <f>'1. Master Data'!A155</f>
        <v>NT10151</v>
      </c>
      <c r="B155" s="1" t="str">
        <f>'1. Master Data'!B155</f>
        <v>SoundCore Buds 811</v>
      </c>
      <c r="C155" s="3" t="str">
        <f>'1. Master Data'!D155</f>
        <v>West DC</v>
      </c>
      <c r="D155" s="5" t="str">
        <f>'4. ABC XYZ Analysis'!K155</f>
        <v>A</v>
      </c>
      <c r="E155" s="5" t="str">
        <f>'4. ABC XYZ Analysis'!M155</f>
        <v>Y</v>
      </c>
      <c r="F155" s="4">
        <f>'1. Master Data'!F155</f>
        <v>207</v>
      </c>
      <c r="G155" s="3">
        <f>'1. Master Data'!G155</f>
        <v>20</v>
      </c>
      <c r="H155" s="8">
        <f>'3. Demand Forecast'!F155/$T$3</f>
        <v>6.363636363636363E-2</v>
      </c>
      <c r="I155" s="8">
        <f>'3. Demand Forecast'!G155/SQRT($T$3)</f>
        <v>0.10660035817780521</v>
      </c>
      <c r="J155" s="5">
        <f t="shared" si="12"/>
        <v>1</v>
      </c>
      <c r="K155" s="5">
        <f t="shared" si="13"/>
        <v>3</v>
      </c>
      <c r="L155" s="3">
        <f>IF(F155=0,0,ROUNDUP(SQRT(2*'4. ABC XYZ Analysis'!F155*$U$3/(F155*$V$3)),0))</f>
        <v>38</v>
      </c>
      <c r="M155" s="3">
        <f>'1. Master Data'!I155</f>
        <v>16</v>
      </c>
      <c r="N155" s="3">
        <f t="shared" si="14"/>
        <v>251</v>
      </c>
      <c r="O155" s="5" t="str">
        <f t="shared" si="15"/>
        <v>OK</v>
      </c>
      <c r="P155" s="5" t="str">
        <f t="shared" si="16"/>
        <v>LOW</v>
      </c>
      <c r="Q155" s="3" t="str">
        <f t="shared" si="17"/>
        <v>Reorder Point</v>
      </c>
    </row>
    <row r="156" spans="1:17" ht="15" customHeight="1" x14ac:dyDescent="0.2">
      <c r="A156" s="3" t="str">
        <f>'1. Master Data'!A156</f>
        <v>NT10152</v>
      </c>
      <c r="B156" s="1" t="str">
        <f>'1. Master Data'!B156</f>
        <v>StudioPods 426 ANC</v>
      </c>
      <c r="C156" s="3" t="str">
        <f>'1. Master Data'!D156</f>
        <v>West DC</v>
      </c>
      <c r="D156" s="5" t="str">
        <f>'4. ABC XYZ Analysis'!K156</f>
        <v>A</v>
      </c>
      <c r="E156" s="5" t="str">
        <f>'4. ABC XYZ Analysis'!M156</f>
        <v>X</v>
      </c>
      <c r="F156" s="4">
        <f>'1. Master Data'!F156</f>
        <v>236</v>
      </c>
      <c r="G156" s="3">
        <f>'1. Master Data'!G156</f>
        <v>25</v>
      </c>
      <c r="H156" s="8">
        <f>'3. Demand Forecast'!F156/$T$3</f>
        <v>23.168181818181818</v>
      </c>
      <c r="I156" s="8">
        <f>'3. Demand Forecast'!G156/SQRT($T$3)</f>
        <v>29.379058713803119</v>
      </c>
      <c r="J156" s="5">
        <f t="shared" si="12"/>
        <v>243</v>
      </c>
      <c r="K156" s="5">
        <f t="shared" si="13"/>
        <v>823</v>
      </c>
      <c r="L156" s="3">
        <f>IF(F156=0,0,ROUNDUP(SQRT(2*'4. ABC XYZ Analysis'!F156*$U$3/(F156*$V$3)),0))</f>
        <v>142</v>
      </c>
      <c r="M156" s="3">
        <f>'1. Master Data'!I156</f>
        <v>826</v>
      </c>
      <c r="N156" s="3">
        <f t="shared" si="14"/>
        <v>36</v>
      </c>
      <c r="O156" s="5" t="str">
        <f t="shared" si="15"/>
        <v>ORDER SOON</v>
      </c>
      <c r="P156" s="5" t="str">
        <f t="shared" si="16"/>
        <v>HIGH</v>
      </c>
      <c r="Q156" s="3" t="str">
        <f t="shared" si="17"/>
        <v>Reorder Point</v>
      </c>
    </row>
    <row r="157" spans="1:17" ht="15" customHeight="1" x14ac:dyDescent="0.2">
      <c r="A157" s="3" t="str">
        <f>'1. Master Data'!A157</f>
        <v>NT10153</v>
      </c>
      <c r="B157" s="1" t="str">
        <f>'1. Master Data'!B157</f>
        <v>BassMax Speaker 640</v>
      </c>
      <c r="C157" s="3" t="str">
        <f>'1. Master Data'!D157</f>
        <v>Central DC</v>
      </c>
      <c r="D157" s="5" t="str">
        <f>'4. ABC XYZ Analysis'!K157</f>
        <v>A</v>
      </c>
      <c r="E157" s="5" t="str">
        <f>'4. ABC XYZ Analysis'!M157</f>
        <v>X</v>
      </c>
      <c r="F157" s="4">
        <f>'1. Master Data'!F157</f>
        <v>23</v>
      </c>
      <c r="G157" s="3">
        <f>'1. Master Data'!G157</f>
        <v>20</v>
      </c>
      <c r="H157" s="8">
        <f>'3. Demand Forecast'!F157/$T$3</f>
        <v>8.954545454545455</v>
      </c>
      <c r="I157" s="8">
        <f>'3. Demand Forecast'!G157/SQRT($T$3)</f>
        <v>14.604249070359314</v>
      </c>
      <c r="J157" s="5">
        <f t="shared" si="12"/>
        <v>108</v>
      </c>
      <c r="K157" s="5">
        <f t="shared" si="13"/>
        <v>288</v>
      </c>
      <c r="L157" s="3">
        <f>IF(F157=0,0,ROUNDUP(SQRT(2*'4. ABC XYZ Analysis'!F157*$U$3/(F157*$V$3)),0))</f>
        <v>109</v>
      </c>
      <c r="M157" s="3">
        <f>'1. Master Data'!I157</f>
        <v>291</v>
      </c>
      <c r="N157" s="3">
        <f t="shared" si="14"/>
        <v>32</v>
      </c>
      <c r="O157" s="5" t="str">
        <f t="shared" si="15"/>
        <v>ORDER SOON</v>
      </c>
      <c r="P157" s="5" t="str">
        <f t="shared" si="16"/>
        <v>HIGH</v>
      </c>
      <c r="Q157" s="3" t="str">
        <f t="shared" si="17"/>
        <v>Reorder Point</v>
      </c>
    </row>
    <row r="158" spans="1:17" ht="15" customHeight="1" x14ac:dyDescent="0.2">
      <c r="A158" s="3" t="str">
        <f>'1. Master Data'!A158</f>
        <v>NT10154</v>
      </c>
      <c r="B158" s="1" t="str">
        <f>'1. Master Data'!B158</f>
        <v>StudioPods 523 ANC</v>
      </c>
      <c r="C158" s="3" t="str">
        <f>'1. Master Data'!D158</f>
        <v>Central DC</v>
      </c>
      <c r="D158" s="5" t="str">
        <f>'4. ABC XYZ Analysis'!K158</f>
        <v>A</v>
      </c>
      <c r="E158" s="5" t="str">
        <f>'4. ABC XYZ Analysis'!M158</f>
        <v>Y</v>
      </c>
      <c r="F158" s="4">
        <f>'1. Master Data'!F158</f>
        <v>196</v>
      </c>
      <c r="G158" s="3">
        <f>'1. Master Data'!G158</f>
        <v>19</v>
      </c>
      <c r="H158" s="8">
        <f>'3. Demand Forecast'!F158/$T$3</f>
        <v>4.8272727272727272</v>
      </c>
      <c r="I158" s="8">
        <f>'3. Demand Forecast'!G158/SQRT($T$3)</f>
        <v>7.675225788801975</v>
      </c>
      <c r="J158" s="5">
        <f t="shared" si="12"/>
        <v>56</v>
      </c>
      <c r="K158" s="5">
        <f t="shared" si="13"/>
        <v>148</v>
      </c>
      <c r="L158" s="3">
        <f>IF(F158=0,0,ROUNDUP(SQRT(2*'4. ABC XYZ Analysis'!F158*$U$3/(F158*$V$3)),0))</f>
        <v>26</v>
      </c>
      <c r="M158" s="3">
        <f>'1. Master Data'!I158</f>
        <v>398</v>
      </c>
      <c r="N158" s="3">
        <f t="shared" si="14"/>
        <v>82</v>
      </c>
      <c r="O158" s="5" t="str">
        <f t="shared" si="15"/>
        <v>OK</v>
      </c>
      <c r="P158" s="5" t="str">
        <f t="shared" si="16"/>
        <v>LOW</v>
      </c>
      <c r="Q158" s="3" t="str">
        <f t="shared" si="17"/>
        <v>Reorder Point</v>
      </c>
    </row>
    <row r="159" spans="1:17" ht="15" customHeight="1" x14ac:dyDescent="0.2">
      <c r="A159" s="3" t="str">
        <f>'1. Master Data'!A159</f>
        <v>NT10155</v>
      </c>
      <c r="B159" s="1" t="str">
        <f>'1. Master Data'!B159</f>
        <v>ClipMic 416 Wireless</v>
      </c>
      <c r="C159" s="3" t="str">
        <f>'1. Master Data'!D159</f>
        <v>West DC</v>
      </c>
      <c r="D159" s="5" t="str">
        <f>'4. ABC XYZ Analysis'!K159</f>
        <v>A</v>
      </c>
      <c r="E159" s="5" t="str">
        <f>'4. ABC XYZ Analysis'!M159</f>
        <v>Y</v>
      </c>
      <c r="F159" s="4">
        <f>'1. Master Data'!F159</f>
        <v>43</v>
      </c>
      <c r="G159" s="3">
        <f>'1. Master Data'!G159</f>
        <v>20</v>
      </c>
      <c r="H159" s="8">
        <f>'3. Demand Forecast'!F159/$T$3</f>
        <v>35.949999999999996</v>
      </c>
      <c r="I159" s="8">
        <f>'3. Demand Forecast'!G159/SQRT($T$3)</f>
        <v>50.954971208990891</v>
      </c>
      <c r="J159" s="5">
        <f t="shared" si="12"/>
        <v>376</v>
      </c>
      <c r="K159" s="5">
        <f t="shared" si="13"/>
        <v>1095</v>
      </c>
      <c r="L159" s="3">
        <f>IF(F159=0,0,ROUNDUP(SQRT(2*'4. ABC XYZ Analysis'!F159*$U$3/(F159*$V$3)),0))</f>
        <v>123</v>
      </c>
      <c r="M159" s="3">
        <f>'1. Master Data'!I159</f>
        <v>1099</v>
      </c>
      <c r="N159" s="3">
        <f t="shared" si="14"/>
        <v>31</v>
      </c>
      <c r="O159" s="5" t="str">
        <f t="shared" si="15"/>
        <v>ORDER SOON</v>
      </c>
      <c r="P159" s="5" t="str">
        <f t="shared" si="16"/>
        <v>HIGH</v>
      </c>
      <c r="Q159" s="3" t="str">
        <f t="shared" si="17"/>
        <v>Reorder Point</v>
      </c>
    </row>
    <row r="160" spans="1:17" ht="15" customHeight="1" x14ac:dyDescent="0.2">
      <c r="A160" s="3" t="str">
        <f>'1. Master Data'!A160</f>
        <v>NT10156</v>
      </c>
      <c r="B160" s="1" t="str">
        <f>'1. Master Data'!B160</f>
        <v>ClipMic 445 Wireless</v>
      </c>
      <c r="C160" s="3" t="str">
        <f>'1. Master Data'!D160</f>
        <v>West DC</v>
      </c>
      <c r="D160" s="5" t="str">
        <f>'4. ABC XYZ Analysis'!K160</f>
        <v>A</v>
      </c>
      <c r="E160" s="5" t="str">
        <f>'4. ABC XYZ Analysis'!M160</f>
        <v>Y</v>
      </c>
      <c r="F160" s="4">
        <f>'1. Master Data'!F160</f>
        <v>250</v>
      </c>
      <c r="G160" s="3">
        <f>'1. Master Data'!G160</f>
        <v>27</v>
      </c>
      <c r="H160" s="8">
        <f>'3. Demand Forecast'!F160/$T$3</f>
        <v>27.331818181818178</v>
      </c>
      <c r="I160" s="8">
        <f>'3. Demand Forecast'!G160/SQRT($T$3)</f>
        <v>34.176074831804357</v>
      </c>
      <c r="J160" s="5">
        <f t="shared" si="12"/>
        <v>294</v>
      </c>
      <c r="K160" s="5">
        <f t="shared" si="13"/>
        <v>1032</v>
      </c>
      <c r="L160" s="3">
        <f>IF(F160=0,0,ROUNDUP(SQRT(2*'4. ABC XYZ Analysis'!F160*$U$3/(F160*$V$3)),0))</f>
        <v>20</v>
      </c>
      <c r="M160" s="3">
        <f>'1. Master Data'!I160</f>
        <v>1034</v>
      </c>
      <c r="N160" s="3">
        <f t="shared" si="14"/>
        <v>38</v>
      </c>
      <c r="O160" s="5" t="str">
        <f t="shared" si="15"/>
        <v>ORDER SOON</v>
      </c>
      <c r="P160" s="5" t="str">
        <f t="shared" si="16"/>
        <v>HIGH</v>
      </c>
      <c r="Q160" s="3" t="str">
        <f t="shared" si="17"/>
        <v>Reorder Point</v>
      </c>
    </row>
    <row r="161" spans="1:17" ht="15" customHeight="1" x14ac:dyDescent="0.2">
      <c r="A161" s="3" t="str">
        <f>'1. Master Data'!A161</f>
        <v>NT10157</v>
      </c>
      <c r="B161" s="1" t="str">
        <f>'1. Master Data'!B161</f>
        <v>WaveBar 726 Soundbar</v>
      </c>
      <c r="C161" s="3" t="str">
        <f>'1. Master Data'!D161</f>
        <v>Central DC</v>
      </c>
      <c r="D161" s="5" t="str">
        <f>'4. ABC XYZ Analysis'!K161</f>
        <v>A</v>
      </c>
      <c r="E161" s="5" t="str">
        <f>'4. ABC XYZ Analysis'!M161</f>
        <v>Y</v>
      </c>
      <c r="F161" s="4">
        <f>'1. Master Data'!F161</f>
        <v>111</v>
      </c>
      <c r="G161" s="3">
        <f>'1. Master Data'!G161</f>
        <v>25</v>
      </c>
      <c r="H161" s="8">
        <f>'3. Demand Forecast'!F161/$T$3</f>
        <v>5.2409090909090912</v>
      </c>
      <c r="I161" s="8">
        <f>'3. Demand Forecast'!G161/SQRT($T$3)</f>
        <v>8.3787881527754884</v>
      </c>
      <c r="J161" s="5">
        <f t="shared" si="12"/>
        <v>70</v>
      </c>
      <c r="K161" s="5">
        <f t="shared" si="13"/>
        <v>202</v>
      </c>
      <c r="L161" s="3">
        <f>IF(F161=0,0,ROUNDUP(SQRT(2*'4. ABC XYZ Analysis'!F161*$U$3/(F161*$V$3)),0))</f>
        <v>55</v>
      </c>
      <c r="M161" s="3">
        <f>'1. Master Data'!I161</f>
        <v>205</v>
      </c>
      <c r="N161" s="3">
        <f t="shared" si="14"/>
        <v>39</v>
      </c>
      <c r="O161" s="5" t="str">
        <f t="shared" si="15"/>
        <v>ORDER SOON</v>
      </c>
      <c r="P161" s="5" t="str">
        <f t="shared" si="16"/>
        <v>HIGH</v>
      </c>
      <c r="Q161" s="3" t="str">
        <f t="shared" si="17"/>
        <v>Reorder Point</v>
      </c>
    </row>
    <row r="162" spans="1:17" ht="15" customHeight="1" x14ac:dyDescent="0.2">
      <c r="A162" s="3" t="str">
        <f>'1. Master Data'!A162</f>
        <v>NT10158</v>
      </c>
      <c r="B162" s="1" t="str">
        <f>'1. Master Data'!B162</f>
        <v>WaveBar 698 Soundbar</v>
      </c>
      <c r="C162" s="3" t="str">
        <f>'1. Master Data'!D162</f>
        <v>Central DC</v>
      </c>
      <c r="D162" s="5" t="str">
        <f>'4. ABC XYZ Analysis'!K162</f>
        <v>A</v>
      </c>
      <c r="E162" s="5" t="str">
        <f>'4. ABC XYZ Analysis'!M162</f>
        <v>X</v>
      </c>
      <c r="F162" s="4">
        <f>'1. Master Data'!F162</f>
        <v>111</v>
      </c>
      <c r="G162" s="3">
        <f>'1. Master Data'!G162</f>
        <v>25</v>
      </c>
      <c r="H162" s="8">
        <f>'3. Demand Forecast'!F162/$T$3</f>
        <v>2.1590909090909092</v>
      </c>
      <c r="I162" s="8">
        <f>'3. Demand Forecast'!G162/SQRT($T$3)</f>
        <v>3.8802530376721096</v>
      </c>
      <c r="J162" s="5">
        <f t="shared" si="12"/>
        <v>33</v>
      </c>
      <c r="K162" s="5">
        <f t="shared" si="13"/>
        <v>87</v>
      </c>
      <c r="L162" s="3">
        <f>IF(F162=0,0,ROUNDUP(SQRT(2*'4. ABC XYZ Analysis'!F162*$U$3/(F162*$V$3)),0))</f>
        <v>108</v>
      </c>
      <c r="M162" s="3">
        <f>'1. Master Data'!I162</f>
        <v>167</v>
      </c>
      <c r="N162" s="3">
        <f t="shared" si="14"/>
        <v>77</v>
      </c>
      <c r="O162" s="5" t="str">
        <f t="shared" si="15"/>
        <v>OK</v>
      </c>
      <c r="P162" s="5" t="str">
        <f t="shared" si="16"/>
        <v>LOW</v>
      </c>
      <c r="Q162" s="3" t="str">
        <f t="shared" si="17"/>
        <v>Reorder Point</v>
      </c>
    </row>
    <row r="163" spans="1:17" ht="15" customHeight="1" x14ac:dyDescent="0.2">
      <c r="A163" s="3" t="str">
        <f>'1. Master Data'!A163</f>
        <v>NT10159</v>
      </c>
      <c r="B163" s="1" t="str">
        <f>'1. Master Data'!B163</f>
        <v>StudioPods 901 ANC</v>
      </c>
      <c r="C163" s="3" t="str">
        <f>'1. Master Data'!D163</f>
        <v>West DC</v>
      </c>
      <c r="D163" s="5" t="str">
        <f>'4. ABC XYZ Analysis'!K163</f>
        <v>A</v>
      </c>
      <c r="E163" s="5" t="str">
        <f>'4. ABC XYZ Analysis'!M163</f>
        <v>Y</v>
      </c>
      <c r="F163" s="4">
        <f>'1. Master Data'!F163</f>
        <v>107</v>
      </c>
      <c r="G163" s="3">
        <f>'1. Master Data'!G163</f>
        <v>16</v>
      </c>
      <c r="H163" s="8">
        <f>'3. Demand Forecast'!F163/$T$3</f>
        <v>25.568181818181817</v>
      </c>
      <c r="I163" s="8">
        <f>'3. Demand Forecast'!G163/SQRT($T$3)</f>
        <v>37.629926436765238</v>
      </c>
      <c r="J163" s="5">
        <f t="shared" si="12"/>
        <v>249</v>
      </c>
      <c r="K163" s="5">
        <f t="shared" si="13"/>
        <v>659</v>
      </c>
      <c r="L163" s="3">
        <f>IF(F163=0,0,ROUNDUP(SQRT(2*'4. ABC XYZ Analysis'!F163*$U$3/(F163*$V$3)),0))</f>
        <v>37</v>
      </c>
      <c r="M163" s="3">
        <f>'1. Master Data'!I163</f>
        <v>584</v>
      </c>
      <c r="N163" s="3">
        <f t="shared" si="14"/>
        <v>23</v>
      </c>
      <c r="O163" s="5" t="str">
        <f t="shared" si="15"/>
        <v>ORDER NOW</v>
      </c>
      <c r="P163" s="5" t="str">
        <f t="shared" si="16"/>
        <v>URGENT</v>
      </c>
      <c r="Q163" s="3" t="str">
        <f t="shared" si="17"/>
        <v>Reorder Point</v>
      </c>
    </row>
    <row r="164" spans="1:17" ht="15" customHeight="1" x14ac:dyDescent="0.2">
      <c r="A164" s="3" t="str">
        <f>'1. Master Data'!A164</f>
        <v>NT10160</v>
      </c>
      <c r="B164" s="1" t="str">
        <f>'1. Master Data'!B164</f>
        <v>StudioPods 653 ANC</v>
      </c>
      <c r="C164" s="3" t="str">
        <f>'1. Master Data'!D164</f>
        <v>Central DC</v>
      </c>
      <c r="D164" s="5" t="str">
        <f>'4. ABC XYZ Analysis'!K164</f>
        <v>A</v>
      </c>
      <c r="E164" s="5" t="str">
        <f>'4. ABC XYZ Analysis'!M164</f>
        <v>Y</v>
      </c>
      <c r="F164" s="4">
        <f>'1. Master Data'!F164</f>
        <v>212</v>
      </c>
      <c r="G164" s="3">
        <f>'1. Master Data'!G164</f>
        <v>16</v>
      </c>
      <c r="H164" s="8">
        <f>'3. Demand Forecast'!F164/$T$3</f>
        <v>6.254545454545454</v>
      </c>
      <c r="I164" s="8">
        <f>'3. Demand Forecast'!G164/SQRT($T$3)</f>
        <v>8.6772691556733452</v>
      </c>
      <c r="J164" s="5">
        <f t="shared" si="12"/>
        <v>58</v>
      </c>
      <c r="K164" s="5">
        <f t="shared" si="13"/>
        <v>159</v>
      </c>
      <c r="L164" s="3">
        <f>IF(F164=0,0,ROUNDUP(SQRT(2*'4. ABC XYZ Analysis'!F164*$U$3/(F164*$V$3)),0))</f>
        <v>30</v>
      </c>
      <c r="M164" s="3">
        <f>'1. Master Data'!I164</f>
        <v>162</v>
      </c>
      <c r="N164" s="3">
        <f t="shared" si="14"/>
        <v>26</v>
      </c>
      <c r="O164" s="5" t="str">
        <f t="shared" si="15"/>
        <v>ORDER SOON</v>
      </c>
      <c r="P164" s="5" t="str">
        <f t="shared" si="16"/>
        <v>HIGH</v>
      </c>
      <c r="Q164" s="3" t="str">
        <f t="shared" si="17"/>
        <v>Reorder Point</v>
      </c>
    </row>
    <row r="165" spans="1:17" ht="15" customHeight="1" x14ac:dyDescent="0.2">
      <c r="A165" s="3" t="str">
        <f>'1. Master Data'!A165</f>
        <v>NT10161</v>
      </c>
      <c r="B165" s="1" t="str">
        <f>'1. Master Data'!B165</f>
        <v>StudioPods 102 ANC</v>
      </c>
      <c r="C165" s="3" t="str">
        <f>'1. Master Data'!D165</f>
        <v>West DC</v>
      </c>
      <c r="D165" s="5" t="str">
        <f>'4. ABC XYZ Analysis'!K165</f>
        <v>A</v>
      </c>
      <c r="E165" s="5" t="str">
        <f>'4. ABC XYZ Analysis'!M165</f>
        <v>Y</v>
      </c>
      <c r="F165" s="4">
        <f>'1. Master Data'!F165</f>
        <v>29</v>
      </c>
      <c r="G165" s="3">
        <f>'1. Master Data'!G165</f>
        <v>18</v>
      </c>
      <c r="H165" s="8">
        <f>'3. Demand Forecast'!F165/$T$3</f>
        <v>8.668181818181818</v>
      </c>
      <c r="I165" s="8">
        <f>'3. Demand Forecast'!G165/SQRT($T$3)</f>
        <v>11.704719327923012</v>
      </c>
      <c r="J165" s="5">
        <f t="shared" si="12"/>
        <v>82</v>
      </c>
      <c r="K165" s="5">
        <f t="shared" si="13"/>
        <v>239</v>
      </c>
      <c r="L165" s="3">
        <f>IF(F165=0,0,ROUNDUP(SQRT(2*'4. ABC XYZ Analysis'!F165*$U$3/(F165*$V$3)),0))</f>
        <v>86</v>
      </c>
      <c r="M165" s="3">
        <f>'1. Master Data'!I165</f>
        <v>765</v>
      </c>
      <c r="N165" s="3">
        <f t="shared" si="14"/>
        <v>88</v>
      </c>
      <c r="O165" s="5" t="str">
        <f t="shared" si="15"/>
        <v>OK</v>
      </c>
      <c r="P165" s="5" t="str">
        <f t="shared" si="16"/>
        <v>LOW</v>
      </c>
      <c r="Q165" s="3" t="str">
        <f t="shared" si="17"/>
        <v>Reorder Point</v>
      </c>
    </row>
    <row r="166" spans="1:17" ht="15" customHeight="1" x14ac:dyDescent="0.2">
      <c r="A166" s="3" t="str">
        <f>'1. Master Data'!A166</f>
        <v>NT10162</v>
      </c>
      <c r="B166" s="1" t="str">
        <f>'1. Master Data'!B166</f>
        <v>ClipMic 567 Wireless</v>
      </c>
      <c r="C166" s="3" t="str">
        <f>'1. Master Data'!D166</f>
        <v>East DC</v>
      </c>
      <c r="D166" s="5" t="str">
        <f>'4. ABC XYZ Analysis'!K166</f>
        <v>A</v>
      </c>
      <c r="E166" s="5" t="str">
        <f>'4. ABC XYZ Analysis'!M166</f>
        <v>Y</v>
      </c>
      <c r="F166" s="4">
        <f>'1. Master Data'!F166</f>
        <v>171</v>
      </c>
      <c r="G166" s="3">
        <f>'1. Master Data'!G166</f>
        <v>25</v>
      </c>
      <c r="H166" s="8">
        <f>'3. Demand Forecast'!F166/$T$3</f>
        <v>8.7681818181818176</v>
      </c>
      <c r="I166" s="8">
        <f>'3. Demand Forecast'!G166/SQRT($T$3)</f>
        <v>12.365641548625405</v>
      </c>
      <c r="J166" s="5">
        <f t="shared" si="12"/>
        <v>103</v>
      </c>
      <c r="K166" s="5">
        <f t="shared" si="13"/>
        <v>323</v>
      </c>
      <c r="L166" s="3">
        <f>IF(F166=0,0,ROUNDUP(SQRT(2*'4. ABC XYZ Analysis'!F166*$U$3/(F166*$V$3)),0))</f>
        <v>37</v>
      </c>
      <c r="M166" s="3">
        <f>'1. Master Data'!I166</f>
        <v>326</v>
      </c>
      <c r="N166" s="3">
        <f t="shared" si="14"/>
        <v>37</v>
      </c>
      <c r="O166" s="5" t="str">
        <f t="shared" si="15"/>
        <v>ORDER SOON</v>
      </c>
      <c r="P166" s="5" t="str">
        <f t="shared" si="16"/>
        <v>HIGH</v>
      </c>
      <c r="Q166" s="3" t="str">
        <f t="shared" si="17"/>
        <v>Reorder Point</v>
      </c>
    </row>
    <row r="167" spans="1:17" ht="15" customHeight="1" x14ac:dyDescent="0.2">
      <c r="A167" s="3" t="str">
        <f>'1. Master Data'!A167</f>
        <v>NT10163</v>
      </c>
      <c r="B167" s="1" t="str">
        <f>'1. Master Data'!B167</f>
        <v>StudioPods 229 ANC</v>
      </c>
      <c r="C167" s="3" t="str">
        <f>'1. Master Data'!D167</f>
        <v>East DC</v>
      </c>
      <c r="D167" s="5" t="str">
        <f>'4. ABC XYZ Analysis'!K167</f>
        <v>A</v>
      </c>
      <c r="E167" s="5" t="str">
        <f>'4. ABC XYZ Analysis'!M167</f>
        <v>Y</v>
      </c>
      <c r="F167" s="4">
        <f>'1. Master Data'!F167</f>
        <v>73</v>
      </c>
      <c r="G167" s="3">
        <f>'1. Master Data'!G167</f>
        <v>21</v>
      </c>
      <c r="H167" s="8">
        <f>'3. Demand Forecast'!F167/$T$3</f>
        <v>1.9</v>
      </c>
      <c r="I167" s="8">
        <f>'3. Demand Forecast'!G167/SQRT($T$3)</f>
        <v>2.8568895991651799</v>
      </c>
      <c r="J167" s="5">
        <f t="shared" si="12"/>
        <v>22</v>
      </c>
      <c r="K167" s="5">
        <f t="shared" si="13"/>
        <v>62</v>
      </c>
      <c r="L167" s="3">
        <f>IF(F167=0,0,ROUNDUP(SQRT(2*'4. ABC XYZ Analysis'!F167*$U$3/(F167*$V$3)),0))</f>
        <v>139</v>
      </c>
      <c r="M167" s="3">
        <f>'1. Master Data'!I167</f>
        <v>65</v>
      </c>
      <c r="N167" s="3">
        <f t="shared" si="14"/>
        <v>34</v>
      </c>
      <c r="O167" s="5" t="str">
        <f t="shared" si="15"/>
        <v>ORDER SOON</v>
      </c>
      <c r="P167" s="5" t="str">
        <f t="shared" si="16"/>
        <v>HIGH</v>
      </c>
      <c r="Q167" s="3" t="str">
        <f t="shared" si="17"/>
        <v>Reorder Point</v>
      </c>
    </row>
    <row r="168" spans="1:17" ht="15" customHeight="1" x14ac:dyDescent="0.2">
      <c r="A168" s="3" t="str">
        <f>'1. Master Data'!A168</f>
        <v>NT10164</v>
      </c>
      <c r="B168" s="1" t="str">
        <f>'1. Master Data'!B168</f>
        <v>ClipMic 995 Wireless</v>
      </c>
      <c r="C168" s="3" t="str">
        <f>'1. Master Data'!D168</f>
        <v>Central DC</v>
      </c>
      <c r="D168" s="5" t="str">
        <f>'4. ABC XYZ Analysis'!K168</f>
        <v>A</v>
      </c>
      <c r="E168" s="5" t="str">
        <f>'4. ABC XYZ Analysis'!M168</f>
        <v>X</v>
      </c>
      <c r="F168" s="4">
        <f>'1. Master Data'!F168</f>
        <v>50</v>
      </c>
      <c r="G168" s="3">
        <f>'1. Master Data'!G168</f>
        <v>16</v>
      </c>
      <c r="H168" s="8">
        <f>'3. Demand Forecast'!F168/$T$3</f>
        <v>3.5136363636363637</v>
      </c>
      <c r="I168" s="8">
        <f>'3. Demand Forecast'!G168/SQRT($T$3)</f>
        <v>5.6924591266947981</v>
      </c>
      <c r="J168" s="5">
        <f t="shared" si="12"/>
        <v>38</v>
      </c>
      <c r="K168" s="5">
        <f t="shared" si="13"/>
        <v>95</v>
      </c>
      <c r="L168" s="3">
        <f>IF(F168=0,0,ROUNDUP(SQRT(2*'4. ABC XYZ Analysis'!F168*$U$3/(F168*$V$3)),0))</f>
        <v>82</v>
      </c>
      <c r="M168" s="3">
        <f>'1. Master Data'!I168</f>
        <v>98</v>
      </c>
      <c r="N168" s="3">
        <f t="shared" si="14"/>
        <v>28</v>
      </c>
      <c r="O168" s="5" t="str">
        <f t="shared" si="15"/>
        <v>ORDER SOON</v>
      </c>
      <c r="P168" s="5" t="str">
        <f t="shared" si="16"/>
        <v>HIGH</v>
      </c>
      <c r="Q168" s="3" t="str">
        <f t="shared" si="17"/>
        <v>Reorder Point</v>
      </c>
    </row>
    <row r="169" spans="1:17" ht="15" customHeight="1" x14ac:dyDescent="0.2">
      <c r="A169" s="3" t="str">
        <f>'1. Master Data'!A169</f>
        <v>NT10165</v>
      </c>
      <c r="B169" s="1" t="str">
        <f>'1. Master Data'!B169</f>
        <v>WaveBar 479 Soundbar</v>
      </c>
      <c r="C169" s="3" t="str">
        <f>'1. Master Data'!D169</f>
        <v>West DC</v>
      </c>
      <c r="D169" s="5" t="str">
        <f>'4. ABC XYZ Analysis'!K169</f>
        <v>A</v>
      </c>
      <c r="E169" s="5" t="str">
        <f>'4. ABC XYZ Analysis'!M169</f>
        <v>X</v>
      </c>
      <c r="F169" s="4">
        <f>'1. Master Data'!F169</f>
        <v>28</v>
      </c>
      <c r="G169" s="3">
        <f>'1. Master Data'!G169</f>
        <v>19</v>
      </c>
      <c r="H169" s="8">
        <f>'3. Demand Forecast'!F169/$T$3</f>
        <v>16.813636363636363</v>
      </c>
      <c r="I169" s="8">
        <f>'3. Demand Forecast'!G169/SQRT($T$3)</f>
        <v>20.339348340325238</v>
      </c>
      <c r="J169" s="5">
        <f t="shared" si="12"/>
        <v>147</v>
      </c>
      <c r="K169" s="5">
        <f t="shared" si="13"/>
        <v>467</v>
      </c>
      <c r="L169" s="3">
        <f>IF(F169=0,0,ROUNDUP(SQRT(2*'4. ABC XYZ Analysis'!F169*$U$3/(F169*$V$3)),0))</f>
        <v>211</v>
      </c>
      <c r="M169" s="3">
        <f>'1. Master Data'!I169</f>
        <v>470</v>
      </c>
      <c r="N169" s="3">
        <f t="shared" si="14"/>
        <v>28</v>
      </c>
      <c r="O169" s="5" t="str">
        <f t="shared" si="15"/>
        <v>ORDER SOON</v>
      </c>
      <c r="P169" s="5" t="str">
        <f t="shared" si="16"/>
        <v>HIGH</v>
      </c>
      <c r="Q169" s="3" t="str">
        <f t="shared" si="17"/>
        <v>Reorder Point</v>
      </c>
    </row>
    <row r="170" spans="1:17" ht="15" customHeight="1" x14ac:dyDescent="0.2">
      <c r="A170" s="3" t="str">
        <f>'1. Master Data'!A170</f>
        <v>NT10166</v>
      </c>
      <c r="B170" s="1" t="str">
        <f>'1. Master Data'!B170</f>
        <v>BassMax Speaker 721</v>
      </c>
      <c r="C170" s="3" t="str">
        <f>'1. Master Data'!D170</f>
        <v>Central DC</v>
      </c>
      <c r="D170" s="5" t="str">
        <f>'4. ABC XYZ Analysis'!K170</f>
        <v>A</v>
      </c>
      <c r="E170" s="5" t="str">
        <f>'4. ABC XYZ Analysis'!M170</f>
        <v>Z</v>
      </c>
      <c r="F170" s="4">
        <f>'1. Master Data'!F170</f>
        <v>27</v>
      </c>
      <c r="G170" s="3">
        <f>'1. Master Data'!G170</f>
        <v>27</v>
      </c>
      <c r="H170" s="8">
        <f>'3. Demand Forecast'!F170/$T$3</f>
        <v>1.0909090909090908</v>
      </c>
      <c r="I170" s="8">
        <f>'3. Demand Forecast'!G170/SQRT($T$3)</f>
        <v>1.5990053726670781</v>
      </c>
      <c r="J170" s="5">
        <f t="shared" si="12"/>
        <v>14</v>
      </c>
      <c r="K170" s="5">
        <f t="shared" si="13"/>
        <v>44</v>
      </c>
      <c r="L170" s="3">
        <f>IF(F170=0,0,ROUNDUP(SQRT(2*'4. ABC XYZ Analysis'!F170*$U$3/(F170*$V$3)),0))</f>
        <v>64</v>
      </c>
      <c r="M170" s="3">
        <f>'1. Master Data'!I170</f>
        <v>47</v>
      </c>
      <c r="N170" s="3">
        <f t="shared" si="14"/>
        <v>43</v>
      </c>
      <c r="O170" s="5" t="str">
        <f t="shared" si="15"/>
        <v>ORDER SOON</v>
      </c>
      <c r="P170" s="5" t="str">
        <f t="shared" si="16"/>
        <v>HIGH</v>
      </c>
      <c r="Q170" s="3" t="str">
        <f t="shared" si="17"/>
        <v>Min Max</v>
      </c>
    </row>
    <row r="171" spans="1:17" ht="15" customHeight="1" x14ac:dyDescent="0.2">
      <c r="A171" s="3" t="str">
        <f>'1. Master Data'!A171</f>
        <v>NT10167</v>
      </c>
      <c r="B171" s="1" t="str">
        <f>'1. Master Data'!B171</f>
        <v>WaveBar 750 Soundbar</v>
      </c>
      <c r="C171" s="3" t="str">
        <f>'1. Master Data'!D171</f>
        <v>East DC</v>
      </c>
      <c r="D171" s="5" t="str">
        <f>'4. ABC XYZ Analysis'!K171</f>
        <v>A</v>
      </c>
      <c r="E171" s="5" t="str">
        <f>'4. ABC XYZ Analysis'!M171</f>
        <v>X</v>
      </c>
      <c r="F171" s="4">
        <f>'1. Master Data'!F171</f>
        <v>88</v>
      </c>
      <c r="G171" s="3">
        <f>'1. Master Data'!G171</f>
        <v>15</v>
      </c>
      <c r="H171" s="8">
        <f>'3. Demand Forecast'!F171/$T$3</f>
        <v>19.95</v>
      </c>
      <c r="I171" s="8">
        <f>'3. Demand Forecast'!G171/SQRT($T$3)</f>
        <v>25.34956517468208</v>
      </c>
      <c r="J171" s="5">
        <f t="shared" si="12"/>
        <v>162</v>
      </c>
      <c r="K171" s="5">
        <f t="shared" si="13"/>
        <v>462</v>
      </c>
      <c r="L171" s="3">
        <f>IF(F171=0,0,ROUNDUP(SQRT(2*'4. ABC XYZ Analysis'!F171*$U$3/(F171*$V$3)),0))</f>
        <v>90</v>
      </c>
      <c r="M171" s="3">
        <f>'1. Master Data'!I171</f>
        <v>465</v>
      </c>
      <c r="N171" s="3">
        <f t="shared" si="14"/>
        <v>23</v>
      </c>
      <c r="O171" s="5" t="str">
        <f t="shared" si="15"/>
        <v>ORDER SOON</v>
      </c>
      <c r="P171" s="5" t="str">
        <f t="shared" si="16"/>
        <v>HIGH</v>
      </c>
      <c r="Q171" s="3" t="str">
        <f t="shared" si="17"/>
        <v>Reorder Point</v>
      </c>
    </row>
    <row r="172" spans="1:17" ht="15" customHeight="1" x14ac:dyDescent="0.2">
      <c r="A172" s="3" t="str">
        <f>'1. Master Data'!A172</f>
        <v>NT10168</v>
      </c>
      <c r="B172" s="1" t="str">
        <f>'1. Master Data'!B172</f>
        <v>StudioPods 858 ANC</v>
      </c>
      <c r="C172" s="3" t="str">
        <f>'1. Master Data'!D172</f>
        <v>West DC</v>
      </c>
      <c r="D172" s="5" t="str">
        <f>'4. ABC XYZ Analysis'!K172</f>
        <v>A</v>
      </c>
      <c r="E172" s="5" t="str">
        <f>'4. ABC XYZ Analysis'!M172</f>
        <v>X</v>
      </c>
      <c r="F172" s="4">
        <f>'1. Master Data'!F172</f>
        <v>174</v>
      </c>
      <c r="G172" s="3">
        <f>'1. Master Data'!G172</f>
        <v>24</v>
      </c>
      <c r="H172" s="8">
        <f>'3. Demand Forecast'!F172/$T$3</f>
        <v>3.7</v>
      </c>
      <c r="I172" s="8">
        <f>'3. Demand Forecast'!G172/SQRT($T$3)</f>
        <v>5.5432186252458715</v>
      </c>
      <c r="J172" s="5">
        <f t="shared" si="12"/>
        <v>45</v>
      </c>
      <c r="K172" s="5">
        <f t="shared" si="13"/>
        <v>134</v>
      </c>
      <c r="L172" s="3">
        <f>IF(F172=0,0,ROUNDUP(SQRT(2*'4. ABC XYZ Analysis'!F172*$U$3/(F172*$V$3)),0))</f>
        <v>54</v>
      </c>
      <c r="M172" s="3">
        <f>'1. Master Data'!I172</f>
        <v>137</v>
      </c>
      <c r="N172" s="3">
        <f t="shared" si="14"/>
        <v>37</v>
      </c>
      <c r="O172" s="5" t="str">
        <f t="shared" si="15"/>
        <v>ORDER SOON</v>
      </c>
      <c r="P172" s="5" t="str">
        <f t="shared" si="16"/>
        <v>HIGH</v>
      </c>
      <c r="Q172" s="3" t="str">
        <f t="shared" si="17"/>
        <v>Reorder Point</v>
      </c>
    </row>
    <row r="173" spans="1:17" ht="15" customHeight="1" x14ac:dyDescent="0.2">
      <c r="A173" s="3" t="str">
        <f>'1. Master Data'!A173</f>
        <v>NT10169</v>
      </c>
      <c r="B173" s="1" t="str">
        <f>'1. Master Data'!B173</f>
        <v>StudioPods 131 ANC</v>
      </c>
      <c r="C173" s="3" t="str">
        <f>'1. Master Data'!D173</f>
        <v>East DC</v>
      </c>
      <c r="D173" s="5" t="str">
        <f>'4. ABC XYZ Analysis'!K173</f>
        <v>A</v>
      </c>
      <c r="E173" s="5" t="str">
        <f>'4. ABC XYZ Analysis'!M173</f>
        <v>Y</v>
      </c>
      <c r="F173" s="4">
        <f>'1. Master Data'!F173</f>
        <v>134</v>
      </c>
      <c r="G173" s="3">
        <f>'1. Master Data'!G173</f>
        <v>18</v>
      </c>
      <c r="H173" s="8">
        <f>'3. Demand Forecast'!F173/$T$3</f>
        <v>6.6136363636363633</v>
      </c>
      <c r="I173" s="8">
        <f>'3. Demand Forecast'!G173/SQRT($T$3)</f>
        <v>9.1463107316556869</v>
      </c>
      <c r="J173" s="5">
        <f t="shared" si="12"/>
        <v>65</v>
      </c>
      <c r="K173" s="5">
        <f t="shared" si="13"/>
        <v>185</v>
      </c>
      <c r="L173" s="3">
        <f>IF(F173=0,0,ROUNDUP(SQRT(2*'4. ABC XYZ Analysis'!F173*$U$3/(F173*$V$3)),0))</f>
        <v>38</v>
      </c>
      <c r="M173" s="3">
        <f>'1. Master Data'!I173</f>
        <v>188</v>
      </c>
      <c r="N173" s="3">
        <f t="shared" si="14"/>
        <v>28</v>
      </c>
      <c r="O173" s="5" t="str">
        <f t="shared" si="15"/>
        <v>ORDER SOON</v>
      </c>
      <c r="P173" s="5" t="str">
        <f t="shared" si="16"/>
        <v>HIGH</v>
      </c>
      <c r="Q173" s="3" t="str">
        <f t="shared" si="17"/>
        <v>Reorder Point</v>
      </c>
    </row>
    <row r="174" spans="1:17" ht="15" customHeight="1" x14ac:dyDescent="0.2">
      <c r="A174" s="3" t="str">
        <f>'1. Master Data'!A174</f>
        <v>NT10170</v>
      </c>
      <c r="B174" s="1" t="str">
        <f>'1. Master Data'!B174</f>
        <v>SoundCore Buds 475</v>
      </c>
      <c r="C174" s="3" t="str">
        <f>'1. Master Data'!D174</f>
        <v>East DC</v>
      </c>
      <c r="D174" s="5" t="str">
        <f>'4. ABC XYZ Analysis'!K174</f>
        <v>A</v>
      </c>
      <c r="E174" s="5" t="str">
        <f>'4. ABC XYZ Analysis'!M174</f>
        <v>Y</v>
      </c>
      <c r="F174" s="4">
        <f>'1. Master Data'!F174</f>
        <v>156</v>
      </c>
      <c r="G174" s="3">
        <f>'1. Master Data'!G174</f>
        <v>19</v>
      </c>
      <c r="H174" s="8">
        <f>'3. Demand Forecast'!F174/$T$3</f>
        <v>4.6318181818181818</v>
      </c>
      <c r="I174" s="8">
        <f>'3. Demand Forecast'!G174/SQRT($T$3)</f>
        <v>8.0376670066065135</v>
      </c>
      <c r="J174" s="5">
        <f t="shared" si="12"/>
        <v>58</v>
      </c>
      <c r="K174" s="5">
        <f t="shared" si="13"/>
        <v>147</v>
      </c>
      <c r="L174" s="3">
        <f>IF(F174=0,0,ROUNDUP(SQRT(2*'4. ABC XYZ Analysis'!F174*$U$3/(F174*$V$3)),0))</f>
        <v>33</v>
      </c>
      <c r="M174" s="3">
        <f>'1. Master Data'!I174</f>
        <v>150</v>
      </c>
      <c r="N174" s="3">
        <f t="shared" si="14"/>
        <v>32</v>
      </c>
      <c r="O174" s="5" t="str">
        <f t="shared" si="15"/>
        <v>ORDER SOON</v>
      </c>
      <c r="P174" s="5" t="str">
        <f t="shared" si="16"/>
        <v>HIGH</v>
      </c>
      <c r="Q174" s="3" t="str">
        <f t="shared" si="17"/>
        <v>Reorder Point</v>
      </c>
    </row>
    <row r="175" spans="1:17" ht="15" customHeight="1" x14ac:dyDescent="0.2">
      <c r="A175" s="3" t="str">
        <f>'1. Master Data'!A175</f>
        <v>NT10171</v>
      </c>
      <c r="B175" s="1" t="str">
        <f>'1. Master Data'!B175</f>
        <v>StudioPods 651 ANC</v>
      </c>
      <c r="C175" s="3" t="str">
        <f>'1. Master Data'!D175</f>
        <v>Central DC</v>
      </c>
      <c r="D175" s="5" t="str">
        <f>'4. ABC XYZ Analysis'!K175</f>
        <v>A</v>
      </c>
      <c r="E175" s="5" t="str">
        <f>'4. ABC XYZ Analysis'!M175</f>
        <v>Y</v>
      </c>
      <c r="F175" s="4">
        <f>'1. Master Data'!F175</f>
        <v>33</v>
      </c>
      <c r="G175" s="3">
        <f>'1. Master Data'!G175</f>
        <v>23</v>
      </c>
      <c r="H175" s="8">
        <f>'3. Demand Forecast'!F175/$T$3</f>
        <v>10</v>
      </c>
      <c r="I175" s="8">
        <f>'3. Demand Forecast'!G175/SQRT($T$3)</f>
        <v>12.962603554421113</v>
      </c>
      <c r="J175" s="5">
        <f t="shared" si="12"/>
        <v>103</v>
      </c>
      <c r="K175" s="5">
        <f t="shared" si="13"/>
        <v>333</v>
      </c>
      <c r="L175" s="3">
        <f>IF(F175=0,0,ROUNDUP(SQRT(2*'4. ABC XYZ Analysis'!F175*$U$3/(F175*$V$3)),0))</f>
        <v>150</v>
      </c>
      <c r="M175" s="3">
        <f>'1. Master Data'!I175</f>
        <v>336</v>
      </c>
      <c r="N175" s="3">
        <f t="shared" si="14"/>
        <v>34</v>
      </c>
      <c r="O175" s="5" t="str">
        <f t="shared" si="15"/>
        <v>ORDER SOON</v>
      </c>
      <c r="P175" s="5" t="str">
        <f t="shared" si="16"/>
        <v>HIGH</v>
      </c>
      <c r="Q175" s="3" t="str">
        <f t="shared" si="17"/>
        <v>Reorder Point</v>
      </c>
    </row>
    <row r="176" spans="1:17" ht="15" customHeight="1" x14ac:dyDescent="0.2">
      <c r="A176" s="3" t="str">
        <f>'1. Master Data'!A176</f>
        <v>NT10172</v>
      </c>
      <c r="B176" s="1" t="str">
        <f>'1. Master Data'!B176</f>
        <v>BassMax Speaker 274</v>
      </c>
      <c r="C176" s="3" t="str">
        <f>'1. Master Data'!D176</f>
        <v>West DC</v>
      </c>
      <c r="D176" s="5" t="str">
        <f>'4. ABC XYZ Analysis'!K176</f>
        <v>A</v>
      </c>
      <c r="E176" s="5" t="str">
        <f>'4. ABC XYZ Analysis'!M176</f>
        <v>Y</v>
      </c>
      <c r="F176" s="4">
        <f>'1. Master Data'!F176</f>
        <v>156</v>
      </c>
      <c r="G176" s="3">
        <f>'1. Master Data'!G176</f>
        <v>18</v>
      </c>
      <c r="H176" s="8">
        <f>'3. Demand Forecast'!F176/$T$3</f>
        <v>4.5590909090909086</v>
      </c>
      <c r="I176" s="8">
        <f>'3. Demand Forecast'!G176/SQRT($T$3)</f>
        <v>24.113001019819539</v>
      </c>
      <c r="J176" s="5">
        <f t="shared" si="12"/>
        <v>169</v>
      </c>
      <c r="K176" s="5">
        <f t="shared" si="13"/>
        <v>252</v>
      </c>
      <c r="L176" s="3">
        <f>IF(F176=0,0,ROUNDUP(SQRT(2*'4. ABC XYZ Analysis'!F176*$U$3/(F176*$V$3)),0))</f>
        <v>26</v>
      </c>
      <c r="M176" s="3">
        <f>'1. Master Data'!I176</f>
        <v>255</v>
      </c>
      <c r="N176" s="3">
        <f t="shared" si="14"/>
        <v>56</v>
      </c>
      <c r="O176" s="5" t="str">
        <f t="shared" si="15"/>
        <v>ORDER SOON</v>
      </c>
      <c r="P176" s="5" t="str">
        <f t="shared" si="16"/>
        <v>HIGH</v>
      </c>
      <c r="Q176" s="3" t="str">
        <f t="shared" si="17"/>
        <v>Reorder Point</v>
      </c>
    </row>
    <row r="177" spans="1:17" ht="15" customHeight="1" x14ac:dyDescent="0.2">
      <c r="A177" s="3" t="str">
        <f>'1. Master Data'!A177</f>
        <v>NT10173</v>
      </c>
      <c r="B177" s="1" t="str">
        <f>'1. Master Data'!B177</f>
        <v>WaveBar 471 Soundbar</v>
      </c>
      <c r="C177" s="3" t="str">
        <f>'1. Master Data'!D177</f>
        <v>East DC</v>
      </c>
      <c r="D177" s="5" t="str">
        <f>'4. ABC XYZ Analysis'!K177</f>
        <v>A</v>
      </c>
      <c r="E177" s="5" t="str">
        <f>'4. ABC XYZ Analysis'!M177</f>
        <v>Y</v>
      </c>
      <c r="F177" s="4">
        <f>'1. Master Data'!F177</f>
        <v>209</v>
      </c>
      <c r="G177" s="3">
        <f>'1. Master Data'!G177</f>
        <v>18</v>
      </c>
      <c r="H177" s="8">
        <f>'3. Demand Forecast'!F177/$T$3</f>
        <v>1.7590909090909093</v>
      </c>
      <c r="I177" s="8">
        <f>'3. Demand Forecast'!G177/SQRT($T$3)</f>
        <v>7.3127845709974366</v>
      </c>
      <c r="J177" s="5">
        <f t="shared" si="12"/>
        <v>52</v>
      </c>
      <c r="K177" s="5">
        <f t="shared" si="13"/>
        <v>84</v>
      </c>
      <c r="L177" s="3">
        <f>IF(F177=0,0,ROUNDUP(SQRT(2*'4. ABC XYZ Analysis'!F177*$U$3/(F177*$V$3)),0))</f>
        <v>96</v>
      </c>
      <c r="M177" s="3">
        <f>'1. Master Data'!I177</f>
        <v>87</v>
      </c>
      <c r="N177" s="3">
        <f t="shared" si="14"/>
        <v>49</v>
      </c>
      <c r="O177" s="5" t="str">
        <f t="shared" si="15"/>
        <v>ORDER SOON</v>
      </c>
      <c r="P177" s="5" t="str">
        <f t="shared" si="16"/>
        <v>HIGH</v>
      </c>
      <c r="Q177" s="3" t="str">
        <f t="shared" si="17"/>
        <v>Reorder Point</v>
      </c>
    </row>
    <row r="178" spans="1:17" ht="15" customHeight="1" x14ac:dyDescent="0.2">
      <c r="A178" s="3" t="str">
        <f>'1. Master Data'!A178</f>
        <v>NT10174</v>
      </c>
      <c r="B178" s="1" t="str">
        <f>'1. Master Data'!B178</f>
        <v>ClipMic 238 Wireless</v>
      </c>
      <c r="C178" s="3" t="str">
        <f>'1. Master Data'!D178</f>
        <v>East DC</v>
      </c>
      <c r="D178" s="5" t="str">
        <f>'4. ABC XYZ Analysis'!K178</f>
        <v>A</v>
      </c>
      <c r="E178" s="5" t="str">
        <f>'4. ABC XYZ Analysis'!M178</f>
        <v>Y</v>
      </c>
      <c r="F178" s="4">
        <f>'1. Master Data'!F178</f>
        <v>219</v>
      </c>
      <c r="G178" s="3">
        <f>'1. Master Data'!G178</f>
        <v>28</v>
      </c>
      <c r="H178" s="8">
        <f>'3. Demand Forecast'!F178/$T$3</f>
        <v>2.7045454545454546</v>
      </c>
      <c r="I178" s="8">
        <f>'3. Demand Forecast'!G178/SQRT($T$3)</f>
        <v>3.8589329660365492</v>
      </c>
      <c r="J178" s="5">
        <f t="shared" si="12"/>
        <v>34</v>
      </c>
      <c r="K178" s="5">
        <f t="shared" si="13"/>
        <v>110</v>
      </c>
      <c r="L178" s="3">
        <f>IF(F178=0,0,ROUNDUP(SQRT(2*'4. ABC XYZ Analysis'!F178*$U$3/(F178*$V$3)),0))</f>
        <v>27</v>
      </c>
      <c r="M178" s="3">
        <f>'1. Master Data'!I178</f>
        <v>113</v>
      </c>
      <c r="N178" s="3">
        <f t="shared" si="14"/>
        <v>42</v>
      </c>
      <c r="O178" s="5" t="str">
        <f t="shared" si="15"/>
        <v>ORDER SOON</v>
      </c>
      <c r="P178" s="5" t="str">
        <f t="shared" si="16"/>
        <v>HIGH</v>
      </c>
      <c r="Q178" s="3" t="str">
        <f t="shared" si="17"/>
        <v>Reorder Point</v>
      </c>
    </row>
    <row r="179" spans="1:17" ht="15" customHeight="1" x14ac:dyDescent="0.2">
      <c r="A179" s="3" t="str">
        <f>'1. Master Data'!A179</f>
        <v>NT10175</v>
      </c>
      <c r="B179" s="1" t="str">
        <f>'1. Master Data'!B179</f>
        <v>StudioPods 585 ANC</v>
      </c>
      <c r="C179" s="3" t="str">
        <f>'1. Master Data'!D179</f>
        <v>West DC</v>
      </c>
      <c r="D179" s="5" t="str">
        <f>'4. ABC XYZ Analysis'!K179</f>
        <v>A</v>
      </c>
      <c r="E179" s="5" t="str">
        <f>'4. ABC XYZ Analysis'!M179</f>
        <v>X</v>
      </c>
      <c r="F179" s="4">
        <f>'1. Master Data'!F179</f>
        <v>53</v>
      </c>
      <c r="G179" s="3">
        <f>'1. Master Data'!G179</f>
        <v>19</v>
      </c>
      <c r="H179" s="8">
        <f>'3. Demand Forecast'!F179/$T$3</f>
        <v>2.790909090909091</v>
      </c>
      <c r="I179" s="8">
        <f>'3. Demand Forecast'!G179/SQRT($T$3)</f>
        <v>11.299637966847353</v>
      </c>
      <c r="J179" s="5">
        <f t="shared" si="12"/>
        <v>82</v>
      </c>
      <c r="K179" s="5">
        <f t="shared" si="13"/>
        <v>136</v>
      </c>
      <c r="L179" s="3">
        <f>IF(F179=0,0,ROUNDUP(SQRT(2*'4. ABC XYZ Analysis'!F179*$U$3/(F179*$V$3)),0))</f>
        <v>170</v>
      </c>
      <c r="M179" s="3">
        <f>'1. Master Data'!I179</f>
        <v>208</v>
      </c>
      <c r="N179" s="3">
        <f t="shared" si="14"/>
        <v>75</v>
      </c>
      <c r="O179" s="5" t="str">
        <f t="shared" si="15"/>
        <v>OK</v>
      </c>
      <c r="P179" s="5" t="str">
        <f t="shared" si="16"/>
        <v>LOW</v>
      </c>
      <c r="Q179" s="3" t="str">
        <f t="shared" si="17"/>
        <v>Reorder Point</v>
      </c>
    </row>
    <row r="180" spans="1:17" ht="15" customHeight="1" x14ac:dyDescent="0.2">
      <c r="A180" s="3" t="str">
        <f>'1. Master Data'!A180</f>
        <v>NT10176</v>
      </c>
      <c r="B180" s="1" t="str">
        <f>'1. Master Data'!B180</f>
        <v>SoundCore Buds 312</v>
      </c>
      <c r="C180" s="3" t="str">
        <f>'1. Master Data'!D180</f>
        <v>Central DC</v>
      </c>
      <c r="D180" s="5" t="str">
        <f>'4. ABC XYZ Analysis'!K180</f>
        <v>A</v>
      </c>
      <c r="E180" s="5" t="str">
        <f>'4. ABC XYZ Analysis'!M180</f>
        <v>Y</v>
      </c>
      <c r="F180" s="4">
        <f>'1. Master Data'!F180</f>
        <v>81</v>
      </c>
      <c r="G180" s="3">
        <f>'1. Master Data'!G180</f>
        <v>17</v>
      </c>
      <c r="H180" s="8">
        <f>'3. Demand Forecast'!F180/$T$3</f>
        <v>3.0090909090909093</v>
      </c>
      <c r="I180" s="8">
        <f>'3. Demand Forecast'!G180/SQRT($T$3)</f>
        <v>4.1147738256632813</v>
      </c>
      <c r="J180" s="5">
        <f t="shared" si="12"/>
        <v>28</v>
      </c>
      <c r="K180" s="5">
        <f t="shared" si="13"/>
        <v>80</v>
      </c>
      <c r="L180" s="3">
        <f>IF(F180=0,0,ROUNDUP(SQRT(2*'4. ABC XYZ Analysis'!F180*$U$3/(F180*$V$3)),0))</f>
        <v>97</v>
      </c>
      <c r="M180" s="3">
        <f>'1. Master Data'!I180</f>
        <v>84</v>
      </c>
      <c r="N180" s="3">
        <f t="shared" si="14"/>
        <v>28</v>
      </c>
      <c r="O180" s="5" t="str">
        <f t="shared" si="15"/>
        <v>ORDER SOON</v>
      </c>
      <c r="P180" s="5" t="str">
        <f t="shared" si="16"/>
        <v>HIGH</v>
      </c>
      <c r="Q180" s="3" t="str">
        <f t="shared" si="17"/>
        <v>Reorder Point</v>
      </c>
    </row>
    <row r="181" spans="1:17" ht="15" customHeight="1" x14ac:dyDescent="0.2">
      <c r="A181" s="3" t="str">
        <f>'1. Master Data'!A181</f>
        <v>NT10177</v>
      </c>
      <c r="B181" s="1" t="str">
        <f>'1. Master Data'!B181</f>
        <v>StudioPods 405 ANC</v>
      </c>
      <c r="C181" s="3" t="str">
        <f>'1. Master Data'!D181</f>
        <v>East DC</v>
      </c>
      <c r="D181" s="5" t="str">
        <f>'4. ABC XYZ Analysis'!K181</f>
        <v>A</v>
      </c>
      <c r="E181" s="5" t="str">
        <f>'4. ABC XYZ Analysis'!M181</f>
        <v>Y</v>
      </c>
      <c r="F181" s="4">
        <f>'1. Master Data'!F181</f>
        <v>32</v>
      </c>
      <c r="G181" s="3">
        <f>'1. Master Data'!G181</f>
        <v>15</v>
      </c>
      <c r="H181" s="8">
        <f>'3. Demand Forecast'!F181/$T$3</f>
        <v>5.8</v>
      </c>
      <c r="I181" s="8">
        <f>'3. Demand Forecast'!G181/SQRT($T$3)</f>
        <v>8.0376670066065135</v>
      </c>
      <c r="J181" s="5">
        <f t="shared" si="12"/>
        <v>52</v>
      </c>
      <c r="K181" s="5">
        <f t="shared" si="13"/>
        <v>139</v>
      </c>
      <c r="L181" s="3">
        <f>IF(F181=0,0,ROUNDUP(SQRT(2*'4. ABC XYZ Analysis'!F181*$U$3/(F181*$V$3)),0))</f>
        <v>49</v>
      </c>
      <c r="M181" s="3">
        <f>'1. Master Data'!I181</f>
        <v>474</v>
      </c>
      <c r="N181" s="3">
        <f t="shared" si="14"/>
        <v>82</v>
      </c>
      <c r="O181" s="5" t="str">
        <f t="shared" si="15"/>
        <v>OK</v>
      </c>
      <c r="P181" s="5" t="str">
        <f t="shared" si="16"/>
        <v>LOW</v>
      </c>
      <c r="Q181" s="3" t="str">
        <f t="shared" si="17"/>
        <v>Reorder Point</v>
      </c>
    </row>
    <row r="182" spans="1:17" ht="15" customHeight="1" x14ac:dyDescent="0.2">
      <c r="A182" s="3" t="str">
        <f>'1. Master Data'!A182</f>
        <v>NT10178</v>
      </c>
      <c r="B182" s="1" t="str">
        <f>'1. Master Data'!B182</f>
        <v>BassMax Speaker 653</v>
      </c>
      <c r="C182" s="3" t="str">
        <f>'1. Master Data'!D182</f>
        <v>Central DC</v>
      </c>
      <c r="D182" s="5" t="str">
        <f>'4. ABC XYZ Analysis'!K182</f>
        <v>B</v>
      </c>
      <c r="E182" s="5" t="str">
        <f>'4. ABC XYZ Analysis'!M182</f>
        <v>Y</v>
      </c>
      <c r="F182" s="4">
        <f>'1. Master Data'!F182</f>
        <v>95</v>
      </c>
      <c r="G182" s="3">
        <f>'1. Master Data'!G182</f>
        <v>15</v>
      </c>
      <c r="H182" s="8">
        <f>'3. Demand Forecast'!F182/$T$3</f>
        <v>4.581818181818182</v>
      </c>
      <c r="I182" s="8">
        <f>'3. Demand Forecast'!G182/SQRT($T$3)</f>
        <v>7.5473053589886092</v>
      </c>
      <c r="J182" s="5">
        <f t="shared" si="12"/>
        <v>49</v>
      </c>
      <c r="K182" s="5">
        <f t="shared" si="13"/>
        <v>118</v>
      </c>
      <c r="L182" s="3">
        <f>IF(F182=0,0,ROUNDUP(SQRT(2*'4. ABC XYZ Analysis'!F182*$U$3/(F182*$V$3)),0))</f>
        <v>93</v>
      </c>
      <c r="M182" s="3">
        <f>'1. Master Data'!I182</f>
        <v>121</v>
      </c>
      <c r="N182" s="3">
        <f t="shared" si="14"/>
        <v>26</v>
      </c>
      <c r="O182" s="5" t="str">
        <f t="shared" si="15"/>
        <v>ORDER SOON</v>
      </c>
      <c r="P182" s="5" t="str">
        <f t="shared" si="16"/>
        <v>MEDIUM</v>
      </c>
      <c r="Q182" s="3" t="str">
        <f t="shared" si="17"/>
        <v>Reorder Point</v>
      </c>
    </row>
    <row r="183" spans="1:17" ht="15" customHeight="1" x14ac:dyDescent="0.2">
      <c r="A183" s="3" t="str">
        <f>'1. Master Data'!A183</f>
        <v>NT10179</v>
      </c>
      <c r="B183" s="1" t="str">
        <f>'1. Master Data'!B183</f>
        <v>SoundCore Buds 359</v>
      </c>
      <c r="C183" s="3" t="str">
        <f>'1. Master Data'!D183</f>
        <v>West DC</v>
      </c>
      <c r="D183" s="5" t="str">
        <f>'4. ABC XYZ Analysis'!K183</f>
        <v>B</v>
      </c>
      <c r="E183" s="5" t="str">
        <f>'4. ABC XYZ Analysis'!M183</f>
        <v>X</v>
      </c>
      <c r="F183" s="4">
        <f>'1. Master Data'!F183</f>
        <v>229</v>
      </c>
      <c r="G183" s="3">
        <f>'1. Master Data'!G183</f>
        <v>24</v>
      </c>
      <c r="H183" s="8">
        <f>'3. Demand Forecast'!F183/$T$3</f>
        <v>2.2045454545454546</v>
      </c>
      <c r="I183" s="8">
        <f>'3. Demand Forecast'!G183/SQRT($T$3)</f>
        <v>6.7797827801084116</v>
      </c>
      <c r="J183" s="5">
        <f t="shared" si="12"/>
        <v>55</v>
      </c>
      <c r="K183" s="5">
        <f t="shared" si="13"/>
        <v>108</v>
      </c>
      <c r="L183" s="3">
        <f>IF(F183=0,0,ROUNDUP(SQRT(2*'4. ABC XYZ Analysis'!F183*$U$3/(F183*$V$3)),0))</f>
        <v>139</v>
      </c>
      <c r="M183" s="3">
        <f>'1. Master Data'!I183</f>
        <v>111</v>
      </c>
      <c r="N183" s="3">
        <f t="shared" si="14"/>
        <v>50</v>
      </c>
      <c r="O183" s="5" t="str">
        <f t="shared" si="15"/>
        <v>ORDER SOON</v>
      </c>
      <c r="P183" s="5" t="str">
        <f t="shared" si="16"/>
        <v>MEDIUM</v>
      </c>
      <c r="Q183" s="3" t="str">
        <f t="shared" si="17"/>
        <v>Reorder Point</v>
      </c>
    </row>
    <row r="184" spans="1:17" ht="15" customHeight="1" x14ac:dyDescent="0.2">
      <c r="A184" s="3" t="str">
        <f>'1. Master Data'!A184</f>
        <v>NT10180</v>
      </c>
      <c r="B184" s="1" t="str">
        <f>'1. Master Data'!B184</f>
        <v>ClipMic 324 Wireless</v>
      </c>
      <c r="C184" s="3" t="str">
        <f>'1. Master Data'!D184</f>
        <v>West DC</v>
      </c>
      <c r="D184" s="5" t="str">
        <f>'4. ABC XYZ Analysis'!K184</f>
        <v>B</v>
      </c>
      <c r="E184" s="5" t="str">
        <f>'4. ABC XYZ Analysis'!M184</f>
        <v>Y</v>
      </c>
      <c r="F184" s="4">
        <f>'1. Master Data'!F184</f>
        <v>230</v>
      </c>
      <c r="G184" s="3">
        <f>'1. Master Data'!G184</f>
        <v>20</v>
      </c>
      <c r="H184" s="8">
        <f>'3. Demand Forecast'!F184/$T$3</f>
        <v>9.877272727272727</v>
      </c>
      <c r="I184" s="8">
        <f>'3. Demand Forecast'!G184/SQRT($T$3)</f>
        <v>14.540288855452632</v>
      </c>
      <c r="J184" s="5">
        <f t="shared" si="12"/>
        <v>108</v>
      </c>
      <c r="K184" s="5">
        <f t="shared" si="13"/>
        <v>306</v>
      </c>
      <c r="L184" s="3">
        <f>IF(F184=0,0,ROUNDUP(SQRT(2*'4. ABC XYZ Analysis'!F184*$U$3/(F184*$V$3)),0))</f>
        <v>42</v>
      </c>
      <c r="M184" s="3">
        <f>'1. Master Data'!I184</f>
        <v>309</v>
      </c>
      <c r="N184" s="3">
        <f t="shared" si="14"/>
        <v>31</v>
      </c>
      <c r="O184" s="5" t="str">
        <f t="shared" si="15"/>
        <v>ORDER SOON</v>
      </c>
      <c r="P184" s="5" t="str">
        <f t="shared" si="16"/>
        <v>MEDIUM</v>
      </c>
      <c r="Q184" s="3" t="str">
        <f t="shared" si="17"/>
        <v>Reorder Point</v>
      </c>
    </row>
    <row r="185" spans="1:17" ht="15" customHeight="1" x14ac:dyDescent="0.2">
      <c r="A185" s="3" t="str">
        <f>'1. Master Data'!A185</f>
        <v>NT10181</v>
      </c>
      <c r="B185" s="1" t="str">
        <f>'1. Master Data'!B185</f>
        <v>WaveBar 806 Soundbar</v>
      </c>
      <c r="C185" s="3" t="str">
        <f>'1. Master Data'!D185</f>
        <v>Central DC</v>
      </c>
      <c r="D185" s="5" t="str">
        <f>'4. ABC XYZ Analysis'!K185</f>
        <v>B</v>
      </c>
      <c r="E185" s="5" t="str">
        <f>'4. ABC XYZ Analysis'!M185</f>
        <v>X</v>
      </c>
      <c r="F185" s="4">
        <f>'1. Master Data'!F185</f>
        <v>175</v>
      </c>
      <c r="G185" s="3">
        <f>'1. Master Data'!G185</f>
        <v>16</v>
      </c>
      <c r="H185" s="8">
        <f>'3. Demand Forecast'!F185/$T$3</f>
        <v>2.5863636363636364</v>
      </c>
      <c r="I185" s="8">
        <f>'3. Demand Forecast'!G185/SQRT($T$3)</f>
        <v>3.7310125362231825</v>
      </c>
      <c r="J185" s="5">
        <f t="shared" si="12"/>
        <v>25</v>
      </c>
      <c r="K185" s="5">
        <f t="shared" si="13"/>
        <v>67</v>
      </c>
      <c r="L185" s="3">
        <f>IF(F185=0,0,ROUNDUP(SQRT(2*'4. ABC XYZ Analysis'!F185*$U$3/(F185*$V$3)),0))</f>
        <v>126</v>
      </c>
      <c r="M185" s="3">
        <f>'1. Master Data'!I185</f>
        <v>70</v>
      </c>
      <c r="N185" s="3">
        <f t="shared" si="14"/>
        <v>27</v>
      </c>
      <c r="O185" s="5" t="str">
        <f t="shared" si="15"/>
        <v>ORDER SOON</v>
      </c>
      <c r="P185" s="5" t="str">
        <f t="shared" si="16"/>
        <v>MEDIUM</v>
      </c>
      <c r="Q185" s="3" t="str">
        <f t="shared" si="17"/>
        <v>Reorder Point</v>
      </c>
    </row>
    <row r="186" spans="1:17" ht="15" customHeight="1" x14ac:dyDescent="0.2">
      <c r="A186" s="3" t="str">
        <f>'1. Master Data'!A186</f>
        <v>NT10182</v>
      </c>
      <c r="B186" s="1" t="str">
        <f>'1. Master Data'!B186</f>
        <v>ClipMic 749 Wireless</v>
      </c>
      <c r="C186" s="3" t="str">
        <f>'1. Master Data'!D186</f>
        <v>East DC</v>
      </c>
      <c r="D186" s="5" t="str">
        <f>'4. ABC XYZ Analysis'!K186</f>
        <v>B</v>
      </c>
      <c r="E186" s="5" t="str">
        <f>'4. ABC XYZ Analysis'!M186</f>
        <v>Y</v>
      </c>
      <c r="F186" s="4">
        <f>'1. Master Data'!F186</f>
        <v>118</v>
      </c>
      <c r="G186" s="3">
        <f>'1. Master Data'!G186</f>
        <v>28</v>
      </c>
      <c r="H186" s="8">
        <f>'3. Demand Forecast'!F186/$T$3</f>
        <v>3.627272727272727</v>
      </c>
      <c r="I186" s="8">
        <f>'3. Demand Forecast'!G186/SQRT($T$3)</f>
        <v>5.7564193416014815</v>
      </c>
      <c r="J186" s="5">
        <f t="shared" si="12"/>
        <v>51</v>
      </c>
      <c r="K186" s="5">
        <f t="shared" si="13"/>
        <v>153</v>
      </c>
      <c r="L186" s="3">
        <f>IF(F186=0,0,ROUNDUP(SQRT(2*'4. ABC XYZ Analysis'!F186*$U$3/(F186*$V$3)),0))</f>
        <v>46</v>
      </c>
      <c r="M186" s="3">
        <f>'1. Master Data'!I186</f>
        <v>289</v>
      </c>
      <c r="N186" s="3">
        <f t="shared" si="14"/>
        <v>80</v>
      </c>
      <c r="O186" s="5" t="str">
        <f t="shared" si="15"/>
        <v>OK</v>
      </c>
      <c r="P186" s="5" t="str">
        <f t="shared" si="16"/>
        <v>LOW</v>
      </c>
      <c r="Q186" s="3" t="str">
        <f t="shared" si="17"/>
        <v>Reorder Point</v>
      </c>
    </row>
    <row r="187" spans="1:17" ht="15" customHeight="1" x14ac:dyDescent="0.2">
      <c r="A187" s="3" t="str">
        <f>'1. Master Data'!A187</f>
        <v>NT10183</v>
      </c>
      <c r="B187" s="1" t="str">
        <f>'1. Master Data'!B187</f>
        <v>WaveBar 576 Soundbar</v>
      </c>
      <c r="C187" s="3" t="str">
        <f>'1. Master Data'!D187</f>
        <v>Central DC</v>
      </c>
      <c r="D187" s="5" t="str">
        <f>'4. ABC XYZ Analysis'!K187</f>
        <v>B</v>
      </c>
      <c r="E187" s="5" t="str">
        <f>'4. ABC XYZ Analysis'!M187</f>
        <v>Y</v>
      </c>
      <c r="F187" s="4">
        <f>'1. Master Data'!F187</f>
        <v>168</v>
      </c>
      <c r="G187" s="3">
        <f>'1. Master Data'!G187</f>
        <v>25</v>
      </c>
      <c r="H187" s="8">
        <f>'3. Demand Forecast'!F187/$T$3</f>
        <v>6.6454545454545446</v>
      </c>
      <c r="I187" s="8">
        <f>'3. Demand Forecast'!G187/SQRT($T$3)</f>
        <v>6.6945024935661674</v>
      </c>
      <c r="J187" s="5">
        <f t="shared" si="12"/>
        <v>56</v>
      </c>
      <c r="K187" s="5">
        <f t="shared" si="13"/>
        <v>223</v>
      </c>
      <c r="L187" s="3">
        <f>IF(F187=0,0,ROUNDUP(SQRT(2*'4. ABC XYZ Analysis'!F187*$U$3/(F187*$V$3)),0))</f>
        <v>93</v>
      </c>
      <c r="M187" s="3">
        <f>'1. Master Data'!I187</f>
        <v>226</v>
      </c>
      <c r="N187" s="3">
        <f t="shared" si="14"/>
        <v>34</v>
      </c>
      <c r="O187" s="5" t="str">
        <f t="shared" si="15"/>
        <v>ORDER SOON</v>
      </c>
      <c r="P187" s="5" t="str">
        <f t="shared" si="16"/>
        <v>MEDIUM</v>
      </c>
      <c r="Q187" s="3" t="str">
        <f t="shared" si="17"/>
        <v>Reorder Point</v>
      </c>
    </row>
    <row r="188" spans="1:17" ht="15" customHeight="1" x14ac:dyDescent="0.2">
      <c r="A188" s="3" t="str">
        <f>'1. Master Data'!A188</f>
        <v>NT10184</v>
      </c>
      <c r="B188" s="1" t="str">
        <f>'1. Master Data'!B188</f>
        <v>SoundCore Buds 830</v>
      </c>
      <c r="C188" s="3" t="str">
        <f>'1. Master Data'!D188</f>
        <v>West DC</v>
      </c>
      <c r="D188" s="5" t="str">
        <f>'4. ABC XYZ Analysis'!K188</f>
        <v>B</v>
      </c>
      <c r="E188" s="5" t="str">
        <f>'4. ABC XYZ Analysis'!M188</f>
        <v>Y</v>
      </c>
      <c r="F188" s="4">
        <f>'1. Master Data'!F188</f>
        <v>82</v>
      </c>
      <c r="G188" s="3">
        <f>'1. Master Data'!G188</f>
        <v>17</v>
      </c>
      <c r="H188" s="8">
        <f>'3. Demand Forecast'!F188/$T$3</f>
        <v>3.4954545454545456</v>
      </c>
      <c r="I188" s="8">
        <f>'3. Demand Forecast'!G188/SQRT($T$3)</f>
        <v>5.393978123796944</v>
      </c>
      <c r="J188" s="5">
        <f t="shared" si="12"/>
        <v>37</v>
      </c>
      <c r="K188" s="5">
        <f t="shared" si="13"/>
        <v>97</v>
      </c>
      <c r="L188" s="3">
        <f>IF(F188=0,0,ROUNDUP(SQRT(2*'4. ABC XYZ Analysis'!F188*$U$3/(F188*$V$3)),0))</f>
        <v>30</v>
      </c>
      <c r="M188" s="3">
        <f>'1. Master Data'!I188</f>
        <v>100</v>
      </c>
      <c r="N188" s="3">
        <f t="shared" si="14"/>
        <v>29</v>
      </c>
      <c r="O188" s="5" t="str">
        <f t="shared" si="15"/>
        <v>ORDER SOON</v>
      </c>
      <c r="P188" s="5" t="str">
        <f t="shared" si="16"/>
        <v>MEDIUM</v>
      </c>
      <c r="Q188" s="3" t="str">
        <f t="shared" si="17"/>
        <v>Reorder Point</v>
      </c>
    </row>
    <row r="189" spans="1:17" ht="15" customHeight="1" x14ac:dyDescent="0.2">
      <c r="A189" s="3" t="str">
        <f>'1. Master Data'!A189</f>
        <v>NT10185</v>
      </c>
      <c r="B189" s="1" t="str">
        <f>'1. Master Data'!B189</f>
        <v>BassMax Speaker 384</v>
      </c>
      <c r="C189" s="3" t="str">
        <f>'1. Master Data'!D189</f>
        <v>Central DC</v>
      </c>
      <c r="D189" s="5" t="str">
        <f>'4. ABC XYZ Analysis'!K189</f>
        <v>B</v>
      </c>
      <c r="E189" s="5" t="str">
        <f>'4. ABC XYZ Analysis'!M189</f>
        <v>Y</v>
      </c>
      <c r="F189" s="4">
        <f>'1. Master Data'!F189</f>
        <v>190</v>
      </c>
      <c r="G189" s="3">
        <f>'1. Master Data'!G189</f>
        <v>22</v>
      </c>
      <c r="H189" s="8">
        <f>'3. Demand Forecast'!F189/$T$3</f>
        <v>18.845454545454547</v>
      </c>
      <c r="I189" s="8">
        <f>'3. Demand Forecast'!G189/SQRT($T$3)</f>
        <v>29.379058713803119</v>
      </c>
      <c r="J189" s="5">
        <f t="shared" si="12"/>
        <v>228</v>
      </c>
      <c r="K189" s="5">
        <f t="shared" si="13"/>
        <v>643</v>
      </c>
      <c r="L189" s="3">
        <f>IF(F189=0,0,ROUNDUP(SQRT(2*'4. ABC XYZ Analysis'!F189*$U$3/(F189*$V$3)),0))</f>
        <v>33</v>
      </c>
      <c r="M189" s="3">
        <f>'1. Master Data'!I189</f>
        <v>321</v>
      </c>
      <c r="N189" s="3">
        <f t="shared" si="14"/>
        <v>17</v>
      </c>
      <c r="O189" s="5" t="str">
        <f t="shared" si="15"/>
        <v>ORDER NOW</v>
      </c>
      <c r="P189" s="5" t="str">
        <f t="shared" si="16"/>
        <v>HIGH</v>
      </c>
      <c r="Q189" s="3" t="str">
        <f t="shared" si="17"/>
        <v>Reorder Point</v>
      </c>
    </row>
    <row r="190" spans="1:17" ht="15" customHeight="1" x14ac:dyDescent="0.2">
      <c r="A190" s="3" t="str">
        <f>'1. Master Data'!A190</f>
        <v>NT10186</v>
      </c>
      <c r="B190" s="1" t="str">
        <f>'1. Master Data'!B190</f>
        <v>StudioPods 276 ANC</v>
      </c>
      <c r="C190" s="3" t="str">
        <f>'1. Master Data'!D190</f>
        <v>East DC</v>
      </c>
      <c r="D190" s="5" t="str">
        <f>'4. ABC XYZ Analysis'!K190</f>
        <v>B</v>
      </c>
      <c r="E190" s="5" t="str">
        <f>'4. ABC XYZ Analysis'!M190</f>
        <v>Y</v>
      </c>
      <c r="F190" s="4">
        <f>'1. Master Data'!F190</f>
        <v>179</v>
      </c>
      <c r="G190" s="3">
        <f>'1. Master Data'!G190</f>
        <v>28</v>
      </c>
      <c r="H190" s="8">
        <f>'3. Demand Forecast'!F190/$T$3</f>
        <v>9.168181818181818</v>
      </c>
      <c r="I190" s="8">
        <f>'3. Demand Forecast'!G190/SQRT($T$3)</f>
        <v>12.66412255152326</v>
      </c>
      <c r="J190" s="5">
        <f t="shared" si="12"/>
        <v>111</v>
      </c>
      <c r="K190" s="5">
        <f t="shared" si="13"/>
        <v>368</v>
      </c>
      <c r="L190" s="3">
        <f>IF(F190=0,0,ROUNDUP(SQRT(2*'4. ABC XYZ Analysis'!F190*$U$3/(F190*$V$3)),0))</f>
        <v>31</v>
      </c>
      <c r="M190" s="3">
        <f>'1. Master Data'!I190</f>
        <v>371</v>
      </c>
      <c r="N190" s="3">
        <f t="shared" si="14"/>
        <v>40</v>
      </c>
      <c r="O190" s="5" t="str">
        <f t="shared" si="15"/>
        <v>ORDER SOON</v>
      </c>
      <c r="P190" s="5" t="str">
        <f t="shared" si="16"/>
        <v>MEDIUM</v>
      </c>
      <c r="Q190" s="3" t="str">
        <f t="shared" si="17"/>
        <v>Reorder Point</v>
      </c>
    </row>
    <row r="191" spans="1:17" ht="15" customHeight="1" x14ac:dyDescent="0.2">
      <c r="A191" s="3" t="str">
        <f>'1. Master Data'!A191</f>
        <v>NT10187</v>
      </c>
      <c r="B191" s="1" t="str">
        <f>'1. Master Data'!B191</f>
        <v>StudioPods 868 ANC</v>
      </c>
      <c r="C191" s="3" t="str">
        <f>'1. Master Data'!D191</f>
        <v>East DC</v>
      </c>
      <c r="D191" s="5" t="str">
        <f>'4. ABC XYZ Analysis'!K191</f>
        <v>B</v>
      </c>
      <c r="E191" s="5" t="str">
        <f>'4. ABC XYZ Analysis'!M191</f>
        <v>Y</v>
      </c>
      <c r="F191" s="4">
        <f>'1. Master Data'!F191</f>
        <v>123</v>
      </c>
      <c r="G191" s="3">
        <f>'1. Master Data'!G191</f>
        <v>20</v>
      </c>
      <c r="H191" s="8">
        <f>'3. Demand Forecast'!F191/$T$3</f>
        <v>12.081818181818182</v>
      </c>
      <c r="I191" s="8">
        <f>'3. Demand Forecast'!G191/SQRT($T$3)</f>
        <v>15.371771649239511</v>
      </c>
      <c r="J191" s="5">
        <f t="shared" si="12"/>
        <v>114</v>
      </c>
      <c r="K191" s="5">
        <f t="shared" si="13"/>
        <v>356</v>
      </c>
      <c r="L191" s="3">
        <f>IF(F191=0,0,ROUNDUP(SQRT(2*'4. ABC XYZ Analysis'!F191*$U$3/(F191*$V$3)),0))</f>
        <v>31</v>
      </c>
      <c r="M191" s="3">
        <f>'1. Master Data'!I191</f>
        <v>359</v>
      </c>
      <c r="N191" s="3">
        <f t="shared" si="14"/>
        <v>30</v>
      </c>
      <c r="O191" s="5" t="str">
        <f t="shared" si="15"/>
        <v>ORDER SOON</v>
      </c>
      <c r="P191" s="5" t="str">
        <f t="shared" si="16"/>
        <v>MEDIUM</v>
      </c>
      <c r="Q191" s="3" t="str">
        <f t="shared" si="17"/>
        <v>Reorder Point</v>
      </c>
    </row>
    <row r="192" spans="1:17" ht="15" customHeight="1" x14ac:dyDescent="0.2">
      <c r="A192" s="3" t="str">
        <f>'1. Master Data'!A192</f>
        <v>NT10188</v>
      </c>
      <c r="B192" s="1" t="str">
        <f>'1. Master Data'!B192</f>
        <v>SoundCore Buds 506</v>
      </c>
      <c r="C192" s="3" t="str">
        <f>'1. Master Data'!D192</f>
        <v>West DC</v>
      </c>
      <c r="D192" s="5" t="str">
        <f>'4. ABC XYZ Analysis'!K192</f>
        <v>B</v>
      </c>
      <c r="E192" s="5" t="str">
        <f>'4. ABC XYZ Analysis'!M192</f>
        <v>Y</v>
      </c>
      <c r="F192" s="4">
        <f>'1. Master Data'!F192</f>
        <v>238</v>
      </c>
      <c r="G192" s="3">
        <f>'1. Master Data'!G192</f>
        <v>21</v>
      </c>
      <c r="H192" s="8">
        <f>'3. Demand Forecast'!F192/$T$3</f>
        <v>4.6499999999999995</v>
      </c>
      <c r="I192" s="8">
        <f>'3. Demand Forecast'!G192/SQRT($T$3)</f>
        <v>5.393978123796944</v>
      </c>
      <c r="J192" s="5">
        <f t="shared" si="12"/>
        <v>41</v>
      </c>
      <c r="K192" s="5">
        <f t="shared" si="13"/>
        <v>139</v>
      </c>
      <c r="L192" s="3">
        <f>IF(F192=0,0,ROUNDUP(SQRT(2*'4. ABC XYZ Analysis'!F192*$U$3/(F192*$V$3)),0))</f>
        <v>47</v>
      </c>
      <c r="M192" s="3">
        <f>'1. Master Data'!I192</f>
        <v>142</v>
      </c>
      <c r="N192" s="3">
        <f t="shared" si="14"/>
        <v>31</v>
      </c>
      <c r="O192" s="5" t="str">
        <f t="shared" si="15"/>
        <v>ORDER SOON</v>
      </c>
      <c r="P192" s="5" t="str">
        <f t="shared" si="16"/>
        <v>MEDIUM</v>
      </c>
      <c r="Q192" s="3" t="str">
        <f t="shared" si="17"/>
        <v>Reorder Point</v>
      </c>
    </row>
    <row r="193" spans="1:17" ht="15" customHeight="1" x14ac:dyDescent="0.2">
      <c r="A193" s="3" t="str">
        <f>'1. Master Data'!A193</f>
        <v>NT10189</v>
      </c>
      <c r="B193" s="1" t="str">
        <f>'1. Master Data'!B193</f>
        <v>ClipMic 886 Wireless</v>
      </c>
      <c r="C193" s="3" t="str">
        <f>'1. Master Data'!D193</f>
        <v>West DC</v>
      </c>
      <c r="D193" s="5" t="str">
        <f>'4. ABC XYZ Analysis'!K193</f>
        <v>B</v>
      </c>
      <c r="E193" s="5" t="str">
        <f>'4. ABC XYZ Analysis'!M193</f>
        <v>Y</v>
      </c>
      <c r="F193" s="4">
        <f>'1. Master Data'!F193</f>
        <v>212</v>
      </c>
      <c r="G193" s="3">
        <f>'1. Master Data'!G193</f>
        <v>20</v>
      </c>
      <c r="H193" s="8">
        <f>'3. Demand Forecast'!F193/$T$3</f>
        <v>6.1272727272727279</v>
      </c>
      <c r="I193" s="8">
        <f>'3. Demand Forecast'!G193/SQRT($T$3)</f>
        <v>8.3787881527754884</v>
      </c>
      <c r="J193" s="5">
        <f t="shared" si="12"/>
        <v>62</v>
      </c>
      <c r="K193" s="5">
        <f t="shared" si="13"/>
        <v>185</v>
      </c>
      <c r="L193" s="3">
        <f>IF(F193=0,0,ROUNDUP(SQRT(2*'4. ABC XYZ Analysis'!F193*$U$3/(F193*$V$3)),0))</f>
        <v>85</v>
      </c>
      <c r="M193" s="3">
        <f>'1. Master Data'!I193</f>
        <v>188</v>
      </c>
      <c r="N193" s="3">
        <f t="shared" si="14"/>
        <v>31</v>
      </c>
      <c r="O193" s="5" t="str">
        <f t="shared" si="15"/>
        <v>ORDER SOON</v>
      </c>
      <c r="P193" s="5" t="str">
        <f t="shared" si="16"/>
        <v>MEDIUM</v>
      </c>
      <c r="Q193" s="3" t="str">
        <f t="shared" si="17"/>
        <v>Reorder Point</v>
      </c>
    </row>
    <row r="194" spans="1:17" ht="15" customHeight="1" x14ac:dyDescent="0.2">
      <c r="A194" s="3" t="str">
        <f>'1. Master Data'!A194</f>
        <v>NT10190</v>
      </c>
      <c r="B194" s="1" t="str">
        <f>'1. Master Data'!B194</f>
        <v>StudioPods 663 ANC</v>
      </c>
      <c r="C194" s="3" t="str">
        <f>'1. Master Data'!D194</f>
        <v>West DC</v>
      </c>
      <c r="D194" s="5" t="str">
        <f>'4. ABC XYZ Analysis'!K194</f>
        <v>B</v>
      </c>
      <c r="E194" s="5" t="str">
        <f>'4. ABC XYZ Analysis'!M194</f>
        <v>X</v>
      </c>
      <c r="F194" s="4">
        <f>'1. Master Data'!F194</f>
        <v>204</v>
      </c>
      <c r="G194" s="3">
        <f>'1. Master Data'!G194</f>
        <v>18</v>
      </c>
      <c r="H194" s="8">
        <f>'3. Demand Forecast'!F194/$T$3</f>
        <v>10.022727272727273</v>
      </c>
      <c r="I194" s="8">
        <f>'3. Demand Forecast'!G194/SQRT($T$3)</f>
        <v>15.691572723772927</v>
      </c>
      <c r="J194" s="5">
        <f t="shared" si="12"/>
        <v>110</v>
      </c>
      <c r="K194" s="5">
        <f t="shared" si="13"/>
        <v>291</v>
      </c>
      <c r="L194" s="3">
        <f>IF(F194=0,0,ROUNDUP(SQRT(2*'4. ABC XYZ Analysis'!F194*$U$3/(F194*$V$3)),0))</f>
        <v>60</v>
      </c>
      <c r="M194" s="3">
        <f>'1. Master Data'!I194</f>
        <v>233</v>
      </c>
      <c r="N194" s="3">
        <f t="shared" si="14"/>
        <v>23</v>
      </c>
      <c r="O194" s="5" t="str">
        <f t="shared" si="15"/>
        <v>ORDER NOW</v>
      </c>
      <c r="P194" s="5" t="str">
        <f t="shared" si="16"/>
        <v>HIGH</v>
      </c>
      <c r="Q194" s="3" t="str">
        <f t="shared" si="17"/>
        <v>Reorder Point</v>
      </c>
    </row>
    <row r="195" spans="1:17" ht="15" customHeight="1" x14ac:dyDescent="0.2">
      <c r="A195" s="3" t="str">
        <f>'1. Master Data'!A195</f>
        <v>NT10191</v>
      </c>
      <c r="B195" s="1" t="str">
        <f>'1. Master Data'!B195</f>
        <v>BassMax Speaker 416</v>
      </c>
      <c r="C195" s="3" t="str">
        <f>'1. Master Data'!D195</f>
        <v>West DC</v>
      </c>
      <c r="D195" s="5" t="str">
        <f>'4. ABC XYZ Analysis'!K195</f>
        <v>B</v>
      </c>
      <c r="E195" s="5" t="str">
        <f>'4. ABC XYZ Analysis'!M195</f>
        <v>Y</v>
      </c>
      <c r="F195" s="4">
        <f>'1. Master Data'!F195</f>
        <v>230</v>
      </c>
      <c r="G195" s="3">
        <f>'1. Master Data'!G195</f>
        <v>23</v>
      </c>
      <c r="H195" s="8">
        <f>'3. Demand Forecast'!F195/$T$3</f>
        <v>3.7590909090909093</v>
      </c>
      <c r="I195" s="8">
        <f>'3. Demand Forecast'!G195/SQRT($T$3)</f>
        <v>5.0315369059924064</v>
      </c>
      <c r="J195" s="5">
        <f t="shared" si="12"/>
        <v>40</v>
      </c>
      <c r="K195" s="5">
        <f t="shared" si="13"/>
        <v>127</v>
      </c>
      <c r="L195" s="3">
        <f>IF(F195=0,0,ROUNDUP(SQRT(2*'4. ABC XYZ Analysis'!F195*$U$3/(F195*$V$3)),0))</f>
        <v>44</v>
      </c>
      <c r="M195" s="3">
        <f>'1. Master Data'!I195</f>
        <v>130</v>
      </c>
      <c r="N195" s="3">
        <f t="shared" si="14"/>
        <v>35</v>
      </c>
      <c r="O195" s="5" t="str">
        <f t="shared" si="15"/>
        <v>ORDER SOON</v>
      </c>
      <c r="P195" s="5" t="str">
        <f t="shared" si="16"/>
        <v>MEDIUM</v>
      </c>
      <c r="Q195" s="3" t="str">
        <f t="shared" si="17"/>
        <v>Reorder Point</v>
      </c>
    </row>
    <row r="196" spans="1:17" ht="15" customHeight="1" x14ac:dyDescent="0.2">
      <c r="A196" s="3" t="str">
        <f>'1. Master Data'!A196</f>
        <v>NT10192</v>
      </c>
      <c r="B196" s="1" t="str">
        <f>'1. Master Data'!B196</f>
        <v>StudioPods 810 ANC</v>
      </c>
      <c r="C196" s="3" t="str">
        <f>'1. Master Data'!D196</f>
        <v>West DC</v>
      </c>
      <c r="D196" s="5" t="str">
        <f>'4. ABC XYZ Analysis'!K196</f>
        <v>B</v>
      </c>
      <c r="E196" s="5" t="str">
        <f>'4. ABC XYZ Analysis'!M196</f>
        <v>Y</v>
      </c>
      <c r="F196" s="4">
        <f>'1. Master Data'!F196</f>
        <v>26</v>
      </c>
      <c r="G196" s="3">
        <f>'1. Master Data'!G196</f>
        <v>25</v>
      </c>
      <c r="H196" s="8">
        <f>'3. Demand Forecast'!F196/$T$3</f>
        <v>1.9363636363636365</v>
      </c>
      <c r="I196" s="8">
        <f>'3. Demand Forecast'!G196/SQRT($T$3)</f>
        <v>2.1106870919205432</v>
      </c>
      <c r="J196" s="5">
        <f t="shared" si="12"/>
        <v>18</v>
      </c>
      <c r="K196" s="5">
        <f t="shared" si="13"/>
        <v>67</v>
      </c>
      <c r="L196" s="3">
        <f>IF(F196=0,0,ROUNDUP(SQRT(2*'4. ABC XYZ Analysis'!F196*$U$3/(F196*$V$3)),0))</f>
        <v>59</v>
      </c>
      <c r="M196" s="3">
        <f>'1. Master Data'!I196</f>
        <v>70</v>
      </c>
      <c r="N196" s="3">
        <f t="shared" si="14"/>
        <v>36</v>
      </c>
      <c r="O196" s="5" t="str">
        <f t="shared" si="15"/>
        <v>ORDER SOON</v>
      </c>
      <c r="P196" s="5" t="str">
        <f t="shared" si="16"/>
        <v>MEDIUM</v>
      </c>
      <c r="Q196" s="3" t="str">
        <f t="shared" si="17"/>
        <v>Reorder Point</v>
      </c>
    </row>
    <row r="197" spans="1:17" ht="15" customHeight="1" x14ac:dyDescent="0.2">
      <c r="A197" s="3" t="str">
        <f>'1. Master Data'!A197</f>
        <v>NT10193</v>
      </c>
      <c r="B197" s="1" t="str">
        <f>'1. Master Data'!B197</f>
        <v>SoundCore Buds 879</v>
      </c>
      <c r="C197" s="3" t="str">
        <f>'1. Master Data'!D197</f>
        <v>East DC</v>
      </c>
      <c r="D197" s="5" t="str">
        <f>'4. ABC XYZ Analysis'!K197</f>
        <v>B</v>
      </c>
      <c r="E197" s="5" t="str">
        <f>'4. ABC XYZ Analysis'!M197</f>
        <v>X</v>
      </c>
      <c r="F197" s="4">
        <f>'1. Master Data'!F197</f>
        <v>145</v>
      </c>
      <c r="G197" s="3">
        <f>'1. Master Data'!G197</f>
        <v>24</v>
      </c>
      <c r="H197" s="8">
        <f>'3. Demand Forecast'!F197/$T$3</f>
        <v>7.1045454545454554</v>
      </c>
      <c r="I197" s="8">
        <f>'3. Demand Forecast'!G197/SQRT($T$3)</f>
        <v>9.8072329523580795</v>
      </c>
      <c r="J197" s="5">
        <f t="shared" ref="J197:J260" si="18">ROUNDUP($S$3*I197*SQRT(G197),0)</f>
        <v>80</v>
      </c>
      <c r="K197" s="5">
        <f t="shared" ref="K197:K260" si="19">ROUNDUP(H197*G197+J197,0)</f>
        <v>251</v>
      </c>
      <c r="L197" s="3">
        <f>IF(F197=0,0,ROUNDUP(SQRT(2*'4. ABC XYZ Analysis'!F197*$U$3/(F197*$V$3)),0))</f>
        <v>92</v>
      </c>
      <c r="M197" s="3">
        <f>'1. Master Data'!I197</f>
        <v>254</v>
      </c>
      <c r="N197" s="3">
        <f t="shared" ref="N197:N260" si="20">IF(H197=0,999,ROUND(M197/H197,0))</f>
        <v>36</v>
      </c>
      <c r="O197" s="5" t="str">
        <f t="shared" ref="O197:O260" si="21">IF(M197&lt;=K197,"ORDER NOW",IF(M197&lt;=K197*1.2,"ORDER SOON","OK"))</f>
        <v>ORDER SOON</v>
      </c>
      <c r="P197" s="5" t="str">
        <f t="shared" ref="P197:P260" si="22">IF(O197="ORDER NOW",IF(D197="A","URGENT",IF(D197="B","HIGH","MEDIUM")),IF(O197="ORDER SOON",IF(D197="A","HIGH","MEDIUM"),"LOW"))</f>
        <v>MEDIUM</v>
      </c>
      <c r="Q197" s="3" t="str">
        <f t="shared" ref="Q197:Q260" si="23">IF(E197="Z","Min Max","Reorder Point")</f>
        <v>Reorder Point</v>
      </c>
    </row>
    <row r="198" spans="1:17" ht="15" customHeight="1" x14ac:dyDescent="0.2">
      <c r="A198" s="3" t="str">
        <f>'1. Master Data'!A198</f>
        <v>NT10194</v>
      </c>
      <c r="B198" s="1" t="str">
        <f>'1. Master Data'!B198</f>
        <v>SoundCore Buds 815</v>
      </c>
      <c r="C198" s="3" t="str">
        <f>'1. Master Data'!D198</f>
        <v>Central DC</v>
      </c>
      <c r="D198" s="5" t="str">
        <f>'4. ABC XYZ Analysis'!K198</f>
        <v>B</v>
      </c>
      <c r="E198" s="5" t="str">
        <f>'4. ABC XYZ Analysis'!M198</f>
        <v>Y</v>
      </c>
      <c r="F198" s="4">
        <f>'1. Master Data'!F198</f>
        <v>195</v>
      </c>
      <c r="G198" s="3">
        <f>'1. Master Data'!G198</f>
        <v>17</v>
      </c>
      <c r="H198" s="8">
        <f>'3. Demand Forecast'!F198/$T$3</f>
        <v>0.79090909090909089</v>
      </c>
      <c r="I198" s="8">
        <f>'3. Demand Forecast'!G198/SQRT($T$3)</f>
        <v>1.3005243697692235</v>
      </c>
      <c r="J198" s="5">
        <f t="shared" si="18"/>
        <v>9</v>
      </c>
      <c r="K198" s="5">
        <f t="shared" si="19"/>
        <v>23</v>
      </c>
      <c r="L198" s="3">
        <f>IF(F198=0,0,ROUNDUP(SQRT(2*'4. ABC XYZ Analysis'!F198*$U$3/(F198*$V$3)),0))</f>
        <v>60</v>
      </c>
      <c r="M198" s="3">
        <f>'1. Master Data'!I198</f>
        <v>26</v>
      </c>
      <c r="N198" s="3">
        <f t="shared" si="20"/>
        <v>33</v>
      </c>
      <c r="O198" s="5" t="str">
        <f t="shared" si="21"/>
        <v>ORDER SOON</v>
      </c>
      <c r="P198" s="5" t="str">
        <f t="shared" si="22"/>
        <v>MEDIUM</v>
      </c>
      <c r="Q198" s="3" t="str">
        <f t="shared" si="23"/>
        <v>Reorder Point</v>
      </c>
    </row>
    <row r="199" spans="1:17" ht="15" customHeight="1" x14ac:dyDescent="0.2">
      <c r="A199" s="3" t="str">
        <f>'1. Master Data'!A199</f>
        <v>NT10195</v>
      </c>
      <c r="B199" s="1" t="str">
        <f>'1. Master Data'!B199</f>
        <v>ClipMic 425 Wireless</v>
      </c>
      <c r="C199" s="3" t="str">
        <f>'1. Master Data'!D199</f>
        <v>East DC</v>
      </c>
      <c r="D199" s="5" t="str">
        <f>'4. ABC XYZ Analysis'!K199</f>
        <v>B</v>
      </c>
      <c r="E199" s="5" t="str">
        <f>'4. ABC XYZ Analysis'!M199</f>
        <v>Y</v>
      </c>
      <c r="F199" s="4">
        <f>'1. Master Data'!F199</f>
        <v>172</v>
      </c>
      <c r="G199" s="3">
        <f>'1. Master Data'!G199</f>
        <v>19</v>
      </c>
      <c r="H199" s="8">
        <f>'3. Demand Forecast'!F199/$T$3</f>
        <v>3.8181818181818183</v>
      </c>
      <c r="I199" s="8">
        <f>'3. Demand Forecast'!G199/SQRT($T$3)</f>
        <v>12.450921835167648</v>
      </c>
      <c r="J199" s="5">
        <f t="shared" si="18"/>
        <v>90</v>
      </c>
      <c r="K199" s="5">
        <f t="shared" si="19"/>
        <v>163</v>
      </c>
      <c r="L199" s="3">
        <f>IF(F199=0,0,ROUNDUP(SQRT(2*'4. ABC XYZ Analysis'!F199*$U$3/(F199*$V$3)),0))</f>
        <v>76</v>
      </c>
      <c r="M199" s="3">
        <f>'1. Master Data'!I199</f>
        <v>166</v>
      </c>
      <c r="N199" s="3">
        <f t="shared" si="20"/>
        <v>43</v>
      </c>
      <c r="O199" s="5" t="str">
        <f t="shared" si="21"/>
        <v>ORDER SOON</v>
      </c>
      <c r="P199" s="5" t="str">
        <f t="shared" si="22"/>
        <v>MEDIUM</v>
      </c>
      <c r="Q199" s="3" t="str">
        <f t="shared" si="23"/>
        <v>Reorder Point</v>
      </c>
    </row>
    <row r="200" spans="1:17" ht="15" customHeight="1" x14ac:dyDescent="0.2">
      <c r="A200" s="3" t="str">
        <f>'1. Master Data'!A200</f>
        <v>NT10196</v>
      </c>
      <c r="B200" s="1" t="str">
        <f>'1. Master Data'!B200</f>
        <v>ClipMic 380 Wireless</v>
      </c>
      <c r="C200" s="3" t="str">
        <f>'1. Master Data'!D200</f>
        <v>East DC</v>
      </c>
      <c r="D200" s="5" t="str">
        <f>'4. ABC XYZ Analysis'!K200</f>
        <v>B</v>
      </c>
      <c r="E200" s="5" t="str">
        <f>'4. ABC XYZ Analysis'!M200</f>
        <v>Y</v>
      </c>
      <c r="F200" s="4">
        <f>'1. Master Data'!F200</f>
        <v>132</v>
      </c>
      <c r="G200" s="3">
        <f>'1. Master Data'!G200</f>
        <v>20</v>
      </c>
      <c r="H200" s="8">
        <f>'3. Demand Forecast'!F200/$T$3</f>
        <v>7.6363636363636367</v>
      </c>
      <c r="I200" s="8">
        <f>'3. Demand Forecast'!G200/SQRT($T$3)</f>
        <v>10.340234743247105</v>
      </c>
      <c r="J200" s="5">
        <f t="shared" si="18"/>
        <v>77</v>
      </c>
      <c r="K200" s="5">
        <f t="shared" si="19"/>
        <v>230</v>
      </c>
      <c r="L200" s="3">
        <f>IF(F200=0,0,ROUNDUP(SQRT(2*'4. ABC XYZ Analysis'!F200*$U$3/(F200*$V$3)),0))</f>
        <v>35</v>
      </c>
      <c r="M200" s="3">
        <f>'1. Master Data'!I200</f>
        <v>233</v>
      </c>
      <c r="N200" s="3">
        <f t="shared" si="20"/>
        <v>31</v>
      </c>
      <c r="O200" s="5" t="str">
        <f t="shared" si="21"/>
        <v>ORDER SOON</v>
      </c>
      <c r="P200" s="5" t="str">
        <f t="shared" si="22"/>
        <v>MEDIUM</v>
      </c>
      <c r="Q200" s="3" t="str">
        <f t="shared" si="23"/>
        <v>Reorder Point</v>
      </c>
    </row>
    <row r="201" spans="1:17" ht="15" customHeight="1" x14ac:dyDescent="0.2">
      <c r="A201" s="3" t="str">
        <f>'1. Master Data'!A201</f>
        <v>NT10197</v>
      </c>
      <c r="B201" s="1" t="str">
        <f>'1. Master Data'!B201</f>
        <v>ClipMic 231 Wireless</v>
      </c>
      <c r="C201" s="3" t="str">
        <f>'1. Master Data'!D201</f>
        <v>West DC</v>
      </c>
      <c r="D201" s="5" t="str">
        <f>'4. ABC XYZ Analysis'!K201</f>
        <v>B</v>
      </c>
      <c r="E201" s="5" t="str">
        <f>'4. ABC XYZ Analysis'!M201</f>
        <v>X</v>
      </c>
      <c r="F201" s="4">
        <f>'1. Master Data'!F201</f>
        <v>83</v>
      </c>
      <c r="G201" s="3">
        <f>'1. Master Data'!G201</f>
        <v>28</v>
      </c>
      <c r="H201" s="8">
        <f>'3. Demand Forecast'!F201/$T$3</f>
        <v>19.890909090909091</v>
      </c>
      <c r="I201" s="8">
        <f>'3. Demand Forecast'!G201/SQRT($T$3)</f>
        <v>36.030921064098159</v>
      </c>
      <c r="J201" s="5">
        <f t="shared" si="18"/>
        <v>315</v>
      </c>
      <c r="K201" s="5">
        <f t="shared" si="19"/>
        <v>872</v>
      </c>
      <c r="L201" s="3">
        <f>IF(F201=0,0,ROUNDUP(SQRT(2*'4. ABC XYZ Analysis'!F201*$U$3/(F201*$V$3)),0))</f>
        <v>135</v>
      </c>
      <c r="M201" s="3">
        <f>'1. Master Data'!I201</f>
        <v>875</v>
      </c>
      <c r="N201" s="3">
        <f t="shared" si="20"/>
        <v>44</v>
      </c>
      <c r="O201" s="5" t="str">
        <f t="shared" si="21"/>
        <v>ORDER SOON</v>
      </c>
      <c r="P201" s="5" t="str">
        <f t="shared" si="22"/>
        <v>MEDIUM</v>
      </c>
      <c r="Q201" s="3" t="str">
        <f t="shared" si="23"/>
        <v>Reorder Point</v>
      </c>
    </row>
    <row r="202" spans="1:17" ht="15" customHeight="1" x14ac:dyDescent="0.2">
      <c r="A202" s="3" t="str">
        <f>'1. Master Data'!A202</f>
        <v>NT10198</v>
      </c>
      <c r="B202" s="1" t="str">
        <f>'1. Master Data'!B202</f>
        <v>StudioPods 513 ANC</v>
      </c>
      <c r="C202" s="3" t="str">
        <f>'1. Master Data'!D202</f>
        <v>East DC</v>
      </c>
      <c r="D202" s="5" t="str">
        <f>'4. ABC XYZ Analysis'!K202</f>
        <v>B</v>
      </c>
      <c r="E202" s="5" t="str">
        <f>'4. ABC XYZ Analysis'!M202</f>
        <v>Y</v>
      </c>
      <c r="F202" s="4">
        <f>'1. Master Data'!F202</f>
        <v>15</v>
      </c>
      <c r="G202" s="3">
        <f>'1. Master Data'!G202</f>
        <v>23</v>
      </c>
      <c r="H202" s="8">
        <f>'3. Demand Forecast'!F202/$T$3</f>
        <v>1.6727272727272726</v>
      </c>
      <c r="I202" s="8">
        <f>'3. Demand Forecast'!G202/SQRT($T$3)</f>
        <v>2.8782096708007407</v>
      </c>
      <c r="J202" s="5">
        <f t="shared" si="18"/>
        <v>23</v>
      </c>
      <c r="K202" s="5">
        <f t="shared" si="19"/>
        <v>62</v>
      </c>
      <c r="L202" s="3">
        <f>IF(F202=0,0,ROUNDUP(SQRT(2*'4. ABC XYZ Analysis'!F202*$U$3/(F202*$V$3)),0))</f>
        <v>175</v>
      </c>
      <c r="M202" s="3">
        <f>'1. Master Data'!I202</f>
        <v>125</v>
      </c>
      <c r="N202" s="3">
        <f t="shared" si="20"/>
        <v>75</v>
      </c>
      <c r="O202" s="5" t="str">
        <f t="shared" si="21"/>
        <v>OK</v>
      </c>
      <c r="P202" s="5" t="str">
        <f t="shared" si="22"/>
        <v>LOW</v>
      </c>
      <c r="Q202" s="3" t="str">
        <f t="shared" si="23"/>
        <v>Reorder Point</v>
      </c>
    </row>
    <row r="203" spans="1:17" ht="15" customHeight="1" x14ac:dyDescent="0.2">
      <c r="A203" s="3" t="str">
        <f>'1. Master Data'!A203</f>
        <v>NT10199</v>
      </c>
      <c r="B203" s="1" t="str">
        <f>'1. Master Data'!B203</f>
        <v>StudioPods 749 ANC</v>
      </c>
      <c r="C203" s="3" t="str">
        <f>'1. Master Data'!D203</f>
        <v>East DC</v>
      </c>
      <c r="D203" s="5" t="str">
        <f>'4. ABC XYZ Analysis'!K203</f>
        <v>B</v>
      </c>
      <c r="E203" s="5" t="str">
        <f>'4. ABC XYZ Analysis'!M203</f>
        <v>Y</v>
      </c>
      <c r="F203" s="4">
        <f>'1. Master Data'!F203</f>
        <v>20</v>
      </c>
      <c r="G203" s="3">
        <f>'1. Master Data'!G203</f>
        <v>15</v>
      </c>
      <c r="H203" s="8">
        <f>'3. Demand Forecast'!F203/$T$3</f>
        <v>0.25909090909090909</v>
      </c>
      <c r="I203" s="8">
        <f>'3. Demand Forecast'!G203/SQRT($T$3)</f>
        <v>0.72488243560907539</v>
      </c>
      <c r="J203" s="5">
        <f t="shared" si="18"/>
        <v>5</v>
      </c>
      <c r="K203" s="5">
        <f t="shared" si="19"/>
        <v>9</v>
      </c>
      <c r="L203" s="3">
        <f>IF(F203=0,0,ROUNDUP(SQRT(2*'4. ABC XYZ Analysis'!F203*$U$3/(F203*$V$3)),0))</f>
        <v>141</v>
      </c>
      <c r="M203" s="3">
        <f>'1. Master Data'!I203</f>
        <v>12</v>
      </c>
      <c r="N203" s="3">
        <f t="shared" si="20"/>
        <v>46</v>
      </c>
      <c r="O203" s="5" t="str">
        <f t="shared" si="21"/>
        <v>OK</v>
      </c>
      <c r="P203" s="5" t="str">
        <f t="shared" si="22"/>
        <v>LOW</v>
      </c>
      <c r="Q203" s="3" t="str">
        <f t="shared" si="23"/>
        <v>Reorder Point</v>
      </c>
    </row>
    <row r="204" spans="1:17" ht="15" customHeight="1" x14ac:dyDescent="0.2">
      <c r="A204" s="3" t="str">
        <f>'1. Master Data'!A204</f>
        <v>NT10200</v>
      </c>
      <c r="B204" s="1" t="str">
        <f>'1. Master Data'!B204</f>
        <v>WaveBar 886 Soundbar</v>
      </c>
      <c r="C204" s="3" t="str">
        <f>'1. Master Data'!D204</f>
        <v>East DC</v>
      </c>
      <c r="D204" s="5" t="str">
        <f>'4. ABC XYZ Analysis'!K204</f>
        <v>B</v>
      </c>
      <c r="E204" s="5" t="str">
        <f>'4. ABC XYZ Analysis'!M204</f>
        <v>X</v>
      </c>
      <c r="F204" s="4">
        <f>'1. Master Data'!F204</f>
        <v>207</v>
      </c>
      <c r="G204" s="3">
        <f>'1. Master Data'!G204</f>
        <v>18</v>
      </c>
      <c r="H204" s="8">
        <f>'3. Demand Forecast'!F204/$T$3</f>
        <v>21.227272727272727</v>
      </c>
      <c r="I204" s="8">
        <f>'3. Demand Forecast'!G204/SQRT($T$3)</f>
        <v>22.961717151499244</v>
      </c>
      <c r="J204" s="5">
        <f t="shared" si="18"/>
        <v>161</v>
      </c>
      <c r="K204" s="5">
        <f t="shared" si="19"/>
        <v>544</v>
      </c>
      <c r="L204" s="3">
        <f>IF(F204=0,0,ROUNDUP(SQRT(2*'4. ABC XYZ Analysis'!F204*$U$3/(F204*$V$3)),0))</f>
        <v>24</v>
      </c>
      <c r="M204" s="3">
        <f>'1. Master Data'!I204</f>
        <v>547</v>
      </c>
      <c r="N204" s="3">
        <f t="shared" si="20"/>
        <v>26</v>
      </c>
      <c r="O204" s="5" t="str">
        <f t="shared" si="21"/>
        <v>ORDER SOON</v>
      </c>
      <c r="P204" s="5" t="str">
        <f t="shared" si="22"/>
        <v>MEDIUM</v>
      </c>
      <c r="Q204" s="3" t="str">
        <f t="shared" si="23"/>
        <v>Reorder Point</v>
      </c>
    </row>
    <row r="205" spans="1:17" ht="15" customHeight="1" x14ac:dyDescent="0.2">
      <c r="A205" s="3" t="str">
        <f>'1. Master Data'!A205</f>
        <v>NT10201</v>
      </c>
      <c r="B205" s="1" t="str">
        <f>'1. Master Data'!B205</f>
        <v>FitTrack Band 482</v>
      </c>
      <c r="C205" s="3" t="str">
        <f>'1. Master Data'!D205</f>
        <v>West DC</v>
      </c>
      <c r="D205" s="5" t="str">
        <f>'4. ABC XYZ Analysis'!K205</f>
        <v>B</v>
      </c>
      <c r="E205" s="5" t="str">
        <f>'4. ABC XYZ Analysis'!M205</f>
        <v>Y</v>
      </c>
      <c r="F205" s="4">
        <f>'1. Master Data'!F205</f>
        <v>76</v>
      </c>
      <c r="G205" s="3">
        <f>'1. Master Data'!G205</f>
        <v>16</v>
      </c>
      <c r="H205" s="8">
        <f>'3. Demand Forecast'!F205/$T$3</f>
        <v>0.65</v>
      </c>
      <c r="I205" s="8">
        <f>'3. Demand Forecast'!G205/SQRT($T$3)</f>
        <v>2.4091680948183978</v>
      </c>
      <c r="J205" s="5">
        <f t="shared" si="18"/>
        <v>16</v>
      </c>
      <c r="K205" s="5">
        <f t="shared" si="19"/>
        <v>27</v>
      </c>
      <c r="L205" s="3">
        <f>IF(F205=0,0,ROUNDUP(SQRT(2*'4. ABC XYZ Analysis'!F205*$U$3/(F205*$V$3)),0))</f>
        <v>87</v>
      </c>
      <c r="M205" s="3">
        <f>'1. Master Data'!I205</f>
        <v>30</v>
      </c>
      <c r="N205" s="3">
        <f t="shared" si="20"/>
        <v>46</v>
      </c>
      <c r="O205" s="5" t="str">
        <f t="shared" si="21"/>
        <v>ORDER SOON</v>
      </c>
      <c r="P205" s="5" t="str">
        <f t="shared" si="22"/>
        <v>MEDIUM</v>
      </c>
      <c r="Q205" s="3" t="str">
        <f t="shared" si="23"/>
        <v>Reorder Point</v>
      </c>
    </row>
    <row r="206" spans="1:17" ht="15" customHeight="1" x14ac:dyDescent="0.2">
      <c r="A206" s="3" t="str">
        <f>'1. Master Data'!A206</f>
        <v>NT10202</v>
      </c>
      <c r="B206" s="1" t="str">
        <f>'1. Master Data'!B206</f>
        <v>StepOne Tracker 559</v>
      </c>
      <c r="C206" s="3" t="str">
        <f>'1. Master Data'!D206</f>
        <v>East DC</v>
      </c>
      <c r="D206" s="5" t="str">
        <f>'4. ABC XYZ Analysis'!K206</f>
        <v>B</v>
      </c>
      <c r="E206" s="5" t="str">
        <f>'4. ABC XYZ Analysis'!M206</f>
        <v>Y</v>
      </c>
      <c r="F206" s="4">
        <f>'1. Master Data'!F206</f>
        <v>127</v>
      </c>
      <c r="G206" s="3">
        <f>'1. Master Data'!G206</f>
        <v>20</v>
      </c>
      <c r="H206" s="8">
        <f>'3. Demand Forecast'!F206/$T$3</f>
        <v>2.877272727272727</v>
      </c>
      <c r="I206" s="8">
        <f>'3. Demand Forecast'!G206/SQRT($T$3)</f>
        <v>3.9655333242143542</v>
      </c>
      <c r="J206" s="5">
        <f t="shared" si="18"/>
        <v>30</v>
      </c>
      <c r="K206" s="5">
        <f t="shared" si="19"/>
        <v>88</v>
      </c>
      <c r="L206" s="3">
        <f>IF(F206=0,0,ROUNDUP(SQRT(2*'4. ABC XYZ Analysis'!F206*$U$3/(F206*$V$3)),0))</f>
        <v>33</v>
      </c>
      <c r="M206" s="3">
        <f>'1. Master Data'!I206</f>
        <v>91</v>
      </c>
      <c r="N206" s="3">
        <f t="shared" si="20"/>
        <v>32</v>
      </c>
      <c r="O206" s="5" t="str">
        <f t="shared" si="21"/>
        <v>ORDER SOON</v>
      </c>
      <c r="P206" s="5" t="str">
        <f t="shared" si="22"/>
        <v>MEDIUM</v>
      </c>
      <c r="Q206" s="3" t="str">
        <f t="shared" si="23"/>
        <v>Reorder Point</v>
      </c>
    </row>
    <row r="207" spans="1:17" ht="15" customHeight="1" x14ac:dyDescent="0.2">
      <c r="A207" s="3" t="str">
        <f>'1. Master Data'!A207</f>
        <v>NT10203</v>
      </c>
      <c r="B207" s="1" t="str">
        <f>'1. Master Data'!B207</f>
        <v>PulseRing 185</v>
      </c>
      <c r="C207" s="3" t="str">
        <f>'1. Master Data'!D207</f>
        <v>East DC</v>
      </c>
      <c r="D207" s="5" t="str">
        <f>'4. ABC XYZ Analysis'!K207</f>
        <v>B</v>
      </c>
      <c r="E207" s="5" t="str">
        <f>'4. ABC XYZ Analysis'!M207</f>
        <v>Y</v>
      </c>
      <c r="F207" s="4">
        <f>'1. Master Data'!F207</f>
        <v>72</v>
      </c>
      <c r="G207" s="3">
        <f>'1. Master Data'!G207</f>
        <v>14</v>
      </c>
      <c r="H207" s="8">
        <f>'3. Demand Forecast'!F207/$T$3</f>
        <v>1.9</v>
      </c>
      <c r="I207" s="8">
        <f>'3. Demand Forecast'!G207/SQRT($T$3)</f>
        <v>2.8995297424363016</v>
      </c>
      <c r="J207" s="5">
        <f t="shared" si="18"/>
        <v>18</v>
      </c>
      <c r="K207" s="5">
        <f t="shared" si="19"/>
        <v>45</v>
      </c>
      <c r="L207" s="3">
        <f>IF(F207=0,0,ROUNDUP(SQRT(2*'4. ABC XYZ Analysis'!F207*$U$3/(F207*$V$3)),0))</f>
        <v>58</v>
      </c>
      <c r="M207" s="3">
        <f>'1. Master Data'!I207</f>
        <v>48</v>
      </c>
      <c r="N207" s="3">
        <f t="shared" si="20"/>
        <v>25</v>
      </c>
      <c r="O207" s="5" t="str">
        <f t="shared" si="21"/>
        <v>ORDER SOON</v>
      </c>
      <c r="P207" s="5" t="str">
        <f t="shared" si="22"/>
        <v>MEDIUM</v>
      </c>
      <c r="Q207" s="3" t="str">
        <f t="shared" si="23"/>
        <v>Reorder Point</v>
      </c>
    </row>
    <row r="208" spans="1:17" ht="15" customHeight="1" x14ac:dyDescent="0.2">
      <c r="A208" s="3" t="str">
        <f>'1. Master Data'!A208</f>
        <v>NT10204</v>
      </c>
      <c r="B208" s="1" t="str">
        <f>'1. Master Data'!B208</f>
        <v>FitTrack Band 970</v>
      </c>
      <c r="C208" s="3" t="str">
        <f>'1. Master Data'!D208</f>
        <v>East DC</v>
      </c>
      <c r="D208" s="5" t="str">
        <f>'4. ABC XYZ Analysis'!K208</f>
        <v>B</v>
      </c>
      <c r="E208" s="5" t="str">
        <f>'4. ABC XYZ Analysis'!M208</f>
        <v>Y</v>
      </c>
      <c r="F208" s="4">
        <f>'1. Master Data'!F208</f>
        <v>77</v>
      </c>
      <c r="G208" s="3">
        <f>'1. Master Data'!G208</f>
        <v>16</v>
      </c>
      <c r="H208" s="8">
        <f>'3. Demand Forecast'!F208/$T$3</f>
        <v>6.9818181818181815</v>
      </c>
      <c r="I208" s="8">
        <f>'3. Demand Forecast'!G208/SQRT($T$3)</f>
        <v>10.020433668713689</v>
      </c>
      <c r="J208" s="5">
        <f t="shared" si="18"/>
        <v>67</v>
      </c>
      <c r="K208" s="5">
        <f t="shared" si="19"/>
        <v>179</v>
      </c>
      <c r="L208" s="3">
        <f>IF(F208=0,0,ROUNDUP(SQRT(2*'4. ABC XYZ Analysis'!F208*$U$3/(F208*$V$3)),0))</f>
        <v>64</v>
      </c>
      <c r="M208" s="3">
        <f>'1. Master Data'!I208</f>
        <v>182</v>
      </c>
      <c r="N208" s="3">
        <f t="shared" si="20"/>
        <v>26</v>
      </c>
      <c r="O208" s="5" t="str">
        <f t="shared" si="21"/>
        <v>ORDER SOON</v>
      </c>
      <c r="P208" s="5" t="str">
        <f t="shared" si="22"/>
        <v>MEDIUM</v>
      </c>
      <c r="Q208" s="3" t="str">
        <f t="shared" si="23"/>
        <v>Reorder Point</v>
      </c>
    </row>
    <row r="209" spans="1:17" ht="15" customHeight="1" x14ac:dyDescent="0.2">
      <c r="A209" s="3" t="str">
        <f>'1. Master Data'!A209</f>
        <v>NT10205</v>
      </c>
      <c r="B209" s="1" t="str">
        <f>'1. Master Data'!B209</f>
        <v>StepOne Tracker 188</v>
      </c>
      <c r="C209" s="3" t="str">
        <f>'1. Master Data'!D209</f>
        <v>West DC</v>
      </c>
      <c r="D209" s="5" t="str">
        <f>'4. ABC XYZ Analysis'!K209</f>
        <v>B</v>
      </c>
      <c r="E209" s="5" t="str">
        <f>'4. ABC XYZ Analysis'!M209</f>
        <v>Y</v>
      </c>
      <c r="F209" s="4">
        <f>'1. Master Data'!F209</f>
        <v>50</v>
      </c>
      <c r="G209" s="3">
        <f>'1. Master Data'!G209</f>
        <v>23</v>
      </c>
      <c r="H209" s="8">
        <f>'3. Demand Forecast'!F209/$T$3</f>
        <v>4.7727272727272725</v>
      </c>
      <c r="I209" s="8">
        <f>'3. Demand Forecast'!G209/SQRT($T$3)</f>
        <v>6.2894211324905074</v>
      </c>
      <c r="J209" s="5">
        <f t="shared" si="18"/>
        <v>50</v>
      </c>
      <c r="K209" s="5">
        <f t="shared" si="19"/>
        <v>160</v>
      </c>
      <c r="L209" s="3">
        <f>IF(F209=0,0,ROUNDUP(SQRT(2*'4. ABC XYZ Analysis'!F209*$U$3/(F209*$V$3)),0))</f>
        <v>70</v>
      </c>
      <c r="M209" s="3">
        <f>'1. Master Data'!I209</f>
        <v>163</v>
      </c>
      <c r="N209" s="3">
        <f t="shared" si="20"/>
        <v>34</v>
      </c>
      <c r="O209" s="5" t="str">
        <f t="shared" si="21"/>
        <v>ORDER SOON</v>
      </c>
      <c r="P209" s="5" t="str">
        <f t="shared" si="22"/>
        <v>MEDIUM</v>
      </c>
      <c r="Q209" s="3" t="str">
        <f t="shared" si="23"/>
        <v>Reorder Point</v>
      </c>
    </row>
    <row r="210" spans="1:17" ht="15" customHeight="1" x14ac:dyDescent="0.2">
      <c r="A210" s="3" t="str">
        <f>'1. Master Data'!A210</f>
        <v>NT10206</v>
      </c>
      <c r="B210" s="1" t="str">
        <f>'1. Master Data'!B210</f>
        <v>NovaWatch 145 GPS</v>
      </c>
      <c r="C210" s="3" t="str">
        <f>'1. Master Data'!D210</f>
        <v>East DC</v>
      </c>
      <c r="D210" s="5" t="str">
        <f>'4. ABC XYZ Analysis'!K210</f>
        <v>B</v>
      </c>
      <c r="E210" s="5" t="str">
        <f>'4. ABC XYZ Analysis'!M210</f>
        <v>Y</v>
      </c>
      <c r="F210" s="4">
        <f>'1. Master Data'!F210</f>
        <v>132</v>
      </c>
      <c r="G210" s="3">
        <f>'1. Master Data'!G210</f>
        <v>16</v>
      </c>
      <c r="H210" s="8">
        <f>'3. Demand Forecast'!F210/$T$3</f>
        <v>5.5727272727272723</v>
      </c>
      <c r="I210" s="8">
        <f>'3. Demand Forecast'!G210/SQRT($T$3)</f>
        <v>6.4599817055749957</v>
      </c>
      <c r="J210" s="5">
        <f t="shared" si="18"/>
        <v>43</v>
      </c>
      <c r="K210" s="5">
        <f t="shared" si="19"/>
        <v>133</v>
      </c>
      <c r="L210" s="3">
        <f>IF(F210=0,0,ROUNDUP(SQRT(2*'4. ABC XYZ Analysis'!F210*$U$3/(F210*$V$3)),0))</f>
        <v>55</v>
      </c>
      <c r="M210" s="3">
        <f>'1. Master Data'!I210</f>
        <v>136</v>
      </c>
      <c r="N210" s="3">
        <f t="shared" si="20"/>
        <v>24</v>
      </c>
      <c r="O210" s="5" t="str">
        <f t="shared" si="21"/>
        <v>ORDER SOON</v>
      </c>
      <c r="P210" s="5" t="str">
        <f t="shared" si="22"/>
        <v>MEDIUM</v>
      </c>
      <c r="Q210" s="3" t="str">
        <f t="shared" si="23"/>
        <v>Reorder Point</v>
      </c>
    </row>
    <row r="211" spans="1:17" ht="15" customHeight="1" x14ac:dyDescent="0.2">
      <c r="A211" s="3" t="str">
        <f>'1. Master Data'!A211</f>
        <v>NT10207</v>
      </c>
      <c r="B211" s="1" t="str">
        <f>'1. Master Data'!B211</f>
        <v>NovaWatch 894 GPS</v>
      </c>
      <c r="C211" s="3" t="str">
        <f>'1. Master Data'!D211</f>
        <v>East DC</v>
      </c>
      <c r="D211" s="5" t="str">
        <f>'4. ABC XYZ Analysis'!K211</f>
        <v>B</v>
      </c>
      <c r="E211" s="5" t="str">
        <f>'4. ABC XYZ Analysis'!M211</f>
        <v>Y</v>
      </c>
      <c r="F211" s="4">
        <f>'1. Master Data'!F211</f>
        <v>30</v>
      </c>
      <c r="G211" s="3">
        <f>'1. Master Data'!G211</f>
        <v>23</v>
      </c>
      <c r="H211" s="8">
        <f>'3. Demand Forecast'!F211/$T$3</f>
        <v>3.9454545454545453</v>
      </c>
      <c r="I211" s="8">
        <f>'3. Demand Forecast'!G211/SQRT($T$3)</f>
        <v>4.9675766910857231</v>
      </c>
      <c r="J211" s="5">
        <f t="shared" si="18"/>
        <v>40</v>
      </c>
      <c r="K211" s="5">
        <f t="shared" si="19"/>
        <v>131</v>
      </c>
      <c r="L211" s="3">
        <f>IF(F211=0,0,ROUNDUP(SQRT(2*'4. ABC XYZ Analysis'!F211*$U$3/(F211*$V$3)),0))</f>
        <v>68</v>
      </c>
      <c r="M211" s="3">
        <f>'1. Master Data'!I211</f>
        <v>134</v>
      </c>
      <c r="N211" s="3">
        <f t="shared" si="20"/>
        <v>34</v>
      </c>
      <c r="O211" s="5" t="str">
        <f t="shared" si="21"/>
        <v>ORDER SOON</v>
      </c>
      <c r="P211" s="5" t="str">
        <f t="shared" si="22"/>
        <v>MEDIUM</v>
      </c>
      <c r="Q211" s="3" t="str">
        <f t="shared" si="23"/>
        <v>Reorder Point</v>
      </c>
    </row>
    <row r="212" spans="1:17" ht="15" customHeight="1" x14ac:dyDescent="0.2">
      <c r="A212" s="3" t="str">
        <f>'1. Master Data'!A212</f>
        <v>NT10208</v>
      </c>
      <c r="B212" s="1" t="str">
        <f>'1. Master Data'!B212</f>
        <v>NovaWatch 308 GPS</v>
      </c>
      <c r="C212" s="3" t="str">
        <f>'1. Master Data'!D212</f>
        <v>Central DC</v>
      </c>
      <c r="D212" s="5" t="str">
        <f>'4. ABC XYZ Analysis'!K212</f>
        <v>B</v>
      </c>
      <c r="E212" s="5" t="str">
        <f>'4. ABC XYZ Analysis'!M212</f>
        <v>X</v>
      </c>
      <c r="F212" s="4">
        <f>'1. Master Data'!F212</f>
        <v>73</v>
      </c>
      <c r="G212" s="3">
        <f>'1. Master Data'!G212</f>
        <v>25</v>
      </c>
      <c r="H212" s="8">
        <f>'3. Demand Forecast'!F212/$T$3</f>
        <v>13.55909090909091</v>
      </c>
      <c r="I212" s="8">
        <f>'3. Demand Forecast'!G212/SQRT($T$3)</f>
        <v>18.335261606582495</v>
      </c>
      <c r="J212" s="5">
        <f t="shared" si="18"/>
        <v>152</v>
      </c>
      <c r="K212" s="5">
        <f t="shared" si="19"/>
        <v>491</v>
      </c>
      <c r="L212" s="3">
        <f>IF(F212=0,0,ROUNDUP(SQRT(2*'4. ABC XYZ Analysis'!F212*$U$3/(F212*$V$3)),0))</f>
        <v>133</v>
      </c>
      <c r="M212" s="3">
        <f>'1. Master Data'!I212</f>
        <v>494</v>
      </c>
      <c r="N212" s="3">
        <f t="shared" si="20"/>
        <v>36</v>
      </c>
      <c r="O212" s="5" t="str">
        <f t="shared" si="21"/>
        <v>ORDER SOON</v>
      </c>
      <c r="P212" s="5" t="str">
        <f t="shared" si="22"/>
        <v>MEDIUM</v>
      </c>
      <c r="Q212" s="3" t="str">
        <f t="shared" si="23"/>
        <v>Reorder Point</v>
      </c>
    </row>
    <row r="213" spans="1:17" ht="15" customHeight="1" x14ac:dyDescent="0.2">
      <c r="A213" s="3" t="str">
        <f>'1. Master Data'!A213</f>
        <v>NT10209</v>
      </c>
      <c r="B213" s="1" t="str">
        <f>'1. Master Data'!B213</f>
        <v>FitTrack Band 624</v>
      </c>
      <c r="C213" s="3" t="str">
        <f>'1. Master Data'!D213</f>
        <v>West DC</v>
      </c>
      <c r="D213" s="5" t="str">
        <f>'4. ABC XYZ Analysis'!K213</f>
        <v>B</v>
      </c>
      <c r="E213" s="5" t="str">
        <f>'4. ABC XYZ Analysis'!M213</f>
        <v>Y</v>
      </c>
      <c r="F213" s="4">
        <f>'1. Master Data'!F213</f>
        <v>119</v>
      </c>
      <c r="G213" s="3">
        <f>'1. Master Data'!G213</f>
        <v>17</v>
      </c>
      <c r="H213" s="8">
        <f>'3. Demand Forecast'!F213/$T$3</f>
        <v>17.790909090909089</v>
      </c>
      <c r="I213" s="8">
        <f>'3. Demand Forecast'!G213/SQRT($T$3)</f>
        <v>17.695659457515667</v>
      </c>
      <c r="J213" s="5">
        <f t="shared" si="18"/>
        <v>121</v>
      </c>
      <c r="K213" s="5">
        <f t="shared" si="19"/>
        <v>424</v>
      </c>
      <c r="L213" s="3">
        <f>IF(F213=0,0,ROUNDUP(SQRT(2*'4. ABC XYZ Analysis'!F213*$U$3/(F213*$V$3)),0))</f>
        <v>85</v>
      </c>
      <c r="M213" s="3">
        <f>'1. Master Data'!I213</f>
        <v>370</v>
      </c>
      <c r="N213" s="3">
        <f t="shared" si="20"/>
        <v>21</v>
      </c>
      <c r="O213" s="5" t="str">
        <f t="shared" si="21"/>
        <v>ORDER NOW</v>
      </c>
      <c r="P213" s="5" t="str">
        <f t="shared" si="22"/>
        <v>HIGH</v>
      </c>
      <c r="Q213" s="3" t="str">
        <f t="shared" si="23"/>
        <v>Reorder Point</v>
      </c>
    </row>
    <row r="214" spans="1:17" ht="15" customHeight="1" x14ac:dyDescent="0.2">
      <c r="A214" s="3" t="str">
        <f>'1. Master Data'!A214</f>
        <v>NT10210</v>
      </c>
      <c r="B214" s="1" t="str">
        <f>'1. Master Data'!B214</f>
        <v>FitTrack Band 399</v>
      </c>
      <c r="C214" s="3" t="str">
        <f>'1. Master Data'!D214</f>
        <v>Central DC</v>
      </c>
      <c r="D214" s="5" t="str">
        <f>'4. ABC XYZ Analysis'!K214</f>
        <v>B</v>
      </c>
      <c r="E214" s="5" t="str">
        <f>'4. ABC XYZ Analysis'!M214</f>
        <v>Y</v>
      </c>
      <c r="F214" s="4">
        <f>'1. Master Data'!F214</f>
        <v>128</v>
      </c>
      <c r="G214" s="3">
        <f>'1. Master Data'!G214</f>
        <v>16</v>
      </c>
      <c r="H214" s="8">
        <f>'3. Demand Forecast'!F214/$T$3</f>
        <v>5.7863636363636362</v>
      </c>
      <c r="I214" s="8">
        <f>'3. Demand Forecast'!G214/SQRT($T$3)</f>
        <v>8.1016272215131959</v>
      </c>
      <c r="J214" s="5">
        <f t="shared" si="18"/>
        <v>54</v>
      </c>
      <c r="K214" s="5">
        <f t="shared" si="19"/>
        <v>147</v>
      </c>
      <c r="L214" s="3">
        <f>IF(F214=0,0,ROUNDUP(SQRT(2*'4. ABC XYZ Analysis'!F214*$U$3/(F214*$V$3)),0))</f>
        <v>32</v>
      </c>
      <c r="M214" s="3">
        <f>'1. Master Data'!I214</f>
        <v>463</v>
      </c>
      <c r="N214" s="3">
        <f t="shared" si="20"/>
        <v>80</v>
      </c>
      <c r="O214" s="5" t="str">
        <f t="shared" si="21"/>
        <v>OK</v>
      </c>
      <c r="P214" s="5" t="str">
        <f t="shared" si="22"/>
        <v>LOW</v>
      </c>
      <c r="Q214" s="3" t="str">
        <f t="shared" si="23"/>
        <v>Reorder Point</v>
      </c>
    </row>
    <row r="215" spans="1:17" ht="15" customHeight="1" x14ac:dyDescent="0.2">
      <c r="A215" s="3" t="str">
        <f>'1. Master Data'!A215</f>
        <v>NT10211</v>
      </c>
      <c r="B215" s="1" t="str">
        <f>'1. Master Data'!B215</f>
        <v>PulseRing 157</v>
      </c>
      <c r="C215" s="3" t="str">
        <f>'1. Master Data'!D215</f>
        <v>West DC</v>
      </c>
      <c r="D215" s="5" t="str">
        <f>'4. ABC XYZ Analysis'!K215</f>
        <v>B</v>
      </c>
      <c r="E215" s="5" t="str">
        <f>'4. ABC XYZ Analysis'!M215</f>
        <v>X</v>
      </c>
      <c r="F215" s="4">
        <f>'1. Master Data'!F215</f>
        <v>83</v>
      </c>
      <c r="G215" s="3">
        <f>'1. Master Data'!G215</f>
        <v>22</v>
      </c>
      <c r="H215" s="8">
        <f>'3. Demand Forecast'!F215/$T$3</f>
        <v>21.127272727272729</v>
      </c>
      <c r="I215" s="8">
        <f>'3. Demand Forecast'!G215/SQRT($T$3)</f>
        <v>34.02683433035542</v>
      </c>
      <c r="J215" s="5">
        <f t="shared" si="18"/>
        <v>264</v>
      </c>
      <c r="K215" s="5">
        <f t="shared" si="19"/>
        <v>729</v>
      </c>
      <c r="L215" s="3">
        <f>IF(F215=0,0,ROUNDUP(SQRT(2*'4. ABC XYZ Analysis'!F215*$U$3/(F215*$V$3)),0))</f>
        <v>47</v>
      </c>
      <c r="M215" s="3">
        <f>'1. Master Data'!I215</f>
        <v>732</v>
      </c>
      <c r="N215" s="3">
        <f t="shared" si="20"/>
        <v>35</v>
      </c>
      <c r="O215" s="5" t="str">
        <f t="shared" si="21"/>
        <v>ORDER SOON</v>
      </c>
      <c r="P215" s="5" t="str">
        <f t="shared" si="22"/>
        <v>MEDIUM</v>
      </c>
      <c r="Q215" s="3" t="str">
        <f t="shared" si="23"/>
        <v>Reorder Point</v>
      </c>
    </row>
    <row r="216" spans="1:17" ht="15" customHeight="1" x14ac:dyDescent="0.2">
      <c r="A216" s="3" t="str">
        <f>'1. Master Data'!A216</f>
        <v>NT10212</v>
      </c>
      <c r="B216" s="1" t="str">
        <f>'1. Master Data'!B216</f>
        <v>NovaWatch 933 GPS</v>
      </c>
      <c r="C216" s="3" t="str">
        <f>'1. Master Data'!D216</f>
        <v>East DC</v>
      </c>
      <c r="D216" s="5" t="str">
        <f>'4. ABC XYZ Analysis'!K216</f>
        <v>B</v>
      </c>
      <c r="E216" s="5" t="str">
        <f>'4. ABC XYZ Analysis'!M216</f>
        <v>Y</v>
      </c>
      <c r="F216" s="4">
        <f>'1. Master Data'!F216</f>
        <v>143</v>
      </c>
      <c r="G216" s="3">
        <f>'1. Master Data'!G216</f>
        <v>25</v>
      </c>
      <c r="H216" s="8">
        <f>'3. Demand Forecast'!F216/$T$3</f>
        <v>3.4272727272727277</v>
      </c>
      <c r="I216" s="8">
        <f>'3. Demand Forecast'!G216/SQRT($T$3)</f>
        <v>4.3706146852900138</v>
      </c>
      <c r="J216" s="5">
        <f t="shared" si="18"/>
        <v>37</v>
      </c>
      <c r="K216" s="5">
        <f t="shared" si="19"/>
        <v>123</v>
      </c>
      <c r="L216" s="3">
        <f>IF(F216=0,0,ROUNDUP(SQRT(2*'4. ABC XYZ Analysis'!F216*$U$3/(F216*$V$3)),0))</f>
        <v>29</v>
      </c>
      <c r="M216" s="3">
        <f>'1. Master Data'!I216</f>
        <v>126</v>
      </c>
      <c r="N216" s="3">
        <f t="shared" si="20"/>
        <v>37</v>
      </c>
      <c r="O216" s="5" t="str">
        <f t="shared" si="21"/>
        <v>ORDER SOON</v>
      </c>
      <c r="P216" s="5" t="str">
        <f t="shared" si="22"/>
        <v>MEDIUM</v>
      </c>
      <c r="Q216" s="3" t="str">
        <f t="shared" si="23"/>
        <v>Reorder Point</v>
      </c>
    </row>
    <row r="217" spans="1:17" ht="15" customHeight="1" x14ac:dyDescent="0.2">
      <c r="A217" s="3" t="str">
        <f>'1. Master Data'!A217</f>
        <v>NT10213</v>
      </c>
      <c r="B217" s="1" t="str">
        <f>'1. Master Data'!B217</f>
        <v>NovaWatch 372 GPS</v>
      </c>
      <c r="C217" s="3" t="str">
        <f>'1. Master Data'!D217</f>
        <v>Central DC</v>
      </c>
      <c r="D217" s="5" t="str">
        <f>'4. ABC XYZ Analysis'!K217</f>
        <v>B</v>
      </c>
      <c r="E217" s="5" t="str">
        <f>'4. ABC XYZ Analysis'!M217</f>
        <v>Y</v>
      </c>
      <c r="F217" s="4">
        <f>'1. Master Data'!F217</f>
        <v>66</v>
      </c>
      <c r="G217" s="3">
        <f>'1. Master Data'!G217</f>
        <v>21</v>
      </c>
      <c r="H217" s="8">
        <f>'3. Demand Forecast'!F217/$T$3</f>
        <v>14.209090909090911</v>
      </c>
      <c r="I217" s="8">
        <f>'3. Demand Forecast'!G217/SQRT($T$3)</f>
        <v>21.789113211543388</v>
      </c>
      <c r="J217" s="5">
        <f t="shared" si="18"/>
        <v>165</v>
      </c>
      <c r="K217" s="5">
        <f t="shared" si="19"/>
        <v>464</v>
      </c>
      <c r="L217" s="3">
        <f>IF(F217=0,0,ROUNDUP(SQRT(2*'4. ABC XYZ Analysis'!F217*$U$3/(F217*$V$3)),0))</f>
        <v>129</v>
      </c>
      <c r="M217" s="3">
        <f>'1. Master Data'!I217</f>
        <v>467</v>
      </c>
      <c r="N217" s="3">
        <f t="shared" si="20"/>
        <v>33</v>
      </c>
      <c r="O217" s="5" t="str">
        <f t="shared" si="21"/>
        <v>ORDER SOON</v>
      </c>
      <c r="P217" s="5" t="str">
        <f t="shared" si="22"/>
        <v>MEDIUM</v>
      </c>
      <c r="Q217" s="3" t="str">
        <f t="shared" si="23"/>
        <v>Reorder Point</v>
      </c>
    </row>
    <row r="218" spans="1:17" ht="15" customHeight="1" x14ac:dyDescent="0.2">
      <c r="A218" s="3" t="str">
        <f>'1. Master Data'!A218</f>
        <v>NT10214</v>
      </c>
      <c r="B218" s="1" t="str">
        <f>'1. Master Data'!B218</f>
        <v>StepOne Tracker 927</v>
      </c>
      <c r="C218" s="3" t="str">
        <f>'1. Master Data'!D218</f>
        <v>East DC</v>
      </c>
      <c r="D218" s="5" t="str">
        <f>'4. ABC XYZ Analysis'!K218</f>
        <v>B</v>
      </c>
      <c r="E218" s="5" t="str">
        <f>'4. ABC XYZ Analysis'!M218</f>
        <v>Y</v>
      </c>
      <c r="F218" s="4">
        <f>'1. Master Data'!F218</f>
        <v>68</v>
      </c>
      <c r="G218" s="3">
        <f>'1. Master Data'!G218</f>
        <v>22</v>
      </c>
      <c r="H218" s="8">
        <f>'3. Demand Forecast'!F218/$T$3</f>
        <v>3.4090909090909092</v>
      </c>
      <c r="I218" s="8">
        <f>'3. Demand Forecast'!G218/SQRT($T$3)</f>
        <v>5.5218985536103098</v>
      </c>
      <c r="J218" s="5">
        <f t="shared" si="18"/>
        <v>43</v>
      </c>
      <c r="K218" s="5">
        <f t="shared" si="19"/>
        <v>118</v>
      </c>
      <c r="L218" s="3">
        <f>IF(F218=0,0,ROUNDUP(SQRT(2*'4. ABC XYZ Analysis'!F218*$U$3/(F218*$V$3)),0))</f>
        <v>46</v>
      </c>
      <c r="M218" s="3">
        <f>'1. Master Data'!I218</f>
        <v>121</v>
      </c>
      <c r="N218" s="3">
        <f t="shared" si="20"/>
        <v>35</v>
      </c>
      <c r="O218" s="5" t="str">
        <f t="shared" si="21"/>
        <v>ORDER SOON</v>
      </c>
      <c r="P218" s="5" t="str">
        <f t="shared" si="22"/>
        <v>MEDIUM</v>
      </c>
      <c r="Q218" s="3" t="str">
        <f t="shared" si="23"/>
        <v>Reorder Point</v>
      </c>
    </row>
    <row r="219" spans="1:17" ht="15" customHeight="1" x14ac:dyDescent="0.2">
      <c r="A219" s="3" t="str">
        <f>'1. Master Data'!A219</f>
        <v>NT10215</v>
      </c>
      <c r="B219" s="1" t="str">
        <f>'1. Master Data'!B219</f>
        <v>FitTrack Band 640</v>
      </c>
      <c r="C219" s="3" t="str">
        <f>'1. Master Data'!D219</f>
        <v>East DC</v>
      </c>
      <c r="D219" s="5" t="str">
        <f>'4. ABC XYZ Analysis'!K219</f>
        <v>B</v>
      </c>
      <c r="E219" s="5" t="str">
        <f>'4. ABC XYZ Analysis'!M219</f>
        <v>Y</v>
      </c>
      <c r="F219" s="4">
        <f>'1. Master Data'!F219</f>
        <v>104</v>
      </c>
      <c r="G219" s="3">
        <f>'1. Master Data'!G219</f>
        <v>25</v>
      </c>
      <c r="H219" s="8">
        <f>'3. Demand Forecast'!F219/$T$3</f>
        <v>8</v>
      </c>
      <c r="I219" s="8">
        <f>'3. Demand Forecast'!G219/SQRT($T$3)</f>
        <v>11.534158754838524</v>
      </c>
      <c r="J219" s="5">
        <f t="shared" si="18"/>
        <v>96</v>
      </c>
      <c r="K219" s="5">
        <f t="shared" si="19"/>
        <v>296</v>
      </c>
      <c r="L219" s="3">
        <f>IF(F219=0,0,ROUNDUP(SQRT(2*'4. ABC XYZ Analysis'!F219*$U$3/(F219*$V$3)),0))</f>
        <v>64</v>
      </c>
      <c r="M219" s="3">
        <f>'1. Master Data'!I219</f>
        <v>299</v>
      </c>
      <c r="N219" s="3">
        <f t="shared" si="20"/>
        <v>37</v>
      </c>
      <c r="O219" s="5" t="str">
        <f t="shared" si="21"/>
        <v>ORDER SOON</v>
      </c>
      <c r="P219" s="5" t="str">
        <f t="shared" si="22"/>
        <v>MEDIUM</v>
      </c>
      <c r="Q219" s="3" t="str">
        <f t="shared" si="23"/>
        <v>Reorder Point</v>
      </c>
    </row>
    <row r="220" spans="1:17" ht="15" customHeight="1" x14ac:dyDescent="0.2">
      <c r="A220" s="3" t="str">
        <f>'1. Master Data'!A220</f>
        <v>NT10216</v>
      </c>
      <c r="B220" s="1" t="str">
        <f>'1. Master Data'!B220</f>
        <v>StepOne Tracker 267</v>
      </c>
      <c r="C220" s="3" t="str">
        <f>'1. Master Data'!D220</f>
        <v>West DC</v>
      </c>
      <c r="D220" s="5" t="str">
        <f>'4. ABC XYZ Analysis'!K220</f>
        <v>B</v>
      </c>
      <c r="E220" s="5" t="str">
        <f>'4. ABC XYZ Analysis'!M220</f>
        <v>Y</v>
      </c>
      <c r="F220" s="4">
        <f>'1. Master Data'!F220</f>
        <v>31</v>
      </c>
      <c r="G220" s="3">
        <f>'1. Master Data'!G220</f>
        <v>21</v>
      </c>
      <c r="H220" s="8">
        <f>'3. Demand Forecast'!F220/$T$3</f>
        <v>8.5954545454545457</v>
      </c>
      <c r="I220" s="8">
        <f>'3. Demand Forecast'!G220/SQRT($T$3)</f>
        <v>11.896599972643061</v>
      </c>
      <c r="J220" s="5">
        <f t="shared" si="18"/>
        <v>90</v>
      </c>
      <c r="K220" s="5">
        <f t="shared" si="19"/>
        <v>271</v>
      </c>
      <c r="L220" s="3">
        <f>IF(F220=0,0,ROUNDUP(SQRT(2*'4. ABC XYZ Analysis'!F220*$U$3/(F220*$V$3)),0))</f>
        <v>52</v>
      </c>
      <c r="M220" s="3">
        <f>'1. Master Data'!I220</f>
        <v>706</v>
      </c>
      <c r="N220" s="3">
        <f t="shared" si="20"/>
        <v>82</v>
      </c>
      <c r="O220" s="5" t="str">
        <f t="shared" si="21"/>
        <v>OK</v>
      </c>
      <c r="P220" s="5" t="str">
        <f t="shared" si="22"/>
        <v>LOW</v>
      </c>
      <c r="Q220" s="3" t="str">
        <f t="shared" si="23"/>
        <v>Reorder Point</v>
      </c>
    </row>
    <row r="221" spans="1:17" ht="15" customHeight="1" x14ac:dyDescent="0.2">
      <c r="A221" s="3" t="str">
        <f>'1. Master Data'!A221</f>
        <v>NT10217</v>
      </c>
      <c r="B221" s="1" t="str">
        <f>'1. Master Data'!B221</f>
        <v>PulseRing 145</v>
      </c>
      <c r="C221" s="3" t="str">
        <f>'1. Master Data'!D221</f>
        <v>West DC</v>
      </c>
      <c r="D221" s="5" t="str">
        <f>'4. ABC XYZ Analysis'!K221</f>
        <v>B</v>
      </c>
      <c r="E221" s="5" t="str">
        <f>'4. ABC XYZ Analysis'!M221</f>
        <v>Y</v>
      </c>
      <c r="F221" s="4">
        <f>'1. Master Data'!F221</f>
        <v>55</v>
      </c>
      <c r="G221" s="3">
        <f>'1. Master Data'!G221</f>
        <v>16</v>
      </c>
      <c r="H221" s="8">
        <f>'3. Demand Forecast'!F221/$T$3</f>
        <v>6.745454545454546</v>
      </c>
      <c r="I221" s="8">
        <f>'3. Demand Forecast'!G221/SQRT($T$3)</f>
        <v>8.2721877945976843</v>
      </c>
      <c r="J221" s="5">
        <f t="shared" si="18"/>
        <v>55</v>
      </c>
      <c r="K221" s="5">
        <f t="shared" si="19"/>
        <v>163</v>
      </c>
      <c r="L221" s="3">
        <f>IF(F221=0,0,ROUNDUP(SQRT(2*'4. ABC XYZ Analysis'!F221*$U$3/(F221*$V$3)),0))</f>
        <v>38</v>
      </c>
      <c r="M221" s="3">
        <f>'1. Master Data'!I221</f>
        <v>505</v>
      </c>
      <c r="N221" s="3">
        <f t="shared" si="20"/>
        <v>75</v>
      </c>
      <c r="O221" s="5" t="str">
        <f t="shared" si="21"/>
        <v>OK</v>
      </c>
      <c r="P221" s="5" t="str">
        <f t="shared" si="22"/>
        <v>LOW</v>
      </c>
      <c r="Q221" s="3" t="str">
        <f t="shared" si="23"/>
        <v>Reorder Point</v>
      </c>
    </row>
    <row r="222" spans="1:17" ht="15" customHeight="1" x14ac:dyDescent="0.2">
      <c r="A222" s="3" t="str">
        <f>'1. Master Data'!A222</f>
        <v>NT10218</v>
      </c>
      <c r="B222" s="1" t="str">
        <f>'1. Master Data'!B222</f>
        <v>StepOne Tracker 111</v>
      </c>
      <c r="C222" s="3" t="str">
        <f>'1. Master Data'!D222</f>
        <v>East DC</v>
      </c>
      <c r="D222" s="5" t="str">
        <f>'4. ABC XYZ Analysis'!K222</f>
        <v>B</v>
      </c>
      <c r="E222" s="5" t="str">
        <f>'4. ABC XYZ Analysis'!M222</f>
        <v>X</v>
      </c>
      <c r="F222" s="4">
        <f>'1. Master Data'!F222</f>
        <v>105</v>
      </c>
      <c r="G222" s="3">
        <f>'1. Master Data'!G222</f>
        <v>17</v>
      </c>
      <c r="H222" s="8">
        <f>'3. Demand Forecast'!F222/$T$3</f>
        <v>0.60454545454545461</v>
      </c>
      <c r="I222" s="8">
        <f>'3. Demand Forecast'!G222/SQRT($T$3)</f>
        <v>0.68224229233795342</v>
      </c>
      <c r="J222" s="5">
        <f t="shared" si="18"/>
        <v>5</v>
      </c>
      <c r="K222" s="5">
        <f t="shared" si="19"/>
        <v>16</v>
      </c>
      <c r="L222" s="3">
        <f>IF(F222=0,0,ROUNDUP(SQRT(2*'4. ABC XYZ Analysis'!F222*$U$3/(F222*$V$3)),0))</f>
        <v>146</v>
      </c>
      <c r="M222" s="3">
        <f>'1. Master Data'!I222</f>
        <v>42</v>
      </c>
      <c r="N222" s="3">
        <f t="shared" si="20"/>
        <v>69</v>
      </c>
      <c r="O222" s="5" t="str">
        <f t="shared" si="21"/>
        <v>OK</v>
      </c>
      <c r="P222" s="5" t="str">
        <f t="shared" si="22"/>
        <v>LOW</v>
      </c>
      <c r="Q222" s="3" t="str">
        <f t="shared" si="23"/>
        <v>Reorder Point</v>
      </c>
    </row>
    <row r="223" spans="1:17" ht="15" customHeight="1" x14ac:dyDescent="0.2">
      <c r="A223" s="3" t="str">
        <f>'1. Master Data'!A223</f>
        <v>NT10219</v>
      </c>
      <c r="B223" s="1" t="str">
        <f>'1. Master Data'!B223</f>
        <v>NovaWatch 336 GPS</v>
      </c>
      <c r="C223" s="3" t="str">
        <f>'1. Master Data'!D223</f>
        <v>West DC</v>
      </c>
      <c r="D223" s="5" t="str">
        <f>'4. ABC XYZ Analysis'!K223</f>
        <v>B</v>
      </c>
      <c r="E223" s="5" t="str">
        <f>'4. ABC XYZ Analysis'!M223</f>
        <v>X</v>
      </c>
      <c r="F223" s="4">
        <f>'1. Master Data'!F223</f>
        <v>70</v>
      </c>
      <c r="G223" s="3">
        <f>'1. Master Data'!G223</f>
        <v>19</v>
      </c>
      <c r="H223" s="8">
        <f>'3. Demand Forecast'!F223/$T$3</f>
        <v>5.2045454545454541</v>
      </c>
      <c r="I223" s="8">
        <f>'3. Demand Forecast'!G223/SQRT($T$3)</f>
        <v>6.8650630666506567</v>
      </c>
      <c r="J223" s="5">
        <f t="shared" si="18"/>
        <v>50</v>
      </c>
      <c r="K223" s="5">
        <f t="shared" si="19"/>
        <v>149</v>
      </c>
      <c r="L223" s="3">
        <f>IF(F223=0,0,ROUNDUP(SQRT(2*'4. ABC XYZ Analysis'!F223*$U$3/(F223*$V$3)),0))</f>
        <v>169</v>
      </c>
      <c r="M223" s="3">
        <f>'1. Master Data'!I223</f>
        <v>152</v>
      </c>
      <c r="N223" s="3">
        <f t="shared" si="20"/>
        <v>29</v>
      </c>
      <c r="O223" s="5" t="str">
        <f t="shared" si="21"/>
        <v>ORDER SOON</v>
      </c>
      <c r="P223" s="5" t="str">
        <f t="shared" si="22"/>
        <v>MEDIUM</v>
      </c>
      <c r="Q223" s="3" t="str">
        <f t="shared" si="23"/>
        <v>Reorder Point</v>
      </c>
    </row>
    <row r="224" spans="1:17" ht="15" customHeight="1" x14ac:dyDescent="0.2">
      <c r="A224" s="3" t="str">
        <f>'1. Master Data'!A224</f>
        <v>NT10220</v>
      </c>
      <c r="B224" s="1" t="str">
        <f>'1. Master Data'!B224</f>
        <v>StepOne Tracker 846</v>
      </c>
      <c r="C224" s="3" t="str">
        <f>'1. Master Data'!D224</f>
        <v>Central DC</v>
      </c>
      <c r="D224" s="5" t="str">
        <f>'4. ABC XYZ Analysis'!K224</f>
        <v>B</v>
      </c>
      <c r="E224" s="5" t="str">
        <f>'4. ABC XYZ Analysis'!M224</f>
        <v>Y</v>
      </c>
      <c r="F224" s="4">
        <f>'1. Master Data'!F224</f>
        <v>145</v>
      </c>
      <c r="G224" s="3">
        <f>'1. Master Data'!G224</f>
        <v>24</v>
      </c>
      <c r="H224" s="8">
        <f>'3. Demand Forecast'!F224/$T$3</f>
        <v>1.6636363636363638</v>
      </c>
      <c r="I224" s="8">
        <f>'3. Demand Forecast'!G224/SQRT($T$3)</f>
        <v>2.601048739538447</v>
      </c>
      <c r="J224" s="5">
        <f t="shared" si="18"/>
        <v>22</v>
      </c>
      <c r="K224" s="5">
        <f t="shared" si="19"/>
        <v>62</v>
      </c>
      <c r="L224" s="3">
        <f>IF(F224=0,0,ROUNDUP(SQRT(2*'4. ABC XYZ Analysis'!F224*$U$3/(F224*$V$3)),0))</f>
        <v>31</v>
      </c>
      <c r="M224" s="3">
        <f>'1. Master Data'!I224</f>
        <v>65</v>
      </c>
      <c r="N224" s="3">
        <f t="shared" si="20"/>
        <v>39</v>
      </c>
      <c r="O224" s="5" t="str">
        <f t="shared" si="21"/>
        <v>ORDER SOON</v>
      </c>
      <c r="P224" s="5" t="str">
        <f t="shared" si="22"/>
        <v>MEDIUM</v>
      </c>
      <c r="Q224" s="3" t="str">
        <f t="shared" si="23"/>
        <v>Reorder Point</v>
      </c>
    </row>
    <row r="225" spans="1:17" ht="15" customHeight="1" x14ac:dyDescent="0.2">
      <c r="A225" s="3" t="str">
        <f>'1. Master Data'!A225</f>
        <v>NT10221</v>
      </c>
      <c r="B225" s="1" t="str">
        <f>'1. Master Data'!B225</f>
        <v>StepOne Tracker 811</v>
      </c>
      <c r="C225" s="3" t="str">
        <f>'1. Master Data'!D225</f>
        <v>West DC</v>
      </c>
      <c r="D225" s="5" t="str">
        <f>'4. ABC XYZ Analysis'!K225</f>
        <v>B</v>
      </c>
      <c r="E225" s="5" t="str">
        <f>'4. ABC XYZ Analysis'!M225</f>
        <v>Y</v>
      </c>
      <c r="F225" s="4">
        <f>'1. Master Data'!F225</f>
        <v>155</v>
      </c>
      <c r="G225" s="3">
        <f>'1. Master Data'!G225</f>
        <v>24</v>
      </c>
      <c r="H225" s="8">
        <f>'3. Demand Forecast'!F225/$T$3</f>
        <v>2.7409090909090907</v>
      </c>
      <c r="I225" s="8">
        <f>'3. Demand Forecast'!G225/SQRT($T$3)</f>
        <v>4.5838154016456238</v>
      </c>
      <c r="J225" s="5">
        <f t="shared" si="18"/>
        <v>38</v>
      </c>
      <c r="K225" s="5">
        <f t="shared" si="19"/>
        <v>104</v>
      </c>
      <c r="L225" s="3">
        <f>IF(F225=0,0,ROUNDUP(SQRT(2*'4. ABC XYZ Analysis'!F225*$U$3/(F225*$V$3)),0))</f>
        <v>76</v>
      </c>
      <c r="M225" s="3">
        <f>'1. Master Data'!I225</f>
        <v>107</v>
      </c>
      <c r="N225" s="3">
        <f t="shared" si="20"/>
        <v>39</v>
      </c>
      <c r="O225" s="5" t="str">
        <f t="shared" si="21"/>
        <v>ORDER SOON</v>
      </c>
      <c r="P225" s="5" t="str">
        <f t="shared" si="22"/>
        <v>MEDIUM</v>
      </c>
      <c r="Q225" s="3" t="str">
        <f t="shared" si="23"/>
        <v>Reorder Point</v>
      </c>
    </row>
    <row r="226" spans="1:17" ht="15" customHeight="1" x14ac:dyDescent="0.2">
      <c r="A226" s="3" t="str">
        <f>'1. Master Data'!A226</f>
        <v>NT10222</v>
      </c>
      <c r="B226" s="1" t="str">
        <f>'1. Master Data'!B226</f>
        <v>StepOne Tracker 743</v>
      </c>
      <c r="C226" s="3" t="str">
        <f>'1. Master Data'!D226</f>
        <v>Central DC</v>
      </c>
      <c r="D226" s="5" t="str">
        <f>'4. ABC XYZ Analysis'!K226</f>
        <v>B</v>
      </c>
      <c r="E226" s="5" t="str">
        <f>'4. ABC XYZ Analysis'!M226</f>
        <v>Z</v>
      </c>
      <c r="F226" s="4">
        <f>'1. Master Data'!F226</f>
        <v>49</v>
      </c>
      <c r="G226" s="3">
        <f>'1. Master Data'!G226</f>
        <v>16</v>
      </c>
      <c r="H226" s="8">
        <f>'3. Demand Forecast'!F226/$T$3</f>
        <v>1.1590909090909092</v>
      </c>
      <c r="I226" s="8">
        <f>'3. Demand Forecast'!G226/SQRT($T$3)</f>
        <v>1.8548462322938106</v>
      </c>
      <c r="J226" s="5">
        <f t="shared" si="18"/>
        <v>13</v>
      </c>
      <c r="K226" s="5">
        <f t="shared" si="19"/>
        <v>32</v>
      </c>
      <c r="L226" s="3">
        <f>IF(F226=0,0,ROUNDUP(SQRT(2*'4. ABC XYZ Analysis'!F226*$U$3/(F226*$V$3)),0))</f>
        <v>57</v>
      </c>
      <c r="M226" s="3">
        <f>'1. Master Data'!I226</f>
        <v>35</v>
      </c>
      <c r="N226" s="3">
        <f t="shared" si="20"/>
        <v>30</v>
      </c>
      <c r="O226" s="5" t="str">
        <f t="shared" si="21"/>
        <v>ORDER SOON</v>
      </c>
      <c r="P226" s="5" t="str">
        <f t="shared" si="22"/>
        <v>MEDIUM</v>
      </c>
      <c r="Q226" s="3" t="str">
        <f t="shared" si="23"/>
        <v>Min Max</v>
      </c>
    </row>
    <row r="227" spans="1:17" ht="15" customHeight="1" x14ac:dyDescent="0.2">
      <c r="A227" s="3" t="str">
        <f>'1. Master Data'!A227</f>
        <v>NT10223</v>
      </c>
      <c r="B227" s="1" t="str">
        <f>'1. Master Data'!B227</f>
        <v>FitTrack Band 120</v>
      </c>
      <c r="C227" s="3" t="str">
        <f>'1. Master Data'!D227</f>
        <v>Central DC</v>
      </c>
      <c r="D227" s="5" t="str">
        <f>'4. ABC XYZ Analysis'!K227</f>
        <v>B</v>
      </c>
      <c r="E227" s="5" t="str">
        <f>'4. ABC XYZ Analysis'!M227</f>
        <v>Y</v>
      </c>
      <c r="F227" s="4">
        <f>'1. Master Data'!F227</f>
        <v>79</v>
      </c>
      <c r="G227" s="3">
        <f>'1. Master Data'!G227</f>
        <v>16</v>
      </c>
      <c r="H227" s="8">
        <f>'3. Demand Forecast'!F227/$T$3</f>
        <v>2.9</v>
      </c>
      <c r="I227" s="8">
        <f>'3. Demand Forecast'!G227/SQRT($T$3)</f>
        <v>3.0914103871563512</v>
      </c>
      <c r="J227" s="5">
        <f t="shared" si="18"/>
        <v>21</v>
      </c>
      <c r="K227" s="5">
        <f t="shared" si="19"/>
        <v>68</v>
      </c>
      <c r="L227" s="3">
        <f>IF(F227=0,0,ROUNDUP(SQRT(2*'4. ABC XYZ Analysis'!F227*$U$3/(F227*$V$3)),0))</f>
        <v>88</v>
      </c>
      <c r="M227" s="3">
        <f>'1. Master Data'!I227</f>
        <v>71</v>
      </c>
      <c r="N227" s="3">
        <f t="shared" si="20"/>
        <v>24</v>
      </c>
      <c r="O227" s="5" t="str">
        <f t="shared" si="21"/>
        <v>ORDER SOON</v>
      </c>
      <c r="P227" s="5" t="str">
        <f t="shared" si="22"/>
        <v>MEDIUM</v>
      </c>
      <c r="Q227" s="3" t="str">
        <f t="shared" si="23"/>
        <v>Reorder Point</v>
      </c>
    </row>
    <row r="228" spans="1:17" ht="15" customHeight="1" x14ac:dyDescent="0.2">
      <c r="A228" s="3" t="str">
        <f>'1. Master Data'!A228</f>
        <v>NT10224</v>
      </c>
      <c r="B228" s="1" t="str">
        <f>'1. Master Data'!B228</f>
        <v>PulseRing 309</v>
      </c>
      <c r="C228" s="3" t="str">
        <f>'1. Master Data'!D228</f>
        <v>Central DC</v>
      </c>
      <c r="D228" s="5" t="str">
        <f>'4. ABC XYZ Analysis'!K228</f>
        <v>B</v>
      </c>
      <c r="E228" s="5" t="str">
        <f>'4. ABC XYZ Analysis'!M228</f>
        <v>Y</v>
      </c>
      <c r="F228" s="4">
        <f>'1. Master Data'!F228</f>
        <v>57</v>
      </c>
      <c r="G228" s="3">
        <f>'1. Master Data'!G228</f>
        <v>19</v>
      </c>
      <c r="H228" s="8">
        <f>'3. Demand Forecast'!F228/$T$3</f>
        <v>2.9954545454545456</v>
      </c>
      <c r="I228" s="8">
        <f>'3. Demand Forecast'!G228/SQRT($T$3)</f>
        <v>4.9462566194501614</v>
      </c>
      <c r="J228" s="5">
        <f t="shared" si="18"/>
        <v>36</v>
      </c>
      <c r="K228" s="5">
        <f t="shared" si="19"/>
        <v>93</v>
      </c>
      <c r="L228" s="3">
        <f>IF(F228=0,0,ROUNDUP(SQRT(2*'4. ABC XYZ Analysis'!F228*$U$3/(F228*$V$3)),0))</f>
        <v>74</v>
      </c>
      <c r="M228" s="3">
        <f>'1. Master Data'!I228</f>
        <v>247</v>
      </c>
      <c r="N228" s="3">
        <f t="shared" si="20"/>
        <v>82</v>
      </c>
      <c r="O228" s="5" t="str">
        <f t="shared" si="21"/>
        <v>OK</v>
      </c>
      <c r="P228" s="5" t="str">
        <f t="shared" si="22"/>
        <v>LOW</v>
      </c>
      <c r="Q228" s="3" t="str">
        <f t="shared" si="23"/>
        <v>Reorder Point</v>
      </c>
    </row>
    <row r="229" spans="1:17" ht="15" customHeight="1" x14ac:dyDescent="0.2">
      <c r="A229" s="3" t="str">
        <f>'1. Master Data'!A229</f>
        <v>NT10225</v>
      </c>
      <c r="B229" s="1" t="str">
        <f>'1. Master Data'!B229</f>
        <v>FitTrack Band 167</v>
      </c>
      <c r="C229" s="3" t="str">
        <f>'1. Master Data'!D229</f>
        <v>East DC</v>
      </c>
      <c r="D229" s="5" t="str">
        <f>'4. ABC XYZ Analysis'!K229</f>
        <v>B</v>
      </c>
      <c r="E229" s="5" t="str">
        <f>'4. ABC XYZ Analysis'!M229</f>
        <v>X</v>
      </c>
      <c r="F229" s="4">
        <f>'1. Master Data'!F229</f>
        <v>117</v>
      </c>
      <c r="G229" s="3">
        <f>'1. Master Data'!G229</f>
        <v>25</v>
      </c>
      <c r="H229" s="8">
        <f>'3. Demand Forecast'!F229/$T$3</f>
        <v>1.4954545454545454</v>
      </c>
      <c r="I229" s="8">
        <f>'3. Demand Forecast'!G229/SQRT($T$3)</f>
        <v>2.1320071635561044</v>
      </c>
      <c r="J229" s="5">
        <f t="shared" si="18"/>
        <v>18</v>
      </c>
      <c r="K229" s="5">
        <f t="shared" si="19"/>
        <v>56</v>
      </c>
      <c r="L229" s="3">
        <f>IF(F229=0,0,ROUNDUP(SQRT(2*'4. ABC XYZ Analysis'!F229*$U$3/(F229*$V$3)),0))</f>
        <v>71</v>
      </c>
      <c r="M229" s="3">
        <f>'1. Master Data'!I229</f>
        <v>59</v>
      </c>
      <c r="N229" s="3">
        <f t="shared" si="20"/>
        <v>39</v>
      </c>
      <c r="O229" s="5" t="str">
        <f t="shared" si="21"/>
        <v>ORDER SOON</v>
      </c>
      <c r="P229" s="5" t="str">
        <f t="shared" si="22"/>
        <v>MEDIUM</v>
      </c>
      <c r="Q229" s="3" t="str">
        <f t="shared" si="23"/>
        <v>Reorder Point</v>
      </c>
    </row>
    <row r="230" spans="1:17" ht="15" customHeight="1" x14ac:dyDescent="0.2">
      <c r="A230" s="3" t="str">
        <f>'1. Master Data'!A230</f>
        <v>NT10226</v>
      </c>
      <c r="B230" s="1" t="str">
        <f>'1. Master Data'!B230</f>
        <v>StepOne Tracker 298</v>
      </c>
      <c r="C230" s="3" t="str">
        <f>'1. Master Data'!D230</f>
        <v>East DC</v>
      </c>
      <c r="D230" s="5" t="str">
        <f>'4. ABC XYZ Analysis'!K230</f>
        <v>B</v>
      </c>
      <c r="E230" s="5" t="str">
        <f>'4. ABC XYZ Analysis'!M230</f>
        <v>X</v>
      </c>
      <c r="F230" s="4">
        <f>'1. Master Data'!F230</f>
        <v>146</v>
      </c>
      <c r="G230" s="3">
        <f>'1. Master Data'!G230</f>
        <v>17</v>
      </c>
      <c r="H230" s="8">
        <f>'3. Demand Forecast'!F230/$T$3</f>
        <v>2.3363636363636364</v>
      </c>
      <c r="I230" s="8">
        <f>'3. Demand Forecast'!G230/SQRT($T$3)</f>
        <v>3.4538516049608887</v>
      </c>
      <c r="J230" s="5">
        <f t="shared" si="18"/>
        <v>24</v>
      </c>
      <c r="K230" s="5">
        <f t="shared" si="19"/>
        <v>64</v>
      </c>
      <c r="L230" s="3">
        <f>IF(F230=0,0,ROUNDUP(SQRT(2*'4. ABC XYZ Analysis'!F230*$U$3/(F230*$V$3)),0))</f>
        <v>149</v>
      </c>
      <c r="M230" s="3">
        <f>'1. Master Data'!I230</f>
        <v>67</v>
      </c>
      <c r="N230" s="3">
        <f t="shared" si="20"/>
        <v>29</v>
      </c>
      <c r="O230" s="5" t="str">
        <f t="shared" si="21"/>
        <v>ORDER SOON</v>
      </c>
      <c r="P230" s="5" t="str">
        <f t="shared" si="22"/>
        <v>MEDIUM</v>
      </c>
      <c r="Q230" s="3" t="str">
        <f t="shared" si="23"/>
        <v>Reorder Point</v>
      </c>
    </row>
    <row r="231" spans="1:17" ht="15" customHeight="1" x14ac:dyDescent="0.2">
      <c r="A231" s="3" t="str">
        <f>'1. Master Data'!A231</f>
        <v>NT10227</v>
      </c>
      <c r="B231" s="1" t="str">
        <f>'1. Master Data'!B231</f>
        <v>PulseRing 331</v>
      </c>
      <c r="C231" s="3" t="str">
        <f>'1. Master Data'!D231</f>
        <v>Central DC</v>
      </c>
      <c r="D231" s="5" t="str">
        <f>'4. ABC XYZ Analysis'!K231</f>
        <v>B</v>
      </c>
      <c r="E231" s="5" t="str">
        <f>'4. ABC XYZ Analysis'!M231</f>
        <v>Y</v>
      </c>
      <c r="F231" s="4">
        <f>'1. Master Data'!F231</f>
        <v>118</v>
      </c>
      <c r="G231" s="3">
        <f>'1. Master Data'!G231</f>
        <v>24</v>
      </c>
      <c r="H231" s="8">
        <f>'3. Demand Forecast'!F231/$T$3</f>
        <v>2.2409090909090907</v>
      </c>
      <c r="I231" s="8">
        <f>'3. Demand Forecast'!G231/SQRT($T$3)</f>
        <v>3.1340505304274733</v>
      </c>
      <c r="J231" s="5">
        <f t="shared" si="18"/>
        <v>26</v>
      </c>
      <c r="K231" s="5">
        <f t="shared" si="19"/>
        <v>80</v>
      </c>
      <c r="L231" s="3">
        <f>IF(F231=0,0,ROUNDUP(SQRT(2*'4. ABC XYZ Analysis'!F231*$U$3/(F231*$V$3)),0))</f>
        <v>65</v>
      </c>
      <c r="M231" s="3">
        <f>'1. Master Data'!I231</f>
        <v>83</v>
      </c>
      <c r="N231" s="3">
        <f t="shared" si="20"/>
        <v>37</v>
      </c>
      <c r="O231" s="5" t="str">
        <f t="shared" si="21"/>
        <v>ORDER SOON</v>
      </c>
      <c r="P231" s="5" t="str">
        <f t="shared" si="22"/>
        <v>MEDIUM</v>
      </c>
      <c r="Q231" s="3" t="str">
        <f t="shared" si="23"/>
        <v>Reorder Point</v>
      </c>
    </row>
    <row r="232" spans="1:17" ht="15" customHeight="1" x14ac:dyDescent="0.2">
      <c r="A232" s="3" t="str">
        <f>'1. Master Data'!A232</f>
        <v>NT10228</v>
      </c>
      <c r="B232" s="1" t="str">
        <f>'1. Master Data'!B232</f>
        <v>FitTrack Band 708</v>
      </c>
      <c r="C232" s="3" t="str">
        <f>'1. Master Data'!D232</f>
        <v>East DC</v>
      </c>
      <c r="D232" s="5" t="str">
        <f>'4. ABC XYZ Analysis'!K232</f>
        <v>B</v>
      </c>
      <c r="E232" s="5" t="str">
        <f>'4. ABC XYZ Analysis'!M232</f>
        <v>X</v>
      </c>
      <c r="F232" s="4">
        <f>'1. Master Data'!F232</f>
        <v>29</v>
      </c>
      <c r="G232" s="3">
        <f>'1. Master Data'!G232</f>
        <v>24</v>
      </c>
      <c r="H232" s="8">
        <f>'3. Demand Forecast'!F232/$T$3</f>
        <v>8.5954545454545457</v>
      </c>
      <c r="I232" s="8">
        <f>'3. Demand Forecast'!G232/SQRT($T$3)</f>
        <v>12.450921835167648</v>
      </c>
      <c r="J232" s="5">
        <f t="shared" si="18"/>
        <v>101</v>
      </c>
      <c r="K232" s="5">
        <f t="shared" si="19"/>
        <v>308</v>
      </c>
      <c r="L232" s="3">
        <f>IF(F232=0,0,ROUNDUP(SQRT(2*'4. ABC XYZ Analysis'!F232*$U$3/(F232*$V$3)),0))</f>
        <v>160</v>
      </c>
      <c r="M232" s="3">
        <f>'1. Master Data'!I232</f>
        <v>778</v>
      </c>
      <c r="N232" s="3">
        <f t="shared" si="20"/>
        <v>91</v>
      </c>
      <c r="O232" s="5" t="str">
        <f t="shared" si="21"/>
        <v>OK</v>
      </c>
      <c r="P232" s="5" t="str">
        <f t="shared" si="22"/>
        <v>LOW</v>
      </c>
      <c r="Q232" s="3" t="str">
        <f t="shared" si="23"/>
        <v>Reorder Point</v>
      </c>
    </row>
    <row r="233" spans="1:17" ht="15" customHeight="1" x14ac:dyDescent="0.2">
      <c r="A233" s="3" t="str">
        <f>'1. Master Data'!A233</f>
        <v>NT10229</v>
      </c>
      <c r="B233" s="1" t="str">
        <f>'1. Master Data'!B233</f>
        <v>FitTrack Band 496</v>
      </c>
      <c r="C233" s="3" t="str">
        <f>'1. Master Data'!D233</f>
        <v>Central DC</v>
      </c>
      <c r="D233" s="5" t="str">
        <f>'4. ABC XYZ Analysis'!K233</f>
        <v>B</v>
      </c>
      <c r="E233" s="5" t="str">
        <f>'4. ABC XYZ Analysis'!M233</f>
        <v>X</v>
      </c>
      <c r="F233" s="4">
        <f>'1. Master Data'!F233</f>
        <v>74</v>
      </c>
      <c r="G233" s="3">
        <f>'1. Master Data'!G233</f>
        <v>14</v>
      </c>
      <c r="H233" s="8">
        <f>'3. Demand Forecast'!F233/$T$3</f>
        <v>2.4863636363636363</v>
      </c>
      <c r="I233" s="8">
        <f>'3. Demand Forecast'!G233/SQRT($T$3)</f>
        <v>2.9208498140718628</v>
      </c>
      <c r="J233" s="5">
        <f t="shared" si="18"/>
        <v>19</v>
      </c>
      <c r="K233" s="5">
        <f t="shared" si="19"/>
        <v>54</v>
      </c>
      <c r="L233" s="3">
        <f>IF(F233=0,0,ROUNDUP(SQRT(2*'4. ABC XYZ Analysis'!F233*$U$3/(F233*$V$3)),0))</f>
        <v>254</v>
      </c>
      <c r="M233" s="3">
        <f>'1. Master Data'!I233</f>
        <v>236</v>
      </c>
      <c r="N233" s="3">
        <f t="shared" si="20"/>
        <v>95</v>
      </c>
      <c r="O233" s="5" t="str">
        <f t="shared" si="21"/>
        <v>OK</v>
      </c>
      <c r="P233" s="5" t="str">
        <f t="shared" si="22"/>
        <v>LOW</v>
      </c>
      <c r="Q233" s="3" t="str">
        <f t="shared" si="23"/>
        <v>Reorder Point</v>
      </c>
    </row>
    <row r="234" spans="1:17" ht="15" customHeight="1" x14ac:dyDescent="0.2">
      <c r="A234" s="3" t="str">
        <f>'1. Master Data'!A234</f>
        <v>NT10230</v>
      </c>
      <c r="B234" s="1" t="str">
        <f>'1. Master Data'!B234</f>
        <v>FitTrack Band 260</v>
      </c>
      <c r="C234" s="3" t="str">
        <f>'1. Master Data'!D234</f>
        <v>Central DC</v>
      </c>
      <c r="D234" s="5" t="str">
        <f>'4. ABC XYZ Analysis'!K234</f>
        <v>B</v>
      </c>
      <c r="E234" s="5" t="str">
        <f>'4. ABC XYZ Analysis'!M234</f>
        <v>Y</v>
      </c>
      <c r="F234" s="4">
        <f>'1. Master Data'!F234</f>
        <v>65</v>
      </c>
      <c r="G234" s="3">
        <f>'1. Master Data'!G234</f>
        <v>19</v>
      </c>
      <c r="H234" s="8">
        <f>'3. Demand Forecast'!F234/$T$3</f>
        <v>0.38181818181818183</v>
      </c>
      <c r="I234" s="8">
        <f>'3. Demand Forecast'!G234/SQRT($T$3)</f>
        <v>0.59696200579570913</v>
      </c>
      <c r="J234" s="5">
        <f t="shared" si="18"/>
        <v>5</v>
      </c>
      <c r="K234" s="5">
        <f t="shared" si="19"/>
        <v>13</v>
      </c>
      <c r="L234" s="3">
        <f>IF(F234=0,0,ROUNDUP(SQRT(2*'4. ABC XYZ Analysis'!F234*$U$3/(F234*$V$3)),0))</f>
        <v>44</v>
      </c>
      <c r="M234" s="3">
        <f>'1. Master Data'!I234</f>
        <v>16</v>
      </c>
      <c r="N234" s="3">
        <f t="shared" si="20"/>
        <v>42</v>
      </c>
      <c r="O234" s="5" t="str">
        <f t="shared" si="21"/>
        <v>OK</v>
      </c>
      <c r="P234" s="5" t="str">
        <f t="shared" si="22"/>
        <v>LOW</v>
      </c>
      <c r="Q234" s="3" t="str">
        <f t="shared" si="23"/>
        <v>Reorder Point</v>
      </c>
    </row>
    <row r="235" spans="1:17" ht="15" customHeight="1" x14ac:dyDescent="0.2">
      <c r="A235" s="3" t="str">
        <f>'1. Master Data'!A235</f>
        <v>NT10231</v>
      </c>
      <c r="B235" s="1" t="str">
        <f>'1. Master Data'!B235</f>
        <v>NovaWatch 715 GPS</v>
      </c>
      <c r="C235" s="3" t="str">
        <f>'1. Master Data'!D235</f>
        <v>West DC</v>
      </c>
      <c r="D235" s="5" t="str">
        <f>'4. ABC XYZ Analysis'!K235</f>
        <v>B</v>
      </c>
      <c r="E235" s="5" t="str">
        <f>'4. ABC XYZ Analysis'!M235</f>
        <v>Z</v>
      </c>
      <c r="F235" s="4">
        <f>'1. Master Data'!F235</f>
        <v>155</v>
      </c>
      <c r="G235" s="3">
        <f>'1. Master Data'!G235</f>
        <v>17</v>
      </c>
      <c r="H235" s="8">
        <f>'3. Demand Forecast'!F235/$T$3</f>
        <v>10.922727272727274</v>
      </c>
      <c r="I235" s="8">
        <f>'3. Demand Forecast'!G235/SQRT($T$3)</f>
        <v>13.325044772225652</v>
      </c>
      <c r="J235" s="5">
        <f t="shared" si="18"/>
        <v>91</v>
      </c>
      <c r="K235" s="5">
        <f t="shared" si="19"/>
        <v>277</v>
      </c>
      <c r="L235" s="3">
        <f>IF(F235=0,0,ROUNDUP(SQRT(2*'4. ABC XYZ Analysis'!F235*$U$3/(F235*$V$3)),0))</f>
        <v>65</v>
      </c>
      <c r="M235" s="3">
        <f>'1. Master Data'!I235</f>
        <v>280</v>
      </c>
      <c r="N235" s="3">
        <f t="shared" si="20"/>
        <v>26</v>
      </c>
      <c r="O235" s="5" t="str">
        <f t="shared" si="21"/>
        <v>ORDER SOON</v>
      </c>
      <c r="P235" s="5" t="str">
        <f t="shared" si="22"/>
        <v>MEDIUM</v>
      </c>
      <c r="Q235" s="3" t="str">
        <f t="shared" si="23"/>
        <v>Min Max</v>
      </c>
    </row>
    <row r="236" spans="1:17" ht="15" customHeight="1" x14ac:dyDescent="0.2">
      <c r="A236" s="3" t="str">
        <f>'1. Master Data'!A236</f>
        <v>NT10232</v>
      </c>
      <c r="B236" s="1" t="str">
        <f>'1. Master Data'!B236</f>
        <v>FitTrack Band 981</v>
      </c>
      <c r="C236" s="3" t="str">
        <f>'1. Master Data'!D236</f>
        <v>West DC</v>
      </c>
      <c r="D236" s="5" t="str">
        <f>'4. ABC XYZ Analysis'!K236</f>
        <v>B</v>
      </c>
      <c r="E236" s="5" t="str">
        <f>'4. ABC XYZ Analysis'!M236</f>
        <v>Z</v>
      </c>
      <c r="F236" s="4">
        <f>'1. Master Data'!F236</f>
        <v>79</v>
      </c>
      <c r="G236" s="3">
        <f>'1. Master Data'!G236</f>
        <v>26</v>
      </c>
      <c r="H236" s="8">
        <f>'3. Demand Forecast'!F236/$T$3</f>
        <v>10.286363636363637</v>
      </c>
      <c r="I236" s="8">
        <f>'3. Demand Forecast'!G236/SQRT($T$3)</f>
        <v>14.988010359799413</v>
      </c>
      <c r="J236" s="5">
        <f t="shared" si="18"/>
        <v>127</v>
      </c>
      <c r="K236" s="5">
        <f t="shared" si="19"/>
        <v>395</v>
      </c>
      <c r="L236" s="3">
        <f>IF(F236=0,0,ROUNDUP(SQRT(2*'4. ABC XYZ Analysis'!F236*$U$3/(F236*$V$3)),0))</f>
        <v>79</v>
      </c>
      <c r="M236" s="3">
        <f>'1. Master Data'!I236</f>
        <v>1054</v>
      </c>
      <c r="N236" s="3">
        <f t="shared" si="20"/>
        <v>102</v>
      </c>
      <c r="O236" s="5" t="str">
        <f t="shared" si="21"/>
        <v>OK</v>
      </c>
      <c r="P236" s="5" t="str">
        <f t="shared" si="22"/>
        <v>LOW</v>
      </c>
      <c r="Q236" s="3" t="str">
        <f t="shared" si="23"/>
        <v>Min Max</v>
      </c>
    </row>
    <row r="237" spans="1:17" ht="15" customHeight="1" x14ac:dyDescent="0.2">
      <c r="A237" s="3" t="str">
        <f>'1. Master Data'!A237</f>
        <v>NT10233</v>
      </c>
      <c r="B237" s="1" t="str">
        <f>'1. Master Data'!B237</f>
        <v>FitTrack Band 945</v>
      </c>
      <c r="C237" s="3" t="str">
        <f>'1. Master Data'!D237</f>
        <v>East DC</v>
      </c>
      <c r="D237" s="5" t="str">
        <f>'4. ABC XYZ Analysis'!K237</f>
        <v>B</v>
      </c>
      <c r="E237" s="5" t="str">
        <f>'4. ABC XYZ Analysis'!M237</f>
        <v>Y</v>
      </c>
      <c r="F237" s="4">
        <f>'1. Master Data'!F237</f>
        <v>58</v>
      </c>
      <c r="G237" s="3">
        <f>'1. Master Data'!G237</f>
        <v>19</v>
      </c>
      <c r="H237" s="8">
        <f>'3. Demand Forecast'!F237/$T$3</f>
        <v>1.9772727272727273</v>
      </c>
      <c r="I237" s="8">
        <f>'3. Demand Forecast'!G237/SQRT($T$3)</f>
        <v>2.537088524631764</v>
      </c>
      <c r="J237" s="5">
        <f t="shared" si="18"/>
        <v>19</v>
      </c>
      <c r="K237" s="5">
        <f t="shared" si="19"/>
        <v>57</v>
      </c>
      <c r="L237" s="3">
        <f>IF(F237=0,0,ROUNDUP(SQRT(2*'4. ABC XYZ Analysis'!F237*$U$3/(F237*$V$3)),0))</f>
        <v>75</v>
      </c>
      <c r="M237" s="3">
        <f>'1. Master Data'!I237</f>
        <v>60</v>
      </c>
      <c r="N237" s="3">
        <f t="shared" si="20"/>
        <v>30</v>
      </c>
      <c r="O237" s="5" t="str">
        <f t="shared" si="21"/>
        <v>ORDER SOON</v>
      </c>
      <c r="P237" s="5" t="str">
        <f t="shared" si="22"/>
        <v>MEDIUM</v>
      </c>
      <c r="Q237" s="3" t="str">
        <f t="shared" si="23"/>
        <v>Reorder Point</v>
      </c>
    </row>
    <row r="238" spans="1:17" ht="15" customHeight="1" x14ac:dyDescent="0.2">
      <c r="A238" s="3" t="str">
        <f>'1. Master Data'!A238</f>
        <v>NT10234</v>
      </c>
      <c r="B238" s="1" t="str">
        <f>'1. Master Data'!B238</f>
        <v>NovaWatch 818 GPS</v>
      </c>
      <c r="C238" s="3" t="str">
        <f>'1. Master Data'!D238</f>
        <v>Central DC</v>
      </c>
      <c r="D238" s="5" t="str">
        <f>'4. ABC XYZ Analysis'!K238</f>
        <v>B</v>
      </c>
      <c r="E238" s="5" t="str">
        <f>'4. ABC XYZ Analysis'!M238</f>
        <v>Y</v>
      </c>
      <c r="F238" s="4">
        <f>'1. Master Data'!F238</f>
        <v>150</v>
      </c>
      <c r="G238" s="3">
        <f>'1. Master Data'!G238</f>
        <v>19</v>
      </c>
      <c r="H238" s="8">
        <f>'3. Demand Forecast'!F238/$T$3</f>
        <v>3.5454545454545454</v>
      </c>
      <c r="I238" s="8">
        <f>'3. Demand Forecast'!G238/SQRT($T$3)</f>
        <v>4.455894971832258</v>
      </c>
      <c r="J238" s="5">
        <f t="shared" si="18"/>
        <v>33</v>
      </c>
      <c r="K238" s="5">
        <f t="shared" si="19"/>
        <v>101</v>
      </c>
      <c r="L238" s="3">
        <f>IF(F238=0,0,ROUNDUP(SQRT(2*'4. ABC XYZ Analysis'!F238*$U$3/(F238*$V$3)),0))</f>
        <v>56</v>
      </c>
      <c r="M238" s="3">
        <f>'1. Master Data'!I238</f>
        <v>104</v>
      </c>
      <c r="N238" s="3">
        <f t="shared" si="20"/>
        <v>29</v>
      </c>
      <c r="O238" s="5" t="str">
        <f t="shared" si="21"/>
        <v>ORDER SOON</v>
      </c>
      <c r="P238" s="5" t="str">
        <f t="shared" si="22"/>
        <v>MEDIUM</v>
      </c>
      <c r="Q238" s="3" t="str">
        <f t="shared" si="23"/>
        <v>Reorder Point</v>
      </c>
    </row>
    <row r="239" spans="1:17" ht="15" customHeight="1" x14ac:dyDescent="0.2">
      <c r="A239" s="3" t="str">
        <f>'1. Master Data'!A239</f>
        <v>NT10235</v>
      </c>
      <c r="B239" s="1" t="str">
        <f>'1. Master Data'!B239</f>
        <v>StepOne Tracker 147</v>
      </c>
      <c r="C239" s="3" t="str">
        <f>'1. Master Data'!D239</f>
        <v>Central DC</v>
      </c>
      <c r="D239" s="5" t="str">
        <f>'4. ABC XYZ Analysis'!K239</f>
        <v>B</v>
      </c>
      <c r="E239" s="5" t="str">
        <f>'4. ABC XYZ Analysis'!M239</f>
        <v>X</v>
      </c>
      <c r="F239" s="4">
        <f>'1. Master Data'!F239</f>
        <v>28</v>
      </c>
      <c r="G239" s="3">
        <f>'1. Master Data'!G239</f>
        <v>27</v>
      </c>
      <c r="H239" s="8">
        <f>'3. Demand Forecast'!F239/$T$3</f>
        <v>1.4909090909090907</v>
      </c>
      <c r="I239" s="8">
        <f>'3. Demand Forecast'!G239/SQRT($T$3)</f>
        <v>2.1320071635561044</v>
      </c>
      <c r="J239" s="5">
        <f t="shared" si="18"/>
        <v>19</v>
      </c>
      <c r="K239" s="5">
        <f t="shared" si="19"/>
        <v>60</v>
      </c>
      <c r="L239" s="3">
        <f>IF(F239=0,0,ROUNDUP(SQRT(2*'4. ABC XYZ Analysis'!F239*$U$3/(F239*$V$3)),0))</f>
        <v>395</v>
      </c>
      <c r="M239" s="3">
        <f>'1. Master Data'!I239</f>
        <v>63</v>
      </c>
      <c r="N239" s="3">
        <f t="shared" si="20"/>
        <v>42</v>
      </c>
      <c r="O239" s="5" t="str">
        <f t="shared" si="21"/>
        <v>ORDER SOON</v>
      </c>
      <c r="P239" s="5" t="str">
        <f t="shared" si="22"/>
        <v>MEDIUM</v>
      </c>
      <c r="Q239" s="3" t="str">
        <f t="shared" si="23"/>
        <v>Reorder Point</v>
      </c>
    </row>
    <row r="240" spans="1:17" ht="15" customHeight="1" x14ac:dyDescent="0.2">
      <c r="A240" s="3" t="str">
        <f>'1. Master Data'!A240</f>
        <v>NT10236</v>
      </c>
      <c r="B240" s="1" t="str">
        <f>'1. Master Data'!B240</f>
        <v>PulseRing 393</v>
      </c>
      <c r="C240" s="3" t="str">
        <f>'1. Master Data'!D240</f>
        <v>East DC</v>
      </c>
      <c r="D240" s="5" t="str">
        <f>'4. ABC XYZ Analysis'!K240</f>
        <v>B</v>
      </c>
      <c r="E240" s="5" t="str">
        <f>'4. ABC XYZ Analysis'!M240</f>
        <v>X</v>
      </c>
      <c r="F240" s="4">
        <f>'1. Master Data'!F240</f>
        <v>60</v>
      </c>
      <c r="G240" s="3">
        <f>'1. Master Data'!G240</f>
        <v>18</v>
      </c>
      <c r="H240" s="8">
        <f>'3. Demand Forecast'!F240/$T$3</f>
        <v>4.5363636363636362</v>
      </c>
      <c r="I240" s="8">
        <f>'3. Demand Forecast'!G240/SQRT($T$3)</f>
        <v>16.011373798306341</v>
      </c>
      <c r="J240" s="5">
        <f t="shared" si="18"/>
        <v>113</v>
      </c>
      <c r="K240" s="5">
        <f t="shared" si="19"/>
        <v>195</v>
      </c>
      <c r="L240" s="3">
        <f>IF(F240=0,0,ROUNDUP(SQRT(2*'4. ABC XYZ Analysis'!F240*$U$3/(F240*$V$3)),0))</f>
        <v>153</v>
      </c>
      <c r="M240" s="3">
        <f>'1. Master Data'!I240</f>
        <v>447</v>
      </c>
      <c r="N240" s="3">
        <f t="shared" si="20"/>
        <v>99</v>
      </c>
      <c r="O240" s="5" t="str">
        <f t="shared" si="21"/>
        <v>OK</v>
      </c>
      <c r="P240" s="5" t="str">
        <f t="shared" si="22"/>
        <v>LOW</v>
      </c>
      <c r="Q240" s="3" t="str">
        <f t="shared" si="23"/>
        <v>Reorder Point</v>
      </c>
    </row>
    <row r="241" spans="1:17" ht="15" customHeight="1" x14ac:dyDescent="0.2">
      <c r="A241" s="3" t="str">
        <f>'1. Master Data'!A241</f>
        <v>NT10237</v>
      </c>
      <c r="B241" s="1" t="str">
        <f>'1. Master Data'!B241</f>
        <v>NovaWatch 728 GPS</v>
      </c>
      <c r="C241" s="3" t="str">
        <f>'1. Master Data'!D241</f>
        <v>Central DC</v>
      </c>
      <c r="D241" s="5" t="str">
        <f>'4. ABC XYZ Analysis'!K241</f>
        <v>B</v>
      </c>
      <c r="E241" s="5" t="str">
        <f>'4. ABC XYZ Analysis'!M241</f>
        <v>X</v>
      </c>
      <c r="F241" s="4">
        <f>'1. Master Data'!F241</f>
        <v>90</v>
      </c>
      <c r="G241" s="3">
        <f>'1. Master Data'!G241</f>
        <v>20</v>
      </c>
      <c r="H241" s="8">
        <f>'3. Demand Forecast'!F241/$T$3</f>
        <v>8.3181818181818183</v>
      </c>
      <c r="I241" s="8">
        <f>'3. Demand Forecast'!G241/SQRT($T$3)</f>
        <v>11.25699782357623</v>
      </c>
      <c r="J241" s="5">
        <f t="shared" si="18"/>
        <v>84</v>
      </c>
      <c r="K241" s="5">
        <f t="shared" si="19"/>
        <v>251</v>
      </c>
      <c r="L241" s="3">
        <f>IF(F241=0,0,ROUNDUP(SQRT(2*'4. ABC XYZ Analysis'!F241*$U$3/(F241*$V$3)),0))</f>
        <v>26</v>
      </c>
      <c r="M241" s="3">
        <f>'1. Master Data'!I241</f>
        <v>842</v>
      </c>
      <c r="N241" s="3">
        <f t="shared" si="20"/>
        <v>101</v>
      </c>
      <c r="O241" s="5" t="str">
        <f t="shared" si="21"/>
        <v>OK</v>
      </c>
      <c r="P241" s="5" t="str">
        <f t="shared" si="22"/>
        <v>LOW</v>
      </c>
      <c r="Q241" s="3" t="str">
        <f t="shared" si="23"/>
        <v>Reorder Point</v>
      </c>
    </row>
    <row r="242" spans="1:17" ht="15" customHeight="1" x14ac:dyDescent="0.2">
      <c r="A242" s="3" t="str">
        <f>'1. Master Data'!A242</f>
        <v>NT10238</v>
      </c>
      <c r="B242" s="1" t="str">
        <f>'1. Master Data'!B242</f>
        <v>FitTrack Band 382</v>
      </c>
      <c r="C242" s="3" t="str">
        <f>'1. Master Data'!D242</f>
        <v>East DC</v>
      </c>
      <c r="D242" s="5" t="str">
        <f>'4. ABC XYZ Analysis'!K242</f>
        <v>B</v>
      </c>
      <c r="E242" s="5" t="str">
        <f>'4. ABC XYZ Analysis'!M242</f>
        <v>Y</v>
      </c>
      <c r="F242" s="4">
        <f>'1. Master Data'!F242</f>
        <v>82</v>
      </c>
      <c r="G242" s="3">
        <f>'1. Master Data'!G242</f>
        <v>17</v>
      </c>
      <c r="H242" s="8">
        <f>'3. Demand Forecast'!F242/$T$3</f>
        <v>6.6136363636363633</v>
      </c>
      <c r="I242" s="8">
        <f>'3. Demand Forecast'!G242/SQRT($T$3)</f>
        <v>8.9331100153000769</v>
      </c>
      <c r="J242" s="5">
        <f t="shared" si="18"/>
        <v>61</v>
      </c>
      <c r="K242" s="5">
        <f t="shared" si="19"/>
        <v>174</v>
      </c>
      <c r="L242" s="3">
        <f>IF(F242=0,0,ROUNDUP(SQRT(2*'4. ABC XYZ Analysis'!F242*$U$3/(F242*$V$3)),0))</f>
        <v>57</v>
      </c>
      <c r="M242" s="3">
        <f>'1. Master Data'!I242</f>
        <v>177</v>
      </c>
      <c r="N242" s="3">
        <f t="shared" si="20"/>
        <v>27</v>
      </c>
      <c r="O242" s="5" t="str">
        <f t="shared" si="21"/>
        <v>ORDER SOON</v>
      </c>
      <c r="P242" s="5" t="str">
        <f t="shared" si="22"/>
        <v>MEDIUM</v>
      </c>
      <c r="Q242" s="3" t="str">
        <f t="shared" si="23"/>
        <v>Reorder Point</v>
      </c>
    </row>
    <row r="243" spans="1:17" ht="15" customHeight="1" x14ac:dyDescent="0.2">
      <c r="A243" s="3" t="str">
        <f>'1. Master Data'!A243</f>
        <v>NT10239</v>
      </c>
      <c r="B243" s="1" t="str">
        <f>'1. Master Data'!B243</f>
        <v>PulseRing 448</v>
      </c>
      <c r="C243" s="3" t="str">
        <f>'1. Master Data'!D243</f>
        <v>Central DC</v>
      </c>
      <c r="D243" s="5" t="str">
        <f>'4. ABC XYZ Analysis'!K243</f>
        <v>B</v>
      </c>
      <c r="E243" s="5" t="str">
        <f>'4. ABC XYZ Analysis'!M243</f>
        <v>Y</v>
      </c>
      <c r="F243" s="4">
        <f>'1. Master Data'!F243</f>
        <v>172</v>
      </c>
      <c r="G243" s="3">
        <f>'1. Master Data'!G243</f>
        <v>18</v>
      </c>
      <c r="H243" s="8">
        <f>'3. Demand Forecast'!F243/$T$3</f>
        <v>1.1363636363636365</v>
      </c>
      <c r="I243" s="8">
        <f>'3. Demand Forecast'!G243/SQRT($T$3)</f>
        <v>1.6842856592093225</v>
      </c>
      <c r="J243" s="5">
        <f t="shared" si="18"/>
        <v>12</v>
      </c>
      <c r="K243" s="5">
        <f t="shared" si="19"/>
        <v>33</v>
      </c>
      <c r="L243" s="3">
        <f>IF(F243=0,0,ROUNDUP(SQRT(2*'4. ABC XYZ Analysis'!F243*$U$3/(F243*$V$3)),0))</f>
        <v>35</v>
      </c>
      <c r="M243" s="3">
        <f>'1. Master Data'!I243</f>
        <v>36</v>
      </c>
      <c r="N243" s="3">
        <f t="shared" si="20"/>
        <v>32</v>
      </c>
      <c r="O243" s="5" t="str">
        <f t="shared" si="21"/>
        <v>ORDER SOON</v>
      </c>
      <c r="P243" s="5" t="str">
        <f t="shared" si="22"/>
        <v>MEDIUM</v>
      </c>
      <c r="Q243" s="3" t="str">
        <f t="shared" si="23"/>
        <v>Reorder Point</v>
      </c>
    </row>
    <row r="244" spans="1:17" ht="15" customHeight="1" x14ac:dyDescent="0.2">
      <c r="A244" s="3" t="str">
        <f>'1. Master Data'!A244</f>
        <v>NT10240</v>
      </c>
      <c r="B244" s="1" t="str">
        <f>'1. Master Data'!B244</f>
        <v>FitTrack Band 445</v>
      </c>
      <c r="C244" s="3" t="str">
        <f>'1. Master Data'!D244</f>
        <v>West DC</v>
      </c>
      <c r="D244" s="5" t="str">
        <f>'4. ABC XYZ Analysis'!K244</f>
        <v>B</v>
      </c>
      <c r="E244" s="5" t="str">
        <f>'4. ABC XYZ Analysis'!M244</f>
        <v>X</v>
      </c>
      <c r="F244" s="4">
        <f>'1. Master Data'!F244</f>
        <v>81</v>
      </c>
      <c r="G244" s="3">
        <f>'1. Master Data'!G244</f>
        <v>20</v>
      </c>
      <c r="H244" s="8">
        <f>'3. Demand Forecast'!F244/$T$3</f>
        <v>3.7545454545454544</v>
      </c>
      <c r="I244" s="8">
        <f>'3. Demand Forecast'!G244/SQRT($T$3)</f>
        <v>4.2213741838410863</v>
      </c>
      <c r="J244" s="5">
        <f t="shared" si="18"/>
        <v>32</v>
      </c>
      <c r="K244" s="5">
        <f t="shared" si="19"/>
        <v>108</v>
      </c>
      <c r="L244" s="3">
        <f>IF(F244=0,0,ROUNDUP(SQRT(2*'4. ABC XYZ Analysis'!F244*$U$3/(F244*$V$3)),0))</f>
        <v>127</v>
      </c>
      <c r="M244" s="3">
        <f>'1. Master Data'!I244</f>
        <v>111</v>
      </c>
      <c r="N244" s="3">
        <f t="shared" si="20"/>
        <v>30</v>
      </c>
      <c r="O244" s="5" t="str">
        <f t="shared" si="21"/>
        <v>ORDER SOON</v>
      </c>
      <c r="P244" s="5" t="str">
        <f t="shared" si="22"/>
        <v>MEDIUM</v>
      </c>
      <c r="Q244" s="3" t="str">
        <f t="shared" si="23"/>
        <v>Reorder Point</v>
      </c>
    </row>
    <row r="245" spans="1:17" ht="15" customHeight="1" x14ac:dyDescent="0.2">
      <c r="A245" s="3" t="str">
        <f>'1. Master Data'!A245</f>
        <v>NT10241</v>
      </c>
      <c r="B245" s="1" t="str">
        <f>'1. Master Data'!B245</f>
        <v>NovaWatch 498 GPS</v>
      </c>
      <c r="C245" s="3" t="str">
        <f>'1. Master Data'!D245</f>
        <v>Central DC</v>
      </c>
      <c r="D245" s="5" t="str">
        <f>'4. ABC XYZ Analysis'!K245</f>
        <v>B</v>
      </c>
      <c r="E245" s="5" t="str">
        <f>'4. ABC XYZ Analysis'!M245</f>
        <v>Y</v>
      </c>
      <c r="F245" s="4">
        <f>'1. Master Data'!F245</f>
        <v>52</v>
      </c>
      <c r="G245" s="3">
        <f>'1. Master Data'!G245</f>
        <v>23</v>
      </c>
      <c r="H245" s="8">
        <f>'3. Demand Forecast'!F245/$T$3</f>
        <v>0.69545454545454544</v>
      </c>
      <c r="I245" s="8">
        <f>'3. Demand Forecast'!G245/SQRT($T$3)</f>
        <v>1.1726039399558574</v>
      </c>
      <c r="J245" s="5">
        <f t="shared" si="18"/>
        <v>10</v>
      </c>
      <c r="K245" s="5">
        <f t="shared" si="19"/>
        <v>26</v>
      </c>
      <c r="L245" s="3">
        <f>IF(F245=0,0,ROUNDUP(SQRT(2*'4. ABC XYZ Analysis'!F245*$U$3/(F245*$V$3)),0))</f>
        <v>33</v>
      </c>
      <c r="M245" s="3">
        <f>'1. Master Data'!I245</f>
        <v>30</v>
      </c>
      <c r="N245" s="3">
        <f t="shared" si="20"/>
        <v>43</v>
      </c>
      <c r="O245" s="5" t="str">
        <f t="shared" si="21"/>
        <v>ORDER SOON</v>
      </c>
      <c r="P245" s="5" t="str">
        <f t="shared" si="22"/>
        <v>MEDIUM</v>
      </c>
      <c r="Q245" s="3" t="str">
        <f t="shared" si="23"/>
        <v>Reorder Point</v>
      </c>
    </row>
    <row r="246" spans="1:17" ht="15" customHeight="1" x14ac:dyDescent="0.2">
      <c r="A246" s="3" t="str">
        <f>'1. Master Data'!A246</f>
        <v>NT10242</v>
      </c>
      <c r="B246" s="1" t="str">
        <f>'1. Master Data'!B246</f>
        <v>PulseRing 393</v>
      </c>
      <c r="C246" s="3" t="str">
        <f>'1. Master Data'!D246</f>
        <v>East DC</v>
      </c>
      <c r="D246" s="5" t="str">
        <f>'4. ABC XYZ Analysis'!K246</f>
        <v>B</v>
      </c>
      <c r="E246" s="5" t="str">
        <f>'4. ABC XYZ Analysis'!M246</f>
        <v>Z</v>
      </c>
      <c r="F246" s="4">
        <f>'1. Master Data'!F246</f>
        <v>103</v>
      </c>
      <c r="G246" s="3">
        <f>'1. Master Data'!G246</f>
        <v>25</v>
      </c>
      <c r="H246" s="8">
        <f>'3. Demand Forecast'!F246/$T$3</f>
        <v>42.413636363636364</v>
      </c>
      <c r="I246" s="8">
        <f>'3. Demand Forecast'!G246/SQRT($T$3)</f>
        <v>59.141878717046325</v>
      </c>
      <c r="J246" s="5">
        <f t="shared" si="18"/>
        <v>488</v>
      </c>
      <c r="K246" s="5">
        <f t="shared" si="19"/>
        <v>1549</v>
      </c>
      <c r="L246" s="3">
        <f>IF(F246=0,0,ROUNDUP(SQRT(2*'4. ABC XYZ Analysis'!F246*$U$3/(F246*$V$3)),0))</f>
        <v>63</v>
      </c>
      <c r="M246" s="3">
        <f>'1. Master Data'!I246</f>
        <v>1552</v>
      </c>
      <c r="N246" s="3">
        <f t="shared" si="20"/>
        <v>37</v>
      </c>
      <c r="O246" s="5" t="str">
        <f t="shared" si="21"/>
        <v>ORDER SOON</v>
      </c>
      <c r="P246" s="5" t="str">
        <f t="shared" si="22"/>
        <v>MEDIUM</v>
      </c>
      <c r="Q246" s="3" t="str">
        <f t="shared" si="23"/>
        <v>Min Max</v>
      </c>
    </row>
    <row r="247" spans="1:17" ht="15" customHeight="1" x14ac:dyDescent="0.2">
      <c r="A247" s="3" t="str">
        <f>'1. Master Data'!A247</f>
        <v>NT10243</v>
      </c>
      <c r="B247" s="1" t="str">
        <f>'1. Master Data'!B247</f>
        <v>FitTrack Band 420</v>
      </c>
      <c r="C247" s="3" t="str">
        <f>'1. Master Data'!D247</f>
        <v>Central DC</v>
      </c>
      <c r="D247" s="5" t="str">
        <f>'4. ABC XYZ Analysis'!K247</f>
        <v>B</v>
      </c>
      <c r="E247" s="5" t="str">
        <f>'4. ABC XYZ Analysis'!M247</f>
        <v>Y</v>
      </c>
      <c r="F247" s="4">
        <f>'1. Master Data'!F247</f>
        <v>87</v>
      </c>
      <c r="G247" s="3">
        <f>'1. Master Data'!G247</f>
        <v>24</v>
      </c>
      <c r="H247" s="8">
        <f>'3. Demand Forecast'!F247/$T$3</f>
        <v>4.3136363636363635</v>
      </c>
      <c r="I247" s="8">
        <f>'3. Demand Forecast'!G247/SQRT($T$3)</f>
        <v>6.012260201228214</v>
      </c>
      <c r="J247" s="5">
        <f t="shared" si="18"/>
        <v>49</v>
      </c>
      <c r="K247" s="5">
        <f t="shared" si="19"/>
        <v>153</v>
      </c>
      <c r="L247" s="3">
        <f>IF(F247=0,0,ROUNDUP(SQRT(2*'4. ABC XYZ Analysis'!F247*$U$3/(F247*$V$3)),0))</f>
        <v>24</v>
      </c>
      <c r="M247" s="3">
        <f>'1. Master Data'!I247</f>
        <v>156</v>
      </c>
      <c r="N247" s="3">
        <f t="shared" si="20"/>
        <v>36</v>
      </c>
      <c r="O247" s="5" t="str">
        <f t="shared" si="21"/>
        <v>ORDER SOON</v>
      </c>
      <c r="P247" s="5" t="str">
        <f t="shared" si="22"/>
        <v>MEDIUM</v>
      </c>
      <c r="Q247" s="3" t="str">
        <f t="shared" si="23"/>
        <v>Reorder Point</v>
      </c>
    </row>
    <row r="248" spans="1:17" ht="15" customHeight="1" x14ac:dyDescent="0.2">
      <c r="A248" s="3" t="str">
        <f>'1. Master Data'!A248</f>
        <v>NT10244</v>
      </c>
      <c r="B248" s="1" t="str">
        <f>'1. Master Data'!B248</f>
        <v>FitTrack Band 588</v>
      </c>
      <c r="C248" s="3" t="str">
        <f>'1. Master Data'!D248</f>
        <v>East DC</v>
      </c>
      <c r="D248" s="5" t="str">
        <f>'4. ABC XYZ Analysis'!K248</f>
        <v>B</v>
      </c>
      <c r="E248" s="5" t="str">
        <f>'4. ABC XYZ Analysis'!M248</f>
        <v>Y</v>
      </c>
      <c r="F248" s="4">
        <f>'1. Master Data'!F248</f>
        <v>153</v>
      </c>
      <c r="G248" s="3">
        <f>'1. Master Data'!G248</f>
        <v>22</v>
      </c>
      <c r="H248" s="8">
        <f>'3. Demand Forecast'!F248/$T$3</f>
        <v>6.9772727272727275</v>
      </c>
      <c r="I248" s="8">
        <f>'3. Demand Forecast'!G248/SQRT($T$3)</f>
        <v>9.8498730956292029</v>
      </c>
      <c r="J248" s="5">
        <f t="shared" si="18"/>
        <v>77</v>
      </c>
      <c r="K248" s="5">
        <f t="shared" si="19"/>
        <v>231</v>
      </c>
      <c r="L248" s="3">
        <f>IF(F248=0,0,ROUNDUP(SQRT(2*'4. ABC XYZ Analysis'!F248*$U$3/(F248*$V$3)),0))</f>
        <v>50</v>
      </c>
      <c r="M248" s="3">
        <f>'1. Master Data'!I248</f>
        <v>234</v>
      </c>
      <c r="N248" s="3">
        <f t="shared" si="20"/>
        <v>34</v>
      </c>
      <c r="O248" s="5" t="str">
        <f t="shared" si="21"/>
        <v>ORDER SOON</v>
      </c>
      <c r="P248" s="5" t="str">
        <f t="shared" si="22"/>
        <v>MEDIUM</v>
      </c>
      <c r="Q248" s="3" t="str">
        <f t="shared" si="23"/>
        <v>Reorder Point</v>
      </c>
    </row>
    <row r="249" spans="1:17" ht="15" customHeight="1" x14ac:dyDescent="0.2">
      <c r="A249" s="3" t="str">
        <f>'1. Master Data'!A249</f>
        <v>NT10245</v>
      </c>
      <c r="B249" s="1" t="str">
        <f>'1. Master Data'!B249</f>
        <v>StepOne Tracker 844</v>
      </c>
      <c r="C249" s="3" t="str">
        <f>'1. Master Data'!D249</f>
        <v>East DC</v>
      </c>
      <c r="D249" s="5" t="str">
        <f>'4. ABC XYZ Analysis'!K249</f>
        <v>B</v>
      </c>
      <c r="E249" s="5" t="str">
        <f>'4. ABC XYZ Analysis'!M249</f>
        <v>Y</v>
      </c>
      <c r="F249" s="4">
        <f>'1. Master Data'!F249</f>
        <v>39</v>
      </c>
      <c r="G249" s="3">
        <f>'1. Master Data'!G249</f>
        <v>24</v>
      </c>
      <c r="H249" s="8">
        <f>'3. Demand Forecast'!F249/$T$3</f>
        <v>6.1727272727272728</v>
      </c>
      <c r="I249" s="8">
        <f>'3. Demand Forecast'!G249/SQRT($T$3)</f>
        <v>9.6366723792735911</v>
      </c>
      <c r="J249" s="5">
        <f t="shared" si="18"/>
        <v>78</v>
      </c>
      <c r="K249" s="5">
        <f t="shared" si="19"/>
        <v>227</v>
      </c>
      <c r="L249" s="3">
        <f>IF(F249=0,0,ROUNDUP(SQRT(2*'4. ABC XYZ Analysis'!F249*$U$3/(F249*$V$3)),0))</f>
        <v>84</v>
      </c>
      <c r="M249" s="3">
        <f>'1. Master Data'!I249</f>
        <v>230</v>
      </c>
      <c r="N249" s="3">
        <f t="shared" si="20"/>
        <v>37</v>
      </c>
      <c r="O249" s="5" t="str">
        <f t="shared" si="21"/>
        <v>ORDER SOON</v>
      </c>
      <c r="P249" s="5" t="str">
        <f t="shared" si="22"/>
        <v>MEDIUM</v>
      </c>
      <c r="Q249" s="3" t="str">
        <f t="shared" si="23"/>
        <v>Reorder Point</v>
      </c>
    </row>
    <row r="250" spans="1:17" ht="15" customHeight="1" x14ac:dyDescent="0.2">
      <c r="A250" s="3" t="str">
        <f>'1. Master Data'!A250</f>
        <v>NT10246</v>
      </c>
      <c r="B250" s="1" t="str">
        <f>'1. Master Data'!B250</f>
        <v>NovaWatch 686 GPS</v>
      </c>
      <c r="C250" s="3" t="str">
        <f>'1. Master Data'!D250</f>
        <v>Central DC</v>
      </c>
      <c r="D250" s="5" t="str">
        <f>'4. ABC XYZ Analysis'!K250</f>
        <v>B</v>
      </c>
      <c r="E250" s="5" t="str">
        <f>'4. ABC XYZ Analysis'!M250</f>
        <v>Y</v>
      </c>
      <c r="F250" s="4">
        <f>'1. Master Data'!F250</f>
        <v>71</v>
      </c>
      <c r="G250" s="3">
        <f>'1. Master Data'!G250</f>
        <v>18</v>
      </c>
      <c r="H250" s="8">
        <f>'3. Demand Forecast'!F250/$T$3</f>
        <v>1.8363636363636362</v>
      </c>
      <c r="I250" s="8">
        <f>'3. Demand Forecast'!G250/SQRT($T$3)</f>
        <v>2.3665279515472757</v>
      </c>
      <c r="J250" s="5">
        <f t="shared" si="18"/>
        <v>17</v>
      </c>
      <c r="K250" s="5">
        <f t="shared" si="19"/>
        <v>51</v>
      </c>
      <c r="L250" s="3">
        <f>IF(F250=0,0,ROUNDUP(SQRT(2*'4. ABC XYZ Analysis'!F250*$U$3/(F250*$V$3)),0))</f>
        <v>30</v>
      </c>
      <c r="M250" s="3">
        <f>'1. Master Data'!I250</f>
        <v>54</v>
      </c>
      <c r="N250" s="3">
        <f t="shared" si="20"/>
        <v>29</v>
      </c>
      <c r="O250" s="5" t="str">
        <f t="shared" si="21"/>
        <v>ORDER SOON</v>
      </c>
      <c r="P250" s="5" t="str">
        <f t="shared" si="22"/>
        <v>MEDIUM</v>
      </c>
      <c r="Q250" s="3" t="str">
        <f t="shared" si="23"/>
        <v>Reorder Point</v>
      </c>
    </row>
    <row r="251" spans="1:17" ht="15" customHeight="1" x14ac:dyDescent="0.2">
      <c r="A251" s="3" t="str">
        <f>'1. Master Data'!A251</f>
        <v>NT10247</v>
      </c>
      <c r="B251" s="1" t="str">
        <f>'1. Master Data'!B251</f>
        <v>StepOne Tracker 687</v>
      </c>
      <c r="C251" s="3" t="str">
        <f>'1. Master Data'!D251</f>
        <v>West DC</v>
      </c>
      <c r="D251" s="5" t="str">
        <f>'4. ABC XYZ Analysis'!K251</f>
        <v>B</v>
      </c>
      <c r="E251" s="5" t="str">
        <f>'4. ABC XYZ Analysis'!M251</f>
        <v>Y</v>
      </c>
      <c r="F251" s="4">
        <f>'1. Master Data'!F251</f>
        <v>152</v>
      </c>
      <c r="G251" s="3">
        <f>'1. Master Data'!G251</f>
        <v>19</v>
      </c>
      <c r="H251" s="8">
        <f>'3. Demand Forecast'!F251/$T$3</f>
        <v>17.136363636363637</v>
      </c>
      <c r="I251" s="8">
        <f>'3. Demand Forecast'!G251/SQRT($T$3)</f>
        <v>19.63578597635172</v>
      </c>
      <c r="J251" s="5">
        <f t="shared" si="18"/>
        <v>142</v>
      </c>
      <c r="K251" s="5">
        <f t="shared" si="19"/>
        <v>468</v>
      </c>
      <c r="L251" s="3">
        <f>IF(F251=0,0,ROUNDUP(SQRT(2*'4. ABC XYZ Analysis'!F251*$U$3/(F251*$V$3)),0))</f>
        <v>47</v>
      </c>
      <c r="M251" s="3">
        <f>'1. Master Data'!I251</f>
        <v>471</v>
      </c>
      <c r="N251" s="3">
        <f t="shared" si="20"/>
        <v>27</v>
      </c>
      <c r="O251" s="5" t="str">
        <f t="shared" si="21"/>
        <v>ORDER SOON</v>
      </c>
      <c r="P251" s="5" t="str">
        <f t="shared" si="22"/>
        <v>MEDIUM</v>
      </c>
      <c r="Q251" s="3" t="str">
        <f t="shared" si="23"/>
        <v>Reorder Point</v>
      </c>
    </row>
    <row r="252" spans="1:17" ht="15" customHeight="1" x14ac:dyDescent="0.2">
      <c r="A252" s="3" t="str">
        <f>'1. Master Data'!A252</f>
        <v>NT10248</v>
      </c>
      <c r="B252" s="1" t="str">
        <f>'1. Master Data'!B252</f>
        <v>StepOne Tracker 517</v>
      </c>
      <c r="C252" s="3" t="str">
        <f>'1. Master Data'!D252</f>
        <v>East DC</v>
      </c>
      <c r="D252" s="5" t="str">
        <f>'4. ABC XYZ Analysis'!K252</f>
        <v>B</v>
      </c>
      <c r="E252" s="5" t="str">
        <f>'4. ABC XYZ Analysis'!M252</f>
        <v>Y</v>
      </c>
      <c r="F252" s="4">
        <f>'1. Master Data'!F252</f>
        <v>70</v>
      </c>
      <c r="G252" s="3">
        <f>'1. Master Data'!G252</f>
        <v>14</v>
      </c>
      <c r="H252" s="8">
        <f>'3. Demand Forecast'!F252/$T$3</f>
        <v>2.2454545454545456</v>
      </c>
      <c r="I252" s="8">
        <f>'3. Demand Forecast'!G252/SQRT($T$3)</f>
        <v>3.4964917482320108</v>
      </c>
      <c r="J252" s="5">
        <f t="shared" si="18"/>
        <v>22</v>
      </c>
      <c r="K252" s="5">
        <f t="shared" si="19"/>
        <v>54</v>
      </c>
      <c r="L252" s="3">
        <f>IF(F252=0,0,ROUNDUP(SQRT(2*'4. ABC XYZ Analysis'!F252*$U$3/(F252*$V$3)),0))</f>
        <v>75</v>
      </c>
      <c r="M252" s="3">
        <f>'1. Master Data'!I252</f>
        <v>57</v>
      </c>
      <c r="N252" s="3">
        <f t="shared" si="20"/>
        <v>25</v>
      </c>
      <c r="O252" s="5" t="str">
        <f t="shared" si="21"/>
        <v>ORDER SOON</v>
      </c>
      <c r="P252" s="5" t="str">
        <f t="shared" si="22"/>
        <v>MEDIUM</v>
      </c>
      <c r="Q252" s="3" t="str">
        <f t="shared" si="23"/>
        <v>Reorder Point</v>
      </c>
    </row>
    <row r="253" spans="1:17" ht="15" customHeight="1" x14ac:dyDescent="0.2">
      <c r="A253" s="3" t="str">
        <f>'1. Master Data'!A253</f>
        <v>NT10249</v>
      </c>
      <c r="B253" s="1" t="str">
        <f>'1. Master Data'!B253</f>
        <v>StepOne Tracker 117</v>
      </c>
      <c r="C253" s="3" t="str">
        <f>'1. Master Data'!D253</f>
        <v>Central DC</v>
      </c>
      <c r="D253" s="5" t="str">
        <f>'4. ABC XYZ Analysis'!K253</f>
        <v>B</v>
      </c>
      <c r="E253" s="5" t="str">
        <f>'4. ABC XYZ Analysis'!M253</f>
        <v>X</v>
      </c>
      <c r="F253" s="4">
        <f>'1. Master Data'!F253</f>
        <v>133</v>
      </c>
      <c r="G253" s="3">
        <f>'1. Master Data'!G253</f>
        <v>24</v>
      </c>
      <c r="H253" s="8">
        <f>'3. Demand Forecast'!F253/$T$3</f>
        <v>26.690909090909091</v>
      </c>
      <c r="I253" s="8">
        <f>'3. Demand Forecast'!G253/SQRT($T$3)</f>
        <v>32.491789172595027</v>
      </c>
      <c r="J253" s="5">
        <f t="shared" si="18"/>
        <v>263</v>
      </c>
      <c r="K253" s="5">
        <f t="shared" si="19"/>
        <v>904</v>
      </c>
      <c r="L253" s="3">
        <f>IF(F253=0,0,ROUNDUP(SQRT(2*'4. ABC XYZ Analysis'!F253*$U$3/(F253*$V$3)),0))</f>
        <v>149</v>
      </c>
      <c r="M253" s="3">
        <f>'1. Master Data'!I253</f>
        <v>907</v>
      </c>
      <c r="N253" s="3">
        <f t="shared" si="20"/>
        <v>34</v>
      </c>
      <c r="O253" s="5" t="str">
        <f t="shared" si="21"/>
        <v>ORDER SOON</v>
      </c>
      <c r="P253" s="5" t="str">
        <f t="shared" si="22"/>
        <v>MEDIUM</v>
      </c>
      <c r="Q253" s="3" t="str">
        <f t="shared" si="23"/>
        <v>Reorder Point</v>
      </c>
    </row>
    <row r="254" spans="1:17" ht="15" customHeight="1" x14ac:dyDescent="0.2">
      <c r="A254" s="3" t="str">
        <f>'1. Master Data'!A254</f>
        <v>NT10250</v>
      </c>
      <c r="B254" s="1" t="str">
        <f>'1. Master Data'!B254</f>
        <v>PulseRing 290</v>
      </c>
      <c r="C254" s="3" t="str">
        <f>'1. Master Data'!D254</f>
        <v>East DC</v>
      </c>
      <c r="D254" s="5" t="str">
        <f>'4. ABC XYZ Analysis'!K254</f>
        <v>B</v>
      </c>
      <c r="E254" s="5" t="str">
        <f>'4. ABC XYZ Analysis'!M254</f>
        <v>X</v>
      </c>
      <c r="F254" s="4">
        <f>'1. Master Data'!F254</f>
        <v>61</v>
      </c>
      <c r="G254" s="3">
        <f>'1. Master Data'!G254</f>
        <v>24</v>
      </c>
      <c r="H254" s="8">
        <f>'3. Demand Forecast'!F254/$T$3</f>
        <v>2.127272727272727</v>
      </c>
      <c r="I254" s="8">
        <f>'3. Demand Forecast'!G254/SQRT($T$3)</f>
        <v>3.2406508886052783</v>
      </c>
      <c r="J254" s="5">
        <f t="shared" si="18"/>
        <v>27</v>
      </c>
      <c r="K254" s="5">
        <f t="shared" si="19"/>
        <v>79</v>
      </c>
      <c r="L254" s="3">
        <f>IF(F254=0,0,ROUNDUP(SQRT(2*'4. ABC XYZ Analysis'!F254*$U$3/(F254*$V$3)),0))</f>
        <v>37</v>
      </c>
      <c r="M254" s="3">
        <f>'1. Master Data'!I254</f>
        <v>81</v>
      </c>
      <c r="N254" s="3">
        <f t="shared" si="20"/>
        <v>38</v>
      </c>
      <c r="O254" s="5" t="str">
        <f t="shared" si="21"/>
        <v>ORDER SOON</v>
      </c>
      <c r="P254" s="5" t="str">
        <f t="shared" si="22"/>
        <v>MEDIUM</v>
      </c>
      <c r="Q254" s="3" t="str">
        <f t="shared" si="23"/>
        <v>Reorder Point</v>
      </c>
    </row>
    <row r="255" spans="1:17" ht="15" customHeight="1" x14ac:dyDescent="0.2">
      <c r="A255" s="3" t="str">
        <f>'1. Master Data'!A255</f>
        <v>NT10251</v>
      </c>
      <c r="B255" s="1" t="str">
        <f>'1. Master Data'!B255</f>
        <v>ProMouse G975</v>
      </c>
      <c r="C255" s="3" t="str">
        <f>'1. Master Data'!D255</f>
        <v>Central DC</v>
      </c>
      <c r="D255" s="5" t="str">
        <f>'4. ABC XYZ Analysis'!K255</f>
        <v>B</v>
      </c>
      <c r="E255" s="5" t="str">
        <f>'4. ABC XYZ Analysis'!M255</f>
        <v>Y</v>
      </c>
      <c r="F255" s="4">
        <f>'1. Master Data'!F255</f>
        <v>52</v>
      </c>
      <c r="G255" s="3">
        <f>'1. Master Data'!G255</f>
        <v>13</v>
      </c>
      <c r="H255" s="8">
        <f>'3. Demand Forecast'!F255/$T$3</f>
        <v>2.4681818181818183</v>
      </c>
      <c r="I255" s="8">
        <f>'3. Demand Forecast'!G255/SQRT($T$3)</f>
        <v>2.9848100289785457</v>
      </c>
      <c r="J255" s="5">
        <f t="shared" si="18"/>
        <v>18</v>
      </c>
      <c r="K255" s="5">
        <f t="shared" si="19"/>
        <v>51</v>
      </c>
      <c r="L255" s="3">
        <f>IF(F255=0,0,ROUNDUP(SQRT(2*'4. ABC XYZ Analysis'!F255*$U$3/(F255*$V$3)),0))</f>
        <v>75</v>
      </c>
      <c r="M255" s="3">
        <f>'1. Master Data'!I255</f>
        <v>257</v>
      </c>
      <c r="N255" s="3">
        <f t="shared" si="20"/>
        <v>104</v>
      </c>
      <c r="O255" s="5" t="str">
        <f t="shared" si="21"/>
        <v>OK</v>
      </c>
      <c r="P255" s="5" t="str">
        <f t="shared" si="22"/>
        <v>LOW</v>
      </c>
      <c r="Q255" s="3" t="str">
        <f t="shared" si="23"/>
        <v>Reorder Point</v>
      </c>
    </row>
    <row r="256" spans="1:17" ht="15" customHeight="1" x14ac:dyDescent="0.2">
      <c r="A256" s="3" t="str">
        <f>'1. Master Data'!A256</f>
        <v>NT10252</v>
      </c>
      <c r="B256" s="1" t="str">
        <f>'1. Master Data'!B256</f>
        <v>ProMouse G315</v>
      </c>
      <c r="C256" s="3" t="str">
        <f>'1. Master Data'!D256</f>
        <v>Central DC</v>
      </c>
      <c r="D256" s="5" t="str">
        <f>'4. ABC XYZ Analysis'!K256</f>
        <v>B</v>
      </c>
      <c r="E256" s="5" t="str">
        <f>'4. ABC XYZ Analysis'!M256</f>
        <v>X</v>
      </c>
      <c r="F256" s="4">
        <f>'1. Master Data'!F256</f>
        <v>126</v>
      </c>
      <c r="G256" s="3">
        <f>'1. Master Data'!G256</f>
        <v>28</v>
      </c>
      <c r="H256" s="8">
        <f>'3. Demand Forecast'!F256/$T$3</f>
        <v>2.2818181818181817</v>
      </c>
      <c r="I256" s="8">
        <f>'3. Demand Forecast'!G256/SQRT($T$3)</f>
        <v>2.9634899573429849</v>
      </c>
      <c r="J256" s="5">
        <f t="shared" si="18"/>
        <v>26</v>
      </c>
      <c r="K256" s="5">
        <f t="shared" si="19"/>
        <v>90</v>
      </c>
      <c r="L256" s="3">
        <f>IF(F256=0,0,ROUNDUP(SQRT(2*'4. ABC XYZ Analysis'!F256*$U$3/(F256*$V$3)),0))</f>
        <v>99</v>
      </c>
      <c r="M256" s="3">
        <f>'1. Master Data'!I256</f>
        <v>239</v>
      </c>
      <c r="N256" s="3">
        <f t="shared" si="20"/>
        <v>105</v>
      </c>
      <c r="O256" s="5" t="str">
        <f t="shared" si="21"/>
        <v>OK</v>
      </c>
      <c r="P256" s="5" t="str">
        <f t="shared" si="22"/>
        <v>LOW</v>
      </c>
      <c r="Q256" s="3" t="str">
        <f t="shared" si="23"/>
        <v>Reorder Point</v>
      </c>
    </row>
    <row r="257" spans="1:17" ht="15" customHeight="1" x14ac:dyDescent="0.2">
      <c r="A257" s="3" t="str">
        <f>'1. Master Data'!A257</f>
        <v>NT10253</v>
      </c>
      <c r="B257" s="1" t="str">
        <f>'1. Master Data'!B257</f>
        <v>ArenaHeadset H710</v>
      </c>
      <c r="C257" s="3" t="str">
        <f>'1. Master Data'!D257</f>
        <v>East DC</v>
      </c>
      <c r="D257" s="5" t="str">
        <f>'4. ABC XYZ Analysis'!K257</f>
        <v>B</v>
      </c>
      <c r="E257" s="5" t="str">
        <f>'4. ABC XYZ Analysis'!M257</f>
        <v>Y</v>
      </c>
      <c r="F257" s="4">
        <f>'1. Master Data'!F257</f>
        <v>166</v>
      </c>
      <c r="G257" s="3">
        <f>'1. Master Data'!G257</f>
        <v>19</v>
      </c>
      <c r="H257" s="8">
        <f>'3. Demand Forecast'!F257/$T$3</f>
        <v>2.0500000000000003</v>
      </c>
      <c r="I257" s="8">
        <f>'3. Demand Forecast'!G257/SQRT($T$3)</f>
        <v>1.8122060890226885</v>
      </c>
      <c r="J257" s="5">
        <f t="shared" si="18"/>
        <v>14</v>
      </c>
      <c r="K257" s="5">
        <f t="shared" si="19"/>
        <v>53</v>
      </c>
      <c r="L257" s="3">
        <f>IF(F257=0,0,ROUNDUP(SQRT(2*'4. ABC XYZ Analysis'!F257*$U$3/(F257*$V$3)),0))</f>
        <v>42</v>
      </c>
      <c r="M257" s="3">
        <f>'1. Master Data'!I257</f>
        <v>56</v>
      </c>
      <c r="N257" s="3">
        <f t="shared" si="20"/>
        <v>27</v>
      </c>
      <c r="O257" s="5" t="str">
        <f t="shared" si="21"/>
        <v>ORDER SOON</v>
      </c>
      <c r="P257" s="5" t="str">
        <f t="shared" si="22"/>
        <v>MEDIUM</v>
      </c>
      <c r="Q257" s="3" t="str">
        <f t="shared" si="23"/>
        <v>Reorder Point</v>
      </c>
    </row>
    <row r="258" spans="1:17" ht="15" customHeight="1" x14ac:dyDescent="0.2">
      <c r="A258" s="3" t="str">
        <f>'1. Master Data'!A258</f>
        <v>NT10254</v>
      </c>
      <c r="B258" s="1" t="str">
        <f>'1. Master Data'!B258</f>
        <v>ProMouse G406</v>
      </c>
      <c r="C258" s="3" t="str">
        <f>'1. Master Data'!D258</f>
        <v>East DC</v>
      </c>
      <c r="D258" s="5" t="str">
        <f>'4. ABC XYZ Analysis'!K258</f>
        <v>B</v>
      </c>
      <c r="E258" s="5" t="str">
        <f>'4. ABC XYZ Analysis'!M258</f>
        <v>Y</v>
      </c>
      <c r="F258" s="4">
        <f>'1. Master Data'!F258</f>
        <v>329</v>
      </c>
      <c r="G258" s="3">
        <f>'1. Master Data'!G258</f>
        <v>20</v>
      </c>
      <c r="H258" s="8">
        <f>'3. Demand Forecast'!F258/$T$3</f>
        <v>9.5636363636363644</v>
      </c>
      <c r="I258" s="8">
        <f>'3. Demand Forecast'!G258/SQRT($T$3)</f>
        <v>14.199167709283653</v>
      </c>
      <c r="J258" s="5">
        <f t="shared" si="18"/>
        <v>105</v>
      </c>
      <c r="K258" s="5">
        <f t="shared" si="19"/>
        <v>297</v>
      </c>
      <c r="L258" s="3">
        <f>IF(F258=0,0,ROUNDUP(SQRT(2*'4. ABC XYZ Analysis'!F258*$U$3/(F258*$V$3)),0))</f>
        <v>30</v>
      </c>
      <c r="M258" s="3">
        <f>'1. Master Data'!I258</f>
        <v>300</v>
      </c>
      <c r="N258" s="3">
        <f t="shared" si="20"/>
        <v>31</v>
      </c>
      <c r="O258" s="5" t="str">
        <f t="shared" si="21"/>
        <v>ORDER SOON</v>
      </c>
      <c r="P258" s="5" t="str">
        <f t="shared" si="22"/>
        <v>MEDIUM</v>
      </c>
      <c r="Q258" s="3" t="str">
        <f t="shared" si="23"/>
        <v>Reorder Point</v>
      </c>
    </row>
    <row r="259" spans="1:17" ht="15" customHeight="1" x14ac:dyDescent="0.2">
      <c r="A259" s="3" t="str">
        <f>'1. Master Data'!A259</f>
        <v>NT10255</v>
      </c>
      <c r="B259" s="1" t="str">
        <f>'1. Master Data'!B259</f>
        <v>ProMouse G982</v>
      </c>
      <c r="C259" s="3" t="str">
        <f>'1. Master Data'!D259</f>
        <v>East DC</v>
      </c>
      <c r="D259" s="5" t="str">
        <f>'4. ABC XYZ Analysis'!K259</f>
        <v>B</v>
      </c>
      <c r="E259" s="5" t="str">
        <f>'4. ABC XYZ Analysis'!M259</f>
        <v>X</v>
      </c>
      <c r="F259" s="4">
        <f>'1. Master Data'!F259</f>
        <v>292</v>
      </c>
      <c r="G259" s="3">
        <f>'1. Master Data'!G259</f>
        <v>19</v>
      </c>
      <c r="H259" s="8">
        <f>'3. Demand Forecast'!F259/$T$3</f>
        <v>8.8545454545454554</v>
      </c>
      <c r="I259" s="8">
        <f>'3. Demand Forecast'!G259/SQRT($T$3)</f>
        <v>10.233634385069301</v>
      </c>
      <c r="J259" s="5">
        <f t="shared" si="18"/>
        <v>74</v>
      </c>
      <c r="K259" s="5">
        <f t="shared" si="19"/>
        <v>243</v>
      </c>
      <c r="L259" s="3">
        <f>IF(F259=0,0,ROUNDUP(SQRT(2*'4. ABC XYZ Analysis'!F259*$U$3/(F259*$V$3)),0))</f>
        <v>64</v>
      </c>
      <c r="M259" s="3">
        <f>'1. Master Data'!I259</f>
        <v>246</v>
      </c>
      <c r="N259" s="3">
        <f t="shared" si="20"/>
        <v>28</v>
      </c>
      <c r="O259" s="5" t="str">
        <f t="shared" si="21"/>
        <v>ORDER SOON</v>
      </c>
      <c r="P259" s="5" t="str">
        <f t="shared" si="22"/>
        <v>MEDIUM</v>
      </c>
      <c r="Q259" s="3" t="str">
        <f t="shared" si="23"/>
        <v>Reorder Point</v>
      </c>
    </row>
    <row r="260" spans="1:17" ht="15" customHeight="1" x14ac:dyDescent="0.2">
      <c r="A260" s="3" t="str">
        <f>'1. Master Data'!A260</f>
        <v>NT10256</v>
      </c>
      <c r="B260" s="1" t="str">
        <f>'1. Master Data'!B260</f>
        <v>RGB Keyboard K272</v>
      </c>
      <c r="C260" s="3" t="str">
        <f>'1. Master Data'!D260</f>
        <v>West DC</v>
      </c>
      <c r="D260" s="5" t="str">
        <f>'4. ABC XYZ Analysis'!K260</f>
        <v>B</v>
      </c>
      <c r="E260" s="5" t="str">
        <f>'4. ABC XYZ Analysis'!M260</f>
        <v>Y</v>
      </c>
      <c r="F260" s="4">
        <f>'1. Master Data'!F260</f>
        <v>241</v>
      </c>
      <c r="G260" s="3">
        <f>'1. Master Data'!G260</f>
        <v>20</v>
      </c>
      <c r="H260" s="8">
        <f>'3. Demand Forecast'!F260/$T$3</f>
        <v>7.0454545454545459</v>
      </c>
      <c r="I260" s="8">
        <f>'3. Demand Forecast'!G260/SQRT($T$3)</f>
        <v>8.0803071498776351</v>
      </c>
      <c r="J260" s="5">
        <f t="shared" si="18"/>
        <v>60</v>
      </c>
      <c r="K260" s="5">
        <f t="shared" si="19"/>
        <v>201</v>
      </c>
      <c r="L260" s="3">
        <f>IF(F260=0,0,ROUNDUP(SQRT(2*'4. ABC XYZ Analysis'!F260*$U$3/(F260*$V$3)),0))</f>
        <v>48</v>
      </c>
      <c r="M260" s="3">
        <f>'1. Master Data'!I260</f>
        <v>204</v>
      </c>
      <c r="N260" s="3">
        <f t="shared" si="20"/>
        <v>29</v>
      </c>
      <c r="O260" s="5" t="str">
        <f t="shared" si="21"/>
        <v>ORDER SOON</v>
      </c>
      <c r="P260" s="5" t="str">
        <f t="shared" si="22"/>
        <v>MEDIUM</v>
      </c>
      <c r="Q260" s="3" t="str">
        <f t="shared" si="23"/>
        <v>Reorder Point</v>
      </c>
    </row>
    <row r="261" spans="1:17" ht="15" customHeight="1" x14ac:dyDescent="0.2">
      <c r="A261" s="3" t="str">
        <f>'1. Master Data'!A261</f>
        <v>NT10257</v>
      </c>
      <c r="B261" s="1" t="str">
        <f>'1. Master Data'!B261</f>
        <v>RGB Keyboard K999</v>
      </c>
      <c r="C261" s="3" t="str">
        <f>'1. Master Data'!D261</f>
        <v>East DC</v>
      </c>
      <c r="D261" s="5" t="str">
        <f>'4. ABC XYZ Analysis'!K261</f>
        <v>B</v>
      </c>
      <c r="E261" s="5" t="str">
        <f>'4. ABC XYZ Analysis'!M261</f>
        <v>Y</v>
      </c>
      <c r="F261" s="4">
        <f>'1. Master Data'!F261</f>
        <v>65</v>
      </c>
      <c r="G261" s="3">
        <f>'1. Master Data'!G261</f>
        <v>25</v>
      </c>
      <c r="H261" s="8">
        <f>'3. Demand Forecast'!F261/$T$3</f>
        <v>8.913636363636364</v>
      </c>
      <c r="I261" s="8">
        <f>'3. Demand Forecast'!G261/SQRT($T$3)</f>
        <v>13.218444414047847</v>
      </c>
      <c r="J261" s="5">
        <f t="shared" ref="J261:J324" si="24">ROUNDUP($S$3*I261*SQRT(G261),0)</f>
        <v>110</v>
      </c>
      <c r="K261" s="5">
        <f t="shared" ref="K261:K324" si="25">ROUNDUP(H261*G261+J261,0)</f>
        <v>333</v>
      </c>
      <c r="L261" s="3">
        <f>IF(F261=0,0,ROUNDUP(SQRT(2*'4. ABC XYZ Analysis'!F261*$U$3/(F261*$V$3)),0))</f>
        <v>28</v>
      </c>
      <c r="M261" s="3">
        <f>'1. Master Data'!I261</f>
        <v>944</v>
      </c>
      <c r="N261" s="3">
        <f t="shared" ref="N261:N324" si="26">IF(H261=0,999,ROUND(M261/H261,0))</f>
        <v>106</v>
      </c>
      <c r="O261" s="5" t="str">
        <f t="shared" ref="O261:O324" si="27">IF(M261&lt;=K261,"ORDER NOW",IF(M261&lt;=K261*1.2,"ORDER SOON","OK"))</f>
        <v>OK</v>
      </c>
      <c r="P261" s="5" t="str">
        <f t="shared" ref="P261:P324" si="28">IF(O261="ORDER NOW",IF(D261="A","URGENT",IF(D261="B","HIGH","MEDIUM")),IF(O261="ORDER SOON",IF(D261="A","HIGH","MEDIUM"),"LOW"))</f>
        <v>LOW</v>
      </c>
      <c r="Q261" s="3" t="str">
        <f t="shared" ref="Q261:Q324" si="29">IF(E261="Z","Min Max","Reorder Point")</f>
        <v>Reorder Point</v>
      </c>
    </row>
    <row r="262" spans="1:17" ht="15" customHeight="1" x14ac:dyDescent="0.2">
      <c r="A262" s="3" t="str">
        <f>'1. Master Data'!A262</f>
        <v>NT10258</v>
      </c>
      <c r="B262" s="1" t="str">
        <f>'1. Master Data'!B262</f>
        <v>StreamCam S379</v>
      </c>
      <c r="C262" s="3" t="str">
        <f>'1. Master Data'!D262</f>
        <v>West DC</v>
      </c>
      <c r="D262" s="5" t="str">
        <f>'4. ABC XYZ Analysis'!K262</f>
        <v>B</v>
      </c>
      <c r="E262" s="5" t="str">
        <f>'4. ABC XYZ Analysis'!M262</f>
        <v>Y</v>
      </c>
      <c r="F262" s="4">
        <f>'1. Master Data'!F262</f>
        <v>210</v>
      </c>
      <c r="G262" s="3">
        <f>'1. Master Data'!G262</f>
        <v>11</v>
      </c>
      <c r="H262" s="8">
        <f>'3. Demand Forecast'!F262/$T$3</f>
        <v>3.0818181818181816</v>
      </c>
      <c r="I262" s="8">
        <f>'3. Demand Forecast'!G262/SQRT($T$3)</f>
        <v>3.7736526794943046</v>
      </c>
      <c r="J262" s="5">
        <f t="shared" si="24"/>
        <v>21</v>
      </c>
      <c r="K262" s="5">
        <f t="shared" si="25"/>
        <v>55</v>
      </c>
      <c r="L262" s="3">
        <f>IF(F262=0,0,ROUNDUP(SQRT(2*'4. ABC XYZ Analysis'!F262*$U$3/(F262*$V$3)),0))</f>
        <v>67</v>
      </c>
      <c r="M262" s="3">
        <f>'1. Master Data'!I262</f>
        <v>58</v>
      </c>
      <c r="N262" s="3">
        <f t="shared" si="26"/>
        <v>19</v>
      </c>
      <c r="O262" s="5" t="str">
        <f t="shared" si="27"/>
        <v>ORDER SOON</v>
      </c>
      <c r="P262" s="5" t="str">
        <f t="shared" si="28"/>
        <v>MEDIUM</v>
      </c>
      <c r="Q262" s="3" t="str">
        <f t="shared" si="29"/>
        <v>Reorder Point</v>
      </c>
    </row>
    <row r="263" spans="1:17" ht="15" customHeight="1" x14ac:dyDescent="0.2">
      <c r="A263" s="3" t="str">
        <f>'1. Master Data'!A263</f>
        <v>NT10259</v>
      </c>
      <c r="B263" s="1" t="str">
        <f>'1. Master Data'!B263</f>
        <v>StreamCam S482</v>
      </c>
      <c r="C263" s="3" t="str">
        <f>'1. Master Data'!D263</f>
        <v>Central DC</v>
      </c>
      <c r="D263" s="5" t="str">
        <f>'4. ABC XYZ Analysis'!K263</f>
        <v>B</v>
      </c>
      <c r="E263" s="5" t="str">
        <f>'4. ABC XYZ Analysis'!M263</f>
        <v>X</v>
      </c>
      <c r="F263" s="4">
        <f>'1. Master Data'!F263</f>
        <v>112</v>
      </c>
      <c r="G263" s="3">
        <f>'1. Master Data'!G263</f>
        <v>27</v>
      </c>
      <c r="H263" s="8">
        <f>'3. Demand Forecast'!F263/$T$3</f>
        <v>1.6272727272727272</v>
      </c>
      <c r="I263" s="8">
        <f>'3. Demand Forecast'!G263/SQRT($T$3)</f>
        <v>2.2812476650050315</v>
      </c>
      <c r="J263" s="5">
        <f t="shared" si="24"/>
        <v>20</v>
      </c>
      <c r="K263" s="5">
        <f t="shared" si="25"/>
        <v>64</v>
      </c>
      <c r="L263" s="3">
        <f>IF(F263=0,0,ROUNDUP(SQRT(2*'4. ABC XYZ Analysis'!F263*$U$3/(F263*$V$3)),0))</f>
        <v>69</v>
      </c>
      <c r="M263" s="3">
        <f>'1. Master Data'!I263</f>
        <v>67</v>
      </c>
      <c r="N263" s="3">
        <f t="shared" si="26"/>
        <v>41</v>
      </c>
      <c r="O263" s="5" t="str">
        <f t="shared" si="27"/>
        <v>ORDER SOON</v>
      </c>
      <c r="P263" s="5" t="str">
        <f t="shared" si="28"/>
        <v>MEDIUM</v>
      </c>
      <c r="Q263" s="3" t="str">
        <f t="shared" si="29"/>
        <v>Reorder Point</v>
      </c>
    </row>
    <row r="264" spans="1:17" ht="15" customHeight="1" x14ac:dyDescent="0.2">
      <c r="A264" s="3" t="str">
        <f>'1. Master Data'!A264</f>
        <v>NT10260</v>
      </c>
      <c r="B264" s="1" t="str">
        <f>'1. Master Data'!B264</f>
        <v>ArenaHeadset H428</v>
      </c>
      <c r="C264" s="3" t="str">
        <f>'1. Master Data'!D264</f>
        <v>East DC</v>
      </c>
      <c r="D264" s="5" t="str">
        <f>'4. ABC XYZ Analysis'!K264</f>
        <v>B</v>
      </c>
      <c r="E264" s="5" t="str">
        <f>'4. ABC XYZ Analysis'!M264</f>
        <v>X</v>
      </c>
      <c r="F264" s="4">
        <f>'1. Master Data'!F264</f>
        <v>276</v>
      </c>
      <c r="G264" s="3">
        <f>'1. Master Data'!G264</f>
        <v>19</v>
      </c>
      <c r="H264" s="8">
        <f>'3. Demand Forecast'!F264/$T$3</f>
        <v>7.5181818181818185</v>
      </c>
      <c r="I264" s="8">
        <f>'3. Demand Forecast'!G264/SQRT($T$3)</f>
        <v>10.873236534136131</v>
      </c>
      <c r="J264" s="5">
        <f t="shared" si="24"/>
        <v>79</v>
      </c>
      <c r="K264" s="5">
        <f t="shared" si="25"/>
        <v>222</v>
      </c>
      <c r="L264" s="3">
        <f>IF(F264=0,0,ROUNDUP(SQRT(2*'4. ABC XYZ Analysis'!F264*$U$3/(F264*$V$3)),0))</f>
        <v>78</v>
      </c>
      <c r="M264" s="3">
        <f>'1. Master Data'!I264</f>
        <v>146</v>
      </c>
      <c r="N264" s="3">
        <f t="shared" si="26"/>
        <v>19</v>
      </c>
      <c r="O264" s="5" t="str">
        <f t="shared" si="27"/>
        <v>ORDER NOW</v>
      </c>
      <c r="P264" s="5" t="str">
        <f t="shared" si="28"/>
        <v>HIGH</v>
      </c>
      <c r="Q264" s="3" t="str">
        <f t="shared" si="29"/>
        <v>Reorder Point</v>
      </c>
    </row>
    <row r="265" spans="1:17" ht="15" customHeight="1" x14ac:dyDescent="0.2">
      <c r="A265" s="3" t="str">
        <f>'1. Master Data'!A265</f>
        <v>NT10261</v>
      </c>
      <c r="B265" s="1" t="str">
        <f>'1. Master Data'!B265</f>
        <v>ProMouse G434</v>
      </c>
      <c r="C265" s="3" t="str">
        <f>'1. Master Data'!D265</f>
        <v>East DC</v>
      </c>
      <c r="D265" s="5" t="str">
        <f>'4. ABC XYZ Analysis'!K265</f>
        <v>B</v>
      </c>
      <c r="E265" s="5" t="str">
        <f>'4. ABC XYZ Analysis'!M265</f>
        <v>Y</v>
      </c>
      <c r="F265" s="4">
        <f>'1. Master Data'!F265</f>
        <v>37</v>
      </c>
      <c r="G265" s="3">
        <f>'1. Master Data'!G265</f>
        <v>24</v>
      </c>
      <c r="H265" s="8">
        <f>'3. Demand Forecast'!F265/$T$3</f>
        <v>2.209090909090909</v>
      </c>
      <c r="I265" s="8">
        <f>'3. Demand Forecast'!G265/SQRT($T$3)</f>
        <v>3.0700903155207904</v>
      </c>
      <c r="J265" s="5">
        <f t="shared" si="24"/>
        <v>25</v>
      </c>
      <c r="K265" s="5">
        <f t="shared" si="25"/>
        <v>79</v>
      </c>
      <c r="L265" s="3">
        <f>IF(F265=0,0,ROUNDUP(SQRT(2*'4. ABC XYZ Analysis'!F265*$U$3/(F265*$V$3)),0))</f>
        <v>74</v>
      </c>
      <c r="M265" s="3">
        <f>'1. Master Data'!I265</f>
        <v>81</v>
      </c>
      <c r="N265" s="3">
        <f t="shared" si="26"/>
        <v>37</v>
      </c>
      <c r="O265" s="5" t="str">
        <f t="shared" si="27"/>
        <v>ORDER SOON</v>
      </c>
      <c r="P265" s="5" t="str">
        <f t="shared" si="28"/>
        <v>MEDIUM</v>
      </c>
      <c r="Q265" s="3" t="str">
        <f t="shared" si="29"/>
        <v>Reorder Point</v>
      </c>
    </row>
    <row r="266" spans="1:17" ht="15" customHeight="1" x14ac:dyDescent="0.2">
      <c r="A266" s="3" t="str">
        <f>'1. Master Data'!A266</f>
        <v>NT10262</v>
      </c>
      <c r="B266" s="1" t="str">
        <f>'1. Master Data'!B266</f>
        <v>GameStation Controller 179</v>
      </c>
      <c r="C266" s="3" t="str">
        <f>'1. Master Data'!D266</f>
        <v>East DC</v>
      </c>
      <c r="D266" s="5" t="str">
        <f>'4. ABC XYZ Analysis'!K266</f>
        <v>B</v>
      </c>
      <c r="E266" s="5" t="str">
        <f>'4. ABC XYZ Analysis'!M266</f>
        <v>Y</v>
      </c>
      <c r="F266" s="4">
        <f>'1. Master Data'!F266</f>
        <v>333</v>
      </c>
      <c r="G266" s="3">
        <f>'1. Master Data'!G266</f>
        <v>15</v>
      </c>
      <c r="H266" s="8">
        <f>'3. Demand Forecast'!F266/$T$3</f>
        <v>9.545454545454545</v>
      </c>
      <c r="I266" s="8">
        <f>'3. Demand Forecast'!G266/SQRT($T$3)</f>
        <v>11.875279901007501</v>
      </c>
      <c r="J266" s="5">
        <f t="shared" si="24"/>
        <v>76</v>
      </c>
      <c r="K266" s="5">
        <f t="shared" si="25"/>
        <v>220</v>
      </c>
      <c r="L266" s="3">
        <f>IF(F266=0,0,ROUNDUP(SQRT(2*'4. ABC XYZ Analysis'!F266*$U$3/(F266*$V$3)),0))</f>
        <v>22</v>
      </c>
      <c r="M266" s="3">
        <f>'1. Master Data'!I266</f>
        <v>223</v>
      </c>
      <c r="N266" s="3">
        <f t="shared" si="26"/>
        <v>23</v>
      </c>
      <c r="O266" s="5" t="str">
        <f t="shared" si="27"/>
        <v>ORDER SOON</v>
      </c>
      <c r="P266" s="5" t="str">
        <f t="shared" si="28"/>
        <v>MEDIUM</v>
      </c>
      <c r="Q266" s="3" t="str">
        <f t="shared" si="29"/>
        <v>Reorder Point</v>
      </c>
    </row>
    <row r="267" spans="1:17" ht="15" customHeight="1" x14ac:dyDescent="0.2">
      <c r="A267" s="3" t="str">
        <f>'1. Master Data'!A267</f>
        <v>NT10263</v>
      </c>
      <c r="B267" s="1" t="str">
        <f>'1. Master Data'!B267</f>
        <v>StreamCam S540</v>
      </c>
      <c r="C267" s="3" t="str">
        <f>'1. Master Data'!D267</f>
        <v>East DC</v>
      </c>
      <c r="D267" s="5" t="str">
        <f>'4. ABC XYZ Analysis'!K267</f>
        <v>B</v>
      </c>
      <c r="E267" s="5" t="str">
        <f>'4. ABC XYZ Analysis'!M267</f>
        <v>Y</v>
      </c>
      <c r="F267" s="4">
        <f>'1. Master Data'!F267</f>
        <v>292</v>
      </c>
      <c r="G267" s="3">
        <f>'1. Master Data'!G267</f>
        <v>20</v>
      </c>
      <c r="H267" s="8">
        <f>'3. Demand Forecast'!F267/$T$3</f>
        <v>1.8454545454545455</v>
      </c>
      <c r="I267" s="8">
        <f>'3. Demand Forecast'!G267/SQRT($T$3)</f>
        <v>2.601048739538447</v>
      </c>
      <c r="J267" s="5">
        <f t="shared" si="24"/>
        <v>20</v>
      </c>
      <c r="K267" s="5">
        <f t="shared" si="25"/>
        <v>57</v>
      </c>
      <c r="L267" s="3">
        <f>IF(F267=0,0,ROUNDUP(SQRT(2*'4. ABC XYZ Analysis'!F267*$U$3/(F267*$V$3)),0))</f>
        <v>22</v>
      </c>
      <c r="M267" s="3">
        <f>'1. Master Data'!I267</f>
        <v>60</v>
      </c>
      <c r="N267" s="3">
        <f t="shared" si="26"/>
        <v>33</v>
      </c>
      <c r="O267" s="5" t="str">
        <f t="shared" si="27"/>
        <v>ORDER SOON</v>
      </c>
      <c r="P267" s="5" t="str">
        <f t="shared" si="28"/>
        <v>MEDIUM</v>
      </c>
      <c r="Q267" s="3" t="str">
        <f t="shared" si="29"/>
        <v>Reorder Point</v>
      </c>
    </row>
    <row r="268" spans="1:17" ht="15" customHeight="1" x14ac:dyDescent="0.2">
      <c r="A268" s="3" t="str">
        <f>'1. Master Data'!A268</f>
        <v>NT10264</v>
      </c>
      <c r="B268" s="1" t="str">
        <f>'1. Master Data'!B268</f>
        <v>ArenaHeadset H746</v>
      </c>
      <c r="C268" s="3" t="str">
        <f>'1. Master Data'!D268</f>
        <v>East DC</v>
      </c>
      <c r="D268" s="5" t="str">
        <f>'4. ABC XYZ Analysis'!K268</f>
        <v>B</v>
      </c>
      <c r="E268" s="5" t="str">
        <f>'4. ABC XYZ Analysis'!M268</f>
        <v>X</v>
      </c>
      <c r="F268" s="4">
        <f>'1. Master Data'!F268</f>
        <v>185</v>
      </c>
      <c r="G268" s="3">
        <f>'1. Master Data'!G268</f>
        <v>18</v>
      </c>
      <c r="H268" s="8">
        <f>'3. Demand Forecast'!F268/$T$3</f>
        <v>2.3454545454545457</v>
      </c>
      <c r="I268" s="8">
        <f>'3. Demand Forecast'!G268/SQRT($T$3)</f>
        <v>3.8802530376721096</v>
      </c>
      <c r="J268" s="5">
        <f t="shared" si="24"/>
        <v>28</v>
      </c>
      <c r="K268" s="5">
        <f t="shared" si="25"/>
        <v>71</v>
      </c>
      <c r="L268" s="3">
        <f>IF(F268=0,0,ROUNDUP(SQRT(2*'4. ABC XYZ Analysis'!F268*$U$3/(F268*$V$3)),0))</f>
        <v>39</v>
      </c>
      <c r="M268" s="3">
        <f>'1. Master Data'!I268</f>
        <v>74</v>
      </c>
      <c r="N268" s="3">
        <f t="shared" si="26"/>
        <v>32</v>
      </c>
      <c r="O268" s="5" t="str">
        <f t="shared" si="27"/>
        <v>ORDER SOON</v>
      </c>
      <c r="P268" s="5" t="str">
        <f t="shared" si="28"/>
        <v>MEDIUM</v>
      </c>
      <c r="Q268" s="3" t="str">
        <f t="shared" si="29"/>
        <v>Reorder Point</v>
      </c>
    </row>
    <row r="269" spans="1:17" ht="15" customHeight="1" x14ac:dyDescent="0.2">
      <c r="A269" s="3" t="str">
        <f>'1. Master Data'!A269</f>
        <v>NT10265</v>
      </c>
      <c r="B269" s="1" t="str">
        <f>'1. Master Data'!B269</f>
        <v>GameStation Controller 214</v>
      </c>
      <c r="C269" s="3" t="str">
        <f>'1. Master Data'!D269</f>
        <v>Central DC</v>
      </c>
      <c r="D269" s="5" t="str">
        <f>'4. ABC XYZ Analysis'!K269</f>
        <v>B</v>
      </c>
      <c r="E269" s="5" t="str">
        <f>'4. ABC XYZ Analysis'!M269</f>
        <v>X</v>
      </c>
      <c r="F269" s="4">
        <f>'1. Master Data'!F269</f>
        <v>141</v>
      </c>
      <c r="G269" s="3">
        <f>'1. Master Data'!G269</f>
        <v>30</v>
      </c>
      <c r="H269" s="8">
        <f>'3. Demand Forecast'!F269/$T$3</f>
        <v>0.65</v>
      </c>
      <c r="I269" s="8">
        <f>'3. Demand Forecast'!G269/SQRT($T$3)</f>
        <v>0.89544300869356386</v>
      </c>
      <c r="J269" s="5">
        <f t="shared" si="24"/>
        <v>9</v>
      </c>
      <c r="K269" s="5">
        <f t="shared" si="25"/>
        <v>29</v>
      </c>
      <c r="L269" s="3">
        <f>IF(F269=0,0,ROUNDUP(SQRT(2*'4. ABC XYZ Analysis'!F269*$U$3/(F269*$V$3)),0))</f>
        <v>136</v>
      </c>
      <c r="M269" s="3">
        <f>'1. Master Data'!I269</f>
        <v>32</v>
      </c>
      <c r="N269" s="3">
        <f t="shared" si="26"/>
        <v>49</v>
      </c>
      <c r="O269" s="5" t="str">
        <f t="shared" si="27"/>
        <v>ORDER SOON</v>
      </c>
      <c r="P269" s="5" t="str">
        <f t="shared" si="28"/>
        <v>MEDIUM</v>
      </c>
      <c r="Q269" s="3" t="str">
        <f t="shared" si="29"/>
        <v>Reorder Point</v>
      </c>
    </row>
    <row r="270" spans="1:17" ht="15" customHeight="1" x14ac:dyDescent="0.2">
      <c r="A270" s="3" t="str">
        <f>'1. Master Data'!A270</f>
        <v>NT10266</v>
      </c>
      <c r="B270" s="1" t="str">
        <f>'1. Master Data'!B270</f>
        <v>GameStation Controller 667</v>
      </c>
      <c r="C270" s="3" t="str">
        <f>'1. Master Data'!D270</f>
        <v>West DC</v>
      </c>
      <c r="D270" s="5" t="str">
        <f>'4. ABC XYZ Analysis'!K270</f>
        <v>B</v>
      </c>
      <c r="E270" s="5" t="str">
        <f>'4. ABC XYZ Analysis'!M270</f>
        <v>X</v>
      </c>
      <c r="F270" s="4">
        <f>'1. Master Data'!F270</f>
        <v>281</v>
      </c>
      <c r="G270" s="3">
        <f>'1. Master Data'!G270</f>
        <v>25</v>
      </c>
      <c r="H270" s="8">
        <f>'3. Demand Forecast'!F270/$T$3</f>
        <v>14.990909090909092</v>
      </c>
      <c r="I270" s="8">
        <f>'3. Demand Forecast'!G270/SQRT($T$3)</f>
        <v>22.833796721685875</v>
      </c>
      <c r="J270" s="5">
        <f t="shared" si="24"/>
        <v>189</v>
      </c>
      <c r="K270" s="5">
        <f t="shared" si="25"/>
        <v>564</v>
      </c>
      <c r="L270" s="3">
        <f>IF(F270=0,0,ROUNDUP(SQRT(2*'4. ABC XYZ Analysis'!F270*$U$3/(F270*$V$3)),0))</f>
        <v>98</v>
      </c>
      <c r="M270" s="3">
        <f>'1. Master Data'!I270</f>
        <v>567</v>
      </c>
      <c r="N270" s="3">
        <f t="shared" si="26"/>
        <v>38</v>
      </c>
      <c r="O270" s="5" t="str">
        <f t="shared" si="27"/>
        <v>ORDER SOON</v>
      </c>
      <c r="P270" s="5" t="str">
        <f t="shared" si="28"/>
        <v>MEDIUM</v>
      </c>
      <c r="Q270" s="3" t="str">
        <f t="shared" si="29"/>
        <v>Reorder Point</v>
      </c>
    </row>
    <row r="271" spans="1:17" ht="15" customHeight="1" x14ac:dyDescent="0.2">
      <c r="A271" s="3" t="str">
        <f>'1. Master Data'!A271</f>
        <v>NT10267</v>
      </c>
      <c r="B271" s="1" t="str">
        <f>'1. Master Data'!B271</f>
        <v>StreamCam S531</v>
      </c>
      <c r="C271" s="3" t="str">
        <f>'1. Master Data'!D271</f>
        <v>Central DC</v>
      </c>
      <c r="D271" s="5" t="str">
        <f>'4. ABC XYZ Analysis'!K271</f>
        <v>B</v>
      </c>
      <c r="E271" s="5" t="str">
        <f>'4. ABC XYZ Analysis'!M271</f>
        <v>Z</v>
      </c>
      <c r="F271" s="4">
        <f>'1. Master Data'!F271</f>
        <v>56</v>
      </c>
      <c r="G271" s="3">
        <f>'1. Master Data'!G271</f>
        <v>18</v>
      </c>
      <c r="H271" s="8">
        <f>'3. Demand Forecast'!F271/$T$3</f>
        <v>1.8318181818181818</v>
      </c>
      <c r="I271" s="8">
        <f>'3. Demand Forecast'!G271/SQRT($T$3)</f>
        <v>2.6863290260806911</v>
      </c>
      <c r="J271" s="5">
        <f t="shared" si="24"/>
        <v>19</v>
      </c>
      <c r="K271" s="5">
        <f t="shared" si="25"/>
        <v>52</v>
      </c>
      <c r="L271" s="3">
        <f>IF(F271=0,0,ROUNDUP(SQRT(2*'4. ABC XYZ Analysis'!F271*$U$3/(F271*$V$3)),0))</f>
        <v>53</v>
      </c>
      <c r="M271" s="3">
        <f>'1. Master Data'!I271</f>
        <v>55</v>
      </c>
      <c r="N271" s="3">
        <f t="shared" si="26"/>
        <v>30</v>
      </c>
      <c r="O271" s="5" t="str">
        <f t="shared" si="27"/>
        <v>ORDER SOON</v>
      </c>
      <c r="P271" s="5" t="str">
        <f t="shared" si="28"/>
        <v>MEDIUM</v>
      </c>
      <c r="Q271" s="3" t="str">
        <f t="shared" si="29"/>
        <v>Min Max</v>
      </c>
    </row>
    <row r="272" spans="1:17" ht="15" customHeight="1" x14ac:dyDescent="0.2">
      <c r="A272" s="3" t="str">
        <f>'1. Master Data'!A272</f>
        <v>NT10268</v>
      </c>
      <c r="B272" s="1" t="str">
        <f>'1. Master Data'!B272</f>
        <v>ProMouse G369</v>
      </c>
      <c r="C272" s="3" t="str">
        <f>'1. Master Data'!D272</f>
        <v>Central DC</v>
      </c>
      <c r="D272" s="5" t="str">
        <f>'4. ABC XYZ Analysis'!K272</f>
        <v>B</v>
      </c>
      <c r="E272" s="5" t="str">
        <f>'4. ABC XYZ Analysis'!M272</f>
        <v>Y</v>
      </c>
      <c r="F272" s="4">
        <f>'1. Master Data'!F272</f>
        <v>53</v>
      </c>
      <c r="G272" s="3">
        <f>'1. Master Data'!G272</f>
        <v>16</v>
      </c>
      <c r="H272" s="8">
        <f>'3. Demand Forecast'!F272/$T$3</f>
        <v>2.377272727272727</v>
      </c>
      <c r="I272" s="8">
        <f>'3. Demand Forecast'!G272/SQRT($T$3)</f>
        <v>4.1360938972988421</v>
      </c>
      <c r="J272" s="5">
        <f t="shared" si="24"/>
        <v>28</v>
      </c>
      <c r="K272" s="5">
        <f t="shared" si="25"/>
        <v>67</v>
      </c>
      <c r="L272" s="3">
        <f>IF(F272=0,0,ROUNDUP(SQRT(2*'4. ABC XYZ Analysis'!F272*$U$3/(F272*$V$3)),0))</f>
        <v>39</v>
      </c>
      <c r="M272" s="3">
        <f>'1. Master Data'!I272</f>
        <v>180</v>
      </c>
      <c r="N272" s="3">
        <f t="shared" si="26"/>
        <v>76</v>
      </c>
      <c r="O272" s="5" t="str">
        <f t="shared" si="27"/>
        <v>OK</v>
      </c>
      <c r="P272" s="5" t="str">
        <f t="shared" si="28"/>
        <v>LOW</v>
      </c>
      <c r="Q272" s="3" t="str">
        <f t="shared" si="29"/>
        <v>Reorder Point</v>
      </c>
    </row>
    <row r="273" spans="1:17" ht="15" customHeight="1" x14ac:dyDescent="0.2">
      <c r="A273" s="3" t="str">
        <f>'1. Master Data'!A273</f>
        <v>NT10269</v>
      </c>
      <c r="B273" s="1" t="str">
        <f>'1. Master Data'!B273</f>
        <v>RGB Keyboard K733</v>
      </c>
      <c r="C273" s="3" t="str">
        <f>'1. Master Data'!D273</f>
        <v>West DC</v>
      </c>
      <c r="D273" s="5" t="str">
        <f>'4. ABC XYZ Analysis'!K273</f>
        <v>B</v>
      </c>
      <c r="E273" s="5" t="str">
        <f>'4. ABC XYZ Analysis'!M273</f>
        <v>Y</v>
      </c>
      <c r="F273" s="4">
        <f>'1. Master Data'!F273</f>
        <v>55</v>
      </c>
      <c r="G273" s="3">
        <f>'1. Master Data'!G273</f>
        <v>30</v>
      </c>
      <c r="H273" s="8">
        <f>'3. Demand Forecast'!F273/$T$3</f>
        <v>3.5909090909090908</v>
      </c>
      <c r="I273" s="8">
        <f>'3. Demand Forecast'!G273/SQRT($T$3)</f>
        <v>6.4173415623038741</v>
      </c>
      <c r="J273" s="5">
        <f t="shared" si="24"/>
        <v>58</v>
      </c>
      <c r="K273" s="5">
        <f t="shared" si="25"/>
        <v>166</v>
      </c>
      <c r="L273" s="3">
        <f>IF(F273=0,0,ROUNDUP(SQRT(2*'4. ABC XYZ Analysis'!F273*$U$3/(F273*$V$3)),0))</f>
        <v>113</v>
      </c>
      <c r="M273" s="3">
        <f>'1. Master Data'!I273</f>
        <v>169</v>
      </c>
      <c r="N273" s="3">
        <f t="shared" si="26"/>
        <v>47</v>
      </c>
      <c r="O273" s="5" t="str">
        <f t="shared" si="27"/>
        <v>ORDER SOON</v>
      </c>
      <c r="P273" s="5" t="str">
        <f t="shared" si="28"/>
        <v>MEDIUM</v>
      </c>
      <c r="Q273" s="3" t="str">
        <f t="shared" si="29"/>
        <v>Reorder Point</v>
      </c>
    </row>
    <row r="274" spans="1:17" ht="15" customHeight="1" x14ac:dyDescent="0.2">
      <c r="A274" s="3" t="str">
        <f>'1. Master Data'!A274</f>
        <v>NT10270</v>
      </c>
      <c r="B274" s="1" t="str">
        <f>'1. Master Data'!B274</f>
        <v>GameStation Controller 974</v>
      </c>
      <c r="C274" s="3" t="str">
        <f>'1. Master Data'!D274</f>
        <v>West DC</v>
      </c>
      <c r="D274" s="5" t="str">
        <f>'4. ABC XYZ Analysis'!K274</f>
        <v>B</v>
      </c>
      <c r="E274" s="5" t="str">
        <f>'4. ABC XYZ Analysis'!M274</f>
        <v>Y</v>
      </c>
      <c r="F274" s="4">
        <f>'1. Master Data'!F274</f>
        <v>53</v>
      </c>
      <c r="G274" s="3">
        <f>'1. Master Data'!G274</f>
        <v>28</v>
      </c>
      <c r="H274" s="8">
        <f>'3. Demand Forecast'!F274/$T$3</f>
        <v>6.036363636363637</v>
      </c>
      <c r="I274" s="8">
        <f>'3. Demand Forecast'!G274/SQRT($T$3)</f>
        <v>9.956473453807007</v>
      </c>
      <c r="J274" s="5">
        <f t="shared" si="24"/>
        <v>87</v>
      </c>
      <c r="K274" s="5">
        <f t="shared" si="25"/>
        <v>257</v>
      </c>
      <c r="L274" s="3">
        <f>IF(F274=0,0,ROUNDUP(SQRT(2*'4. ABC XYZ Analysis'!F274*$U$3/(F274*$V$3)),0))</f>
        <v>61</v>
      </c>
      <c r="M274" s="3">
        <f>'1. Master Data'!I274</f>
        <v>260</v>
      </c>
      <c r="N274" s="3">
        <f t="shared" si="26"/>
        <v>43</v>
      </c>
      <c r="O274" s="5" t="str">
        <f t="shared" si="27"/>
        <v>ORDER SOON</v>
      </c>
      <c r="P274" s="5" t="str">
        <f t="shared" si="28"/>
        <v>MEDIUM</v>
      </c>
      <c r="Q274" s="3" t="str">
        <f t="shared" si="29"/>
        <v>Reorder Point</v>
      </c>
    </row>
    <row r="275" spans="1:17" ht="15" customHeight="1" x14ac:dyDescent="0.2">
      <c r="A275" s="3" t="str">
        <f>'1. Master Data'!A275</f>
        <v>NT10271</v>
      </c>
      <c r="B275" s="1" t="str">
        <f>'1. Master Data'!B275</f>
        <v>GameStation Controller 390</v>
      </c>
      <c r="C275" s="3" t="str">
        <f>'1. Master Data'!D275</f>
        <v>East DC</v>
      </c>
      <c r="D275" s="5" t="str">
        <f>'4. ABC XYZ Analysis'!K275</f>
        <v>B</v>
      </c>
      <c r="E275" s="5" t="str">
        <f>'4. ABC XYZ Analysis'!M275</f>
        <v>Y</v>
      </c>
      <c r="F275" s="4">
        <f>'1. Master Data'!F275</f>
        <v>58</v>
      </c>
      <c r="G275" s="3">
        <f>'1. Master Data'!G275</f>
        <v>13</v>
      </c>
      <c r="H275" s="8">
        <f>'3. Demand Forecast'!F275/$T$3</f>
        <v>18.113636363636363</v>
      </c>
      <c r="I275" s="8">
        <f>'3. Demand Forecast'!G275/SQRT($T$3)</f>
        <v>25.989167323748912</v>
      </c>
      <c r="J275" s="5">
        <f t="shared" si="24"/>
        <v>155</v>
      </c>
      <c r="K275" s="5">
        <f t="shared" si="25"/>
        <v>391</v>
      </c>
      <c r="L275" s="3">
        <f>IF(F275=0,0,ROUNDUP(SQRT(2*'4. ABC XYZ Analysis'!F275*$U$3/(F275*$V$3)),0))</f>
        <v>113</v>
      </c>
      <c r="M275" s="3">
        <f>'1. Master Data'!I275</f>
        <v>394</v>
      </c>
      <c r="N275" s="3">
        <f t="shared" si="26"/>
        <v>22</v>
      </c>
      <c r="O275" s="5" t="str">
        <f t="shared" si="27"/>
        <v>ORDER SOON</v>
      </c>
      <c r="P275" s="5" t="str">
        <f t="shared" si="28"/>
        <v>MEDIUM</v>
      </c>
      <c r="Q275" s="3" t="str">
        <f t="shared" si="29"/>
        <v>Reorder Point</v>
      </c>
    </row>
    <row r="276" spans="1:17" ht="15" customHeight="1" x14ac:dyDescent="0.2">
      <c r="A276" s="3" t="str">
        <f>'1. Master Data'!A276</f>
        <v>NT10272</v>
      </c>
      <c r="B276" s="1" t="str">
        <f>'1. Master Data'!B276</f>
        <v>RGB Keyboard K758</v>
      </c>
      <c r="C276" s="3" t="str">
        <f>'1. Master Data'!D276</f>
        <v>East DC</v>
      </c>
      <c r="D276" s="5" t="str">
        <f>'4. ABC XYZ Analysis'!K276</f>
        <v>B</v>
      </c>
      <c r="E276" s="5" t="str">
        <f>'4. ABC XYZ Analysis'!M276</f>
        <v>Y</v>
      </c>
      <c r="F276" s="4">
        <f>'1. Master Data'!F276</f>
        <v>309</v>
      </c>
      <c r="G276" s="3">
        <f>'1. Master Data'!G276</f>
        <v>20</v>
      </c>
      <c r="H276" s="8">
        <f>'3. Demand Forecast'!F276/$T$3</f>
        <v>7.6090909090909093</v>
      </c>
      <c r="I276" s="8">
        <f>'3. Demand Forecast'!G276/SQRT($T$3)</f>
        <v>9.551392092731346</v>
      </c>
      <c r="J276" s="5">
        <f t="shared" si="24"/>
        <v>71</v>
      </c>
      <c r="K276" s="5">
        <f t="shared" si="25"/>
        <v>224</v>
      </c>
      <c r="L276" s="3">
        <f>IF(F276=0,0,ROUNDUP(SQRT(2*'4. ABC XYZ Analysis'!F276*$U$3/(F276*$V$3)),0))</f>
        <v>35</v>
      </c>
      <c r="M276" s="3">
        <f>'1. Master Data'!I276</f>
        <v>227</v>
      </c>
      <c r="N276" s="3">
        <f t="shared" si="26"/>
        <v>30</v>
      </c>
      <c r="O276" s="5" t="str">
        <f t="shared" si="27"/>
        <v>ORDER SOON</v>
      </c>
      <c r="P276" s="5" t="str">
        <f t="shared" si="28"/>
        <v>MEDIUM</v>
      </c>
      <c r="Q276" s="3" t="str">
        <f t="shared" si="29"/>
        <v>Reorder Point</v>
      </c>
    </row>
    <row r="277" spans="1:17" ht="15" customHeight="1" x14ac:dyDescent="0.2">
      <c r="A277" s="3" t="str">
        <f>'1. Master Data'!A277</f>
        <v>NT10273</v>
      </c>
      <c r="B277" s="1" t="str">
        <f>'1. Master Data'!B277</f>
        <v>ArenaHeadset H637</v>
      </c>
      <c r="C277" s="3" t="str">
        <f>'1. Master Data'!D277</f>
        <v>West DC</v>
      </c>
      <c r="D277" s="5" t="str">
        <f>'4. ABC XYZ Analysis'!K277</f>
        <v>B</v>
      </c>
      <c r="E277" s="5" t="str">
        <f>'4. ABC XYZ Analysis'!M277</f>
        <v>X</v>
      </c>
      <c r="F277" s="4">
        <f>'1. Master Data'!F277</f>
        <v>92</v>
      </c>
      <c r="G277" s="3">
        <f>'1. Master Data'!G277</f>
        <v>14</v>
      </c>
      <c r="H277" s="8">
        <f>'3. Demand Forecast'!F277/$T$3</f>
        <v>3.5545454545454547</v>
      </c>
      <c r="I277" s="8">
        <f>'3. Demand Forecast'!G277/SQRT($T$3)</f>
        <v>5.0954971208990889</v>
      </c>
      <c r="J277" s="5">
        <f t="shared" si="24"/>
        <v>32</v>
      </c>
      <c r="K277" s="5">
        <f t="shared" si="25"/>
        <v>82</v>
      </c>
      <c r="L277" s="3">
        <f>IF(F277=0,0,ROUNDUP(SQRT(2*'4. ABC XYZ Analysis'!F277*$U$3/(F277*$V$3)),0))</f>
        <v>36</v>
      </c>
      <c r="M277" s="3">
        <f>'1. Master Data'!I277</f>
        <v>85</v>
      </c>
      <c r="N277" s="3">
        <f t="shared" si="26"/>
        <v>24</v>
      </c>
      <c r="O277" s="5" t="str">
        <f t="shared" si="27"/>
        <v>ORDER SOON</v>
      </c>
      <c r="P277" s="5" t="str">
        <f t="shared" si="28"/>
        <v>MEDIUM</v>
      </c>
      <c r="Q277" s="3" t="str">
        <f t="shared" si="29"/>
        <v>Reorder Point</v>
      </c>
    </row>
    <row r="278" spans="1:17" ht="15" customHeight="1" x14ac:dyDescent="0.2">
      <c r="A278" s="3" t="str">
        <f>'1. Master Data'!A278</f>
        <v>NT10274</v>
      </c>
      <c r="B278" s="1" t="str">
        <f>'1. Master Data'!B278</f>
        <v>StreamCam S111</v>
      </c>
      <c r="C278" s="3" t="str">
        <f>'1. Master Data'!D278</f>
        <v>West DC</v>
      </c>
      <c r="D278" s="5" t="str">
        <f>'4. ABC XYZ Analysis'!K278</f>
        <v>B</v>
      </c>
      <c r="E278" s="5" t="str">
        <f>'4. ABC XYZ Analysis'!M278</f>
        <v>X</v>
      </c>
      <c r="F278" s="4">
        <f>'1. Master Data'!F278</f>
        <v>156</v>
      </c>
      <c r="G278" s="3">
        <f>'1. Master Data'!G278</f>
        <v>19</v>
      </c>
      <c r="H278" s="8">
        <f>'3. Demand Forecast'!F278/$T$3</f>
        <v>9.8227272727272723</v>
      </c>
      <c r="I278" s="8">
        <f>'3. Demand Forecast'!G278/SQRT($T$3)</f>
        <v>15.435731864146197</v>
      </c>
      <c r="J278" s="5">
        <f t="shared" si="24"/>
        <v>112</v>
      </c>
      <c r="K278" s="5">
        <f t="shared" si="25"/>
        <v>299</v>
      </c>
      <c r="L278" s="3">
        <f>IF(F278=0,0,ROUNDUP(SQRT(2*'4. ABC XYZ Analysis'!F278*$U$3/(F278*$V$3)),0))</f>
        <v>101</v>
      </c>
      <c r="M278" s="3">
        <f>'1. Master Data'!I278</f>
        <v>301</v>
      </c>
      <c r="N278" s="3">
        <f t="shared" si="26"/>
        <v>31</v>
      </c>
      <c r="O278" s="5" t="str">
        <f t="shared" si="27"/>
        <v>ORDER SOON</v>
      </c>
      <c r="P278" s="5" t="str">
        <f t="shared" si="28"/>
        <v>MEDIUM</v>
      </c>
      <c r="Q278" s="3" t="str">
        <f t="shared" si="29"/>
        <v>Reorder Point</v>
      </c>
    </row>
    <row r="279" spans="1:17" ht="15" customHeight="1" x14ac:dyDescent="0.2">
      <c r="A279" s="3" t="str">
        <f>'1. Master Data'!A279</f>
        <v>NT10275</v>
      </c>
      <c r="B279" s="1" t="str">
        <f>'1. Master Data'!B279</f>
        <v>ArenaHeadset H478</v>
      </c>
      <c r="C279" s="3" t="str">
        <f>'1. Master Data'!D279</f>
        <v>Central DC</v>
      </c>
      <c r="D279" s="5" t="str">
        <f>'4. ABC XYZ Analysis'!K279</f>
        <v>B</v>
      </c>
      <c r="E279" s="5" t="str">
        <f>'4. ABC XYZ Analysis'!M279</f>
        <v>X</v>
      </c>
      <c r="F279" s="4">
        <f>'1. Master Data'!F279</f>
        <v>201</v>
      </c>
      <c r="G279" s="3">
        <f>'1. Master Data'!G279</f>
        <v>18</v>
      </c>
      <c r="H279" s="8">
        <f>'3. Demand Forecast'!F279/$T$3</f>
        <v>4.3090909090909086</v>
      </c>
      <c r="I279" s="8">
        <f>'3. Demand Forecast'!G279/SQRT($T$3)</f>
        <v>6.0975404877704582</v>
      </c>
      <c r="J279" s="5">
        <f t="shared" si="24"/>
        <v>43</v>
      </c>
      <c r="K279" s="5">
        <f t="shared" si="25"/>
        <v>121</v>
      </c>
      <c r="L279" s="3">
        <f>IF(F279=0,0,ROUNDUP(SQRT(2*'4. ABC XYZ Analysis'!F279*$U$3/(F279*$V$3)),0))</f>
        <v>109</v>
      </c>
      <c r="M279" s="3">
        <f>'1. Master Data'!I279</f>
        <v>124</v>
      </c>
      <c r="N279" s="3">
        <f t="shared" si="26"/>
        <v>29</v>
      </c>
      <c r="O279" s="5" t="str">
        <f t="shared" si="27"/>
        <v>ORDER SOON</v>
      </c>
      <c r="P279" s="5" t="str">
        <f t="shared" si="28"/>
        <v>MEDIUM</v>
      </c>
      <c r="Q279" s="3" t="str">
        <f t="shared" si="29"/>
        <v>Reorder Point</v>
      </c>
    </row>
    <row r="280" spans="1:17" ht="15" customHeight="1" x14ac:dyDescent="0.2">
      <c r="A280" s="3" t="str">
        <f>'1. Master Data'!A280</f>
        <v>NT10276</v>
      </c>
      <c r="B280" s="1" t="str">
        <f>'1. Master Data'!B280</f>
        <v>RGB Keyboard K646</v>
      </c>
      <c r="C280" s="3" t="str">
        <f>'1. Master Data'!D280</f>
        <v>Central DC</v>
      </c>
      <c r="D280" s="5" t="str">
        <f>'4. ABC XYZ Analysis'!K280</f>
        <v>B</v>
      </c>
      <c r="E280" s="5" t="str">
        <f>'4. ABC XYZ Analysis'!M280</f>
        <v>Y</v>
      </c>
      <c r="F280" s="4">
        <f>'1. Master Data'!F280</f>
        <v>242</v>
      </c>
      <c r="G280" s="3">
        <f>'1. Master Data'!G280</f>
        <v>15</v>
      </c>
      <c r="H280" s="8">
        <f>'3. Demand Forecast'!F280/$T$3</f>
        <v>1.0681818181818181</v>
      </c>
      <c r="I280" s="8">
        <f>'3. Demand Forecast'!G280/SQRT($T$3)</f>
        <v>4.775696046365673</v>
      </c>
      <c r="J280" s="5">
        <f t="shared" si="24"/>
        <v>31</v>
      </c>
      <c r="K280" s="5">
        <f t="shared" si="25"/>
        <v>48</v>
      </c>
      <c r="L280" s="3">
        <f>IF(F280=0,0,ROUNDUP(SQRT(2*'4. ABC XYZ Analysis'!F280*$U$3/(F280*$V$3)),0))</f>
        <v>24</v>
      </c>
      <c r="M280" s="3">
        <f>'1. Master Data'!I280</f>
        <v>94</v>
      </c>
      <c r="N280" s="3">
        <f t="shared" si="26"/>
        <v>88</v>
      </c>
      <c r="O280" s="5" t="str">
        <f t="shared" si="27"/>
        <v>OK</v>
      </c>
      <c r="P280" s="5" t="str">
        <f t="shared" si="28"/>
        <v>LOW</v>
      </c>
      <c r="Q280" s="3" t="str">
        <f t="shared" si="29"/>
        <v>Reorder Point</v>
      </c>
    </row>
    <row r="281" spans="1:17" ht="15" customHeight="1" x14ac:dyDescent="0.2">
      <c r="A281" s="3" t="str">
        <f>'1. Master Data'!A281</f>
        <v>NT10277</v>
      </c>
      <c r="B281" s="1" t="str">
        <f>'1. Master Data'!B281</f>
        <v>RGB Keyboard K367</v>
      </c>
      <c r="C281" s="3" t="str">
        <f>'1. Master Data'!D281</f>
        <v>Central DC</v>
      </c>
      <c r="D281" s="5" t="str">
        <f>'4. ABC XYZ Analysis'!K281</f>
        <v>B</v>
      </c>
      <c r="E281" s="5" t="str">
        <f>'4. ABC XYZ Analysis'!M281</f>
        <v>Z</v>
      </c>
      <c r="F281" s="4">
        <f>'1. Master Data'!F281</f>
        <v>196</v>
      </c>
      <c r="G281" s="3">
        <f>'1. Master Data'!G281</f>
        <v>28</v>
      </c>
      <c r="H281" s="8">
        <f>'3. Demand Forecast'!F281/$T$3</f>
        <v>11.009090909090908</v>
      </c>
      <c r="I281" s="8">
        <f>'3. Demand Forecast'!G281/SQRT($T$3)</f>
        <v>17.226617881533322</v>
      </c>
      <c r="J281" s="5">
        <f t="shared" si="24"/>
        <v>151</v>
      </c>
      <c r="K281" s="5">
        <f t="shared" si="25"/>
        <v>460</v>
      </c>
      <c r="L281" s="3">
        <f>IF(F281=0,0,ROUNDUP(SQRT(2*'4. ABC XYZ Analysis'!F281*$U$3/(F281*$V$3)),0))</f>
        <v>17</v>
      </c>
      <c r="M281" s="3">
        <f>'1. Master Data'!I281</f>
        <v>463</v>
      </c>
      <c r="N281" s="3">
        <f t="shared" si="26"/>
        <v>42</v>
      </c>
      <c r="O281" s="5" t="str">
        <f t="shared" si="27"/>
        <v>ORDER SOON</v>
      </c>
      <c r="P281" s="5" t="str">
        <f t="shared" si="28"/>
        <v>MEDIUM</v>
      </c>
      <c r="Q281" s="3" t="str">
        <f t="shared" si="29"/>
        <v>Min Max</v>
      </c>
    </row>
    <row r="282" spans="1:17" ht="15" customHeight="1" x14ac:dyDescent="0.2">
      <c r="A282" s="3" t="str">
        <f>'1. Master Data'!A282</f>
        <v>NT10278</v>
      </c>
      <c r="B282" s="1" t="str">
        <f>'1. Master Data'!B282</f>
        <v>GameStation Controller 520</v>
      </c>
      <c r="C282" s="3" t="str">
        <f>'1. Master Data'!D282</f>
        <v>West DC</v>
      </c>
      <c r="D282" s="5" t="str">
        <f>'4. ABC XYZ Analysis'!K282</f>
        <v>B</v>
      </c>
      <c r="E282" s="5" t="str">
        <f>'4. ABC XYZ Analysis'!M282</f>
        <v>Z</v>
      </c>
      <c r="F282" s="4">
        <f>'1. Master Data'!F282</f>
        <v>232</v>
      </c>
      <c r="G282" s="3">
        <f>'1. Master Data'!G282</f>
        <v>12</v>
      </c>
      <c r="H282" s="8">
        <f>'3. Demand Forecast'!F282/$T$3</f>
        <v>7.1090909090909093</v>
      </c>
      <c r="I282" s="8">
        <f>'3. Demand Forecast'!G282/SQRT($T$3)</f>
        <v>11.811319686100818</v>
      </c>
      <c r="J282" s="5">
        <f t="shared" si="24"/>
        <v>68</v>
      </c>
      <c r="K282" s="5">
        <f t="shared" si="25"/>
        <v>154</v>
      </c>
      <c r="L282" s="3">
        <f>IF(F282=0,0,ROUNDUP(SQRT(2*'4. ABC XYZ Analysis'!F282*$U$3/(F282*$V$3)),0))</f>
        <v>32</v>
      </c>
      <c r="M282" s="3">
        <f>'1. Master Data'!I282</f>
        <v>157</v>
      </c>
      <c r="N282" s="3">
        <f t="shared" si="26"/>
        <v>22</v>
      </c>
      <c r="O282" s="5" t="str">
        <f t="shared" si="27"/>
        <v>ORDER SOON</v>
      </c>
      <c r="P282" s="5" t="str">
        <f t="shared" si="28"/>
        <v>MEDIUM</v>
      </c>
      <c r="Q282" s="3" t="str">
        <f t="shared" si="29"/>
        <v>Min Max</v>
      </c>
    </row>
    <row r="283" spans="1:17" ht="15" customHeight="1" x14ac:dyDescent="0.2">
      <c r="A283" s="3" t="str">
        <f>'1. Master Data'!A283</f>
        <v>NT10279</v>
      </c>
      <c r="B283" s="1" t="str">
        <f>'1. Master Data'!B283</f>
        <v>GameStation Controller 762</v>
      </c>
      <c r="C283" s="3" t="str">
        <f>'1. Master Data'!D283</f>
        <v>East DC</v>
      </c>
      <c r="D283" s="5" t="str">
        <f>'4. ABC XYZ Analysis'!K283</f>
        <v>B</v>
      </c>
      <c r="E283" s="5" t="str">
        <f>'4. ABC XYZ Analysis'!M283</f>
        <v>Y</v>
      </c>
      <c r="F283" s="4">
        <f>'1. Master Data'!F283</f>
        <v>127</v>
      </c>
      <c r="G283" s="3">
        <f>'1. Master Data'!G283</f>
        <v>20</v>
      </c>
      <c r="H283" s="8">
        <f>'3. Demand Forecast'!F283/$T$3</f>
        <v>3.377272727272727</v>
      </c>
      <c r="I283" s="8">
        <f>'3. Demand Forecast'!G283/SQRT($T$3)</f>
        <v>3.9228931809432317</v>
      </c>
      <c r="J283" s="5">
        <f t="shared" si="24"/>
        <v>29</v>
      </c>
      <c r="K283" s="5">
        <f t="shared" si="25"/>
        <v>97</v>
      </c>
      <c r="L283" s="3">
        <f>IF(F283=0,0,ROUNDUP(SQRT(2*'4. ABC XYZ Analysis'!F283*$U$3/(F283*$V$3)),0))</f>
        <v>18</v>
      </c>
      <c r="M283" s="3">
        <f>'1. Master Data'!I283</f>
        <v>276</v>
      </c>
      <c r="N283" s="3">
        <f t="shared" si="26"/>
        <v>82</v>
      </c>
      <c r="O283" s="5" t="str">
        <f t="shared" si="27"/>
        <v>OK</v>
      </c>
      <c r="P283" s="5" t="str">
        <f t="shared" si="28"/>
        <v>LOW</v>
      </c>
      <c r="Q283" s="3" t="str">
        <f t="shared" si="29"/>
        <v>Reorder Point</v>
      </c>
    </row>
    <row r="284" spans="1:17" ht="15" customHeight="1" x14ac:dyDescent="0.2">
      <c r="A284" s="3" t="str">
        <f>'1. Master Data'!A284</f>
        <v>NT10280</v>
      </c>
      <c r="B284" s="1" t="str">
        <f>'1. Master Data'!B284</f>
        <v>ProMouse G327</v>
      </c>
      <c r="C284" s="3" t="str">
        <f>'1. Master Data'!D284</f>
        <v>East DC</v>
      </c>
      <c r="D284" s="5" t="str">
        <f>'4. ABC XYZ Analysis'!K284</f>
        <v>B</v>
      </c>
      <c r="E284" s="5" t="str">
        <f>'4. ABC XYZ Analysis'!M284</f>
        <v>Y</v>
      </c>
      <c r="F284" s="4">
        <f>'1. Master Data'!F284</f>
        <v>160</v>
      </c>
      <c r="G284" s="3">
        <f>'1. Master Data'!G284</f>
        <v>25</v>
      </c>
      <c r="H284" s="8">
        <f>'3. Demand Forecast'!F284/$T$3</f>
        <v>5.377272727272727</v>
      </c>
      <c r="I284" s="8">
        <f>'3. Demand Forecast'!G284/SQRT($T$3)</f>
        <v>8.3148279378688059</v>
      </c>
      <c r="J284" s="5">
        <f t="shared" si="24"/>
        <v>69</v>
      </c>
      <c r="K284" s="5">
        <f t="shared" si="25"/>
        <v>204</v>
      </c>
      <c r="L284" s="3">
        <f>IF(F284=0,0,ROUNDUP(SQRT(2*'4. ABC XYZ Analysis'!F284*$U$3/(F284*$V$3)),0))</f>
        <v>26</v>
      </c>
      <c r="M284" s="3">
        <f>'1. Master Data'!I284</f>
        <v>207</v>
      </c>
      <c r="N284" s="3">
        <f t="shared" si="26"/>
        <v>38</v>
      </c>
      <c r="O284" s="5" t="str">
        <f t="shared" si="27"/>
        <v>ORDER SOON</v>
      </c>
      <c r="P284" s="5" t="str">
        <f t="shared" si="28"/>
        <v>MEDIUM</v>
      </c>
      <c r="Q284" s="3" t="str">
        <f t="shared" si="29"/>
        <v>Reorder Point</v>
      </c>
    </row>
    <row r="285" spans="1:17" ht="15" customHeight="1" x14ac:dyDescent="0.2">
      <c r="A285" s="3" t="str">
        <f>'1. Master Data'!A285</f>
        <v>NT10281</v>
      </c>
      <c r="B285" s="1" t="str">
        <f>'1. Master Data'!B285</f>
        <v>StreamCam S631</v>
      </c>
      <c r="C285" s="3" t="str">
        <f>'1. Master Data'!D285</f>
        <v>West DC</v>
      </c>
      <c r="D285" s="5" t="str">
        <f>'4. ABC XYZ Analysis'!K285</f>
        <v>B</v>
      </c>
      <c r="E285" s="5" t="str">
        <f>'4. ABC XYZ Analysis'!M285</f>
        <v>Y</v>
      </c>
      <c r="F285" s="4">
        <f>'1. Master Data'!F285</f>
        <v>310</v>
      </c>
      <c r="G285" s="3">
        <f>'1. Master Data'!G285</f>
        <v>20</v>
      </c>
      <c r="H285" s="8">
        <f>'3. Demand Forecast'!F285/$T$3</f>
        <v>13.477272727272727</v>
      </c>
      <c r="I285" s="8">
        <f>'3. Demand Forecast'!G285/SQRT($T$3)</f>
        <v>18.676382752751472</v>
      </c>
      <c r="J285" s="5">
        <f t="shared" si="24"/>
        <v>138</v>
      </c>
      <c r="K285" s="5">
        <f t="shared" si="25"/>
        <v>408</v>
      </c>
      <c r="L285" s="3">
        <f>IF(F285=0,0,ROUNDUP(SQRT(2*'4. ABC XYZ Analysis'!F285*$U$3/(F285*$V$3)),0))</f>
        <v>13</v>
      </c>
      <c r="M285" s="3">
        <f>'1. Master Data'!I285</f>
        <v>125</v>
      </c>
      <c r="N285" s="3">
        <f t="shared" si="26"/>
        <v>9</v>
      </c>
      <c r="O285" s="5" t="str">
        <f t="shared" si="27"/>
        <v>ORDER NOW</v>
      </c>
      <c r="P285" s="5" t="str">
        <f t="shared" si="28"/>
        <v>HIGH</v>
      </c>
      <c r="Q285" s="3" t="str">
        <f t="shared" si="29"/>
        <v>Reorder Point</v>
      </c>
    </row>
    <row r="286" spans="1:17" ht="15" customHeight="1" x14ac:dyDescent="0.2">
      <c r="A286" s="3" t="str">
        <f>'1. Master Data'!A286</f>
        <v>NT10282</v>
      </c>
      <c r="B286" s="1" t="str">
        <f>'1. Master Data'!B286</f>
        <v>ProMouse G176</v>
      </c>
      <c r="C286" s="3" t="str">
        <f>'1. Master Data'!D286</f>
        <v>East DC</v>
      </c>
      <c r="D286" s="5" t="str">
        <f>'4. ABC XYZ Analysis'!K286</f>
        <v>B</v>
      </c>
      <c r="E286" s="5" t="str">
        <f>'4. ABC XYZ Analysis'!M286</f>
        <v>Y</v>
      </c>
      <c r="F286" s="4">
        <f>'1. Master Data'!F286</f>
        <v>138</v>
      </c>
      <c r="G286" s="3">
        <f>'1. Master Data'!G286</f>
        <v>11</v>
      </c>
      <c r="H286" s="8">
        <f>'3. Demand Forecast'!F286/$T$3</f>
        <v>6.7409090909090912</v>
      </c>
      <c r="I286" s="8">
        <f>'3. Demand Forecast'!G286/SQRT($T$3)</f>
        <v>7.056943711370705</v>
      </c>
      <c r="J286" s="5">
        <f t="shared" si="24"/>
        <v>39</v>
      </c>
      <c r="K286" s="5">
        <f t="shared" si="25"/>
        <v>114</v>
      </c>
      <c r="L286" s="3">
        <f>IF(F286=0,0,ROUNDUP(SQRT(2*'4. ABC XYZ Analysis'!F286*$U$3/(F286*$V$3)),0))</f>
        <v>17</v>
      </c>
      <c r="M286" s="3">
        <f>'1. Master Data'!I286</f>
        <v>117</v>
      </c>
      <c r="N286" s="3">
        <f t="shared" si="26"/>
        <v>17</v>
      </c>
      <c r="O286" s="5" t="str">
        <f t="shared" si="27"/>
        <v>ORDER SOON</v>
      </c>
      <c r="P286" s="5" t="str">
        <f t="shared" si="28"/>
        <v>MEDIUM</v>
      </c>
      <c r="Q286" s="3" t="str">
        <f t="shared" si="29"/>
        <v>Reorder Point</v>
      </c>
    </row>
    <row r="287" spans="1:17" ht="15" customHeight="1" x14ac:dyDescent="0.2">
      <c r="A287" s="3" t="str">
        <f>'1. Master Data'!A287</f>
        <v>NT10283</v>
      </c>
      <c r="B287" s="1" t="str">
        <f>'1. Master Data'!B287</f>
        <v>ArenaHeadset H729</v>
      </c>
      <c r="C287" s="3" t="str">
        <f>'1. Master Data'!D287</f>
        <v>West DC</v>
      </c>
      <c r="D287" s="5" t="str">
        <f>'4. ABC XYZ Analysis'!K287</f>
        <v>B</v>
      </c>
      <c r="E287" s="5" t="str">
        <f>'4. ABC XYZ Analysis'!M287</f>
        <v>Y</v>
      </c>
      <c r="F287" s="4">
        <f>'1. Master Data'!F287</f>
        <v>136</v>
      </c>
      <c r="G287" s="3">
        <f>'1. Master Data'!G287</f>
        <v>16</v>
      </c>
      <c r="H287" s="8">
        <f>'3. Demand Forecast'!F287/$T$3</f>
        <v>2.2818181818181817</v>
      </c>
      <c r="I287" s="8">
        <f>'3. Demand Forecast'!G287/SQRT($T$3)</f>
        <v>3.0274501722496678</v>
      </c>
      <c r="J287" s="5">
        <f t="shared" si="24"/>
        <v>20</v>
      </c>
      <c r="K287" s="5">
        <f t="shared" si="25"/>
        <v>57</v>
      </c>
      <c r="L287" s="3">
        <f>IF(F287=0,0,ROUNDUP(SQRT(2*'4. ABC XYZ Analysis'!F287*$U$3/(F287*$V$3)),0))</f>
        <v>52</v>
      </c>
      <c r="M287" s="3">
        <f>'1. Master Data'!I287</f>
        <v>61</v>
      </c>
      <c r="N287" s="3">
        <f t="shared" si="26"/>
        <v>27</v>
      </c>
      <c r="O287" s="5" t="str">
        <f t="shared" si="27"/>
        <v>ORDER SOON</v>
      </c>
      <c r="P287" s="5" t="str">
        <f t="shared" si="28"/>
        <v>MEDIUM</v>
      </c>
      <c r="Q287" s="3" t="str">
        <f t="shared" si="29"/>
        <v>Reorder Point</v>
      </c>
    </row>
    <row r="288" spans="1:17" ht="15" customHeight="1" x14ac:dyDescent="0.2">
      <c r="A288" s="3" t="str">
        <f>'1. Master Data'!A288</f>
        <v>NT10284</v>
      </c>
      <c r="B288" s="1" t="str">
        <f>'1. Master Data'!B288</f>
        <v>ProMouse G382</v>
      </c>
      <c r="C288" s="3" t="str">
        <f>'1. Master Data'!D288</f>
        <v>Central DC</v>
      </c>
      <c r="D288" s="5" t="str">
        <f>'4. ABC XYZ Analysis'!K288</f>
        <v>B</v>
      </c>
      <c r="E288" s="5" t="str">
        <f>'4. ABC XYZ Analysis'!M288</f>
        <v>X</v>
      </c>
      <c r="F288" s="4">
        <f>'1. Master Data'!F288</f>
        <v>281</v>
      </c>
      <c r="G288" s="3">
        <f>'1. Master Data'!G288</f>
        <v>11</v>
      </c>
      <c r="H288" s="8">
        <f>'3. Demand Forecast'!F288/$T$3</f>
        <v>1.718181818181818</v>
      </c>
      <c r="I288" s="8">
        <f>'3. Demand Forecast'!G288/SQRT($T$3)</f>
        <v>2.6863290260806911</v>
      </c>
      <c r="J288" s="5">
        <f t="shared" si="24"/>
        <v>15</v>
      </c>
      <c r="K288" s="5">
        <f t="shared" si="25"/>
        <v>34</v>
      </c>
      <c r="L288" s="3">
        <f>IF(F288=0,0,ROUNDUP(SQRT(2*'4. ABC XYZ Analysis'!F288*$U$3/(F288*$V$3)),0))</f>
        <v>42</v>
      </c>
      <c r="M288" s="3">
        <f>'1. Master Data'!I288</f>
        <v>182</v>
      </c>
      <c r="N288" s="3">
        <f t="shared" si="26"/>
        <v>106</v>
      </c>
      <c r="O288" s="5" t="str">
        <f t="shared" si="27"/>
        <v>OK</v>
      </c>
      <c r="P288" s="5" t="str">
        <f t="shared" si="28"/>
        <v>LOW</v>
      </c>
      <c r="Q288" s="3" t="str">
        <f t="shared" si="29"/>
        <v>Reorder Point</v>
      </c>
    </row>
    <row r="289" spans="1:17" ht="15" customHeight="1" x14ac:dyDescent="0.2">
      <c r="A289" s="3" t="str">
        <f>'1. Master Data'!A289</f>
        <v>NT10285</v>
      </c>
      <c r="B289" s="1" t="str">
        <f>'1. Master Data'!B289</f>
        <v>ArenaHeadset H548</v>
      </c>
      <c r="C289" s="3" t="str">
        <f>'1. Master Data'!D289</f>
        <v>Central DC</v>
      </c>
      <c r="D289" s="5" t="str">
        <f>'4. ABC XYZ Analysis'!K289</f>
        <v>B</v>
      </c>
      <c r="E289" s="5" t="str">
        <f>'4. ABC XYZ Analysis'!M289</f>
        <v>Y</v>
      </c>
      <c r="F289" s="4">
        <f>'1. Master Data'!F289</f>
        <v>94</v>
      </c>
      <c r="G289" s="3">
        <f>'1. Master Data'!G289</f>
        <v>25</v>
      </c>
      <c r="H289" s="8">
        <f>'3. Demand Forecast'!F289/$T$3</f>
        <v>9.4045454545454543</v>
      </c>
      <c r="I289" s="8">
        <f>'3. Demand Forecast'!G289/SQRT($T$3)</f>
        <v>14.327088139097022</v>
      </c>
      <c r="J289" s="5">
        <f t="shared" si="24"/>
        <v>119</v>
      </c>
      <c r="K289" s="5">
        <f t="shared" si="25"/>
        <v>355</v>
      </c>
      <c r="L289" s="3">
        <f>IF(F289=0,0,ROUNDUP(SQRT(2*'4. ABC XYZ Analysis'!F289*$U$3/(F289*$V$3)),0))</f>
        <v>26</v>
      </c>
      <c r="M289" s="3">
        <f>'1. Master Data'!I289</f>
        <v>358</v>
      </c>
      <c r="N289" s="3">
        <f t="shared" si="26"/>
        <v>38</v>
      </c>
      <c r="O289" s="5" t="str">
        <f t="shared" si="27"/>
        <v>ORDER SOON</v>
      </c>
      <c r="P289" s="5" t="str">
        <f t="shared" si="28"/>
        <v>MEDIUM</v>
      </c>
      <c r="Q289" s="3" t="str">
        <f t="shared" si="29"/>
        <v>Reorder Point</v>
      </c>
    </row>
    <row r="290" spans="1:17" ht="15" customHeight="1" x14ac:dyDescent="0.2">
      <c r="A290" s="3" t="str">
        <f>'1. Master Data'!A290</f>
        <v>NT10286</v>
      </c>
      <c r="B290" s="1" t="str">
        <f>'1. Master Data'!B290</f>
        <v>ArenaHeadset H403</v>
      </c>
      <c r="C290" s="3" t="str">
        <f>'1. Master Data'!D290</f>
        <v>West DC</v>
      </c>
      <c r="D290" s="5" t="str">
        <f>'4. ABC XYZ Analysis'!K290</f>
        <v>B</v>
      </c>
      <c r="E290" s="5" t="str">
        <f>'4. ABC XYZ Analysis'!M290</f>
        <v>Y</v>
      </c>
      <c r="F290" s="4">
        <f>'1. Master Data'!F290</f>
        <v>95</v>
      </c>
      <c r="G290" s="3">
        <f>'1. Master Data'!G290</f>
        <v>20</v>
      </c>
      <c r="H290" s="8">
        <f>'3. Demand Forecast'!F290/$T$3</f>
        <v>2</v>
      </c>
      <c r="I290" s="8">
        <f>'3. Demand Forecast'!G290/SQRT($T$3)</f>
        <v>2.8142494558940574</v>
      </c>
      <c r="J290" s="5">
        <f t="shared" si="24"/>
        <v>21</v>
      </c>
      <c r="K290" s="5">
        <f t="shared" si="25"/>
        <v>61</v>
      </c>
      <c r="L290" s="3">
        <f>IF(F290=0,0,ROUNDUP(SQRT(2*'4. ABC XYZ Analysis'!F290*$U$3/(F290*$V$3)),0))</f>
        <v>44</v>
      </c>
      <c r="M290" s="3">
        <f>'1. Master Data'!I290</f>
        <v>64</v>
      </c>
      <c r="N290" s="3">
        <f t="shared" si="26"/>
        <v>32</v>
      </c>
      <c r="O290" s="5" t="str">
        <f t="shared" si="27"/>
        <v>ORDER SOON</v>
      </c>
      <c r="P290" s="5" t="str">
        <f t="shared" si="28"/>
        <v>MEDIUM</v>
      </c>
      <c r="Q290" s="3" t="str">
        <f t="shared" si="29"/>
        <v>Reorder Point</v>
      </c>
    </row>
    <row r="291" spans="1:17" ht="15" customHeight="1" x14ac:dyDescent="0.2">
      <c r="A291" s="3" t="str">
        <f>'1. Master Data'!A291</f>
        <v>NT10287</v>
      </c>
      <c r="B291" s="1" t="str">
        <f>'1. Master Data'!B291</f>
        <v>ProMouse G661</v>
      </c>
      <c r="C291" s="3" t="str">
        <f>'1. Master Data'!D291</f>
        <v>Central DC</v>
      </c>
      <c r="D291" s="5" t="str">
        <f>'4. ABC XYZ Analysis'!K291</f>
        <v>B</v>
      </c>
      <c r="E291" s="5" t="str">
        <f>'4. ABC XYZ Analysis'!M291</f>
        <v>X</v>
      </c>
      <c r="F291" s="4">
        <f>'1. Master Data'!F291</f>
        <v>190</v>
      </c>
      <c r="G291" s="3">
        <f>'1. Master Data'!G291</f>
        <v>12</v>
      </c>
      <c r="H291" s="8">
        <f>'3. Demand Forecast'!F291/$T$3</f>
        <v>34.68181818181818</v>
      </c>
      <c r="I291" s="8">
        <f>'3. Demand Forecast'!G291/SQRT($T$3)</f>
        <v>40.486816035930424</v>
      </c>
      <c r="J291" s="5">
        <f t="shared" si="24"/>
        <v>232</v>
      </c>
      <c r="K291" s="5">
        <f t="shared" si="25"/>
        <v>649</v>
      </c>
      <c r="L291" s="3">
        <f>IF(F291=0,0,ROUNDUP(SQRT(2*'4. ABC XYZ Analysis'!F291*$U$3/(F291*$V$3)),0))</f>
        <v>64</v>
      </c>
      <c r="M291" s="3">
        <f>'1. Master Data'!I291</f>
        <v>652</v>
      </c>
      <c r="N291" s="3">
        <f t="shared" si="26"/>
        <v>19</v>
      </c>
      <c r="O291" s="5" t="str">
        <f t="shared" si="27"/>
        <v>ORDER SOON</v>
      </c>
      <c r="P291" s="5" t="str">
        <f t="shared" si="28"/>
        <v>MEDIUM</v>
      </c>
      <c r="Q291" s="3" t="str">
        <f t="shared" si="29"/>
        <v>Reorder Point</v>
      </c>
    </row>
    <row r="292" spans="1:17" ht="15" customHeight="1" x14ac:dyDescent="0.2">
      <c r="A292" s="3" t="str">
        <f>'1. Master Data'!A292</f>
        <v>NT10288</v>
      </c>
      <c r="B292" s="1" t="str">
        <f>'1. Master Data'!B292</f>
        <v>ArenaHeadset H881</v>
      </c>
      <c r="C292" s="3" t="str">
        <f>'1. Master Data'!D292</f>
        <v>West DC</v>
      </c>
      <c r="D292" s="5" t="str">
        <f>'4. ABC XYZ Analysis'!K292</f>
        <v>B</v>
      </c>
      <c r="E292" s="5" t="str">
        <f>'4. ABC XYZ Analysis'!M292</f>
        <v>Y</v>
      </c>
      <c r="F292" s="4">
        <f>'1. Master Data'!F292</f>
        <v>52</v>
      </c>
      <c r="G292" s="3">
        <f>'1. Master Data'!G292</f>
        <v>18</v>
      </c>
      <c r="H292" s="8">
        <f>'3. Demand Forecast'!F292/$T$3</f>
        <v>8.3954545454545446</v>
      </c>
      <c r="I292" s="8">
        <f>'3. Demand Forecast'!G292/SQRT($T$3)</f>
        <v>10.42551502978935</v>
      </c>
      <c r="J292" s="5">
        <f t="shared" si="24"/>
        <v>73</v>
      </c>
      <c r="K292" s="5">
        <f t="shared" si="25"/>
        <v>225</v>
      </c>
      <c r="L292" s="3">
        <f>IF(F292=0,0,ROUNDUP(SQRT(2*'4. ABC XYZ Analysis'!F292*$U$3/(F292*$V$3)),0))</f>
        <v>35</v>
      </c>
      <c r="M292" s="3">
        <f>'1. Master Data'!I292</f>
        <v>228</v>
      </c>
      <c r="N292" s="3">
        <f t="shared" si="26"/>
        <v>27</v>
      </c>
      <c r="O292" s="5" t="str">
        <f t="shared" si="27"/>
        <v>ORDER SOON</v>
      </c>
      <c r="P292" s="5" t="str">
        <f t="shared" si="28"/>
        <v>MEDIUM</v>
      </c>
      <c r="Q292" s="3" t="str">
        <f t="shared" si="29"/>
        <v>Reorder Point</v>
      </c>
    </row>
    <row r="293" spans="1:17" ht="15" customHeight="1" x14ac:dyDescent="0.2">
      <c r="A293" s="3" t="str">
        <f>'1. Master Data'!A293</f>
        <v>NT10289</v>
      </c>
      <c r="B293" s="1" t="str">
        <f>'1. Master Data'!B293</f>
        <v>ArenaHeadset H623</v>
      </c>
      <c r="C293" s="3" t="str">
        <f>'1. Master Data'!D293</f>
        <v>West DC</v>
      </c>
      <c r="D293" s="5" t="str">
        <f>'4. ABC XYZ Analysis'!K293</f>
        <v>B</v>
      </c>
      <c r="E293" s="5" t="str">
        <f>'4. ABC XYZ Analysis'!M293</f>
        <v>X</v>
      </c>
      <c r="F293" s="4">
        <f>'1. Master Data'!F293</f>
        <v>314</v>
      </c>
      <c r="G293" s="3">
        <f>'1. Master Data'!G293</f>
        <v>19</v>
      </c>
      <c r="H293" s="8">
        <f>'3. Demand Forecast'!F293/$T$3</f>
        <v>6.5136363636363646</v>
      </c>
      <c r="I293" s="8">
        <f>'3. Demand Forecast'!G293/SQRT($T$3)</f>
        <v>9.2955512331046144</v>
      </c>
      <c r="J293" s="5">
        <f t="shared" si="24"/>
        <v>67</v>
      </c>
      <c r="K293" s="5">
        <f t="shared" si="25"/>
        <v>191</v>
      </c>
      <c r="L293" s="3">
        <f>IF(F293=0,0,ROUNDUP(SQRT(2*'4. ABC XYZ Analysis'!F293*$U$3/(F293*$V$3)),0))</f>
        <v>14</v>
      </c>
      <c r="M293" s="3">
        <f>'1. Master Data'!I293</f>
        <v>194</v>
      </c>
      <c r="N293" s="3">
        <f t="shared" si="26"/>
        <v>30</v>
      </c>
      <c r="O293" s="5" t="str">
        <f t="shared" si="27"/>
        <v>ORDER SOON</v>
      </c>
      <c r="P293" s="5" t="str">
        <f t="shared" si="28"/>
        <v>MEDIUM</v>
      </c>
      <c r="Q293" s="3" t="str">
        <f t="shared" si="29"/>
        <v>Reorder Point</v>
      </c>
    </row>
    <row r="294" spans="1:17" ht="15" customHeight="1" x14ac:dyDescent="0.2">
      <c r="A294" s="3" t="str">
        <f>'1. Master Data'!A294</f>
        <v>NT10290</v>
      </c>
      <c r="B294" s="1" t="str">
        <f>'1. Master Data'!B294</f>
        <v>GameStation Controller 601</v>
      </c>
      <c r="C294" s="3" t="str">
        <f>'1. Master Data'!D294</f>
        <v>Central DC</v>
      </c>
      <c r="D294" s="5" t="str">
        <f>'4. ABC XYZ Analysis'!K294</f>
        <v>B</v>
      </c>
      <c r="E294" s="5" t="str">
        <f>'4. ABC XYZ Analysis'!M294</f>
        <v>Y</v>
      </c>
      <c r="F294" s="4">
        <f>'1. Master Data'!F294</f>
        <v>196</v>
      </c>
      <c r="G294" s="3">
        <f>'1. Master Data'!G294</f>
        <v>18</v>
      </c>
      <c r="H294" s="8">
        <f>'3. Demand Forecast'!F294/$T$3</f>
        <v>4.004545454545454</v>
      </c>
      <c r="I294" s="8">
        <f>'3. Demand Forecast'!G294/SQRT($T$3)</f>
        <v>5.9482999863215307</v>
      </c>
      <c r="J294" s="5">
        <f t="shared" si="24"/>
        <v>42</v>
      </c>
      <c r="K294" s="5">
        <f t="shared" si="25"/>
        <v>115</v>
      </c>
      <c r="L294" s="3">
        <f>IF(F294=0,0,ROUNDUP(SQRT(2*'4. ABC XYZ Analysis'!F294*$U$3/(F294*$V$3)),0))</f>
        <v>96</v>
      </c>
      <c r="M294" s="3">
        <f>'1. Master Data'!I294</f>
        <v>118</v>
      </c>
      <c r="N294" s="3">
        <f t="shared" si="26"/>
        <v>29</v>
      </c>
      <c r="O294" s="5" t="str">
        <f t="shared" si="27"/>
        <v>ORDER SOON</v>
      </c>
      <c r="P294" s="5" t="str">
        <f t="shared" si="28"/>
        <v>MEDIUM</v>
      </c>
      <c r="Q294" s="3" t="str">
        <f t="shared" si="29"/>
        <v>Reorder Point</v>
      </c>
    </row>
    <row r="295" spans="1:17" ht="15" customHeight="1" x14ac:dyDescent="0.2">
      <c r="A295" s="3" t="str">
        <f>'1. Master Data'!A295</f>
        <v>NT10291</v>
      </c>
      <c r="B295" s="1" t="str">
        <f>'1. Master Data'!B295</f>
        <v>GameStation Controller 866</v>
      </c>
      <c r="C295" s="3" t="str">
        <f>'1. Master Data'!D295</f>
        <v>West DC</v>
      </c>
      <c r="D295" s="5" t="str">
        <f>'4. ABC XYZ Analysis'!K295</f>
        <v>B</v>
      </c>
      <c r="E295" s="5" t="str">
        <f>'4. ABC XYZ Analysis'!M295</f>
        <v>Y</v>
      </c>
      <c r="F295" s="4">
        <f>'1. Master Data'!F295</f>
        <v>169</v>
      </c>
      <c r="G295" s="3">
        <f>'1. Master Data'!G295</f>
        <v>15</v>
      </c>
      <c r="H295" s="8">
        <f>'3. Demand Forecast'!F295/$T$3</f>
        <v>17.554545454545455</v>
      </c>
      <c r="I295" s="8">
        <f>'3. Demand Forecast'!G295/SQRT($T$3)</f>
        <v>21.85307342645007</v>
      </c>
      <c r="J295" s="5">
        <f t="shared" si="24"/>
        <v>140</v>
      </c>
      <c r="K295" s="5">
        <f t="shared" si="25"/>
        <v>404</v>
      </c>
      <c r="L295" s="3">
        <f>IF(F295=0,0,ROUNDUP(SQRT(2*'4. ABC XYZ Analysis'!F295*$U$3/(F295*$V$3)),0))</f>
        <v>20</v>
      </c>
      <c r="M295" s="3">
        <f>'1. Master Data'!I295</f>
        <v>143</v>
      </c>
      <c r="N295" s="3">
        <f t="shared" si="26"/>
        <v>8</v>
      </c>
      <c r="O295" s="5" t="str">
        <f t="shared" si="27"/>
        <v>ORDER NOW</v>
      </c>
      <c r="P295" s="5" t="str">
        <f t="shared" si="28"/>
        <v>HIGH</v>
      </c>
      <c r="Q295" s="3" t="str">
        <f t="shared" si="29"/>
        <v>Reorder Point</v>
      </c>
    </row>
    <row r="296" spans="1:17" ht="15" customHeight="1" x14ac:dyDescent="0.2">
      <c r="A296" s="3" t="str">
        <f>'1. Master Data'!A296</f>
        <v>NT10292</v>
      </c>
      <c r="B296" s="1" t="str">
        <f>'1. Master Data'!B296</f>
        <v>ArenaHeadset H600</v>
      </c>
      <c r="C296" s="3" t="str">
        <f>'1. Master Data'!D296</f>
        <v>East DC</v>
      </c>
      <c r="D296" s="5" t="str">
        <f>'4. ABC XYZ Analysis'!K296</f>
        <v>B</v>
      </c>
      <c r="E296" s="5" t="str">
        <f>'4. ABC XYZ Analysis'!M296</f>
        <v>Y</v>
      </c>
      <c r="F296" s="4">
        <f>'1. Master Data'!F296</f>
        <v>299</v>
      </c>
      <c r="G296" s="3">
        <f>'1. Master Data'!G296</f>
        <v>26</v>
      </c>
      <c r="H296" s="8">
        <f>'3. Demand Forecast'!F296/$T$3</f>
        <v>7.4909090909090912</v>
      </c>
      <c r="I296" s="8">
        <f>'3. Demand Forecast'!G296/SQRT($T$3)</f>
        <v>10.553435459602715</v>
      </c>
      <c r="J296" s="5">
        <f t="shared" si="24"/>
        <v>89</v>
      </c>
      <c r="K296" s="5">
        <f t="shared" si="25"/>
        <v>284</v>
      </c>
      <c r="L296" s="3">
        <f>IF(F296=0,0,ROUNDUP(SQRT(2*'4. ABC XYZ Analysis'!F296*$U$3/(F296*$V$3)),0))</f>
        <v>20</v>
      </c>
      <c r="M296" s="3">
        <f>'1. Master Data'!I296</f>
        <v>287</v>
      </c>
      <c r="N296" s="3">
        <f t="shared" si="26"/>
        <v>38</v>
      </c>
      <c r="O296" s="5" t="str">
        <f t="shared" si="27"/>
        <v>ORDER SOON</v>
      </c>
      <c r="P296" s="5" t="str">
        <f t="shared" si="28"/>
        <v>MEDIUM</v>
      </c>
      <c r="Q296" s="3" t="str">
        <f t="shared" si="29"/>
        <v>Reorder Point</v>
      </c>
    </row>
    <row r="297" spans="1:17" ht="15" customHeight="1" x14ac:dyDescent="0.2">
      <c r="A297" s="3" t="str">
        <f>'1. Master Data'!A297</f>
        <v>NT10293</v>
      </c>
      <c r="B297" s="1" t="str">
        <f>'1. Master Data'!B297</f>
        <v>GameStation Controller 501</v>
      </c>
      <c r="C297" s="3" t="str">
        <f>'1. Master Data'!D297</f>
        <v>Central DC</v>
      </c>
      <c r="D297" s="5" t="str">
        <f>'4. ABC XYZ Analysis'!K297</f>
        <v>B</v>
      </c>
      <c r="E297" s="5" t="str">
        <f>'4. ABC XYZ Analysis'!M297</f>
        <v>Y</v>
      </c>
      <c r="F297" s="4">
        <f>'1. Master Data'!F297</f>
        <v>175</v>
      </c>
      <c r="G297" s="3">
        <f>'1. Master Data'!G297</f>
        <v>22</v>
      </c>
      <c r="H297" s="8">
        <f>'3. Demand Forecast'!F297/$T$3</f>
        <v>8.7227272727272727</v>
      </c>
      <c r="I297" s="8">
        <f>'3. Demand Forecast'!G297/SQRT($T$3)</f>
        <v>14.881410001621607</v>
      </c>
      <c r="J297" s="5">
        <f t="shared" si="24"/>
        <v>116</v>
      </c>
      <c r="K297" s="5">
        <f t="shared" si="25"/>
        <v>308</v>
      </c>
      <c r="L297" s="3">
        <f>IF(F297=0,0,ROUNDUP(SQRT(2*'4. ABC XYZ Analysis'!F297*$U$3/(F297*$V$3)),0))</f>
        <v>14</v>
      </c>
      <c r="M297" s="3">
        <f>'1. Master Data'!I297</f>
        <v>311</v>
      </c>
      <c r="N297" s="3">
        <f t="shared" si="26"/>
        <v>36</v>
      </c>
      <c r="O297" s="5" t="str">
        <f t="shared" si="27"/>
        <v>ORDER SOON</v>
      </c>
      <c r="P297" s="5" t="str">
        <f t="shared" si="28"/>
        <v>MEDIUM</v>
      </c>
      <c r="Q297" s="3" t="str">
        <f t="shared" si="29"/>
        <v>Reorder Point</v>
      </c>
    </row>
    <row r="298" spans="1:17" ht="15" customHeight="1" x14ac:dyDescent="0.2">
      <c r="A298" s="3" t="str">
        <f>'1. Master Data'!A298</f>
        <v>NT10294</v>
      </c>
      <c r="B298" s="1" t="str">
        <f>'1. Master Data'!B298</f>
        <v>ArenaHeadset H366</v>
      </c>
      <c r="C298" s="3" t="str">
        <f>'1. Master Data'!D298</f>
        <v>East DC</v>
      </c>
      <c r="D298" s="5" t="str">
        <f>'4. ABC XYZ Analysis'!K298</f>
        <v>B</v>
      </c>
      <c r="E298" s="5" t="str">
        <f>'4. ABC XYZ Analysis'!M298</f>
        <v>X</v>
      </c>
      <c r="F298" s="4">
        <f>'1. Master Data'!F298</f>
        <v>344</v>
      </c>
      <c r="G298" s="3">
        <f>'1. Master Data'!G298</f>
        <v>24</v>
      </c>
      <c r="H298" s="8">
        <f>'3. Demand Forecast'!F298/$T$3</f>
        <v>0.90454545454545443</v>
      </c>
      <c r="I298" s="8">
        <f>'3. Demand Forecast'!G298/SQRT($T$3)</f>
        <v>1.2365641548625403</v>
      </c>
      <c r="J298" s="5">
        <f t="shared" si="24"/>
        <v>10</v>
      </c>
      <c r="K298" s="5">
        <f t="shared" si="25"/>
        <v>32</v>
      </c>
      <c r="L298" s="3">
        <f>IF(F298=0,0,ROUNDUP(SQRT(2*'4. ABC XYZ Analysis'!F298*$U$3/(F298*$V$3)),0))</f>
        <v>101</v>
      </c>
      <c r="M298" s="3">
        <f>'1. Master Data'!I298</f>
        <v>36</v>
      </c>
      <c r="N298" s="3">
        <f t="shared" si="26"/>
        <v>40</v>
      </c>
      <c r="O298" s="5" t="str">
        <f t="shared" si="27"/>
        <v>ORDER SOON</v>
      </c>
      <c r="P298" s="5" t="str">
        <f t="shared" si="28"/>
        <v>MEDIUM</v>
      </c>
      <c r="Q298" s="3" t="str">
        <f t="shared" si="29"/>
        <v>Reorder Point</v>
      </c>
    </row>
    <row r="299" spans="1:17" ht="15" customHeight="1" x14ac:dyDescent="0.2">
      <c r="A299" s="3" t="str">
        <f>'1. Master Data'!A299</f>
        <v>NT10295</v>
      </c>
      <c r="B299" s="1" t="str">
        <f>'1. Master Data'!B299</f>
        <v>StreamCam S188</v>
      </c>
      <c r="C299" s="3" t="str">
        <f>'1. Master Data'!D299</f>
        <v>Central DC</v>
      </c>
      <c r="D299" s="5" t="str">
        <f>'4. ABC XYZ Analysis'!K299</f>
        <v>B</v>
      </c>
      <c r="E299" s="5" t="str">
        <f>'4. ABC XYZ Analysis'!M299</f>
        <v>Y</v>
      </c>
      <c r="F299" s="4">
        <f>'1. Master Data'!F299</f>
        <v>90</v>
      </c>
      <c r="G299" s="3">
        <f>'1. Master Data'!G299</f>
        <v>12</v>
      </c>
      <c r="H299" s="8">
        <f>'3. Demand Forecast'!F299/$T$3</f>
        <v>13.331818181818182</v>
      </c>
      <c r="I299" s="8">
        <f>'3. Demand Forecast'!G299/SQRT($T$3)</f>
        <v>19.081464113827135</v>
      </c>
      <c r="J299" s="5">
        <f t="shared" si="24"/>
        <v>110</v>
      </c>
      <c r="K299" s="5">
        <f t="shared" si="25"/>
        <v>270</v>
      </c>
      <c r="L299" s="3">
        <f>IF(F299=0,0,ROUNDUP(SQRT(2*'4. ABC XYZ Analysis'!F299*$U$3/(F299*$V$3)),0))</f>
        <v>30</v>
      </c>
      <c r="M299" s="3">
        <f>'1. Master Data'!I299</f>
        <v>273</v>
      </c>
      <c r="N299" s="3">
        <f t="shared" si="26"/>
        <v>20</v>
      </c>
      <c r="O299" s="5" t="str">
        <f t="shared" si="27"/>
        <v>ORDER SOON</v>
      </c>
      <c r="P299" s="5" t="str">
        <f t="shared" si="28"/>
        <v>MEDIUM</v>
      </c>
      <c r="Q299" s="3" t="str">
        <f t="shared" si="29"/>
        <v>Reorder Point</v>
      </c>
    </row>
    <row r="300" spans="1:17" ht="15" customHeight="1" x14ac:dyDescent="0.2">
      <c r="A300" s="3" t="str">
        <f>'1. Master Data'!A300</f>
        <v>NT10296</v>
      </c>
      <c r="B300" s="1" t="str">
        <f>'1. Master Data'!B300</f>
        <v>GameStation Controller 420</v>
      </c>
      <c r="C300" s="3" t="str">
        <f>'1. Master Data'!D300</f>
        <v>West DC</v>
      </c>
      <c r="D300" s="5" t="str">
        <f>'4. ABC XYZ Analysis'!K300</f>
        <v>B</v>
      </c>
      <c r="E300" s="5" t="str">
        <f>'4. ABC XYZ Analysis'!M300</f>
        <v>Z</v>
      </c>
      <c r="F300" s="4">
        <f>'1. Master Data'!F300</f>
        <v>271</v>
      </c>
      <c r="G300" s="3">
        <f>'1. Master Data'!G300</f>
        <v>25</v>
      </c>
      <c r="H300" s="8">
        <f>'3. Demand Forecast'!F300/$T$3</f>
        <v>2.4681818181818183</v>
      </c>
      <c r="I300" s="8">
        <f>'3. Demand Forecast'!G300/SQRT($T$3)</f>
        <v>3.944213252578793</v>
      </c>
      <c r="J300" s="5">
        <f t="shared" si="24"/>
        <v>33</v>
      </c>
      <c r="K300" s="5">
        <f t="shared" si="25"/>
        <v>95</v>
      </c>
      <c r="L300" s="3">
        <f>IF(F300=0,0,ROUNDUP(SQRT(2*'4. ABC XYZ Analysis'!F300*$U$3/(F300*$V$3)),0))</f>
        <v>22</v>
      </c>
      <c r="M300" s="3">
        <f>'1. Master Data'!I300</f>
        <v>98</v>
      </c>
      <c r="N300" s="3">
        <f t="shared" si="26"/>
        <v>40</v>
      </c>
      <c r="O300" s="5" t="str">
        <f t="shared" si="27"/>
        <v>ORDER SOON</v>
      </c>
      <c r="P300" s="5" t="str">
        <f t="shared" si="28"/>
        <v>MEDIUM</v>
      </c>
      <c r="Q300" s="3" t="str">
        <f t="shared" si="29"/>
        <v>Min Max</v>
      </c>
    </row>
    <row r="301" spans="1:17" ht="15" customHeight="1" x14ac:dyDescent="0.2">
      <c r="A301" s="3" t="str">
        <f>'1. Master Data'!A301</f>
        <v>NT10297</v>
      </c>
      <c r="B301" s="1" t="str">
        <f>'1. Master Data'!B301</f>
        <v>ProMouse G461</v>
      </c>
      <c r="C301" s="3" t="str">
        <f>'1. Master Data'!D301</f>
        <v>West DC</v>
      </c>
      <c r="D301" s="5" t="str">
        <f>'4. ABC XYZ Analysis'!K301</f>
        <v>B</v>
      </c>
      <c r="E301" s="5" t="str">
        <f>'4. ABC XYZ Analysis'!M301</f>
        <v>Y</v>
      </c>
      <c r="F301" s="4">
        <f>'1. Master Data'!F301</f>
        <v>64</v>
      </c>
      <c r="G301" s="3">
        <f>'1. Master Data'!G301</f>
        <v>19</v>
      </c>
      <c r="H301" s="8">
        <f>'3. Demand Forecast'!F301/$T$3</f>
        <v>0.82272727272727275</v>
      </c>
      <c r="I301" s="8">
        <f>'3. Demand Forecast'!G301/SQRT($T$3)</f>
        <v>1.1512838683202964</v>
      </c>
      <c r="J301" s="5">
        <f t="shared" si="24"/>
        <v>9</v>
      </c>
      <c r="K301" s="5">
        <f t="shared" si="25"/>
        <v>25</v>
      </c>
      <c r="L301" s="3">
        <f>IF(F301=0,0,ROUNDUP(SQRT(2*'4. ABC XYZ Analysis'!F301*$U$3/(F301*$V$3)),0))</f>
        <v>66</v>
      </c>
      <c r="M301" s="3">
        <f>'1. Master Data'!I301</f>
        <v>28</v>
      </c>
      <c r="N301" s="3">
        <f t="shared" si="26"/>
        <v>34</v>
      </c>
      <c r="O301" s="5" t="str">
        <f t="shared" si="27"/>
        <v>ORDER SOON</v>
      </c>
      <c r="P301" s="5" t="str">
        <f t="shared" si="28"/>
        <v>MEDIUM</v>
      </c>
      <c r="Q301" s="3" t="str">
        <f t="shared" si="29"/>
        <v>Reorder Point</v>
      </c>
    </row>
    <row r="302" spans="1:17" ht="15" customHeight="1" x14ac:dyDescent="0.2">
      <c r="A302" s="3" t="str">
        <f>'1. Master Data'!A302</f>
        <v>NT10298</v>
      </c>
      <c r="B302" s="1" t="str">
        <f>'1. Master Data'!B302</f>
        <v>StreamCam S283</v>
      </c>
      <c r="C302" s="3" t="str">
        <f>'1. Master Data'!D302</f>
        <v>Central DC</v>
      </c>
      <c r="D302" s="5" t="str">
        <f>'4. ABC XYZ Analysis'!K302</f>
        <v>B</v>
      </c>
      <c r="E302" s="5" t="str">
        <f>'4. ABC XYZ Analysis'!M302</f>
        <v>X</v>
      </c>
      <c r="F302" s="4">
        <f>'1. Master Data'!F302</f>
        <v>291</v>
      </c>
      <c r="G302" s="3">
        <f>'1. Master Data'!G302</f>
        <v>29</v>
      </c>
      <c r="H302" s="8">
        <f>'3. Demand Forecast'!F302/$T$3</f>
        <v>2.9090909090909092</v>
      </c>
      <c r="I302" s="8">
        <f>'3. Demand Forecast'!G302/SQRT($T$3)</f>
        <v>3.9015731093076709</v>
      </c>
      <c r="J302" s="5">
        <f t="shared" si="24"/>
        <v>35</v>
      </c>
      <c r="K302" s="5">
        <f t="shared" si="25"/>
        <v>120</v>
      </c>
      <c r="L302" s="3">
        <f>IF(F302=0,0,ROUNDUP(SQRT(2*'4. ABC XYZ Analysis'!F302*$U$3/(F302*$V$3)),0))</f>
        <v>67</v>
      </c>
      <c r="M302" s="3">
        <f>'1. Master Data'!I302</f>
        <v>123</v>
      </c>
      <c r="N302" s="3">
        <f t="shared" si="26"/>
        <v>42</v>
      </c>
      <c r="O302" s="5" t="str">
        <f t="shared" si="27"/>
        <v>ORDER SOON</v>
      </c>
      <c r="P302" s="5" t="str">
        <f t="shared" si="28"/>
        <v>MEDIUM</v>
      </c>
      <c r="Q302" s="3" t="str">
        <f t="shared" si="29"/>
        <v>Reorder Point</v>
      </c>
    </row>
    <row r="303" spans="1:17" ht="15" customHeight="1" x14ac:dyDescent="0.2">
      <c r="A303" s="3" t="str">
        <f>'1. Master Data'!A303</f>
        <v>NT10299</v>
      </c>
      <c r="B303" s="1" t="str">
        <f>'1. Master Data'!B303</f>
        <v>ProMouse G421</v>
      </c>
      <c r="C303" s="3" t="str">
        <f>'1. Master Data'!D303</f>
        <v>West DC</v>
      </c>
      <c r="D303" s="5" t="str">
        <f>'4. ABC XYZ Analysis'!K303</f>
        <v>B</v>
      </c>
      <c r="E303" s="5" t="str">
        <f>'4. ABC XYZ Analysis'!M303</f>
        <v>X</v>
      </c>
      <c r="F303" s="4">
        <f>'1. Master Data'!F303</f>
        <v>160</v>
      </c>
      <c r="G303" s="3">
        <f>'1. Master Data'!G303</f>
        <v>29</v>
      </c>
      <c r="H303" s="8">
        <f>'3. Demand Forecast'!F303/$T$3</f>
        <v>0.77727272727272734</v>
      </c>
      <c r="I303" s="8">
        <f>'3. Demand Forecast'!G303/SQRT($T$3)</f>
        <v>1.3218444414047847</v>
      </c>
      <c r="J303" s="5">
        <f t="shared" si="24"/>
        <v>12</v>
      </c>
      <c r="K303" s="5">
        <f t="shared" si="25"/>
        <v>35</v>
      </c>
      <c r="L303" s="3">
        <f>IF(F303=0,0,ROUNDUP(SQRT(2*'4. ABC XYZ Analysis'!F303*$U$3/(F303*$V$3)),0))</f>
        <v>57</v>
      </c>
      <c r="M303" s="3">
        <f>'1. Master Data'!I303</f>
        <v>38</v>
      </c>
      <c r="N303" s="3">
        <f t="shared" si="26"/>
        <v>49</v>
      </c>
      <c r="O303" s="5" t="str">
        <f t="shared" si="27"/>
        <v>ORDER SOON</v>
      </c>
      <c r="P303" s="5" t="str">
        <f t="shared" si="28"/>
        <v>MEDIUM</v>
      </c>
      <c r="Q303" s="3" t="str">
        <f t="shared" si="29"/>
        <v>Reorder Point</v>
      </c>
    </row>
    <row r="304" spans="1:17" ht="15" customHeight="1" x14ac:dyDescent="0.2">
      <c r="A304" s="3" t="str">
        <f>'1. Master Data'!A304</f>
        <v>NT10300</v>
      </c>
      <c r="B304" s="1" t="str">
        <f>'1. Master Data'!B304</f>
        <v>RGB Keyboard K610</v>
      </c>
      <c r="C304" s="3" t="str">
        <f>'1. Master Data'!D304</f>
        <v>Central DC</v>
      </c>
      <c r="D304" s="5" t="str">
        <f>'4. ABC XYZ Analysis'!K304</f>
        <v>B</v>
      </c>
      <c r="E304" s="5" t="str">
        <f>'4. ABC XYZ Analysis'!M304</f>
        <v>X</v>
      </c>
      <c r="F304" s="4">
        <f>'1. Master Data'!F304</f>
        <v>226</v>
      </c>
      <c r="G304" s="3">
        <f>'1. Master Data'!G304</f>
        <v>13</v>
      </c>
      <c r="H304" s="8">
        <f>'3. Demand Forecast'!F304/$T$3</f>
        <v>0.89545454545454539</v>
      </c>
      <c r="I304" s="8">
        <f>'3. Demand Forecast'!G304/SQRT($T$3)</f>
        <v>3.9655333242143542</v>
      </c>
      <c r="J304" s="5">
        <f t="shared" si="24"/>
        <v>24</v>
      </c>
      <c r="K304" s="5">
        <f t="shared" si="25"/>
        <v>36</v>
      </c>
      <c r="L304" s="3">
        <f>IF(F304=0,0,ROUNDUP(SQRT(2*'4. ABC XYZ Analysis'!F304*$U$3/(F304*$V$3)),0))</f>
        <v>111</v>
      </c>
      <c r="M304" s="3">
        <f>'1. Master Data'!I304</f>
        <v>39</v>
      </c>
      <c r="N304" s="3">
        <f t="shared" si="26"/>
        <v>44</v>
      </c>
      <c r="O304" s="5" t="str">
        <f t="shared" si="27"/>
        <v>ORDER SOON</v>
      </c>
      <c r="P304" s="5" t="str">
        <f t="shared" si="28"/>
        <v>MEDIUM</v>
      </c>
      <c r="Q304" s="3" t="str">
        <f t="shared" si="29"/>
        <v>Reorder Point</v>
      </c>
    </row>
    <row r="305" spans="1:17" ht="15" customHeight="1" x14ac:dyDescent="0.2">
      <c r="A305" s="3" t="str">
        <f>'1. Master Data'!A305</f>
        <v>NT10301</v>
      </c>
      <c r="B305" s="1" t="str">
        <f>'1. Master Data'!B305</f>
        <v>LumiBulb 177 RGB</v>
      </c>
      <c r="C305" s="3" t="str">
        <f>'1. Master Data'!D305</f>
        <v>Central DC</v>
      </c>
      <c r="D305" s="5" t="str">
        <f>'4. ABC XYZ Analysis'!K305</f>
        <v>B</v>
      </c>
      <c r="E305" s="5" t="str">
        <f>'4. ABC XYZ Analysis'!M305</f>
        <v>Y</v>
      </c>
      <c r="F305" s="4">
        <f>'1. Master Data'!F305</f>
        <v>37</v>
      </c>
      <c r="G305" s="3">
        <f>'1. Master Data'!G305</f>
        <v>19</v>
      </c>
      <c r="H305" s="8">
        <f>'3. Demand Forecast'!F305/$T$3</f>
        <v>12.204545454545455</v>
      </c>
      <c r="I305" s="8">
        <f>'3. Demand Forecast'!G305/SQRT($T$3)</f>
        <v>4.1147738256632813</v>
      </c>
      <c r="J305" s="5">
        <f t="shared" si="24"/>
        <v>30</v>
      </c>
      <c r="K305" s="5">
        <f t="shared" si="25"/>
        <v>262</v>
      </c>
      <c r="L305" s="3">
        <f>IF(F305=0,0,ROUNDUP(SQRT(2*'4. ABC XYZ Analysis'!F305*$U$3/(F305*$V$3)),0))</f>
        <v>64</v>
      </c>
      <c r="M305" s="3">
        <f>'1. Master Data'!I305</f>
        <v>265</v>
      </c>
      <c r="N305" s="3">
        <f t="shared" si="26"/>
        <v>22</v>
      </c>
      <c r="O305" s="5" t="str">
        <f t="shared" si="27"/>
        <v>ORDER SOON</v>
      </c>
      <c r="P305" s="5" t="str">
        <f t="shared" si="28"/>
        <v>MEDIUM</v>
      </c>
      <c r="Q305" s="3" t="str">
        <f t="shared" si="29"/>
        <v>Reorder Point</v>
      </c>
    </row>
    <row r="306" spans="1:17" ht="15" customHeight="1" x14ac:dyDescent="0.2">
      <c r="A306" s="3" t="str">
        <f>'1. Master Data'!A306</f>
        <v>NT10302</v>
      </c>
      <c r="B306" s="1" t="str">
        <f>'1. Master Data'!B306</f>
        <v>DoorSense 239</v>
      </c>
      <c r="C306" s="3" t="str">
        <f>'1. Master Data'!D306</f>
        <v>East DC</v>
      </c>
      <c r="D306" s="5" t="str">
        <f>'4. ABC XYZ Analysis'!K306</f>
        <v>B</v>
      </c>
      <c r="E306" s="5" t="str">
        <f>'4. ABC XYZ Analysis'!M306</f>
        <v>X</v>
      </c>
      <c r="F306" s="4">
        <f>'1. Master Data'!F306</f>
        <v>26</v>
      </c>
      <c r="G306" s="3">
        <f>'1. Master Data'!G306</f>
        <v>19</v>
      </c>
      <c r="H306" s="8">
        <f>'3. Demand Forecast'!F306/$T$3</f>
        <v>1.531818181818182</v>
      </c>
      <c r="I306" s="8">
        <f>'3. Demand Forecast'!G306/SQRT($T$3)</f>
        <v>0.63960214906683133</v>
      </c>
      <c r="J306" s="5">
        <f t="shared" si="24"/>
        <v>5</v>
      </c>
      <c r="K306" s="5">
        <f t="shared" si="25"/>
        <v>35</v>
      </c>
      <c r="L306" s="3">
        <f>IF(F306=0,0,ROUNDUP(SQRT(2*'4. ABC XYZ Analysis'!F306*$U$3/(F306*$V$3)),0))</f>
        <v>280</v>
      </c>
      <c r="M306" s="3">
        <f>'1. Master Data'!I306</f>
        <v>38</v>
      </c>
      <c r="N306" s="3">
        <f t="shared" si="26"/>
        <v>25</v>
      </c>
      <c r="O306" s="5" t="str">
        <f t="shared" si="27"/>
        <v>ORDER SOON</v>
      </c>
      <c r="P306" s="5" t="str">
        <f t="shared" si="28"/>
        <v>MEDIUM</v>
      </c>
      <c r="Q306" s="3" t="str">
        <f t="shared" si="29"/>
        <v>Reorder Point</v>
      </c>
    </row>
    <row r="307" spans="1:17" ht="15" customHeight="1" x14ac:dyDescent="0.2">
      <c r="A307" s="3" t="str">
        <f>'1. Master Data'!A307</f>
        <v>NT10303</v>
      </c>
      <c r="B307" s="1" t="str">
        <f>'1. Master Data'!B307</f>
        <v>DoorSense 328</v>
      </c>
      <c r="C307" s="3" t="str">
        <f>'1. Master Data'!D307</f>
        <v>East DC</v>
      </c>
      <c r="D307" s="5" t="str">
        <f>'4. ABC XYZ Analysis'!K307</f>
        <v>B</v>
      </c>
      <c r="E307" s="5" t="str">
        <f>'4. ABC XYZ Analysis'!M307</f>
        <v>Y</v>
      </c>
      <c r="F307" s="4">
        <f>'1. Master Data'!F307</f>
        <v>111</v>
      </c>
      <c r="G307" s="3">
        <f>'1. Master Data'!G307</f>
        <v>19</v>
      </c>
      <c r="H307" s="8">
        <f>'3. Demand Forecast'!F307/$T$3</f>
        <v>13.922727272727274</v>
      </c>
      <c r="I307" s="8">
        <f>'3. Demand Forecast'!G307/SQRT($T$3)</f>
        <v>5.2234175507124556</v>
      </c>
      <c r="J307" s="5">
        <f t="shared" si="24"/>
        <v>38</v>
      </c>
      <c r="K307" s="5">
        <f t="shared" si="25"/>
        <v>303</v>
      </c>
      <c r="L307" s="3">
        <f>IF(F307=0,0,ROUNDUP(SQRT(2*'4. ABC XYZ Analysis'!F307*$U$3/(F307*$V$3)),0))</f>
        <v>90</v>
      </c>
      <c r="M307" s="3">
        <f>'1. Master Data'!I307</f>
        <v>306</v>
      </c>
      <c r="N307" s="3">
        <f t="shared" si="26"/>
        <v>22</v>
      </c>
      <c r="O307" s="5" t="str">
        <f t="shared" si="27"/>
        <v>ORDER SOON</v>
      </c>
      <c r="P307" s="5" t="str">
        <f t="shared" si="28"/>
        <v>MEDIUM</v>
      </c>
      <c r="Q307" s="3" t="str">
        <f t="shared" si="29"/>
        <v>Reorder Point</v>
      </c>
    </row>
    <row r="308" spans="1:17" ht="15" customHeight="1" x14ac:dyDescent="0.2">
      <c r="A308" s="3" t="str">
        <f>'1. Master Data'!A308</f>
        <v>NT10304</v>
      </c>
      <c r="B308" s="1" t="str">
        <f>'1. Master Data'!B308</f>
        <v>SmartPlug Duo 407</v>
      </c>
      <c r="C308" s="3" t="str">
        <f>'1. Master Data'!D308</f>
        <v>East DC</v>
      </c>
      <c r="D308" s="5" t="str">
        <f>'4. ABC XYZ Analysis'!K308</f>
        <v>B</v>
      </c>
      <c r="E308" s="5" t="str">
        <f>'4. ABC XYZ Analysis'!M308</f>
        <v>Y</v>
      </c>
      <c r="F308" s="4">
        <f>'1. Master Data'!F308</f>
        <v>55</v>
      </c>
      <c r="G308" s="3">
        <f>'1. Master Data'!G308</f>
        <v>13</v>
      </c>
      <c r="H308" s="8">
        <f>'3. Demand Forecast'!F308/$T$3</f>
        <v>3.65</v>
      </c>
      <c r="I308" s="8">
        <f>'3. Demand Forecast'!G308/SQRT($T$3)</f>
        <v>0.85280286542244166</v>
      </c>
      <c r="J308" s="5">
        <f t="shared" si="24"/>
        <v>6</v>
      </c>
      <c r="K308" s="5">
        <f t="shared" si="25"/>
        <v>54</v>
      </c>
      <c r="L308" s="3">
        <f>IF(F308=0,0,ROUNDUP(SQRT(2*'4. ABC XYZ Analysis'!F308*$U$3/(F308*$V$3)),0))</f>
        <v>46</v>
      </c>
      <c r="M308" s="3">
        <f>'1. Master Data'!I308</f>
        <v>57</v>
      </c>
      <c r="N308" s="3">
        <f t="shared" si="26"/>
        <v>16</v>
      </c>
      <c r="O308" s="5" t="str">
        <f t="shared" si="27"/>
        <v>ORDER SOON</v>
      </c>
      <c r="P308" s="5" t="str">
        <f t="shared" si="28"/>
        <v>MEDIUM</v>
      </c>
      <c r="Q308" s="3" t="str">
        <f t="shared" si="29"/>
        <v>Reorder Point</v>
      </c>
    </row>
    <row r="309" spans="1:17" ht="15" customHeight="1" x14ac:dyDescent="0.2">
      <c r="A309" s="3" t="str">
        <f>'1. Master Data'!A309</f>
        <v>NT10305</v>
      </c>
      <c r="B309" s="1" t="str">
        <f>'1. Master Data'!B309</f>
        <v>ThermoSmart 203</v>
      </c>
      <c r="C309" s="3" t="str">
        <f>'1. Master Data'!D309</f>
        <v>Central DC</v>
      </c>
      <c r="D309" s="5" t="str">
        <f>'4. ABC XYZ Analysis'!K309</f>
        <v>B</v>
      </c>
      <c r="E309" s="5" t="str">
        <f>'4. ABC XYZ Analysis'!M309</f>
        <v>Y</v>
      </c>
      <c r="F309" s="4">
        <f>'1. Master Data'!F309</f>
        <v>54</v>
      </c>
      <c r="G309" s="3">
        <f>'1. Master Data'!G309</f>
        <v>21</v>
      </c>
      <c r="H309" s="8">
        <f>'3. Demand Forecast'!F309/$T$3</f>
        <v>12.195454545454545</v>
      </c>
      <c r="I309" s="8">
        <f>'3. Demand Forecast'!G309/SQRT($T$3)</f>
        <v>4.5838154016456238</v>
      </c>
      <c r="J309" s="5">
        <f t="shared" si="24"/>
        <v>35</v>
      </c>
      <c r="K309" s="5">
        <f t="shared" si="25"/>
        <v>292</v>
      </c>
      <c r="L309" s="3">
        <f>IF(F309=0,0,ROUNDUP(SQRT(2*'4. ABC XYZ Analysis'!F309*$U$3/(F309*$V$3)),0))</f>
        <v>95</v>
      </c>
      <c r="M309" s="3">
        <f>'1. Master Data'!I309</f>
        <v>295</v>
      </c>
      <c r="N309" s="3">
        <f t="shared" si="26"/>
        <v>24</v>
      </c>
      <c r="O309" s="5" t="str">
        <f t="shared" si="27"/>
        <v>ORDER SOON</v>
      </c>
      <c r="P309" s="5" t="str">
        <f t="shared" si="28"/>
        <v>MEDIUM</v>
      </c>
      <c r="Q309" s="3" t="str">
        <f t="shared" si="29"/>
        <v>Reorder Point</v>
      </c>
    </row>
    <row r="310" spans="1:17" ht="15" customHeight="1" x14ac:dyDescent="0.2">
      <c r="A310" s="3" t="str">
        <f>'1. Master Data'!A310</f>
        <v>NT10306</v>
      </c>
      <c r="B310" s="1" t="str">
        <f>'1. Master Data'!B310</f>
        <v>SmartPlug Duo 900</v>
      </c>
      <c r="C310" s="3" t="str">
        <f>'1. Master Data'!D310</f>
        <v>East DC</v>
      </c>
      <c r="D310" s="5" t="str">
        <f>'4. ABC XYZ Analysis'!K310</f>
        <v>B</v>
      </c>
      <c r="E310" s="5" t="str">
        <f>'4. ABC XYZ Analysis'!M310</f>
        <v>Y</v>
      </c>
      <c r="F310" s="4">
        <f>'1. Master Data'!F310</f>
        <v>60</v>
      </c>
      <c r="G310" s="3">
        <f>'1. Master Data'!G310</f>
        <v>20</v>
      </c>
      <c r="H310" s="8">
        <f>'3. Demand Forecast'!F310/$T$3</f>
        <v>2.6954545454545453</v>
      </c>
      <c r="I310" s="8">
        <f>'3. Demand Forecast'!G310/SQRT($T$3)</f>
        <v>0.74620250724463644</v>
      </c>
      <c r="J310" s="5">
        <f t="shared" si="24"/>
        <v>6</v>
      </c>
      <c r="K310" s="5">
        <f t="shared" si="25"/>
        <v>60</v>
      </c>
      <c r="L310" s="3">
        <f>IF(F310=0,0,ROUNDUP(SQRT(2*'4. ABC XYZ Analysis'!F310*$U$3/(F310*$V$3)),0))</f>
        <v>65</v>
      </c>
      <c r="M310" s="3">
        <f>'1. Master Data'!I310</f>
        <v>63</v>
      </c>
      <c r="N310" s="3">
        <f t="shared" si="26"/>
        <v>23</v>
      </c>
      <c r="O310" s="5" t="str">
        <f t="shared" si="27"/>
        <v>ORDER SOON</v>
      </c>
      <c r="P310" s="5" t="str">
        <f t="shared" si="28"/>
        <v>MEDIUM</v>
      </c>
      <c r="Q310" s="3" t="str">
        <f t="shared" si="29"/>
        <v>Reorder Point</v>
      </c>
    </row>
    <row r="311" spans="1:17" ht="15" customHeight="1" x14ac:dyDescent="0.2">
      <c r="A311" s="3" t="str">
        <f>'1. Master Data'!A311</f>
        <v>NT10307</v>
      </c>
      <c r="B311" s="1" t="str">
        <f>'1. Master Data'!B311</f>
        <v>DoorSense 809</v>
      </c>
      <c r="C311" s="3" t="str">
        <f>'1. Master Data'!D311</f>
        <v>East DC</v>
      </c>
      <c r="D311" s="5" t="str">
        <f>'4. ABC XYZ Analysis'!K311</f>
        <v>B</v>
      </c>
      <c r="E311" s="5" t="str">
        <f>'4. ABC XYZ Analysis'!M311</f>
        <v>Y</v>
      </c>
      <c r="F311" s="4">
        <f>'1. Master Data'!F311</f>
        <v>115</v>
      </c>
      <c r="G311" s="3">
        <f>'1. Master Data'!G311</f>
        <v>10</v>
      </c>
      <c r="H311" s="8">
        <f>'3. Demand Forecast'!F311/$T$3</f>
        <v>11.622727272727273</v>
      </c>
      <c r="I311" s="8">
        <f>'3. Demand Forecast'!G311/SQRT($T$3)</f>
        <v>1.8761663039293719</v>
      </c>
      <c r="J311" s="5">
        <f t="shared" si="24"/>
        <v>10</v>
      </c>
      <c r="K311" s="5">
        <f t="shared" si="25"/>
        <v>127</v>
      </c>
      <c r="L311" s="3">
        <f>IF(F311=0,0,ROUNDUP(SQRT(2*'4. ABC XYZ Analysis'!F311*$U$3/(F311*$V$3)),0))</f>
        <v>48</v>
      </c>
      <c r="M311" s="3">
        <f>'1. Master Data'!I311</f>
        <v>130</v>
      </c>
      <c r="N311" s="3">
        <f t="shared" si="26"/>
        <v>11</v>
      </c>
      <c r="O311" s="5" t="str">
        <f t="shared" si="27"/>
        <v>ORDER SOON</v>
      </c>
      <c r="P311" s="5" t="str">
        <f t="shared" si="28"/>
        <v>MEDIUM</v>
      </c>
      <c r="Q311" s="3" t="str">
        <f t="shared" si="29"/>
        <v>Reorder Point</v>
      </c>
    </row>
    <row r="312" spans="1:17" ht="15" customHeight="1" x14ac:dyDescent="0.2">
      <c r="A312" s="3" t="str">
        <f>'1. Master Data'!A312</f>
        <v>NT10308</v>
      </c>
      <c r="B312" s="1" t="str">
        <f>'1. Master Data'!B312</f>
        <v>LumiBulb 477 RGB</v>
      </c>
      <c r="C312" s="3" t="str">
        <f>'1. Master Data'!D312</f>
        <v>East DC</v>
      </c>
      <c r="D312" s="5" t="str">
        <f>'4. ABC XYZ Analysis'!K312</f>
        <v>B</v>
      </c>
      <c r="E312" s="5" t="str">
        <f>'4. ABC XYZ Analysis'!M312</f>
        <v>X</v>
      </c>
      <c r="F312" s="4">
        <f>'1. Master Data'!F312</f>
        <v>117</v>
      </c>
      <c r="G312" s="3">
        <f>'1. Master Data'!G312</f>
        <v>11</v>
      </c>
      <c r="H312" s="8">
        <f>'3. Demand Forecast'!F312/$T$3</f>
        <v>4.9363636363636365</v>
      </c>
      <c r="I312" s="8">
        <f>'3. Demand Forecast'!G312/SQRT($T$3)</f>
        <v>1.0233634385069299</v>
      </c>
      <c r="J312" s="5">
        <f t="shared" si="24"/>
        <v>6</v>
      </c>
      <c r="K312" s="5">
        <f t="shared" si="25"/>
        <v>61</v>
      </c>
      <c r="L312" s="3">
        <f>IF(F312=0,0,ROUNDUP(SQRT(2*'4. ABC XYZ Analysis'!F312*$U$3/(F312*$V$3)),0))</f>
        <v>56</v>
      </c>
      <c r="M312" s="3">
        <f>'1. Master Data'!I312</f>
        <v>64</v>
      </c>
      <c r="N312" s="3">
        <f t="shared" si="26"/>
        <v>13</v>
      </c>
      <c r="O312" s="5" t="str">
        <f t="shared" si="27"/>
        <v>ORDER SOON</v>
      </c>
      <c r="P312" s="5" t="str">
        <f t="shared" si="28"/>
        <v>MEDIUM</v>
      </c>
      <c r="Q312" s="3" t="str">
        <f t="shared" si="29"/>
        <v>Reorder Point</v>
      </c>
    </row>
    <row r="313" spans="1:17" ht="15" customHeight="1" x14ac:dyDescent="0.2">
      <c r="A313" s="3" t="str">
        <f>'1. Master Data'!A313</f>
        <v>NT10309</v>
      </c>
      <c r="B313" s="1" t="str">
        <f>'1. Master Data'!B313</f>
        <v>LumiBulb 939 RGB</v>
      </c>
      <c r="C313" s="3" t="str">
        <f>'1. Master Data'!D313</f>
        <v>East DC</v>
      </c>
      <c r="D313" s="5" t="str">
        <f>'4. ABC XYZ Analysis'!K313</f>
        <v>B</v>
      </c>
      <c r="E313" s="5" t="str">
        <f>'4. ABC XYZ Analysis'!M313</f>
        <v>Y</v>
      </c>
      <c r="F313" s="4">
        <f>'1. Master Data'!F313</f>
        <v>42</v>
      </c>
      <c r="G313" s="3">
        <f>'1. Master Data'!G313</f>
        <v>20</v>
      </c>
      <c r="H313" s="8">
        <f>'3. Demand Forecast'!F313/$T$3</f>
        <v>2.8409090909090908</v>
      </c>
      <c r="I313" s="8">
        <f>'3. Demand Forecast'!G313/SQRT($T$3)</f>
        <v>1.1512838683202964</v>
      </c>
      <c r="J313" s="5">
        <f t="shared" si="24"/>
        <v>9</v>
      </c>
      <c r="K313" s="5">
        <f t="shared" si="25"/>
        <v>66</v>
      </c>
      <c r="L313" s="3">
        <f>IF(F313=0,0,ROUNDUP(SQRT(2*'4. ABC XYZ Analysis'!F313*$U$3/(F313*$V$3)),0))</f>
        <v>96</v>
      </c>
      <c r="M313" s="3">
        <f>'1. Master Data'!I313</f>
        <v>69</v>
      </c>
      <c r="N313" s="3">
        <f t="shared" si="26"/>
        <v>24</v>
      </c>
      <c r="O313" s="5" t="str">
        <f t="shared" si="27"/>
        <v>ORDER SOON</v>
      </c>
      <c r="P313" s="5" t="str">
        <f t="shared" si="28"/>
        <v>MEDIUM</v>
      </c>
      <c r="Q313" s="3" t="str">
        <f t="shared" si="29"/>
        <v>Reorder Point</v>
      </c>
    </row>
    <row r="314" spans="1:17" ht="15" customHeight="1" x14ac:dyDescent="0.2">
      <c r="A314" s="3" t="str">
        <f>'1. Master Data'!A314</f>
        <v>NT10310</v>
      </c>
      <c r="B314" s="1" t="str">
        <f>'1. Master Data'!B314</f>
        <v>HomeCam 583 1080p</v>
      </c>
      <c r="C314" s="3" t="str">
        <f>'1. Master Data'!D314</f>
        <v>Central DC</v>
      </c>
      <c r="D314" s="5" t="str">
        <f>'4. ABC XYZ Analysis'!K314</f>
        <v>B</v>
      </c>
      <c r="E314" s="5" t="str">
        <f>'4. ABC XYZ Analysis'!M314</f>
        <v>Y</v>
      </c>
      <c r="F314" s="4">
        <f>'1. Master Data'!F314</f>
        <v>103</v>
      </c>
      <c r="G314" s="3">
        <f>'1. Master Data'!G314</f>
        <v>10</v>
      </c>
      <c r="H314" s="8">
        <f>'3. Demand Forecast'!F314/$T$3</f>
        <v>7.004545454545454</v>
      </c>
      <c r="I314" s="8">
        <f>'3. Demand Forecast'!G314/SQRT($T$3)</f>
        <v>1.6203254443026391</v>
      </c>
      <c r="J314" s="5">
        <f t="shared" si="24"/>
        <v>9</v>
      </c>
      <c r="K314" s="5">
        <f t="shared" si="25"/>
        <v>80</v>
      </c>
      <c r="L314" s="3">
        <f>IF(F314=0,0,ROUNDUP(SQRT(2*'4. ABC XYZ Analysis'!F314*$U$3/(F314*$V$3)),0))</f>
        <v>54</v>
      </c>
      <c r="M314" s="3">
        <f>'1. Master Data'!I314</f>
        <v>83</v>
      </c>
      <c r="N314" s="3">
        <f t="shared" si="26"/>
        <v>12</v>
      </c>
      <c r="O314" s="5" t="str">
        <f t="shared" si="27"/>
        <v>ORDER SOON</v>
      </c>
      <c r="P314" s="5" t="str">
        <f t="shared" si="28"/>
        <v>MEDIUM</v>
      </c>
      <c r="Q314" s="3" t="str">
        <f t="shared" si="29"/>
        <v>Reorder Point</v>
      </c>
    </row>
    <row r="315" spans="1:17" ht="15" customHeight="1" x14ac:dyDescent="0.2">
      <c r="A315" s="3" t="str">
        <f>'1. Master Data'!A315</f>
        <v>NT10311</v>
      </c>
      <c r="B315" s="1" t="str">
        <f>'1. Master Data'!B315</f>
        <v>DoorSense 858</v>
      </c>
      <c r="C315" s="3" t="str">
        <f>'1. Master Data'!D315</f>
        <v>West DC</v>
      </c>
      <c r="D315" s="5" t="str">
        <f>'4. ABC XYZ Analysis'!K315</f>
        <v>B</v>
      </c>
      <c r="E315" s="5" t="str">
        <f>'4. ABC XYZ Analysis'!M315</f>
        <v>Y</v>
      </c>
      <c r="F315" s="4">
        <f>'1. Master Data'!F315</f>
        <v>14</v>
      </c>
      <c r="G315" s="3">
        <f>'1. Master Data'!G315</f>
        <v>18</v>
      </c>
      <c r="H315" s="8">
        <f>'3. Demand Forecast'!F315/$T$3</f>
        <v>18.400000000000002</v>
      </c>
      <c r="I315" s="8">
        <f>'3. Demand Forecast'!G315/SQRT($T$3)</f>
        <v>5.4366182670680656</v>
      </c>
      <c r="J315" s="5">
        <f t="shared" si="24"/>
        <v>39</v>
      </c>
      <c r="K315" s="5">
        <f t="shared" si="25"/>
        <v>371</v>
      </c>
      <c r="L315" s="3">
        <f>IF(F315=0,0,ROUNDUP(SQRT(2*'4. ABC XYZ Analysis'!F315*$U$3/(F315*$V$3)),0))</f>
        <v>160</v>
      </c>
      <c r="M315" s="3">
        <f>'1. Master Data'!I315</f>
        <v>374</v>
      </c>
      <c r="N315" s="3">
        <f t="shared" si="26"/>
        <v>20</v>
      </c>
      <c r="O315" s="5" t="str">
        <f t="shared" si="27"/>
        <v>ORDER SOON</v>
      </c>
      <c r="P315" s="5" t="str">
        <f t="shared" si="28"/>
        <v>MEDIUM</v>
      </c>
      <c r="Q315" s="3" t="str">
        <f t="shared" si="29"/>
        <v>Reorder Point</v>
      </c>
    </row>
    <row r="316" spans="1:17" ht="15" customHeight="1" x14ac:dyDescent="0.2">
      <c r="A316" s="3" t="str">
        <f>'1. Master Data'!A316</f>
        <v>NT10312</v>
      </c>
      <c r="B316" s="1" t="str">
        <f>'1. Master Data'!B316</f>
        <v>HomeCam 152 1080p</v>
      </c>
      <c r="C316" s="3" t="str">
        <f>'1. Master Data'!D316</f>
        <v>Central DC</v>
      </c>
      <c r="D316" s="5" t="str">
        <f>'4. ABC XYZ Analysis'!K316</f>
        <v>B</v>
      </c>
      <c r="E316" s="5" t="str">
        <f>'4. ABC XYZ Analysis'!M316</f>
        <v>Y</v>
      </c>
      <c r="F316" s="4">
        <f>'1. Master Data'!F316</f>
        <v>16</v>
      </c>
      <c r="G316" s="3">
        <f>'1. Master Data'!G316</f>
        <v>20</v>
      </c>
      <c r="H316" s="8">
        <f>'3. Demand Forecast'!F316/$T$3</f>
        <v>8.15</v>
      </c>
      <c r="I316" s="8">
        <f>'3. Demand Forecast'!G316/SQRT($T$3)</f>
        <v>2.5797286679028861</v>
      </c>
      <c r="J316" s="5">
        <f t="shared" si="24"/>
        <v>20</v>
      </c>
      <c r="K316" s="5">
        <f t="shared" si="25"/>
        <v>183</v>
      </c>
      <c r="L316" s="3">
        <f>IF(F316=0,0,ROUNDUP(SQRT(2*'4. ABC XYZ Analysis'!F316*$U$3/(F316*$V$3)),0))</f>
        <v>66</v>
      </c>
      <c r="M316" s="3">
        <f>'1. Master Data'!I316</f>
        <v>186</v>
      </c>
      <c r="N316" s="3">
        <f t="shared" si="26"/>
        <v>23</v>
      </c>
      <c r="O316" s="5" t="str">
        <f t="shared" si="27"/>
        <v>ORDER SOON</v>
      </c>
      <c r="P316" s="5" t="str">
        <f t="shared" si="28"/>
        <v>MEDIUM</v>
      </c>
      <c r="Q316" s="3" t="str">
        <f t="shared" si="29"/>
        <v>Reorder Point</v>
      </c>
    </row>
    <row r="317" spans="1:17" ht="15" customHeight="1" x14ac:dyDescent="0.2">
      <c r="A317" s="3" t="str">
        <f>'1. Master Data'!A317</f>
        <v>NT10313</v>
      </c>
      <c r="B317" s="1" t="str">
        <f>'1. Master Data'!B317</f>
        <v>DoorSense 989</v>
      </c>
      <c r="C317" s="3" t="str">
        <f>'1. Master Data'!D317</f>
        <v>East DC</v>
      </c>
      <c r="D317" s="5" t="str">
        <f>'4. ABC XYZ Analysis'!K317</f>
        <v>B</v>
      </c>
      <c r="E317" s="5" t="str">
        <f>'4. ABC XYZ Analysis'!M317</f>
        <v>Y</v>
      </c>
      <c r="F317" s="4">
        <f>'1. Master Data'!F317</f>
        <v>69</v>
      </c>
      <c r="G317" s="3">
        <f>'1. Master Data'!G317</f>
        <v>17</v>
      </c>
      <c r="H317" s="8">
        <f>'3. Demand Forecast'!F317/$T$3</f>
        <v>12.104545454545455</v>
      </c>
      <c r="I317" s="8">
        <f>'3. Demand Forecast'!G317/SQRT($T$3)</f>
        <v>3.9868533958499146</v>
      </c>
      <c r="J317" s="5">
        <f t="shared" si="24"/>
        <v>28</v>
      </c>
      <c r="K317" s="5">
        <f t="shared" si="25"/>
        <v>234</v>
      </c>
      <c r="L317" s="3">
        <f>IF(F317=0,0,ROUNDUP(SQRT(2*'4. ABC XYZ Analysis'!F317*$U$3/(F317*$V$3)),0))</f>
        <v>35</v>
      </c>
      <c r="M317" s="3">
        <f>'1. Master Data'!I317</f>
        <v>983</v>
      </c>
      <c r="N317" s="3">
        <f t="shared" si="26"/>
        <v>81</v>
      </c>
      <c r="O317" s="5" t="str">
        <f t="shared" si="27"/>
        <v>OK</v>
      </c>
      <c r="P317" s="5" t="str">
        <f t="shared" si="28"/>
        <v>LOW</v>
      </c>
      <c r="Q317" s="3" t="str">
        <f t="shared" si="29"/>
        <v>Reorder Point</v>
      </c>
    </row>
    <row r="318" spans="1:17" ht="15" customHeight="1" x14ac:dyDescent="0.2">
      <c r="A318" s="3" t="str">
        <f>'1. Master Data'!A318</f>
        <v>NT10314</v>
      </c>
      <c r="B318" s="1" t="str">
        <f>'1. Master Data'!B318</f>
        <v>DoorSense 634</v>
      </c>
      <c r="C318" s="3" t="str">
        <f>'1. Master Data'!D318</f>
        <v>Central DC</v>
      </c>
      <c r="D318" s="5" t="str">
        <f>'4. ABC XYZ Analysis'!K318</f>
        <v>B</v>
      </c>
      <c r="E318" s="5" t="str">
        <f>'4. ABC XYZ Analysis'!M318</f>
        <v>Y</v>
      </c>
      <c r="F318" s="4">
        <f>'1. Master Data'!F318</f>
        <v>108</v>
      </c>
      <c r="G318" s="3">
        <f>'1. Master Data'!G318</f>
        <v>10</v>
      </c>
      <c r="H318" s="8">
        <f>'3. Demand Forecast'!F318/$T$3</f>
        <v>4.5363636363636362</v>
      </c>
      <c r="I318" s="8">
        <f>'3. Demand Forecast'!G318/SQRT($T$3)</f>
        <v>1.0660035817780522</v>
      </c>
      <c r="J318" s="5">
        <f t="shared" si="24"/>
        <v>6</v>
      </c>
      <c r="K318" s="5">
        <f t="shared" si="25"/>
        <v>52</v>
      </c>
      <c r="L318" s="3">
        <f>IF(F318=0,0,ROUNDUP(SQRT(2*'4. ABC XYZ Analysis'!F318*$U$3/(F318*$V$3)),0))</f>
        <v>23</v>
      </c>
      <c r="M318" s="3">
        <f>'1. Master Data'!I318</f>
        <v>342</v>
      </c>
      <c r="N318" s="3">
        <f t="shared" si="26"/>
        <v>75</v>
      </c>
      <c r="O318" s="5" t="str">
        <f t="shared" si="27"/>
        <v>OK</v>
      </c>
      <c r="P318" s="5" t="str">
        <f t="shared" si="28"/>
        <v>LOW</v>
      </c>
      <c r="Q318" s="3" t="str">
        <f t="shared" si="29"/>
        <v>Reorder Point</v>
      </c>
    </row>
    <row r="319" spans="1:17" ht="15" customHeight="1" x14ac:dyDescent="0.2">
      <c r="A319" s="3" t="str">
        <f>'1. Master Data'!A319</f>
        <v>NT10315</v>
      </c>
      <c r="B319" s="1" t="str">
        <f>'1. Master Data'!B319</f>
        <v>DoorSense 727</v>
      </c>
      <c r="C319" s="3" t="str">
        <f>'1. Master Data'!D319</f>
        <v>Central DC</v>
      </c>
      <c r="D319" s="5" t="str">
        <f>'4. ABC XYZ Analysis'!K319</f>
        <v>B</v>
      </c>
      <c r="E319" s="5" t="str">
        <f>'4. ABC XYZ Analysis'!M319</f>
        <v>Y</v>
      </c>
      <c r="F319" s="4">
        <f>'1. Master Data'!F319</f>
        <v>87</v>
      </c>
      <c r="G319" s="3">
        <f>'1. Master Data'!G319</f>
        <v>18</v>
      </c>
      <c r="H319" s="8">
        <f>'3. Demand Forecast'!F319/$T$3</f>
        <v>20.240909090909092</v>
      </c>
      <c r="I319" s="8">
        <f>'3. Demand Forecast'!G319/SQRT($T$3)</f>
        <v>3.2619709602408395</v>
      </c>
      <c r="J319" s="5">
        <f t="shared" si="24"/>
        <v>23</v>
      </c>
      <c r="K319" s="5">
        <f t="shared" si="25"/>
        <v>388</v>
      </c>
      <c r="L319" s="3">
        <f>IF(F319=0,0,ROUNDUP(SQRT(2*'4. ABC XYZ Analysis'!F319*$U$3/(F319*$V$3)),0))</f>
        <v>40</v>
      </c>
      <c r="M319" s="3">
        <f>'1. Master Data'!I319</f>
        <v>391</v>
      </c>
      <c r="N319" s="3">
        <f t="shared" si="26"/>
        <v>19</v>
      </c>
      <c r="O319" s="5" t="str">
        <f t="shared" si="27"/>
        <v>ORDER SOON</v>
      </c>
      <c r="P319" s="5" t="str">
        <f t="shared" si="28"/>
        <v>MEDIUM</v>
      </c>
      <c r="Q319" s="3" t="str">
        <f t="shared" si="29"/>
        <v>Reorder Point</v>
      </c>
    </row>
    <row r="320" spans="1:17" ht="15" customHeight="1" x14ac:dyDescent="0.2">
      <c r="A320" s="3" t="str">
        <f>'1. Master Data'!A320</f>
        <v>NT10316</v>
      </c>
      <c r="B320" s="1" t="str">
        <f>'1. Master Data'!B320</f>
        <v>HomeCam 100 1080p</v>
      </c>
      <c r="C320" s="3" t="str">
        <f>'1. Master Data'!D320</f>
        <v>East DC</v>
      </c>
      <c r="D320" s="5" t="str">
        <f>'4. ABC XYZ Analysis'!K320</f>
        <v>B</v>
      </c>
      <c r="E320" s="5" t="str">
        <f>'4. ABC XYZ Analysis'!M320</f>
        <v>X</v>
      </c>
      <c r="F320" s="4">
        <f>'1. Master Data'!F320</f>
        <v>103</v>
      </c>
      <c r="G320" s="3">
        <f>'1. Master Data'!G320</f>
        <v>21</v>
      </c>
      <c r="H320" s="8">
        <f>'3. Demand Forecast'!F320/$T$3</f>
        <v>12.181818181818182</v>
      </c>
      <c r="I320" s="8">
        <f>'3. Demand Forecast'!G320/SQRT($T$3)</f>
        <v>4.0721336823921597</v>
      </c>
      <c r="J320" s="5">
        <f t="shared" si="24"/>
        <v>31</v>
      </c>
      <c r="K320" s="5">
        <f t="shared" si="25"/>
        <v>287</v>
      </c>
      <c r="L320" s="3">
        <f>IF(F320=0,0,ROUNDUP(SQRT(2*'4. ABC XYZ Analysis'!F320*$U$3/(F320*$V$3)),0))</f>
        <v>147</v>
      </c>
      <c r="M320" s="3">
        <f>'1. Master Data'!I320</f>
        <v>290</v>
      </c>
      <c r="N320" s="3">
        <f t="shared" si="26"/>
        <v>24</v>
      </c>
      <c r="O320" s="5" t="str">
        <f t="shared" si="27"/>
        <v>ORDER SOON</v>
      </c>
      <c r="P320" s="5" t="str">
        <f t="shared" si="28"/>
        <v>MEDIUM</v>
      </c>
      <c r="Q320" s="3" t="str">
        <f t="shared" si="29"/>
        <v>Reorder Point</v>
      </c>
    </row>
    <row r="321" spans="1:17" ht="15" customHeight="1" x14ac:dyDescent="0.2">
      <c r="A321" s="3" t="str">
        <f>'1. Master Data'!A321</f>
        <v>NT10317</v>
      </c>
      <c r="B321" s="1" t="str">
        <f>'1. Master Data'!B321</f>
        <v>ThermoSmart 230</v>
      </c>
      <c r="C321" s="3" t="str">
        <f>'1. Master Data'!D321</f>
        <v>East DC</v>
      </c>
      <c r="D321" s="5" t="str">
        <f>'4. ABC XYZ Analysis'!K321</f>
        <v>B</v>
      </c>
      <c r="E321" s="5" t="str">
        <f>'4. ABC XYZ Analysis'!M321</f>
        <v>Z</v>
      </c>
      <c r="F321" s="4">
        <f>'1. Master Data'!F321</f>
        <v>59</v>
      </c>
      <c r="G321" s="3">
        <f>'1. Master Data'!G321</f>
        <v>17</v>
      </c>
      <c r="H321" s="8">
        <f>'3. Demand Forecast'!F321/$T$3</f>
        <v>2.0227272727272729</v>
      </c>
      <c r="I321" s="8">
        <f>'3. Demand Forecast'!G321/SQRT($T$3)</f>
        <v>0.63960214906683133</v>
      </c>
      <c r="J321" s="5">
        <f t="shared" si="24"/>
        <v>5</v>
      </c>
      <c r="K321" s="5">
        <f t="shared" si="25"/>
        <v>40</v>
      </c>
      <c r="L321" s="3">
        <f>IF(F321=0,0,ROUNDUP(SQRT(2*'4. ABC XYZ Analysis'!F321*$U$3/(F321*$V$3)),0))</f>
        <v>22</v>
      </c>
      <c r="M321" s="3">
        <f>'1. Master Data'!I321</f>
        <v>43</v>
      </c>
      <c r="N321" s="3">
        <f t="shared" si="26"/>
        <v>21</v>
      </c>
      <c r="O321" s="5" t="str">
        <f t="shared" si="27"/>
        <v>ORDER SOON</v>
      </c>
      <c r="P321" s="5" t="str">
        <f t="shared" si="28"/>
        <v>MEDIUM</v>
      </c>
      <c r="Q321" s="3" t="str">
        <f t="shared" si="29"/>
        <v>Min Max</v>
      </c>
    </row>
    <row r="322" spans="1:17" ht="15" customHeight="1" x14ac:dyDescent="0.2">
      <c r="A322" s="3" t="str">
        <f>'1. Master Data'!A322</f>
        <v>NT10318</v>
      </c>
      <c r="B322" s="1" t="str">
        <f>'1. Master Data'!B322</f>
        <v>DoorSense 390</v>
      </c>
      <c r="C322" s="3" t="str">
        <f>'1. Master Data'!D322</f>
        <v>West DC</v>
      </c>
      <c r="D322" s="5" t="str">
        <f>'4. ABC XYZ Analysis'!K322</f>
        <v>B</v>
      </c>
      <c r="E322" s="5" t="str">
        <f>'4. ABC XYZ Analysis'!M322</f>
        <v>Z</v>
      </c>
      <c r="F322" s="4">
        <f>'1. Master Data'!F322</f>
        <v>51</v>
      </c>
      <c r="G322" s="3">
        <f>'1. Master Data'!G322</f>
        <v>16</v>
      </c>
      <c r="H322" s="8">
        <f>'3. Demand Forecast'!F322/$T$3</f>
        <v>31.563636363636363</v>
      </c>
      <c r="I322" s="8">
        <f>'3. Demand Forecast'!G322/SQRT($T$3)</f>
        <v>8.7412293705800277</v>
      </c>
      <c r="J322" s="5">
        <f t="shared" si="24"/>
        <v>58</v>
      </c>
      <c r="K322" s="5">
        <f t="shared" si="25"/>
        <v>564</v>
      </c>
      <c r="L322" s="3">
        <f>IF(F322=0,0,ROUNDUP(SQRT(2*'4. ABC XYZ Analysis'!F322*$U$3/(F322*$V$3)),0))</f>
        <v>27</v>
      </c>
      <c r="M322" s="3">
        <f>'1. Master Data'!I322</f>
        <v>567</v>
      </c>
      <c r="N322" s="3">
        <f t="shared" si="26"/>
        <v>18</v>
      </c>
      <c r="O322" s="5" t="str">
        <f t="shared" si="27"/>
        <v>ORDER SOON</v>
      </c>
      <c r="P322" s="5" t="str">
        <f t="shared" si="28"/>
        <v>MEDIUM</v>
      </c>
      <c r="Q322" s="3" t="str">
        <f t="shared" si="29"/>
        <v>Min Max</v>
      </c>
    </row>
    <row r="323" spans="1:17" ht="15" customHeight="1" x14ac:dyDescent="0.2">
      <c r="A323" s="3" t="str">
        <f>'1. Master Data'!A323</f>
        <v>NT10319</v>
      </c>
      <c r="B323" s="1" t="str">
        <f>'1. Master Data'!B323</f>
        <v>DoorSense 924</v>
      </c>
      <c r="C323" s="3" t="str">
        <f>'1. Master Data'!D323</f>
        <v>East DC</v>
      </c>
      <c r="D323" s="5" t="str">
        <f>'4. ABC XYZ Analysis'!K323</f>
        <v>B</v>
      </c>
      <c r="E323" s="5" t="str">
        <f>'4. ABC XYZ Analysis'!M323</f>
        <v>X</v>
      </c>
      <c r="F323" s="4">
        <f>'1. Master Data'!F323</f>
        <v>93</v>
      </c>
      <c r="G323" s="3">
        <f>'1. Master Data'!G323</f>
        <v>21</v>
      </c>
      <c r="H323" s="8">
        <f>'3. Demand Forecast'!F323/$T$3</f>
        <v>4.8545454545454545</v>
      </c>
      <c r="I323" s="8">
        <f>'3. Demand Forecast'!G323/SQRT($T$3)</f>
        <v>1.2365641548625403</v>
      </c>
      <c r="J323" s="5">
        <f t="shared" si="24"/>
        <v>10</v>
      </c>
      <c r="K323" s="5">
        <f t="shared" si="25"/>
        <v>112</v>
      </c>
      <c r="L323" s="3">
        <f>IF(F323=0,0,ROUNDUP(SQRT(2*'4. ABC XYZ Analysis'!F323*$U$3/(F323*$V$3)),0))</f>
        <v>83</v>
      </c>
      <c r="M323" s="3">
        <f>'1. Master Data'!I323</f>
        <v>115</v>
      </c>
      <c r="N323" s="3">
        <f t="shared" si="26"/>
        <v>24</v>
      </c>
      <c r="O323" s="5" t="str">
        <f t="shared" si="27"/>
        <v>ORDER SOON</v>
      </c>
      <c r="P323" s="5" t="str">
        <f t="shared" si="28"/>
        <v>MEDIUM</v>
      </c>
      <c r="Q323" s="3" t="str">
        <f t="shared" si="29"/>
        <v>Reorder Point</v>
      </c>
    </row>
    <row r="324" spans="1:17" ht="15" customHeight="1" x14ac:dyDescent="0.2">
      <c r="A324" s="3" t="str">
        <f>'1. Master Data'!A324</f>
        <v>NT10320</v>
      </c>
      <c r="B324" s="1" t="str">
        <f>'1. Master Data'!B324</f>
        <v>ThermoSmart 653</v>
      </c>
      <c r="C324" s="3" t="str">
        <f>'1. Master Data'!D324</f>
        <v>West DC</v>
      </c>
      <c r="D324" s="5" t="str">
        <f>'4. ABC XYZ Analysis'!K324</f>
        <v>B</v>
      </c>
      <c r="E324" s="5" t="str">
        <f>'4. ABC XYZ Analysis'!M324</f>
        <v>Y</v>
      </c>
      <c r="F324" s="4">
        <f>'1. Master Data'!F324</f>
        <v>17</v>
      </c>
      <c r="G324" s="3">
        <f>'1. Master Data'!G324</f>
        <v>17</v>
      </c>
      <c r="H324" s="8">
        <f>'3. Demand Forecast'!F324/$T$3</f>
        <v>26.272727272727273</v>
      </c>
      <c r="I324" s="8">
        <f>'3. Demand Forecast'!G324/SQRT($T$3)</f>
        <v>5.3086978372546989</v>
      </c>
      <c r="J324" s="5">
        <f t="shared" si="24"/>
        <v>37</v>
      </c>
      <c r="K324" s="5">
        <f t="shared" si="25"/>
        <v>484</v>
      </c>
      <c r="L324" s="3">
        <f>IF(F324=0,0,ROUNDUP(SQRT(2*'4. ABC XYZ Analysis'!F324*$U$3/(F324*$V$3)),0))</f>
        <v>96</v>
      </c>
      <c r="M324" s="3">
        <f>'1. Master Data'!I324</f>
        <v>487</v>
      </c>
      <c r="N324" s="3">
        <f t="shared" si="26"/>
        <v>19</v>
      </c>
      <c r="O324" s="5" t="str">
        <f t="shared" si="27"/>
        <v>ORDER SOON</v>
      </c>
      <c r="P324" s="5" t="str">
        <f t="shared" si="28"/>
        <v>MEDIUM</v>
      </c>
      <c r="Q324" s="3" t="str">
        <f t="shared" si="29"/>
        <v>Reorder Point</v>
      </c>
    </row>
    <row r="325" spans="1:17" ht="15" customHeight="1" x14ac:dyDescent="0.2">
      <c r="A325" s="3" t="str">
        <f>'1. Master Data'!A325</f>
        <v>NT10321</v>
      </c>
      <c r="B325" s="1" t="str">
        <f>'1. Master Data'!B325</f>
        <v>HomeCam 807 1080p</v>
      </c>
      <c r="C325" s="3" t="str">
        <f>'1. Master Data'!D325</f>
        <v>East DC</v>
      </c>
      <c r="D325" s="5" t="str">
        <f>'4. ABC XYZ Analysis'!K325</f>
        <v>B</v>
      </c>
      <c r="E325" s="5" t="str">
        <f>'4. ABC XYZ Analysis'!M325</f>
        <v>Z</v>
      </c>
      <c r="F325" s="4">
        <f>'1. Master Data'!F325</f>
        <v>13</v>
      </c>
      <c r="G325" s="3">
        <f>'1. Master Data'!G325</f>
        <v>15</v>
      </c>
      <c r="H325" s="8">
        <f>'3. Demand Forecast'!F325/$T$3</f>
        <v>10.272727272727273</v>
      </c>
      <c r="I325" s="8">
        <f>'3. Demand Forecast'!G325/SQRT($T$3)</f>
        <v>5.7777394132370432</v>
      </c>
      <c r="J325" s="5">
        <f t="shared" ref="J325:J388" si="30">ROUNDUP($S$3*I325*SQRT(G325),0)</f>
        <v>37</v>
      </c>
      <c r="K325" s="5">
        <f t="shared" ref="K325:K388" si="31">ROUNDUP(H325*G325+J325,0)</f>
        <v>192</v>
      </c>
      <c r="L325" s="3">
        <f>IF(F325=0,0,ROUNDUP(SQRT(2*'4. ABC XYZ Analysis'!F325*$U$3/(F325*$V$3)),0))</f>
        <v>96</v>
      </c>
      <c r="M325" s="3">
        <f>'1. Master Data'!I325</f>
        <v>195</v>
      </c>
      <c r="N325" s="3">
        <f t="shared" ref="N325:N388" si="32">IF(H325=0,999,ROUND(M325/H325,0))</f>
        <v>19</v>
      </c>
      <c r="O325" s="5" t="str">
        <f t="shared" ref="O325:O388" si="33">IF(M325&lt;=K325,"ORDER NOW",IF(M325&lt;=K325*1.2,"ORDER SOON","OK"))</f>
        <v>ORDER SOON</v>
      </c>
      <c r="P325" s="5" t="str">
        <f t="shared" ref="P325:P388" si="34">IF(O325="ORDER NOW",IF(D325="A","URGENT",IF(D325="B","HIGH","MEDIUM")),IF(O325="ORDER SOON",IF(D325="A","HIGH","MEDIUM"),"LOW"))</f>
        <v>MEDIUM</v>
      </c>
      <c r="Q325" s="3" t="str">
        <f t="shared" ref="Q325:Q388" si="35">IF(E325="Z","Min Max","Reorder Point")</f>
        <v>Min Max</v>
      </c>
    </row>
    <row r="326" spans="1:17" ht="15" customHeight="1" x14ac:dyDescent="0.2">
      <c r="A326" s="3" t="str">
        <f>'1. Master Data'!A326</f>
        <v>NT10322</v>
      </c>
      <c r="B326" s="1" t="str">
        <f>'1. Master Data'!B326</f>
        <v>LumiBulb 622 RGB</v>
      </c>
      <c r="C326" s="3" t="str">
        <f>'1. Master Data'!D326</f>
        <v>Central DC</v>
      </c>
      <c r="D326" s="5" t="str">
        <f>'4. ABC XYZ Analysis'!K326</f>
        <v>B</v>
      </c>
      <c r="E326" s="5" t="str">
        <f>'4. ABC XYZ Analysis'!M326</f>
        <v>Y</v>
      </c>
      <c r="F326" s="4">
        <f>'1. Master Data'!F326</f>
        <v>75</v>
      </c>
      <c r="G326" s="3">
        <f>'1. Master Data'!G326</f>
        <v>15</v>
      </c>
      <c r="H326" s="8">
        <f>'3. Demand Forecast'!F326/$T$3</f>
        <v>2.6136363636363638</v>
      </c>
      <c r="I326" s="8">
        <f>'3. Demand Forecast'!G326/SQRT($T$3)</f>
        <v>10.979836892313937</v>
      </c>
      <c r="J326" s="5">
        <f t="shared" si="30"/>
        <v>71</v>
      </c>
      <c r="K326" s="5">
        <f t="shared" si="31"/>
        <v>111</v>
      </c>
      <c r="L326" s="3">
        <f>IF(F326=0,0,ROUNDUP(SQRT(2*'4. ABC XYZ Analysis'!F326*$U$3/(F326*$V$3)),0))</f>
        <v>26</v>
      </c>
      <c r="M326" s="3">
        <f>'1. Master Data'!I326</f>
        <v>114</v>
      </c>
      <c r="N326" s="3">
        <f t="shared" si="32"/>
        <v>44</v>
      </c>
      <c r="O326" s="5" t="str">
        <f t="shared" si="33"/>
        <v>ORDER SOON</v>
      </c>
      <c r="P326" s="5" t="str">
        <f t="shared" si="34"/>
        <v>MEDIUM</v>
      </c>
      <c r="Q326" s="3" t="str">
        <f t="shared" si="35"/>
        <v>Reorder Point</v>
      </c>
    </row>
    <row r="327" spans="1:17" ht="15" customHeight="1" x14ac:dyDescent="0.2">
      <c r="A327" s="3" t="str">
        <f>'1. Master Data'!A327</f>
        <v>NT10323</v>
      </c>
      <c r="B327" s="1" t="str">
        <f>'1. Master Data'!B327</f>
        <v>SmartPlug Duo 798</v>
      </c>
      <c r="C327" s="3" t="str">
        <f>'1. Master Data'!D327</f>
        <v>West DC</v>
      </c>
      <c r="D327" s="5" t="str">
        <f>'4. ABC XYZ Analysis'!K327</f>
        <v>B</v>
      </c>
      <c r="E327" s="5" t="str">
        <f>'4. ABC XYZ Analysis'!M327</f>
        <v>X</v>
      </c>
      <c r="F327" s="4">
        <f>'1. Master Data'!F327</f>
        <v>72</v>
      </c>
      <c r="G327" s="3">
        <f>'1. Master Data'!G327</f>
        <v>20</v>
      </c>
      <c r="H327" s="8">
        <f>'3. Demand Forecast'!F327/$T$3</f>
        <v>14.35</v>
      </c>
      <c r="I327" s="8">
        <f>'3. Demand Forecast'!G327/SQRT($T$3)</f>
        <v>2.8568895991651799</v>
      </c>
      <c r="J327" s="5">
        <f t="shared" si="30"/>
        <v>22</v>
      </c>
      <c r="K327" s="5">
        <f t="shared" si="31"/>
        <v>309</v>
      </c>
      <c r="L327" s="3">
        <f>IF(F327=0,0,ROUNDUP(SQRT(2*'4. ABC XYZ Analysis'!F327*$U$3/(F327*$V$3)),0))</f>
        <v>50</v>
      </c>
      <c r="M327" s="3">
        <f>'1. Master Data'!I327</f>
        <v>312</v>
      </c>
      <c r="N327" s="3">
        <f t="shared" si="32"/>
        <v>22</v>
      </c>
      <c r="O327" s="5" t="str">
        <f t="shared" si="33"/>
        <v>ORDER SOON</v>
      </c>
      <c r="P327" s="5" t="str">
        <f t="shared" si="34"/>
        <v>MEDIUM</v>
      </c>
      <c r="Q327" s="3" t="str">
        <f t="shared" si="35"/>
        <v>Reorder Point</v>
      </c>
    </row>
    <row r="328" spans="1:17" ht="15" customHeight="1" x14ac:dyDescent="0.2">
      <c r="A328" s="3" t="str">
        <f>'1. Master Data'!A328</f>
        <v>NT10324</v>
      </c>
      <c r="B328" s="1" t="str">
        <f>'1. Master Data'!B328</f>
        <v>HomeCam 916 1080p</v>
      </c>
      <c r="C328" s="3" t="str">
        <f>'1. Master Data'!D328</f>
        <v>West DC</v>
      </c>
      <c r="D328" s="5" t="str">
        <f>'4. ABC XYZ Analysis'!K328</f>
        <v>B</v>
      </c>
      <c r="E328" s="5" t="str">
        <f>'4. ABC XYZ Analysis'!M328</f>
        <v>Y</v>
      </c>
      <c r="F328" s="4">
        <f>'1. Master Data'!F328</f>
        <v>53</v>
      </c>
      <c r="G328" s="3">
        <f>'1. Master Data'!G328</f>
        <v>19</v>
      </c>
      <c r="H328" s="8">
        <f>'3. Demand Forecast'!F328/$T$3</f>
        <v>11.136363636363637</v>
      </c>
      <c r="I328" s="8">
        <f>'3. Demand Forecast'!G328/SQRT($T$3)</f>
        <v>1.7056057308448833</v>
      </c>
      <c r="J328" s="5">
        <f t="shared" si="30"/>
        <v>13</v>
      </c>
      <c r="K328" s="5">
        <f t="shared" si="31"/>
        <v>225</v>
      </c>
      <c r="L328" s="3">
        <f>IF(F328=0,0,ROUNDUP(SQRT(2*'4. ABC XYZ Analysis'!F328*$U$3/(F328*$V$3)),0))</f>
        <v>38</v>
      </c>
      <c r="M328" s="3">
        <f>'1. Master Data'!I328</f>
        <v>228</v>
      </c>
      <c r="N328" s="3">
        <f t="shared" si="32"/>
        <v>20</v>
      </c>
      <c r="O328" s="5" t="str">
        <f t="shared" si="33"/>
        <v>ORDER SOON</v>
      </c>
      <c r="P328" s="5" t="str">
        <f t="shared" si="34"/>
        <v>MEDIUM</v>
      </c>
      <c r="Q328" s="3" t="str">
        <f t="shared" si="35"/>
        <v>Reorder Point</v>
      </c>
    </row>
    <row r="329" spans="1:17" ht="15" customHeight="1" x14ac:dyDescent="0.2">
      <c r="A329" s="3" t="str">
        <f>'1. Master Data'!A329</f>
        <v>NT10325</v>
      </c>
      <c r="B329" s="1" t="str">
        <f>'1. Master Data'!B329</f>
        <v>LumiBulb 296 RGB</v>
      </c>
      <c r="C329" s="3" t="str">
        <f>'1. Master Data'!D329</f>
        <v>East DC</v>
      </c>
      <c r="D329" s="5" t="str">
        <f>'4. ABC XYZ Analysis'!K329</f>
        <v>C</v>
      </c>
      <c r="E329" s="5" t="str">
        <f>'4. ABC XYZ Analysis'!M329</f>
        <v>X</v>
      </c>
      <c r="F329" s="4">
        <f>'1. Master Data'!F329</f>
        <v>13</v>
      </c>
      <c r="G329" s="3">
        <f>'1. Master Data'!G329</f>
        <v>18</v>
      </c>
      <c r="H329" s="8">
        <f>'3. Demand Forecast'!F329/$T$3</f>
        <v>9.4909090909090921</v>
      </c>
      <c r="I329" s="8">
        <f>'3. Demand Forecast'!G329/SQRT($T$3)</f>
        <v>1.7908860173871277</v>
      </c>
      <c r="J329" s="5">
        <f t="shared" si="30"/>
        <v>13</v>
      </c>
      <c r="K329" s="5">
        <f t="shared" si="31"/>
        <v>184</v>
      </c>
      <c r="L329" s="3">
        <f>IF(F329=0,0,ROUNDUP(SQRT(2*'4. ABC XYZ Analysis'!F329*$U$3/(F329*$V$3)),0))</f>
        <v>97</v>
      </c>
      <c r="M329" s="3">
        <f>'1. Master Data'!I329</f>
        <v>187</v>
      </c>
      <c r="N329" s="3">
        <f t="shared" si="32"/>
        <v>20</v>
      </c>
      <c r="O329" s="5" t="str">
        <f t="shared" si="33"/>
        <v>ORDER SOON</v>
      </c>
      <c r="P329" s="5" t="str">
        <f t="shared" si="34"/>
        <v>MEDIUM</v>
      </c>
      <c r="Q329" s="3" t="str">
        <f t="shared" si="35"/>
        <v>Reorder Point</v>
      </c>
    </row>
    <row r="330" spans="1:17" ht="15" customHeight="1" x14ac:dyDescent="0.2">
      <c r="A330" s="3" t="str">
        <f>'1. Master Data'!A330</f>
        <v>NT10326</v>
      </c>
      <c r="B330" s="1" t="str">
        <f>'1. Master Data'!B330</f>
        <v>LumiBulb 578 RGB</v>
      </c>
      <c r="C330" s="3" t="str">
        <f>'1. Master Data'!D330</f>
        <v>East DC</v>
      </c>
      <c r="D330" s="5" t="str">
        <f>'4. ABC XYZ Analysis'!K330</f>
        <v>C</v>
      </c>
      <c r="E330" s="5" t="str">
        <f>'4. ABC XYZ Analysis'!M330</f>
        <v>X</v>
      </c>
      <c r="F330" s="4">
        <f>'1. Master Data'!F330</f>
        <v>65</v>
      </c>
      <c r="G330" s="3">
        <f>'1. Master Data'!G330</f>
        <v>12</v>
      </c>
      <c r="H330" s="8">
        <f>'3. Demand Forecast'!F330/$T$3</f>
        <v>6.0136363636363646</v>
      </c>
      <c r="I330" s="8">
        <f>'3. Demand Forecast'!G330/SQRT($T$3)</f>
        <v>1.6842856592093225</v>
      </c>
      <c r="J330" s="5">
        <f t="shared" si="30"/>
        <v>10</v>
      </c>
      <c r="K330" s="5">
        <f t="shared" si="31"/>
        <v>83</v>
      </c>
      <c r="L330" s="3">
        <f>IF(F330=0,0,ROUNDUP(SQRT(2*'4. ABC XYZ Analysis'!F330*$U$3/(F330*$V$3)),0))</f>
        <v>143</v>
      </c>
      <c r="M330" s="3">
        <f>'1. Master Data'!I330</f>
        <v>86</v>
      </c>
      <c r="N330" s="3">
        <f t="shared" si="32"/>
        <v>14</v>
      </c>
      <c r="O330" s="5" t="str">
        <f t="shared" si="33"/>
        <v>ORDER SOON</v>
      </c>
      <c r="P330" s="5" t="str">
        <f t="shared" si="34"/>
        <v>MEDIUM</v>
      </c>
      <c r="Q330" s="3" t="str">
        <f t="shared" si="35"/>
        <v>Reorder Point</v>
      </c>
    </row>
    <row r="331" spans="1:17" ht="15" customHeight="1" x14ac:dyDescent="0.2">
      <c r="A331" s="3" t="str">
        <f>'1. Master Data'!A331</f>
        <v>NT10327</v>
      </c>
      <c r="B331" s="1" t="str">
        <f>'1. Master Data'!B331</f>
        <v>LumiBulb 401 RGB</v>
      </c>
      <c r="C331" s="3" t="str">
        <f>'1. Master Data'!D331</f>
        <v>East DC</v>
      </c>
      <c r="D331" s="5" t="str">
        <f>'4. ABC XYZ Analysis'!K331</f>
        <v>C</v>
      </c>
      <c r="E331" s="5" t="str">
        <f>'4. ABC XYZ Analysis'!M331</f>
        <v>Y</v>
      </c>
      <c r="F331" s="4">
        <f>'1. Master Data'!F331</f>
        <v>93</v>
      </c>
      <c r="G331" s="3">
        <f>'1. Master Data'!G331</f>
        <v>16</v>
      </c>
      <c r="H331" s="8">
        <f>'3. Demand Forecast'!F331/$T$3</f>
        <v>41.1</v>
      </c>
      <c r="I331" s="8">
        <f>'3. Demand Forecast'!G331/SQRT($T$3)</f>
        <v>8.1229472931487567</v>
      </c>
      <c r="J331" s="5">
        <f t="shared" si="30"/>
        <v>54</v>
      </c>
      <c r="K331" s="5">
        <f t="shared" si="31"/>
        <v>712</v>
      </c>
      <c r="L331" s="3">
        <f>IF(F331=0,0,ROUNDUP(SQRT(2*'4. ABC XYZ Analysis'!F331*$U$3/(F331*$V$3)),0))</f>
        <v>70</v>
      </c>
      <c r="M331" s="3">
        <f>'1. Master Data'!I331</f>
        <v>444</v>
      </c>
      <c r="N331" s="3">
        <f t="shared" si="32"/>
        <v>11</v>
      </c>
      <c r="O331" s="5" t="str">
        <f t="shared" si="33"/>
        <v>ORDER NOW</v>
      </c>
      <c r="P331" s="5" t="str">
        <f t="shared" si="34"/>
        <v>MEDIUM</v>
      </c>
      <c r="Q331" s="3" t="str">
        <f t="shared" si="35"/>
        <v>Reorder Point</v>
      </c>
    </row>
    <row r="332" spans="1:17" ht="15" customHeight="1" x14ac:dyDescent="0.2">
      <c r="A332" s="3" t="str">
        <f>'1. Master Data'!A332</f>
        <v>NT10328</v>
      </c>
      <c r="B332" s="1" t="str">
        <f>'1. Master Data'!B332</f>
        <v>DoorSense 810</v>
      </c>
      <c r="C332" s="3" t="str">
        <f>'1. Master Data'!D332</f>
        <v>West DC</v>
      </c>
      <c r="D332" s="5" t="str">
        <f>'4. ABC XYZ Analysis'!K332</f>
        <v>C</v>
      </c>
      <c r="E332" s="5" t="str">
        <f>'4. ABC XYZ Analysis'!M332</f>
        <v>Y</v>
      </c>
      <c r="F332" s="4">
        <f>'1. Master Data'!F332</f>
        <v>32</v>
      </c>
      <c r="G332" s="3">
        <f>'1. Master Data'!G332</f>
        <v>17</v>
      </c>
      <c r="H332" s="8">
        <f>'3. Demand Forecast'!F332/$T$3</f>
        <v>2.459090909090909</v>
      </c>
      <c r="I332" s="8">
        <f>'3. Demand Forecast'!G332/SQRT($T$3)</f>
        <v>11.06511717885618</v>
      </c>
      <c r="J332" s="5">
        <f t="shared" si="30"/>
        <v>76</v>
      </c>
      <c r="K332" s="5">
        <f t="shared" si="31"/>
        <v>118</v>
      </c>
      <c r="L332" s="3">
        <f>IF(F332=0,0,ROUNDUP(SQRT(2*'4. ABC XYZ Analysis'!F332*$U$3/(F332*$V$3)),0))</f>
        <v>150</v>
      </c>
      <c r="M332" s="3">
        <f>'1. Master Data'!I332</f>
        <v>121</v>
      </c>
      <c r="N332" s="3">
        <f t="shared" si="32"/>
        <v>49</v>
      </c>
      <c r="O332" s="5" t="str">
        <f t="shared" si="33"/>
        <v>ORDER SOON</v>
      </c>
      <c r="P332" s="5" t="str">
        <f t="shared" si="34"/>
        <v>MEDIUM</v>
      </c>
      <c r="Q332" s="3" t="str">
        <f t="shared" si="35"/>
        <v>Reorder Point</v>
      </c>
    </row>
    <row r="333" spans="1:17" ht="15" customHeight="1" x14ac:dyDescent="0.2">
      <c r="A333" s="3" t="str">
        <f>'1. Master Data'!A333</f>
        <v>NT10329</v>
      </c>
      <c r="B333" s="1" t="str">
        <f>'1. Master Data'!B333</f>
        <v>HomeCam 272 1080p</v>
      </c>
      <c r="C333" s="3" t="str">
        <f>'1. Master Data'!D333</f>
        <v>Central DC</v>
      </c>
      <c r="D333" s="5" t="str">
        <f>'4. ABC XYZ Analysis'!K333</f>
        <v>C</v>
      </c>
      <c r="E333" s="5" t="str">
        <f>'4. ABC XYZ Analysis'!M333</f>
        <v>Z</v>
      </c>
      <c r="F333" s="4">
        <f>'1. Master Data'!F333</f>
        <v>53</v>
      </c>
      <c r="G333" s="3">
        <f>'1. Master Data'!G333</f>
        <v>13</v>
      </c>
      <c r="H333" s="8">
        <f>'3. Demand Forecast'!F333/$T$3</f>
        <v>13.227272727272727</v>
      </c>
      <c r="I333" s="8">
        <f>'3. Demand Forecast'!G333/SQRT($T$3)</f>
        <v>5.9269799146859699</v>
      </c>
      <c r="J333" s="5">
        <f t="shared" si="30"/>
        <v>36</v>
      </c>
      <c r="K333" s="5">
        <f t="shared" si="31"/>
        <v>208</v>
      </c>
      <c r="L333" s="3">
        <f>IF(F333=0,0,ROUNDUP(SQRT(2*'4. ABC XYZ Analysis'!F333*$U$3/(F333*$V$3)),0))</f>
        <v>60</v>
      </c>
      <c r="M333" s="3">
        <f>'1. Master Data'!I333</f>
        <v>1260</v>
      </c>
      <c r="N333" s="3">
        <f t="shared" si="32"/>
        <v>95</v>
      </c>
      <c r="O333" s="5" t="str">
        <f t="shared" si="33"/>
        <v>OK</v>
      </c>
      <c r="P333" s="5" t="str">
        <f t="shared" si="34"/>
        <v>LOW</v>
      </c>
      <c r="Q333" s="3" t="str">
        <f t="shared" si="35"/>
        <v>Min Max</v>
      </c>
    </row>
    <row r="334" spans="1:17" ht="15" customHeight="1" x14ac:dyDescent="0.2">
      <c r="A334" s="3" t="str">
        <f>'1. Master Data'!A334</f>
        <v>NT10330</v>
      </c>
      <c r="B334" s="1" t="str">
        <f>'1. Master Data'!B334</f>
        <v>LumiBulb 508 RGB</v>
      </c>
      <c r="C334" s="3" t="str">
        <f>'1. Master Data'!D334</f>
        <v>Central DC</v>
      </c>
      <c r="D334" s="5" t="str">
        <f>'4. ABC XYZ Analysis'!K334</f>
        <v>C</v>
      </c>
      <c r="E334" s="5" t="str">
        <f>'4. ABC XYZ Analysis'!M334</f>
        <v>Y</v>
      </c>
      <c r="F334" s="4">
        <f>'1. Master Data'!F334</f>
        <v>96</v>
      </c>
      <c r="G334" s="3">
        <f>'1. Master Data'!G334</f>
        <v>17</v>
      </c>
      <c r="H334" s="8">
        <f>'3. Demand Forecast'!F334/$T$3</f>
        <v>30.854545454545452</v>
      </c>
      <c r="I334" s="8">
        <f>'3. Demand Forecast'!G334/SQRT($T$3)</f>
        <v>7.462025072446365</v>
      </c>
      <c r="J334" s="5">
        <f t="shared" si="30"/>
        <v>51</v>
      </c>
      <c r="K334" s="5">
        <f t="shared" si="31"/>
        <v>576</v>
      </c>
      <c r="L334" s="3">
        <f>IF(F334=0,0,ROUNDUP(SQRT(2*'4. ABC XYZ Analysis'!F334*$U$3/(F334*$V$3)),0))</f>
        <v>57</v>
      </c>
      <c r="M334" s="3">
        <f>'1. Master Data'!I334</f>
        <v>579</v>
      </c>
      <c r="N334" s="3">
        <f t="shared" si="32"/>
        <v>19</v>
      </c>
      <c r="O334" s="5" t="str">
        <f t="shared" si="33"/>
        <v>ORDER SOON</v>
      </c>
      <c r="P334" s="5" t="str">
        <f t="shared" si="34"/>
        <v>MEDIUM</v>
      </c>
      <c r="Q334" s="3" t="str">
        <f t="shared" si="35"/>
        <v>Reorder Point</v>
      </c>
    </row>
    <row r="335" spans="1:17" ht="15" customHeight="1" x14ac:dyDescent="0.2">
      <c r="A335" s="3" t="str">
        <f>'1. Master Data'!A335</f>
        <v>NT10331</v>
      </c>
      <c r="B335" s="1" t="str">
        <f>'1. Master Data'!B335</f>
        <v>ThermoSmart 793</v>
      </c>
      <c r="C335" s="3" t="str">
        <f>'1. Master Data'!D335</f>
        <v>West DC</v>
      </c>
      <c r="D335" s="5" t="str">
        <f>'4. ABC XYZ Analysis'!K335</f>
        <v>C</v>
      </c>
      <c r="E335" s="5" t="str">
        <f>'4. ABC XYZ Analysis'!M335</f>
        <v>Y</v>
      </c>
      <c r="F335" s="4">
        <f>'1. Master Data'!F335</f>
        <v>77</v>
      </c>
      <c r="G335" s="3">
        <f>'1. Master Data'!G335</f>
        <v>18</v>
      </c>
      <c r="H335" s="8">
        <f>'3. Demand Forecast'!F335/$T$3</f>
        <v>11.563636363636364</v>
      </c>
      <c r="I335" s="8">
        <f>'3. Demand Forecast'!G335/SQRT($T$3)</f>
        <v>5.5218985536103098</v>
      </c>
      <c r="J335" s="5">
        <f t="shared" si="30"/>
        <v>39</v>
      </c>
      <c r="K335" s="5">
        <f t="shared" si="31"/>
        <v>248</v>
      </c>
      <c r="L335" s="3">
        <f>IF(F335=0,0,ROUNDUP(SQRT(2*'4. ABC XYZ Analysis'!F335*$U$3/(F335*$V$3)),0))</f>
        <v>85</v>
      </c>
      <c r="M335" s="3">
        <f>'1. Master Data'!I335</f>
        <v>251</v>
      </c>
      <c r="N335" s="3">
        <f t="shared" si="32"/>
        <v>22</v>
      </c>
      <c r="O335" s="5" t="str">
        <f t="shared" si="33"/>
        <v>ORDER SOON</v>
      </c>
      <c r="P335" s="5" t="str">
        <f t="shared" si="34"/>
        <v>MEDIUM</v>
      </c>
      <c r="Q335" s="3" t="str">
        <f t="shared" si="35"/>
        <v>Reorder Point</v>
      </c>
    </row>
    <row r="336" spans="1:17" ht="15" customHeight="1" x14ac:dyDescent="0.2">
      <c r="A336" s="3" t="str">
        <f>'1. Master Data'!A336</f>
        <v>NT10332</v>
      </c>
      <c r="B336" s="1" t="str">
        <f>'1. Master Data'!B336</f>
        <v>HomeCam 631 1080p</v>
      </c>
      <c r="C336" s="3" t="str">
        <f>'1. Master Data'!D336</f>
        <v>Central DC</v>
      </c>
      <c r="D336" s="5" t="str">
        <f>'4. ABC XYZ Analysis'!K336</f>
        <v>C</v>
      </c>
      <c r="E336" s="5" t="str">
        <f>'4. ABC XYZ Analysis'!M336</f>
        <v>X</v>
      </c>
      <c r="F336" s="4">
        <f>'1. Master Data'!F336</f>
        <v>87</v>
      </c>
      <c r="G336" s="3">
        <f>'1. Master Data'!G336</f>
        <v>12</v>
      </c>
      <c r="H336" s="8">
        <f>'3. Demand Forecast'!F336/$T$3</f>
        <v>76.145454545454541</v>
      </c>
      <c r="I336" s="8">
        <f>'3. Demand Forecast'!G336/SQRT($T$3)</f>
        <v>21.554592423552211</v>
      </c>
      <c r="J336" s="5">
        <f t="shared" si="30"/>
        <v>124</v>
      </c>
      <c r="K336" s="5">
        <f t="shared" si="31"/>
        <v>1038</v>
      </c>
      <c r="L336" s="3">
        <f>IF(F336=0,0,ROUNDUP(SQRT(2*'4. ABC XYZ Analysis'!F336*$U$3/(F336*$V$3)),0))</f>
        <v>102</v>
      </c>
      <c r="M336" s="3">
        <f>'1. Master Data'!I336</f>
        <v>1041</v>
      </c>
      <c r="N336" s="3">
        <f t="shared" si="32"/>
        <v>14</v>
      </c>
      <c r="O336" s="5" t="str">
        <f t="shared" si="33"/>
        <v>ORDER SOON</v>
      </c>
      <c r="P336" s="5" t="str">
        <f t="shared" si="34"/>
        <v>MEDIUM</v>
      </c>
      <c r="Q336" s="3" t="str">
        <f t="shared" si="35"/>
        <v>Reorder Point</v>
      </c>
    </row>
    <row r="337" spans="1:17" ht="15" customHeight="1" x14ac:dyDescent="0.2">
      <c r="A337" s="3" t="str">
        <f>'1. Master Data'!A337</f>
        <v>NT10333</v>
      </c>
      <c r="B337" s="1" t="str">
        <f>'1. Master Data'!B337</f>
        <v>SmartPlug Duo 717</v>
      </c>
      <c r="C337" s="3" t="str">
        <f>'1. Master Data'!D337</f>
        <v>Central DC</v>
      </c>
      <c r="D337" s="5" t="str">
        <f>'4. ABC XYZ Analysis'!K337</f>
        <v>C</v>
      </c>
      <c r="E337" s="5" t="str">
        <f>'4. ABC XYZ Analysis'!M337</f>
        <v>X</v>
      </c>
      <c r="F337" s="4">
        <f>'1. Master Data'!F337</f>
        <v>23</v>
      </c>
      <c r="G337" s="3">
        <f>'1. Master Data'!G337</f>
        <v>13</v>
      </c>
      <c r="H337" s="8">
        <f>'3. Demand Forecast'!F337/$T$3</f>
        <v>8.127272727272727</v>
      </c>
      <c r="I337" s="8">
        <f>'3. Demand Forecast'!G337/SQRT($T$3)</f>
        <v>3.2193308169697175</v>
      </c>
      <c r="J337" s="5">
        <f t="shared" si="30"/>
        <v>20</v>
      </c>
      <c r="K337" s="5">
        <f t="shared" si="31"/>
        <v>126</v>
      </c>
      <c r="L337" s="3">
        <f>IF(F337=0,0,ROUNDUP(SQRT(2*'4. ABC XYZ Analysis'!F337*$U$3/(F337*$V$3)),0))</f>
        <v>221</v>
      </c>
      <c r="M337" s="3">
        <f>'1. Master Data'!I337</f>
        <v>129</v>
      </c>
      <c r="N337" s="3">
        <f t="shared" si="32"/>
        <v>16</v>
      </c>
      <c r="O337" s="5" t="str">
        <f t="shared" si="33"/>
        <v>ORDER SOON</v>
      </c>
      <c r="P337" s="5" t="str">
        <f t="shared" si="34"/>
        <v>MEDIUM</v>
      </c>
      <c r="Q337" s="3" t="str">
        <f t="shared" si="35"/>
        <v>Reorder Point</v>
      </c>
    </row>
    <row r="338" spans="1:17" ht="15" customHeight="1" x14ac:dyDescent="0.2">
      <c r="A338" s="3" t="str">
        <f>'1. Master Data'!A338</f>
        <v>NT10334</v>
      </c>
      <c r="B338" s="1" t="str">
        <f>'1. Master Data'!B338</f>
        <v>SmartPlug Duo 222</v>
      </c>
      <c r="C338" s="3" t="str">
        <f>'1. Master Data'!D338</f>
        <v>Central DC</v>
      </c>
      <c r="D338" s="5" t="str">
        <f>'4. ABC XYZ Analysis'!K338</f>
        <v>C</v>
      </c>
      <c r="E338" s="5" t="str">
        <f>'4. ABC XYZ Analysis'!M338</f>
        <v>X</v>
      </c>
      <c r="F338" s="4">
        <f>'1. Master Data'!F338</f>
        <v>60</v>
      </c>
      <c r="G338" s="3">
        <f>'1. Master Data'!G338</f>
        <v>21</v>
      </c>
      <c r="H338" s="8">
        <f>'3. Demand Forecast'!F338/$T$3</f>
        <v>4.1000000000000005</v>
      </c>
      <c r="I338" s="8">
        <f>'3. Demand Forecast'!G338/SQRT($T$3)</f>
        <v>1.3431645130403456</v>
      </c>
      <c r="J338" s="5">
        <f t="shared" si="30"/>
        <v>11</v>
      </c>
      <c r="K338" s="5">
        <f t="shared" si="31"/>
        <v>98</v>
      </c>
      <c r="L338" s="3">
        <f>IF(F338=0,0,ROUNDUP(SQRT(2*'4. ABC XYZ Analysis'!F338*$U$3/(F338*$V$3)),0))</f>
        <v>141</v>
      </c>
      <c r="M338" s="3">
        <f>'1. Master Data'!I338</f>
        <v>101</v>
      </c>
      <c r="N338" s="3">
        <f t="shared" si="32"/>
        <v>25</v>
      </c>
      <c r="O338" s="5" t="str">
        <f t="shared" si="33"/>
        <v>ORDER SOON</v>
      </c>
      <c r="P338" s="5" t="str">
        <f t="shared" si="34"/>
        <v>MEDIUM</v>
      </c>
      <c r="Q338" s="3" t="str">
        <f t="shared" si="35"/>
        <v>Reorder Point</v>
      </c>
    </row>
    <row r="339" spans="1:17" ht="15" customHeight="1" x14ac:dyDescent="0.2">
      <c r="A339" s="3" t="str">
        <f>'1. Master Data'!A339</f>
        <v>NT10335</v>
      </c>
      <c r="B339" s="1" t="str">
        <f>'1. Master Data'!B339</f>
        <v>LumiBulb 708 RGB</v>
      </c>
      <c r="C339" s="3" t="str">
        <f>'1. Master Data'!D339</f>
        <v>West DC</v>
      </c>
      <c r="D339" s="5" t="str">
        <f>'4. ABC XYZ Analysis'!K339</f>
        <v>C</v>
      </c>
      <c r="E339" s="5" t="str">
        <f>'4. ABC XYZ Analysis'!M339</f>
        <v>Y</v>
      </c>
      <c r="F339" s="4">
        <f>'1. Master Data'!F339</f>
        <v>42</v>
      </c>
      <c r="G339" s="3">
        <f>'1. Master Data'!G339</f>
        <v>20</v>
      </c>
      <c r="H339" s="8">
        <f>'3. Demand Forecast'!F339/$T$3</f>
        <v>8.5681818181818183</v>
      </c>
      <c r="I339" s="8">
        <f>'3. Demand Forecast'!G339/SQRT($T$3)</f>
        <v>2.1746473068272261</v>
      </c>
      <c r="J339" s="5">
        <f t="shared" si="30"/>
        <v>17</v>
      </c>
      <c r="K339" s="5">
        <f t="shared" si="31"/>
        <v>189</v>
      </c>
      <c r="L339" s="3">
        <f>IF(F339=0,0,ROUNDUP(SQRT(2*'4. ABC XYZ Analysis'!F339*$U$3/(F339*$V$3)),0))</f>
        <v>60</v>
      </c>
      <c r="M339" s="3">
        <f>'1. Master Data'!I339</f>
        <v>192</v>
      </c>
      <c r="N339" s="3">
        <f t="shared" si="32"/>
        <v>22</v>
      </c>
      <c r="O339" s="5" t="str">
        <f t="shared" si="33"/>
        <v>ORDER SOON</v>
      </c>
      <c r="P339" s="5" t="str">
        <f t="shared" si="34"/>
        <v>MEDIUM</v>
      </c>
      <c r="Q339" s="3" t="str">
        <f t="shared" si="35"/>
        <v>Reorder Point</v>
      </c>
    </row>
    <row r="340" spans="1:17" ht="15" customHeight="1" x14ac:dyDescent="0.2">
      <c r="A340" s="3" t="str">
        <f>'1. Master Data'!A340</f>
        <v>NT10336</v>
      </c>
      <c r="B340" s="1" t="str">
        <f>'1. Master Data'!B340</f>
        <v>SmartPlug Duo 577</v>
      </c>
      <c r="C340" s="3" t="str">
        <f>'1. Master Data'!D340</f>
        <v>East DC</v>
      </c>
      <c r="D340" s="5" t="str">
        <f>'4. ABC XYZ Analysis'!K340</f>
        <v>C</v>
      </c>
      <c r="E340" s="5" t="str">
        <f>'4. ABC XYZ Analysis'!M340</f>
        <v>Y</v>
      </c>
      <c r="F340" s="4">
        <f>'1. Master Data'!F340</f>
        <v>102</v>
      </c>
      <c r="G340" s="3">
        <f>'1. Master Data'!G340</f>
        <v>18</v>
      </c>
      <c r="H340" s="8">
        <f>'3. Demand Forecast'!F340/$T$3</f>
        <v>1.6318181818181818</v>
      </c>
      <c r="I340" s="8">
        <f>'3. Demand Forecast'!G340/SQRT($T$3)</f>
        <v>0.53300179088902611</v>
      </c>
      <c r="J340" s="5">
        <f t="shared" si="30"/>
        <v>4</v>
      </c>
      <c r="K340" s="5">
        <f t="shared" si="31"/>
        <v>34</v>
      </c>
      <c r="L340" s="3">
        <f>IF(F340=0,0,ROUNDUP(SQRT(2*'4. ABC XYZ Analysis'!F340*$U$3/(F340*$V$3)),0))</f>
        <v>50</v>
      </c>
      <c r="M340" s="3">
        <f>'1. Master Data'!I340</f>
        <v>37</v>
      </c>
      <c r="N340" s="3">
        <f t="shared" si="32"/>
        <v>23</v>
      </c>
      <c r="O340" s="5" t="str">
        <f t="shared" si="33"/>
        <v>ORDER SOON</v>
      </c>
      <c r="P340" s="5" t="str">
        <f t="shared" si="34"/>
        <v>MEDIUM</v>
      </c>
      <c r="Q340" s="3" t="str">
        <f t="shared" si="35"/>
        <v>Reorder Point</v>
      </c>
    </row>
    <row r="341" spans="1:17" ht="15" customHeight="1" x14ac:dyDescent="0.2">
      <c r="A341" s="3" t="str">
        <f>'1. Master Data'!A341</f>
        <v>NT10337</v>
      </c>
      <c r="B341" s="1" t="str">
        <f>'1. Master Data'!B341</f>
        <v>LumiBulb 421 RGB</v>
      </c>
      <c r="C341" s="3" t="str">
        <f>'1. Master Data'!D341</f>
        <v>East DC</v>
      </c>
      <c r="D341" s="5" t="str">
        <f>'4. ABC XYZ Analysis'!K341</f>
        <v>C</v>
      </c>
      <c r="E341" s="5" t="str">
        <f>'4. ABC XYZ Analysis'!M341</f>
        <v>X</v>
      </c>
      <c r="F341" s="4">
        <f>'1. Master Data'!F341</f>
        <v>17</v>
      </c>
      <c r="G341" s="3">
        <f>'1. Master Data'!G341</f>
        <v>18</v>
      </c>
      <c r="H341" s="8">
        <f>'3. Demand Forecast'!F341/$T$3</f>
        <v>2.540909090909091</v>
      </c>
      <c r="I341" s="8">
        <f>'3. Demand Forecast'!G341/SQRT($T$3)</f>
        <v>12.600162336616577</v>
      </c>
      <c r="J341" s="5">
        <f t="shared" si="30"/>
        <v>89</v>
      </c>
      <c r="K341" s="5">
        <f t="shared" si="31"/>
        <v>135</v>
      </c>
      <c r="L341" s="3">
        <f>IF(F341=0,0,ROUNDUP(SQRT(2*'4. ABC XYZ Analysis'!F341*$U$3/(F341*$V$3)),0))</f>
        <v>113</v>
      </c>
      <c r="M341" s="3">
        <f>'1. Master Data'!I341</f>
        <v>138</v>
      </c>
      <c r="N341" s="3">
        <f t="shared" si="32"/>
        <v>54</v>
      </c>
      <c r="O341" s="5" t="str">
        <f t="shared" si="33"/>
        <v>ORDER SOON</v>
      </c>
      <c r="P341" s="5" t="str">
        <f t="shared" si="34"/>
        <v>MEDIUM</v>
      </c>
      <c r="Q341" s="3" t="str">
        <f t="shared" si="35"/>
        <v>Reorder Point</v>
      </c>
    </row>
    <row r="342" spans="1:17" ht="15" customHeight="1" x14ac:dyDescent="0.2">
      <c r="A342" s="3" t="str">
        <f>'1. Master Data'!A342</f>
        <v>NT10338</v>
      </c>
      <c r="B342" s="1" t="str">
        <f>'1. Master Data'!B342</f>
        <v>LumiBulb 442 RGB</v>
      </c>
      <c r="C342" s="3" t="str">
        <f>'1. Master Data'!D342</f>
        <v>West DC</v>
      </c>
      <c r="D342" s="5" t="str">
        <f>'4. ABC XYZ Analysis'!K342</f>
        <v>C</v>
      </c>
      <c r="E342" s="5" t="str">
        <f>'4. ABC XYZ Analysis'!M342</f>
        <v>Y</v>
      </c>
      <c r="F342" s="4">
        <f>'1. Master Data'!F342</f>
        <v>47</v>
      </c>
      <c r="G342" s="3">
        <f>'1. Master Data'!G342</f>
        <v>19</v>
      </c>
      <c r="H342" s="8">
        <f>'3. Demand Forecast'!F342/$T$3</f>
        <v>1.3863636363636365</v>
      </c>
      <c r="I342" s="8">
        <f>'3. Demand Forecast'!G342/SQRT($T$3)</f>
        <v>0.23452078799117149</v>
      </c>
      <c r="J342" s="5">
        <f t="shared" si="30"/>
        <v>2</v>
      </c>
      <c r="K342" s="5">
        <f t="shared" si="31"/>
        <v>29</v>
      </c>
      <c r="L342" s="3">
        <f>IF(F342=0,0,ROUNDUP(SQRT(2*'4. ABC XYZ Analysis'!F342*$U$3/(F342*$V$3)),0))</f>
        <v>60</v>
      </c>
      <c r="M342" s="3">
        <f>'1. Master Data'!I342</f>
        <v>32</v>
      </c>
      <c r="N342" s="3">
        <f t="shared" si="32"/>
        <v>23</v>
      </c>
      <c r="O342" s="5" t="str">
        <f t="shared" si="33"/>
        <v>ORDER SOON</v>
      </c>
      <c r="P342" s="5" t="str">
        <f t="shared" si="34"/>
        <v>MEDIUM</v>
      </c>
      <c r="Q342" s="3" t="str">
        <f t="shared" si="35"/>
        <v>Reorder Point</v>
      </c>
    </row>
    <row r="343" spans="1:17" ht="15" customHeight="1" x14ac:dyDescent="0.2">
      <c r="A343" s="3" t="str">
        <f>'1. Master Data'!A343</f>
        <v>NT10339</v>
      </c>
      <c r="B343" s="1" t="str">
        <f>'1. Master Data'!B343</f>
        <v>HomeCam 323 1080p</v>
      </c>
      <c r="C343" s="3" t="str">
        <f>'1. Master Data'!D343</f>
        <v>West DC</v>
      </c>
      <c r="D343" s="5" t="str">
        <f>'4. ABC XYZ Analysis'!K343</f>
        <v>C</v>
      </c>
      <c r="E343" s="5" t="str">
        <f>'4. ABC XYZ Analysis'!M343</f>
        <v>Y</v>
      </c>
      <c r="F343" s="4">
        <f>'1. Master Data'!F343</f>
        <v>48</v>
      </c>
      <c r="G343" s="3">
        <f>'1. Master Data'!G343</f>
        <v>17</v>
      </c>
      <c r="H343" s="8">
        <f>'3. Demand Forecast'!F343/$T$3</f>
        <v>4.2181818181818178</v>
      </c>
      <c r="I343" s="8">
        <f>'3. Demand Forecast'!G343/SQRT($T$3)</f>
        <v>1.3644845846759068</v>
      </c>
      <c r="J343" s="5">
        <f t="shared" si="30"/>
        <v>10</v>
      </c>
      <c r="K343" s="5">
        <f t="shared" si="31"/>
        <v>82</v>
      </c>
      <c r="L343" s="3">
        <f>IF(F343=0,0,ROUNDUP(SQRT(2*'4. ABC XYZ Analysis'!F343*$U$3/(F343*$V$3)),0))</f>
        <v>27</v>
      </c>
      <c r="M343" s="3">
        <f>'1. Master Data'!I343</f>
        <v>85</v>
      </c>
      <c r="N343" s="3">
        <f t="shared" si="32"/>
        <v>20</v>
      </c>
      <c r="O343" s="5" t="str">
        <f t="shared" si="33"/>
        <v>ORDER SOON</v>
      </c>
      <c r="P343" s="5" t="str">
        <f t="shared" si="34"/>
        <v>MEDIUM</v>
      </c>
      <c r="Q343" s="3" t="str">
        <f t="shared" si="35"/>
        <v>Reorder Point</v>
      </c>
    </row>
    <row r="344" spans="1:17" ht="15" customHeight="1" x14ac:dyDescent="0.2">
      <c r="A344" s="3" t="str">
        <f>'1. Master Data'!A344</f>
        <v>NT10340</v>
      </c>
      <c r="B344" s="1" t="str">
        <f>'1. Master Data'!B344</f>
        <v>LumiBulb 802 RGB</v>
      </c>
      <c r="C344" s="3" t="str">
        <f>'1. Master Data'!D344</f>
        <v>East DC</v>
      </c>
      <c r="D344" s="5" t="str">
        <f>'4. ABC XYZ Analysis'!K344</f>
        <v>C</v>
      </c>
      <c r="E344" s="5" t="str">
        <f>'4. ABC XYZ Analysis'!M344</f>
        <v>Y</v>
      </c>
      <c r="F344" s="4">
        <f>'1. Master Data'!F344</f>
        <v>116</v>
      </c>
      <c r="G344" s="3">
        <f>'1. Master Data'!G344</f>
        <v>10</v>
      </c>
      <c r="H344" s="8">
        <f>'3. Demand Forecast'!F344/$T$3</f>
        <v>6.1545454545454552</v>
      </c>
      <c r="I344" s="8">
        <f>'3. Demand Forecast'!G344/SQRT($T$3)</f>
        <v>30.125261221047754</v>
      </c>
      <c r="J344" s="5">
        <f t="shared" si="30"/>
        <v>158</v>
      </c>
      <c r="K344" s="5">
        <f t="shared" si="31"/>
        <v>220</v>
      </c>
      <c r="L344" s="3">
        <f>IF(F344=0,0,ROUNDUP(SQRT(2*'4. ABC XYZ Analysis'!F344*$U$3/(F344*$V$3)),0))</f>
        <v>96</v>
      </c>
      <c r="M344" s="3">
        <f>'1. Master Data'!I344</f>
        <v>223</v>
      </c>
      <c r="N344" s="3">
        <f t="shared" si="32"/>
        <v>36</v>
      </c>
      <c r="O344" s="5" t="str">
        <f t="shared" si="33"/>
        <v>ORDER SOON</v>
      </c>
      <c r="P344" s="5" t="str">
        <f t="shared" si="34"/>
        <v>MEDIUM</v>
      </c>
      <c r="Q344" s="3" t="str">
        <f t="shared" si="35"/>
        <v>Reorder Point</v>
      </c>
    </row>
    <row r="345" spans="1:17" ht="15" customHeight="1" x14ac:dyDescent="0.2">
      <c r="A345" s="3" t="str">
        <f>'1. Master Data'!A345</f>
        <v>NT10341</v>
      </c>
      <c r="B345" s="1" t="str">
        <f>'1. Master Data'!B345</f>
        <v>ThermoSmart 194</v>
      </c>
      <c r="C345" s="3" t="str">
        <f>'1. Master Data'!D345</f>
        <v>East DC</v>
      </c>
      <c r="D345" s="5" t="str">
        <f>'4. ABC XYZ Analysis'!K345</f>
        <v>C</v>
      </c>
      <c r="E345" s="5" t="str">
        <f>'4. ABC XYZ Analysis'!M345</f>
        <v>X</v>
      </c>
      <c r="F345" s="4">
        <f>'1. Master Data'!F345</f>
        <v>116</v>
      </c>
      <c r="G345" s="3">
        <f>'1. Master Data'!G345</f>
        <v>18</v>
      </c>
      <c r="H345" s="8">
        <f>'3. Demand Forecast'!F345/$T$3</f>
        <v>28.727272727272727</v>
      </c>
      <c r="I345" s="8">
        <f>'3. Demand Forecast'!G345/SQRT($T$3)</f>
        <v>6.630542278659485</v>
      </c>
      <c r="J345" s="5">
        <f t="shared" si="30"/>
        <v>47</v>
      </c>
      <c r="K345" s="5">
        <f t="shared" si="31"/>
        <v>565</v>
      </c>
      <c r="L345" s="3">
        <f>IF(F345=0,0,ROUNDUP(SQRT(2*'4. ABC XYZ Analysis'!F345*$U$3/(F345*$V$3)),0))</f>
        <v>108</v>
      </c>
      <c r="M345" s="3">
        <f>'1. Master Data'!I345</f>
        <v>248</v>
      </c>
      <c r="N345" s="3">
        <f t="shared" si="32"/>
        <v>9</v>
      </c>
      <c r="O345" s="5" t="str">
        <f t="shared" si="33"/>
        <v>ORDER NOW</v>
      </c>
      <c r="P345" s="5" t="str">
        <f t="shared" si="34"/>
        <v>MEDIUM</v>
      </c>
      <c r="Q345" s="3" t="str">
        <f t="shared" si="35"/>
        <v>Reorder Point</v>
      </c>
    </row>
    <row r="346" spans="1:17" ht="15" customHeight="1" x14ac:dyDescent="0.2">
      <c r="A346" s="3" t="str">
        <f>'1. Master Data'!A346</f>
        <v>NT10342</v>
      </c>
      <c r="B346" s="1" t="str">
        <f>'1. Master Data'!B346</f>
        <v>SmartPlug Duo 426</v>
      </c>
      <c r="C346" s="3" t="str">
        <f>'1. Master Data'!D346</f>
        <v>West DC</v>
      </c>
      <c r="D346" s="5" t="str">
        <f>'4. ABC XYZ Analysis'!K346</f>
        <v>C</v>
      </c>
      <c r="E346" s="5" t="str">
        <f>'4. ABC XYZ Analysis'!M346</f>
        <v>Y</v>
      </c>
      <c r="F346" s="4">
        <f>'1. Master Data'!F346</f>
        <v>97</v>
      </c>
      <c r="G346" s="3">
        <f>'1. Master Data'!G346</f>
        <v>12</v>
      </c>
      <c r="H346" s="8">
        <f>'3. Demand Forecast'!F346/$T$3</f>
        <v>11.786363636363637</v>
      </c>
      <c r="I346" s="8">
        <f>'3. Demand Forecast'!G346/SQRT($T$3)</f>
        <v>2.8568895991651799</v>
      </c>
      <c r="J346" s="5">
        <f t="shared" si="30"/>
        <v>17</v>
      </c>
      <c r="K346" s="5">
        <f t="shared" si="31"/>
        <v>159</v>
      </c>
      <c r="L346" s="3">
        <f>IF(F346=0,0,ROUNDUP(SQRT(2*'4. ABC XYZ Analysis'!F346*$U$3/(F346*$V$3)),0))</f>
        <v>63</v>
      </c>
      <c r="M346" s="3">
        <f>'1. Master Data'!I346</f>
        <v>162</v>
      </c>
      <c r="N346" s="3">
        <f t="shared" si="32"/>
        <v>14</v>
      </c>
      <c r="O346" s="5" t="str">
        <f t="shared" si="33"/>
        <v>ORDER SOON</v>
      </c>
      <c r="P346" s="5" t="str">
        <f t="shared" si="34"/>
        <v>MEDIUM</v>
      </c>
      <c r="Q346" s="3" t="str">
        <f t="shared" si="35"/>
        <v>Reorder Point</v>
      </c>
    </row>
    <row r="347" spans="1:17" ht="15" customHeight="1" x14ac:dyDescent="0.2">
      <c r="A347" s="3" t="str">
        <f>'1. Master Data'!A347</f>
        <v>NT10343</v>
      </c>
      <c r="B347" s="1" t="str">
        <f>'1. Master Data'!B347</f>
        <v>SmartPlug Duo 481</v>
      </c>
      <c r="C347" s="3" t="str">
        <f>'1. Master Data'!D347</f>
        <v>East DC</v>
      </c>
      <c r="D347" s="5" t="str">
        <f>'4. ABC XYZ Analysis'!K347</f>
        <v>C</v>
      </c>
      <c r="E347" s="5" t="str">
        <f>'4. ABC XYZ Analysis'!M347</f>
        <v>Y</v>
      </c>
      <c r="F347" s="4">
        <f>'1. Master Data'!F347</f>
        <v>25</v>
      </c>
      <c r="G347" s="3">
        <f>'1. Master Data'!G347</f>
        <v>12</v>
      </c>
      <c r="H347" s="8">
        <f>'3. Demand Forecast'!F347/$T$3</f>
        <v>7.4136363636363631</v>
      </c>
      <c r="I347" s="8">
        <f>'3. Demand Forecast'!G347/SQRT($T$3)</f>
        <v>2.0893670202849823</v>
      </c>
      <c r="J347" s="5">
        <f t="shared" si="30"/>
        <v>12</v>
      </c>
      <c r="K347" s="5">
        <f t="shared" si="31"/>
        <v>101</v>
      </c>
      <c r="L347" s="3">
        <f>IF(F347=0,0,ROUNDUP(SQRT(2*'4. ABC XYZ Analysis'!F347*$U$3/(F347*$V$3)),0))</f>
        <v>58</v>
      </c>
      <c r="M347" s="3">
        <f>'1. Master Data'!I347</f>
        <v>104</v>
      </c>
      <c r="N347" s="3">
        <f t="shared" si="32"/>
        <v>14</v>
      </c>
      <c r="O347" s="5" t="str">
        <f t="shared" si="33"/>
        <v>ORDER SOON</v>
      </c>
      <c r="P347" s="5" t="str">
        <f t="shared" si="34"/>
        <v>MEDIUM</v>
      </c>
      <c r="Q347" s="3" t="str">
        <f t="shared" si="35"/>
        <v>Reorder Point</v>
      </c>
    </row>
    <row r="348" spans="1:17" ht="15" customHeight="1" x14ac:dyDescent="0.2">
      <c r="A348" s="3" t="str">
        <f>'1. Master Data'!A348</f>
        <v>NT10344</v>
      </c>
      <c r="B348" s="1" t="str">
        <f>'1. Master Data'!B348</f>
        <v>LumiBulb 614 RGB</v>
      </c>
      <c r="C348" s="3" t="str">
        <f>'1. Master Data'!D348</f>
        <v>West DC</v>
      </c>
      <c r="D348" s="5" t="str">
        <f>'4. ABC XYZ Analysis'!K348</f>
        <v>C</v>
      </c>
      <c r="E348" s="5" t="str">
        <f>'4. ABC XYZ Analysis'!M348</f>
        <v>X</v>
      </c>
      <c r="F348" s="4">
        <f>'1. Master Data'!F348</f>
        <v>100</v>
      </c>
      <c r="G348" s="3">
        <f>'1. Master Data'!G348</f>
        <v>16</v>
      </c>
      <c r="H348" s="8">
        <f>'3. Demand Forecast'!F348/$T$3</f>
        <v>39.131818181818183</v>
      </c>
      <c r="I348" s="8">
        <f>'3. Demand Forecast'!G348/SQRT($T$3)</f>
        <v>12.323001405354281</v>
      </c>
      <c r="J348" s="5">
        <f t="shared" si="30"/>
        <v>82</v>
      </c>
      <c r="K348" s="5">
        <f t="shared" si="31"/>
        <v>709</v>
      </c>
      <c r="L348" s="3">
        <f>IF(F348=0,0,ROUNDUP(SQRT(2*'4. ABC XYZ Analysis'!F348*$U$3/(F348*$V$3)),0))</f>
        <v>138</v>
      </c>
      <c r="M348" s="3">
        <f>'1. Master Data'!I348</f>
        <v>347</v>
      </c>
      <c r="N348" s="3">
        <f t="shared" si="32"/>
        <v>9</v>
      </c>
      <c r="O348" s="5" t="str">
        <f t="shared" si="33"/>
        <v>ORDER NOW</v>
      </c>
      <c r="P348" s="5" t="str">
        <f t="shared" si="34"/>
        <v>MEDIUM</v>
      </c>
      <c r="Q348" s="3" t="str">
        <f t="shared" si="35"/>
        <v>Reorder Point</v>
      </c>
    </row>
    <row r="349" spans="1:17" ht="15" customHeight="1" x14ac:dyDescent="0.2">
      <c r="A349" s="3" t="str">
        <f>'1. Master Data'!A349</f>
        <v>NT10345</v>
      </c>
      <c r="B349" s="1" t="str">
        <f>'1. Master Data'!B349</f>
        <v>SmartPlug Duo 565</v>
      </c>
      <c r="C349" s="3" t="str">
        <f>'1. Master Data'!D349</f>
        <v>Central DC</v>
      </c>
      <c r="D349" s="5" t="str">
        <f>'4. ABC XYZ Analysis'!K349</f>
        <v>C</v>
      </c>
      <c r="E349" s="5" t="str">
        <f>'4. ABC XYZ Analysis'!M349</f>
        <v>Y</v>
      </c>
      <c r="F349" s="4">
        <f>'1. Master Data'!F349</f>
        <v>108</v>
      </c>
      <c r="G349" s="3">
        <f>'1. Master Data'!G349</f>
        <v>16</v>
      </c>
      <c r="H349" s="8">
        <f>'3. Demand Forecast'!F349/$T$3</f>
        <v>15.668181818181818</v>
      </c>
      <c r="I349" s="8">
        <f>'3. Demand Forecast'!G349/SQRT($T$3)</f>
        <v>4.2640143271122088</v>
      </c>
      <c r="J349" s="5">
        <f t="shared" si="30"/>
        <v>29</v>
      </c>
      <c r="K349" s="5">
        <f t="shared" si="31"/>
        <v>280</v>
      </c>
      <c r="L349" s="3">
        <f>IF(F349=0,0,ROUNDUP(SQRT(2*'4. ABC XYZ Analysis'!F349*$U$3/(F349*$V$3)),0))</f>
        <v>77</v>
      </c>
      <c r="M349" s="3">
        <f>'1. Master Data'!I349</f>
        <v>283</v>
      </c>
      <c r="N349" s="3">
        <f t="shared" si="32"/>
        <v>18</v>
      </c>
      <c r="O349" s="5" t="str">
        <f t="shared" si="33"/>
        <v>ORDER SOON</v>
      </c>
      <c r="P349" s="5" t="str">
        <f t="shared" si="34"/>
        <v>MEDIUM</v>
      </c>
      <c r="Q349" s="3" t="str">
        <f t="shared" si="35"/>
        <v>Reorder Point</v>
      </c>
    </row>
    <row r="350" spans="1:17" ht="15" customHeight="1" x14ac:dyDescent="0.2">
      <c r="A350" s="3" t="str">
        <f>'1. Master Data'!A350</f>
        <v>NT10346</v>
      </c>
      <c r="B350" s="1" t="str">
        <f>'1. Master Data'!B350</f>
        <v>HomeCam 482 1080p</v>
      </c>
      <c r="C350" s="3" t="str">
        <f>'1. Master Data'!D350</f>
        <v>Central DC</v>
      </c>
      <c r="D350" s="5" t="str">
        <f>'4. ABC XYZ Analysis'!K350</f>
        <v>C</v>
      </c>
      <c r="E350" s="5" t="str">
        <f>'4. ABC XYZ Analysis'!M350</f>
        <v>Y</v>
      </c>
      <c r="F350" s="4">
        <f>'1. Master Data'!F350</f>
        <v>53</v>
      </c>
      <c r="G350" s="3">
        <f>'1. Master Data'!G350</f>
        <v>22</v>
      </c>
      <c r="H350" s="8">
        <f>'3. Demand Forecast'!F350/$T$3</f>
        <v>11.645454545454545</v>
      </c>
      <c r="I350" s="8">
        <f>'3. Demand Forecast'!G350/SQRT($T$3)</f>
        <v>3.8802530376721096</v>
      </c>
      <c r="J350" s="5">
        <f t="shared" si="30"/>
        <v>31</v>
      </c>
      <c r="K350" s="5">
        <f t="shared" si="31"/>
        <v>288</v>
      </c>
      <c r="L350" s="3">
        <f>IF(F350=0,0,ROUNDUP(SQRT(2*'4. ABC XYZ Analysis'!F350*$U$3/(F350*$V$3)),0))</f>
        <v>31</v>
      </c>
      <c r="M350" s="3">
        <f>'1. Master Data'!I350</f>
        <v>291</v>
      </c>
      <c r="N350" s="3">
        <f t="shared" si="32"/>
        <v>25</v>
      </c>
      <c r="O350" s="5" t="str">
        <f t="shared" si="33"/>
        <v>ORDER SOON</v>
      </c>
      <c r="P350" s="5" t="str">
        <f t="shared" si="34"/>
        <v>MEDIUM</v>
      </c>
      <c r="Q350" s="3" t="str">
        <f t="shared" si="35"/>
        <v>Reorder Point</v>
      </c>
    </row>
    <row r="351" spans="1:17" ht="15" customHeight="1" x14ac:dyDescent="0.2">
      <c r="A351" s="3" t="str">
        <f>'1. Master Data'!A351</f>
        <v>NT10347</v>
      </c>
      <c r="B351" s="1" t="str">
        <f>'1. Master Data'!B351</f>
        <v>SmartPlug Duo 550</v>
      </c>
      <c r="C351" s="3" t="str">
        <f>'1. Master Data'!D351</f>
        <v>East DC</v>
      </c>
      <c r="D351" s="5" t="str">
        <f>'4. ABC XYZ Analysis'!K351</f>
        <v>C</v>
      </c>
      <c r="E351" s="5" t="str">
        <f>'4. ABC XYZ Analysis'!M351</f>
        <v>X</v>
      </c>
      <c r="F351" s="4">
        <f>'1. Master Data'!F351</f>
        <v>28</v>
      </c>
      <c r="G351" s="3">
        <f>'1. Master Data'!G351</f>
        <v>19</v>
      </c>
      <c r="H351" s="8">
        <f>'3. Demand Forecast'!F351/$T$3</f>
        <v>2.4818181818181819</v>
      </c>
      <c r="I351" s="8">
        <f>'3. Demand Forecast'!G351/SQRT($T$3)</f>
        <v>0.74620250724463644</v>
      </c>
      <c r="J351" s="5">
        <f t="shared" si="30"/>
        <v>6</v>
      </c>
      <c r="K351" s="5">
        <f t="shared" si="31"/>
        <v>54</v>
      </c>
      <c r="L351" s="3">
        <f>IF(F351=0,0,ROUNDUP(SQRT(2*'4. ABC XYZ Analysis'!F351*$U$3/(F351*$V$3)),0))</f>
        <v>233</v>
      </c>
      <c r="M351" s="3">
        <f>'1. Master Data'!I351</f>
        <v>57</v>
      </c>
      <c r="N351" s="3">
        <f t="shared" si="32"/>
        <v>23</v>
      </c>
      <c r="O351" s="5" t="str">
        <f t="shared" si="33"/>
        <v>ORDER SOON</v>
      </c>
      <c r="P351" s="5" t="str">
        <f t="shared" si="34"/>
        <v>MEDIUM</v>
      </c>
      <c r="Q351" s="3" t="str">
        <f t="shared" si="35"/>
        <v>Reorder Point</v>
      </c>
    </row>
    <row r="352" spans="1:17" ht="15" customHeight="1" x14ac:dyDescent="0.2">
      <c r="A352" s="3" t="str">
        <f>'1. Master Data'!A352</f>
        <v>NT10348</v>
      </c>
      <c r="B352" s="1" t="str">
        <f>'1. Master Data'!B352</f>
        <v>HomeCam 160 1080p</v>
      </c>
      <c r="C352" s="3" t="str">
        <f>'1. Master Data'!D352</f>
        <v>Central DC</v>
      </c>
      <c r="D352" s="5" t="str">
        <f>'4. ABC XYZ Analysis'!K352</f>
        <v>C</v>
      </c>
      <c r="E352" s="5" t="str">
        <f>'4. ABC XYZ Analysis'!M352</f>
        <v>X</v>
      </c>
      <c r="F352" s="4">
        <f>'1. Master Data'!F352</f>
        <v>61</v>
      </c>
      <c r="G352" s="3">
        <f>'1. Master Data'!G352</f>
        <v>16</v>
      </c>
      <c r="H352" s="8">
        <f>'3. Demand Forecast'!F352/$T$3</f>
        <v>14.209090909090911</v>
      </c>
      <c r="I352" s="8">
        <f>'3. Demand Forecast'!G352/SQRT($T$3)</f>
        <v>3.944213252578793</v>
      </c>
      <c r="J352" s="5">
        <f t="shared" si="30"/>
        <v>27</v>
      </c>
      <c r="K352" s="5">
        <f t="shared" si="31"/>
        <v>255</v>
      </c>
      <c r="L352" s="3">
        <f>IF(F352=0,0,ROUNDUP(SQRT(2*'4. ABC XYZ Analysis'!F352*$U$3/(F352*$V$3)),0))</f>
        <v>140</v>
      </c>
      <c r="M352" s="3">
        <f>'1. Master Data'!I352</f>
        <v>1232</v>
      </c>
      <c r="N352" s="3">
        <f t="shared" si="32"/>
        <v>87</v>
      </c>
      <c r="O352" s="5" t="str">
        <f t="shared" si="33"/>
        <v>OK</v>
      </c>
      <c r="P352" s="5" t="str">
        <f t="shared" si="34"/>
        <v>LOW</v>
      </c>
      <c r="Q352" s="3" t="str">
        <f t="shared" si="35"/>
        <v>Reorder Point</v>
      </c>
    </row>
    <row r="353" spans="1:17" ht="15" customHeight="1" x14ac:dyDescent="0.2">
      <c r="A353" s="3" t="str">
        <f>'1. Master Data'!A353</f>
        <v>NT10349</v>
      </c>
      <c r="B353" s="1" t="str">
        <f>'1. Master Data'!B353</f>
        <v>HomeCam 528 1080p</v>
      </c>
      <c r="C353" s="3" t="str">
        <f>'1. Master Data'!D353</f>
        <v>Central DC</v>
      </c>
      <c r="D353" s="5" t="str">
        <f>'4. ABC XYZ Analysis'!K353</f>
        <v>C</v>
      </c>
      <c r="E353" s="5" t="str">
        <f>'4. ABC XYZ Analysis'!M353</f>
        <v>Y</v>
      </c>
      <c r="F353" s="4">
        <f>'1. Master Data'!F353</f>
        <v>66</v>
      </c>
      <c r="G353" s="3">
        <f>'1. Master Data'!G353</f>
        <v>22</v>
      </c>
      <c r="H353" s="8">
        <f>'3. Demand Forecast'!F353/$T$3</f>
        <v>7.2954545454545459</v>
      </c>
      <c r="I353" s="8">
        <f>'3. Demand Forecast'!G353/SQRT($T$3)</f>
        <v>1.7269258024804444</v>
      </c>
      <c r="J353" s="5">
        <f t="shared" si="30"/>
        <v>14</v>
      </c>
      <c r="K353" s="5">
        <f t="shared" si="31"/>
        <v>175</v>
      </c>
      <c r="L353" s="3">
        <f>IF(F353=0,0,ROUNDUP(SQRT(2*'4. ABC XYZ Analysis'!F353*$U$3/(F353*$V$3)),0))</f>
        <v>28</v>
      </c>
      <c r="M353" s="3">
        <f>'1. Master Data'!I353</f>
        <v>178</v>
      </c>
      <c r="N353" s="3">
        <f t="shared" si="32"/>
        <v>24</v>
      </c>
      <c r="O353" s="5" t="str">
        <f t="shared" si="33"/>
        <v>ORDER SOON</v>
      </c>
      <c r="P353" s="5" t="str">
        <f t="shared" si="34"/>
        <v>MEDIUM</v>
      </c>
      <c r="Q353" s="3" t="str">
        <f t="shared" si="35"/>
        <v>Reorder Point</v>
      </c>
    </row>
    <row r="354" spans="1:17" ht="15" customHeight="1" x14ac:dyDescent="0.2">
      <c r="A354" s="3" t="str">
        <f>'1. Master Data'!A354</f>
        <v>NT10350</v>
      </c>
      <c r="B354" s="1" t="str">
        <f>'1. Master Data'!B354</f>
        <v>SmartPlug Duo 486</v>
      </c>
      <c r="C354" s="3" t="str">
        <f>'1. Master Data'!D354</f>
        <v>East DC</v>
      </c>
      <c r="D354" s="5" t="str">
        <f>'4. ABC XYZ Analysis'!K354</f>
        <v>C</v>
      </c>
      <c r="E354" s="5" t="str">
        <f>'4. ABC XYZ Analysis'!M354</f>
        <v>Y</v>
      </c>
      <c r="F354" s="4">
        <f>'1. Master Data'!F354</f>
        <v>21</v>
      </c>
      <c r="G354" s="3">
        <f>'1. Master Data'!G354</f>
        <v>15</v>
      </c>
      <c r="H354" s="8">
        <f>'3. Demand Forecast'!F354/$T$3</f>
        <v>7.7318181818181815</v>
      </c>
      <c r="I354" s="8">
        <f>'3. Demand Forecast'!G354/SQRT($T$3)</f>
        <v>3.5817720347742554</v>
      </c>
      <c r="J354" s="5">
        <f t="shared" si="30"/>
        <v>23</v>
      </c>
      <c r="K354" s="5">
        <f t="shared" si="31"/>
        <v>139</v>
      </c>
      <c r="L354" s="3">
        <f>IF(F354=0,0,ROUNDUP(SQRT(2*'4. ABC XYZ Analysis'!F354*$U$3/(F354*$V$3)),0))</f>
        <v>68</v>
      </c>
      <c r="M354" s="3">
        <f>'1. Master Data'!I354</f>
        <v>142</v>
      </c>
      <c r="N354" s="3">
        <f t="shared" si="32"/>
        <v>18</v>
      </c>
      <c r="O354" s="5" t="str">
        <f t="shared" si="33"/>
        <v>ORDER SOON</v>
      </c>
      <c r="P354" s="5" t="str">
        <f t="shared" si="34"/>
        <v>MEDIUM</v>
      </c>
      <c r="Q354" s="3" t="str">
        <f t="shared" si="35"/>
        <v>Reorder Point</v>
      </c>
    </row>
    <row r="355" spans="1:17" ht="15" customHeight="1" x14ac:dyDescent="0.2">
      <c r="A355" s="3" t="str">
        <f>'1. Master Data'!A355</f>
        <v>NT10351</v>
      </c>
      <c r="B355" s="1" t="str">
        <f>'1. Master Data'!B355</f>
        <v>MirrorlessM 131</v>
      </c>
      <c r="C355" s="3" t="str">
        <f>'1. Master Data'!D355</f>
        <v>Central DC</v>
      </c>
      <c r="D355" s="5" t="str">
        <f>'4. ABC XYZ Analysis'!K355</f>
        <v>C</v>
      </c>
      <c r="E355" s="5" t="str">
        <f>'4. ABC XYZ Analysis'!M355</f>
        <v>Y</v>
      </c>
      <c r="F355" s="4">
        <f>'1. Master Data'!F355</f>
        <v>1114</v>
      </c>
      <c r="G355" s="3">
        <f>'1. Master Data'!G355</f>
        <v>44</v>
      </c>
      <c r="H355" s="8">
        <f>'3. Demand Forecast'!F355/$T$3</f>
        <v>0.5818181818181819</v>
      </c>
      <c r="I355" s="8">
        <f>'3. Demand Forecast'!G355/SQRT($T$3)</f>
        <v>0.85280286542244166</v>
      </c>
      <c r="J355" s="5">
        <f t="shared" si="30"/>
        <v>10</v>
      </c>
      <c r="K355" s="5">
        <f t="shared" si="31"/>
        <v>36</v>
      </c>
      <c r="L355" s="3">
        <f>IF(F355=0,0,ROUNDUP(SQRT(2*'4. ABC XYZ Analysis'!F355*$U$3/(F355*$V$3)),0))</f>
        <v>15</v>
      </c>
      <c r="M355" s="3">
        <f>'1. Master Data'!I355</f>
        <v>39</v>
      </c>
      <c r="N355" s="3">
        <f t="shared" si="32"/>
        <v>67</v>
      </c>
      <c r="O355" s="5" t="str">
        <f t="shared" si="33"/>
        <v>ORDER SOON</v>
      </c>
      <c r="P355" s="5" t="str">
        <f t="shared" si="34"/>
        <v>MEDIUM</v>
      </c>
      <c r="Q355" s="3" t="str">
        <f t="shared" si="35"/>
        <v>Reorder Point</v>
      </c>
    </row>
    <row r="356" spans="1:17" ht="15" customHeight="1" x14ac:dyDescent="0.2">
      <c r="A356" s="3" t="str">
        <f>'1. Master Data'!A356</f>
        <v>NT10352</v>
      </c>
      <c r="B356" s="1" t="str">
        <f>'1. Master Data'!B356</f>
        <v>TravelShot 264 Compact</v>
      </c>
      <c r="C356" s="3" t="str">
        <f>'1. Master Data'!D356</f>
        <v>East DC</v>
      </c>
      <c r="D356" s="5" t="str">
        <f>'4. ABC XYZ Analysis'!K356</f>
        <v>C</v>
      </c>
      <c r="E356" s="5" t="str">
        <f>'4. ABC XYZ Analysis'!M356</f>
        <v>Y</v>
      </c>
      <c r="F356" s="4">
        <f>'1. Master Data'!F356</f>
        <v>883</v>
      </c>
      <c r="G356" s="3">
        <f>'1. Master Data'!G356</f>
        <v>36</v>
      </c>
      <c r="H356" s="8">
        <f>'3. Demand Forecast'!F356/$T$3</f>
        <v>0.10909090909090909</v>
      </c>
      <c r="I356" s="8">
        <f>'3. Demand Forecast'!G356/SQRT($T$3)</f>
        <v>0.31980107453341566</v>
      </c>
      <c r="J356" s="5">
        <f t="shared" si="30"/>
        <v>4</v>
      </c>
      <c r="K356" s="5">
        <f t="shared" si="31"/>
        <v>8</v>
      </c>
      <c r="L356" s="3">
        <f>IF(F356=0,0,ROUNDUP(SQRT(2*'4. ABC XYZ Analysis'!F356*$U$3/(F356*$V$3)),0))</f>
        <v>8</v>
      </c>
      <c r="M356" s="3">
        <f>'1. Master Data'!I356</f>
        <v>27</v>
      </c>
      <c r="N356" s="3">
        <f t="shared" si="32"/>
        <v>248</v>
      </c>
      <c r="O356" s="5" t="str">
        <f t="shared" si="33"/>
        <v>OK</v>
      </c>
      <c r="P356" s="5" t="str">
        <f t="shared" si="34"/>
        <v>LOW</v>
      </c>
      <c r="Q356" s="3" t="str">
        <f t="shared" si="35"/>
        <v>Reorder Point</v>
      </c>
    </row>
    <row r="357" spans="1:17" ht="15" customHeight="1" x14ac:dyDescent="0.2">
      <c r="A357" s="3" t="str">
        <f>'1. Master Data'!A357</f>
        <v>NT10353</v>
      </c>
      <c r="B357" s="1" t="str">
        <f>'1. Master Data'!B357</f>
        <v>MirrorlessM 556</v>
      </c>
      <c r="C357" s="3" t="str">
        <f>'1. Master Data'!D357</f>
        <v>Central DC</v>
      </c>
      <c r="D357" s="5" t="str">
        <f>'4. ABC XYZ Analysis'!K357</f>
        <v>C</v>
      </c>
      <c r="E357" s="5" t="str">
        <f>'4. ABC XYZ Analysis'!M357</f>
        <v>X</v>
      </c>
      <c r="F357" s="4">
        <f>'1. Master Data'!F357</f>
        <v>786</v>
      </c>
      <c r="G357" s="3">
        <f>'1. Master Data'!G357</f>
        <v>44</v>
      </c>
      <c r="H357" s="8">
        <f>'3. Demand Forecast'!F357/$T$3</f>
        <v>0.51363636363636367</v>
      </c>
      <c r="I357" s="8">
        <f>'3. Demand Forecast'!G357/SQRT($T$3)</f>
        <v>0.63960214906683133</v>
      </c>
      <c r="J357" s="5">
        <f t="shared" si="30"/>
        <v>8</v>
      </c>
      <c r="K357" s="5">
        <f t="shared" si="31"/>
        <v>31</v>
      </c>
      <c r="L357" s="3">
        <f>IF(F357=0,0,ROUNDUP(SQRT(2*'4. ABC XYZ Analysis'!F357*$U$3/(F357*$V$3)),0))</f>
        <v>23</v>
      </c>
      <c r="M357" s="3">
        <f>'1. Master Data'!I357</f>
        <v>33</v>
      </c>
      <c r="N357" s="3">
        <f t="shared" si="32"/>
        <v>64</v>
      </c>
      <c r="O357" s="5" t="str">
        <f t="shared" si="33"/>
        <v>ORDER SOON</v>
      </c>
      <c r="P357" s="5" t="str">
        <f t="shared" si="34"/>
        <v>MEDIUM</v>
      </c>
      <c r="Q357" s="3" t="str">
        <f t="shared" si="35"/>
        <v>Reorder Point</v>
      </c>
    </row>
    <row r="358" spans="1:17" ht="15" customHeight="1" x14ac:dyDescent="0.2">
      <c r="A358" s="3" t="str">
        <f>'1. Master Data'!A358</f>
        <v>NT10354</v>
      </c>
      <c r="B358" s="1" t="str">
        <f>'1. Master Data'!B358</f>
        <v>ActionCam 521 4K</v>
      </c>
      <c r="C358" s="3" t="str">
        <f>'1. Master Data'!D358</f>
        <v>Central DC</v>
      </c>
      <c r="D358" s="5" t="str">
        <f>'4. ABC XYZ Analysis'!K358</f>
        <v>C</v>
      </c>
      <c r="E358" s="5" t="str">
        <f>'4. ABC XYZ Analysis'!M358</f>
        <v>Y</v>
      </c>
      <c r="F358" s="4">
        <f>'1. Master Data'!F358</f>
        <v>223</v>
      </c>
      <c r="G358" s="3">
        <f>'1. Master Data'!G358</f>
        <v>23</v>
      </c>
      <c r="H358" s="8">
        <f>'3. Demand Forecast'!F358/$T$3</f>
        <v>0.74545454545454537</v>
      </c>
      <c r="I358" s="8">
        <f>'3. Demand Forecast'!G358/SQRT($T$3)</f>
        <v>0.91676308032912479</v>
      </c>
      <c r="J358" s="5">
        <f t="shared" si="30"/>
        <v>8</v>
      </c>
      <c r="K358" s="5">
        <f t="shared" si="31"/>
        <v>26</v>
      </c>
      <c r="L358" s="3">
        <f>IF(F358=0,0,ROUNDUP(SQRT(2*'4. ABC XYZ Analysis'!F358*$U$3/(F358*$V$3)),0))</f>
        <v>18</v>
      </c>
      <c r="M358" s="3">
        <f>'1. Master Data'!I358</f>
        <v>53</v>
      </c>
      <c r="N358" s="3">
        <f t="shared" si="32"/>
        <v>71</v>
      </c>
      <c r="O358" s="5" t="str">
        <f t="shared" si="33"/>
        <v>OK</v>
      </c>
      <c r="P358" s="5" t="str">
        <f t="shared" si="34"/>
        <v>LOW</v>
      </c>
      <c r="Q358" s="3" t="str">
        <f t="shared" si="35"/>
        <v>Reorder Point</v>
      </c>
    </row>
    <row r="359" spans="1:17" ht="15" customHeight="1" x14ac:dyDescent="0.2">
      <c r="A359" s="3" t="str">
        <f>'1. Master Data'!A359</f>
        <v>NT10355</v>
      </c>
      <c r="B359" s="1" t="str">
        <f>'1. Master Data'!B359</f>
        <v>MirrorlessM 404</v>
      </c>
      <c r="C359" s="3" t="str">
        <f>'1. Master Data'!D359</f>
        <v>East DC</v>
      </c>
      <c r="D359" s="5" t="str">
        <f>'4. ABC XYZ Analysis'!K359</f>
        <v>C</v>
      </c>
      <c r="E359" s="5" t="str">
        <f>'4. ABC XYZ Analysis'!M359</f>
        <v>Y</v>
      </c>
      <c r="F359" s="4">
        <f>'1. Master Data'!F359</f>
        <v>866</v>
      </c>
      <c r="G359" s="3">
        <f>'1. Master Data'!G359</f>
        <v>34</v>
      </c>
      <c r="H359" s="8">
        <f>'3. Demand Forecast'!F359/$T$3</f>
        <v>0.5636363636363636</v>
      </c>
      <c r="I359" s="8">
        <f>'3. Demand Forecast'!G359/SQRT($T$3)</f>
        <v>0.85280286542244166</v>
      </c>
      <c r="J359" s="5">
        <f t="shared" si="30"/>
        <v>9</v>
      </c>
      <c r="K359" s="5">
        <f t="shared" si="31"/>
        <v>29</v>
      </c>
      <c r="L359" s="3">
        <f>IF(F359=0,0,ROUNDUP(SQRT(2*'4. ABC XYZ Analysis'!F359*$U$3/(F359*$V$3)),0))</f>
        <v>11</v>
      </c>
      <c r="M359" s="3">
        <f>'1. Master Data'!I359</f>
        <v>32</v>
      </c>
      <c r="N359" s="3">
        <f t="shared" si="32"/>
        <v>57</v>
      </c>
      <c r="O359" s="5" t="str">
        <f t="shared" si="33"/>
        <v>ORDER SOON</v>
      </c>
      <c r="P359" s="5" t="str">
        <f t="shared" si="34"/>
        <v>MEDIUM</v>
      </c>
      <c r="Q359" s="3" t="str">
        <f t="shared" si="35"/>
        <v>Reorder Point</v>
      </c>
    </row>
    <row r="360" spans="1:17" ht="15" customHeight="1" x14ac:dyDescent="0.2">
      <c r="A360" s="3" t="str">
        <f>'1. Master Data'!A360</f>
        <v>NT10356</v>
      </c>
      <c r="B360" s="1" t="str">
        <f>'1. Master Data'!B360</f>
        <v>TravelShot 546 Compact</v>
      </c>
      <c r="C360" s="3" t="str">
        <f>'1. Master Data'!D360</f>
        <v>West DC</v>
      </c>
      <c r="D360" s="5" t="str">
        <f>'4. ABC XYZ Analysis'!K360</f>
        <v>C</v>
      </c>
      <c r="E360" s="5" t="str">
        <f>'4. ABC XYZ Analysis'!M360</f>
        <v>Y</v>
      </c>
      <c r="F360" s="4">
        <f>'1. Master Data'!F360</f>
        <v>1016</v>
      </c>
      <c r="G360" s="3">
        <f>'1. Master Data'!G360</f>
        <v>40</v>
      </c>
      <c r="H360" s="8">
        <f>'3. Demand Forecast'!F360/$T$3</f>
        <v>0.76818181818181808</v>
      </c>
      <c r="I360" s="8">
        <f>'3. Demand Forecast'!G360/SQRT($T$3)</f>
        <v>1.0446835101424912</v>
      </c>
      <c r="J360" s="5">
        <f t="shared" si="30"/>
        <v>11</v>
      </c>
      <c r="K360" s="5">
        <f t="shared" si="31"/>
        <v>42</v>
      </c>
      <c r="L360" s="3">
        <f>IF(F360=0,0,ROUNDUP(SQRT(2*'4. ABC XYZ Analysis'!F360*$U$3/(F360*$V$3)),0))</f>
        <v>14</v>
      </c>
      <c r="M360" s="3">
        <f>'1. Master Data'!I360</f>
        <v>45</v>
      </c>
      <c r="N360" s="3">
        <f t="shared" si="32"/>
        <v>59</v>
      </c>
      <c r="O360" s="5" t="str">
        <f t="shared" si="33"/>
        <v>ORDER SOON</v>
      </c>
      <c r="P360" s="5" t="str">
        <f t="shared" si="34"/>
        <v>MEDIUM</v>
      </c>
      <c r="Q360" s="3" t="str">
        <f t="shared" si="35"/>
        <v>Reorder Point</v>
      </c>
    </row>
    <row r="361" spans="1:17" ht="15" customHeight="1" x14ac:dyDescent="0.2">
      <c r="A361" s="3" t="str">
        <f>'1. Master Data'!A361</f>
        <v>NT10357</v>
      </c>
      <c r="B361" s="1" t="str">
        <f>'1. Master Data'!B361</f>
        <v>OptiZoom 396 DSLR</v>
      </c>
      <c r="C361" s="3" t="str">
        <f>'1. Master Data'!D361</f>
        <v>Central DC</v>
      </c>
      <c r="D361" s="5" t="str">
        <f>'4. ABC XYZ Analysis'!K361</f>
        <v>C</v>
      </c>
      <c r="E361" s="5" t="str">
        <f>'4. ABC XYZ Analysis'!M361</f>
        <v>Y</v>
      </c>
      <c r="F361" s="4">
        <f>'1. Master Data'!F361</f>
        <v>1070</v>
      </c>
      <c r="G361" s="3">
        <f>'1. Master Data'!G361</f>
        <v>18</v>
      </c>
      <c r="H361" s="8">
        <f>'3. Demand Forecast'!F361/$T$3</f>
        <v>6.8181818181818177E-2</v>
      </c>
      <c r="I361" s="8">
        <f>'3. Demand Forecast'!G361/SQRT($T$3)</f>
        <v>0.14924050144892728</v>
      </c>
      <c r="J361" s="5">
        <f t="shared" si="30"/>
        <v>2</v>
      </c>
      <c r="K361" s="5">
        <f t="shared" si="31"/>
        <v>4</v>
      </c>
      <c r="L361" s="3">
        <f>IF(F361=0,0,ROUNDUP(SQRT(2*'4. ABC XYZ Analysis'!F361*$U$3/(F361*$V$3)),0))</f>
        <v>16</v>
      </c>
      <c r="M361" s="3">
        <f>'1. Master Data'!I361</f>
        <v>19</v>
      </c>
      <c r="N361" s="3">
        <f t="shared" si="32"/>
        <v>279</v>
      </c>
      <c r="O361" s="5" t="str">
        <f t="shared" si="33"/>
        <v>OK</v>
      </c>
      <c r="P361" s="5" t="str">
        <f t="shared" si="34"/>
        <v>LOW</v>
      </c>
      <c r="Q361" s="3" t="str">
        <f t="shared" si="35"/>
        <v>Reorder Point</v>
      </c>
    </row>
    <row r="362" spans="1:17" ht="15" customHeight="1" x14ac:dyDescent="0.2">
      <c r="A362" s="3" t="str">
        <f>'1. Master Data'!A362</f>
        <v>NT10358</v>
      </c>
      <c r="B362" s="1" t="str">
        <f>'1. Master Data'!B362</f>
        <v>MirrorlessM 145</v>
      </c>
      <c r="C362" s="3" t="str">
        <f>'1. Master Data'!D362</f>
        <v>Central DC</v>
      </c>
      <c r="D362" s="5" t="str">
        <f>'4. ABC XYZ Analysis'!K362</f>
        <v>C</v>
      </c>
      <c r="E362" s="5" t="str">
        <f>'4. ABC XYZ Analysis'!M362</f>
        <v>Y</v>
      </c>
      <c r="F362" s="4">
        <f>'1. Master Data'!F362</f>
        <v>1149</v>
      </c>
      <c r="G362" s="3">
        <f>'1. Master Data'!G362</f>
        <v>30</v>
      </c>
      <c r="H362" s="8">
        <f>'3. Demand Forecast'!F362/$T$3</f>
        <v>1.468181818181818</v>
      </c>
      <c r="I362" s="8">
        <f>'3. Demand Forecast'!G362/SQRT($T$3)</f>
        <v>2.1533272351916652</v>
      </c>
      <c r="J362" s="5">
        <f t="shared" si="30"/>
        <v>20</v>
      </c>
      <c r="K362" s="5">
        <f t="shared" si="31"/>
        <v>65</v>
      </c>
      <c r="L362" s="3">
        <f>IF(F362=0,0,ROUNDUP(SQRT(2*'4. ABC XYZ Analysis'!F362*$U$3/(F362*$V$3)),0))</f>
        <v>18</v>
      </c>
      <c r="M362" s="3">
        <f>'1. Master Data'!I362</f>
        <v>31</v>
      </c>
      <c r="N362" s="3">
        <f t="shared" si="32"/>
        <v>21</v>
      </c>
      <c r="O362" s="5" t="str">
        <f t="shared" si="33"/>
        <v>ORDER NOW</v>
      </c>
      <c r="P362" s="5" t="str">
        <f t="shared" si="34"/>
        <v>MEDIUM</v>
      </c>
      <c r="Q362" s="3" t="str">
        <f t="shared" si="35"/>
        <v>Reorder Point</v>
      </c>
    </row>
    <row r="363" spans="1:17" ht="15" customHeight="1" x14ac:dyDescent="0.2">
      <c r="A363" s="3" t="str">
        <f>'1. Master Data'!A363</f>
        <v>NT10359</v>
      </c>
      <c r="B363" s="1" t="str">
        <f>'1. Master Data'!B363</f>
        <v>ActionCam 776 4K</v>
      </c>
      <c r="C363" s="3" t="str">
        <f>'1. Master Data'!D363</f>
        <v>West DC</v>
      </c>
      <c r="D363" s="5" t="str">
        <f>'4. ABC XYZ Analysis'!K363</f>
        <v>C</v>
      </c>
      <c r="E363" s="5" t="str">
        <f>'4. ABC XYZ Analysis'!M363</f>
        <v>Y</v>
      </c>
      <c r="F363" s="4">
        <f>'1. Master Data'!F363</f>
        <v>519</v>
      </c>
      <c r="G363" s="3">
        <f>'1. Master Data'!G363</f>
        <v>38</v>
      </c>
      <c r="H363" s="8">
        <f>'3. Demand Forecast'!F363/$T$3</f>
        <v>1.8454545454545455</v>
      </c>
      <c r="I363" s="8">
        <f>'3. Demand Forecast'!G363/SQRT($T$3)</f>
        <v>3.0487702438852291</v>
      </c>
      <c r="J363" s="5">
        <f t="shared" si="30"/>
        <v>32</v>
      </c>
      <c r="K363" s="5">
        <f t="shared" si="31"/>
        <v>103</v>
      </c>
      <c r="L363" s="3">
        <f>IF(F363=0,0,ROUNDUP(SQRT(2*'4. ABC XYZ Analysis'!F363*$U$3/(F363*$V$3)),0))</f>
        <v>15</v>
      </c>
      <c r="M363" s="3">
        <f>'1. Master Data'!I363</f>
        <v>105</v>
      </c>
      <c r="N363" s="3">
        <f t="shared" si="32"/>
        <v>57</v>
      </c>
      <c r="O363" s="5" t="str">
        <f t="shared" si="33"/>
        <v>ORDER SOON</v>
      </c>
      <c r="P363" s="5" t="str">
        <f t="shared" si="34"/>
        <v>MEDIUM</v>
      </c>
      <c r="Q363" s="3" t="str">
        <f t="shared" si="35"/>
        <v>Reorder Point</v>
      </c>
    </row>
    <row r="364" spans="1:17" ht="15" customHeight="1" x14ac:dyDescent="0.2">
      <c r="A364" s="3" t="str">
        <f>'1. Master Data'!A364</f>
        <v>NT10360</v>
      </c>
      <c r="B364" s="1" t="str">
        <f>'1. Master Data'!B364</f>
        <v>OptiZoom 562 DSLR</v>
      </c>
      <c r="C364" s="3" t="str">
        <f>'1. Master Data'!D364</f>
        <v>East DC</v>
      </c>
      <c r="D364" s="5" t="str">
        <f>'4. ABC XYZ Analysis'!K364</f>
        <v>C</v>
      </c>
      <c r="E364" s="5" t="str">
        <f>'4. ABC XYZ Analysis'!M364</f>
        <v>X</v>
      </c>
      <c r="F364" s="4">
        <f>'1. Master Data'!F364</f>
        <v>842</v>
      </c>
      <c r="G364" s="3">
        <f>'1. Master Data'!G364</f>
        <v>22</v>
      </c>
      <c r="H364" s="8">
        <f>'3. Demand Forecast'!F364/$T$3</f>
        <v>0.10454545454545454</v>
      </c>
      <c r="I364" s="8">
        <f>'3. Demand Forecast'!G364/SQRT($T$3)</f>
        <v>0.25584085962673248</v>
      </c>
      <c r="J364" s="5">
        <f t="shared" si="30"/>
        <v>2</v>
      </c>
      <c r="K364" s="5">
        <f t="shared" si="31"/>
        <v>5</v>
      </c>
      <c r="L364" s="3">
        <f>IF(F364=0,0,ROUNDUP(SQRT(2*'4. ABC XYZ Analysis'!F364*$U$3/(F364*$V$3)),0))</f>
        <v>39</v>
      </c>
      <c r="M364" s="3">
        <f>'1. Master Data'!I364</f>
        <v>12</v>
      </c>
      <c r="N364" s="3">
        <f t="shared" si="32"/>
        <v>115</v>
      </c>
      <c r="O364" s="5" t="str">
        <f t="shared" si="33"/>
        <v>OK</v>
      </c>
      <c r="P364" s="5" t="str">
        <f t="shared" si="34"/>
        <v>LOW</v>
      </c>
      <c r="Q364" s="3" t="str">
        <f t="shared" si="35"/>
        <v>Reorder Point</v>
      </c>
    </row>
    <row r="365" spans="1:17" ht="15" customHeight="1" x14ac:dyDescent="0.2">
      <c r="A365" s="3" t="str">
        <f>'1. Master Data'!A365</f>
        <v>NT10361</v>
      </c>
      <c r="B365" s="1" t="str">
        <f>'1. Master Data'!B365</f>
        <v>MirrorlessM 811</v>
      </c>
      <c r="C365" s="3" t="str">
        <f>'1. Master Data'!D365</f>
        <v>East DC</v>
      </c>
      <c r="D365" s="5" t="str">
        <f>'4. ABC XYZ Analysis'!K365</f>
        <v>C</v>
      </c>
      <c r="E365" s="5" t="str">
        <f>'4. ABC XYZ Analysis'!M365</f>
        <v>Z</v>
      </c>
      <c r="F365" s="4">
        <f>'1. Master Data'!F365</f>
        <v>422</v>
      </c>
      <c r="G365" s="3">
        <f>'1. Master Data'!G365</f>
        <v>20</v>
      </c>
      <c r="H365" s="8">
        <f>'3. Demand Forecast'!F365/$T$3</f>
        <v>0.55909090909090908</v>
      </c>
      <c r="I365" s="8">
        <f>'3. Demand Forecast'!G365/SQRT($T$3)</f>
        <v>0.83148279378688061</v>
      </c>
      <c r="J365" s="5">
        <f t="shared" si="30"/>
        <v>7</v>
      </c>
      <c r="K365" s="5">
        <f t="shared" si="31"/>
        <v>19</v>
      </c>
      <c r="L365" s="3">
        <f>IF(F365=0,0,ROUNDUP(SQRT(2*'4. ABC XYZ Analysis'!F365*$U$3/(F365*$V$3)),0))</f>
        <v>34</v>
      </c>
      <c r="M365" s="3">
        <f>'1. Master Data'!I365</f>
        <v>22</v>
      </c>
      <c r="N365" s="3">
        <f t="shared" si="32"/>
        <v>39</v>
      </c>
      <c r="O365" s="5" t="str">
        <f t="shared" si="33"/>
        <v>ORDER SOON</v>
      </c>
      <c r="P365" s="5" t="str">
        <f t="shared" si="34"/>
        <v>MEDIUM</v>
      </c>
      <c r="Q365" s="3" t="str">
        <f t="shared" si="35"/>
        <v>Min Max</v>
      </c>
    </row>
    <row r="366" spans="1:17" ht="15" customHeight="1" x14ac:dyDescent="0.2">
      <c r="A366" s="3" t="str">
        <f>'1. Master Data'!A366</f>
        <v>NT10362</v>
      </c>
      <c r="B366" s="1" t="str">
        <f>'1. Master Data'!B366</f>
        <v>MirrorlessM 337</v>
      </c>
      <c r="C366" s="3" t="str">
        <f>'1. Master Data'!D366</f>
        <v>East DC</v>
      </c>
      <c r="D366" s="5" t="str">
        <f>'4. ABC XYZ Analysis'!K366</f>
        <v>C</v>
      </c>
      <c r="E366" s="5" t="str">
        <f>'4. ABC XYZ Analysis'!M366</f>
        <v>X</v>
      </c>
      <c r="F366" s="4">
        <f>'1. Master Data'!F366</f>
        <v>1047</v>
      </c>
      <c r="G366" s="3">
        <f>'1. Master Data'!G366</f>
        <v>19</v>
      </c>
      <c r="H366" s="8">
        <f>'3. Demand Forecast'!F366/$T$3</f>
        <v>4</v>
      </c>
      <c r="I366" s="8">
        <f>'3. Demand Forecast'!G366/SQRT($T$3)</f>
        <v>4.7970161180012347</v>
      </c>
      <c r="J366" s="5">
        <f t="shared" si="30"/>
        <v>35</v>
      </c>
      <c r="K366" s="5">
        <f t="shared" si="31"/>
        <v>111</v>
      </c>
      <c r="L366" s="3">
        <f>IF(F366=0,0,ROUNDUP(SQRT(2*'4. ABC XYZ Analysis'!F366*$U$3/(F366*$V$3)),0))</f>
        <v>39</v>
      </c>
      <c r="M366" s="3">
        <f>'1. Master Data'!I366</f>
        <v>56</v>
      </c>
      <c r="N366" s="3">
        <f t="shared" si="32"/>
        <v>14</v>
      </c>
      <c r="O366" s="5" t="str">
        <f t="shared" si="33"/>
        <v>ORDER NOW</v>
      </c>
      <c r="P366" s="5" t="str">
        <f t="shared" si="34"/>
        <v>MEDIUM</v>
      </c>
      <c r="Q366" s="3" t="str">
        <f t="shared" si="35"/>
        <v>Reorder Point</v>
      </c>
    </row>
    <row r="367" spans="1:17" ht="15" customHeight="1" x14ac:dyDescent="0.2">
      <c r="A367" s="3" t="str">
        <f>'1. Master Data'!A367</f>
        <v>NT10363</v>
      </c>
      <c r="B367" s="1" t="str">
        <f>'1. Master Data'!B367</f>
        <v>OptiZoom 931 DSLR</v>
      </c>
      <c r="C367" s="3" t="str">
        <f>'1. Master Data'!D367</f>
        <v>West DC</v>
      </c>
      <c r="D367" s="5" t="str">
        <f>'4. ABC XYZ Analysis'!K367</f>
        <v>C</v>
      </c>
      <c r="E367" s="5" t="str">
        <f>'4. ABC XYZ Analysis'!M367</f>
        <v>Y</v>
      </c>
      <c r="F367" s="4">
        <f>'1. Master Data'!F367</f>
        <v>321</v>
      </c>
      <c r="G367" s="3">
        <f>'1. Master Data'!G367</f>
        <v>20</v>
      </c>
      <c r="H367" s="8">
        <f>'3. Demand Forecast'!F367/$T$3</f>
        <v>0.9363636363636364</v>
      </c>
      <c r="I367" s="8">
        <f>'3. Demand Forecast'!G367/SQRT($T$3)</f>
        <v>1.4071247279470287</v>
      </c>
      <c r="J367" s="5">
        <f t="shared" si="30"/>
        <v>11</v>
      </c>
      <c r="K367" s="5">
        <f t="shared" si="31"/>
        <v>30</v>
      </c>
      <c r="L367" s="3">
        <f>IF(F367=0,0,ROUNDUP(SQRT(2*'4. ABC XYZ Analysis'!F367*$U$3/(F367*$V$3)),0))</f>
        <v>54</v>
      </c>
      <c r="M367" s="3">
        <f>'1. Master Data'!I367</f>
        <v>33</v>
      </c>
      <c r="N367" s="3">
        <f t="shared" si="32"/>
        <v>35</v>
      </c>
      <c r="O367" s="5" t="str">
        <f t="shared" si="33"/>
        <v>ORDER SOON</v>
      </c>
      <c r="P367" s="5" t="str">
        <f t="shared" si="34"/>
        <v>MEDIUM</v>
      </c>
      <c r="Q367" s="3" t="str">
        <f t="shared" si="35"/>
        <v>Reorder Point</v>
      </c>
    </row>
    <row r="368" spans="1:17" ht="15" customHeight="1" x14ac:dyDescent="0.2">
      <c r="A368" s="3" t="str">
        <f>'1. Master Data'!A368</f>
        <v>NT10364</v>
      </c>
      <c r="B368" s="1" t="str">
        <f>'1. Master Data'!B368</f>
        <v>MirrorlessM 494</v>
      </c>
      <c r="C368" s="3" t="str">
        <f>'1. Master Data'!D368</f>
        <v>West DC</v>
      </c>
      <c r="D368" s="5" t="str">
        <f>'4. ABC XYZ Analysis'!K368</f>
        <v>C</v>
      </c>
      <c r="E368" s="5" t="str">
        <f>'4. ABC XYZ Analysis'!M368</f>
        <v>Y</v>
      </c>
      <c r="F368" s="4">
        <f>'1. Master Data'!F368</f>
        <v>1041</v>
      </c>
      <c r="G368" s="3">
        <f>'1. Master Data'!G368</f>
        <v>44</v>
      </c>
      <c r="H368" s="8">
        <f>'3. Demand Forecast'!F368/$T$3</f>
        <v>2.9181818181818184</v>
      </c>
      <c r="I368" s="8">
        <f>'3. Demand Forecast'!G368/SQRT($T$3)</f>
        <v>4.3492946136544521</v>
      </c>
      <c r="J368" s="5">
        <f t="shared" si="30"/>
        <v>48</v>
      </c>
      <c r="K368" s="5">
        <f t="shared" si="31"/>
        <v>177</v>
      </c>
      <c r="L368" s="3">
        <f>IF(F368=0,0,ROUNDUP(SQRT(2*'4. ABC XYZ Analysis'!F368*$U$3/(F368*$V$3)),0))</f>
        <v>16</v>
      </c>
      <c r="M368" s="3">
        <f>'1. Master Data'!I368</f>
        <v>180</v>
      </c>
      <c r="N368" s="3">
        <f t="shared" si="32"/>
        <v>62</v>
      </c>
      <c r="O368" s="5" t="str">
        <f t="shared" si="33"/>
        <v>ORDER SOON</v>
      </c>
      <c r="P368" s="5" t="str">
        <f t="shared" si="34"/>
        <v>MEDIUM</v>
      </c>
      <c r="Q368" s="3" t="str">
        <f t="shared" si="35"/>
        <v>Reorder Point</v>
      </c>
    </row>
    <row r="369" spans="1:17" ht="15" customHeight="1" x14ac:dyDescent="0.2">
      <c r="A369" s="3" t="str">
        <f>'1. Master Data'!A369</f>
        <v>NT10365</v>
      </c>
      <c r="B369" s="1" t="str">
        <f>'1. Master Data'!B369</f>
        <v>OptiZoom 157 DSLR</v>
      </c>
      <c r="C369" s="3" t="str">
        <f>'1. Master Data'!D369</f>
        <v>Central DC</v>
      </c>
      <c r="D369" s="5" t="str">
        <f>'4. ABC XYZ Analysis'!K369</f>
        <v>C</v>
      </c>
      <c r="E369" s="5" t="str">
        <f>'4. ABC XYZ Analysis'!M369</f>
        <v>X</v>
      </c>
      <c r="F369" s="4">
        <f>'1. Master Data'!F369</f>
        <v>530</v>
      </c>
      <c r="G369" s="3">
        <f>'1. Master Data'!G369</f>
        <v>37</v>
      </c>
      <c r="H369" s="8">
        <f>'3. Demand Forecast'!F369/$T$3</f>
        <v>0.72272727272727277</v>
      </c>
      <c r="I369" s="8">
        <f>'3. Demand Forecast'!G369/SQRT($T$3)</f>
        <v>1.2365641548625403</v>
      </c>
      <c r="J369" s="5">
        <f t="shared" si="30"/>
        <v>13</v>
      </c>
      <c r="K369" s="5">
        <f t="shared" si="31"/>
        <v>40</v>
      </c>
      <c r="L369" s="3">
        <f>IF(F369=0,0,ROUNDUP(SQRT(2*'4. ABC XYZ Analysis'!F369*$U$3/(F369*$V$3)),0))</f>
        <v>64</v>
      </c>
      <c r="M369" s="3">
        <f>'1. Master Data'!I369</f>
        <v>56</v>
      </c>
      <c r="N369" s="3">
        <f t="shared" si="32"/>
        <v>77</v>
      </c>
      <c r="O369" s="5" t="str">
        <f t="shared" si="33"/>
        <v>OK</v>
      </c>
      <c r="P369" s="5" t="str">
        <f t="shared" si="34"/>
        <v>LOW</v>
      </c>
      <c r="Q369" s="3" t="str">
        <f t="shared" si="35"/>
        <v>Reorder Point</v>
      </c>
    </row>
    <row r="370" spans="1:17" ht="15" customHeight="1" x14ac:dyDescent="0.2">
      <c r="A370" s="3" t="str">
        <f>'1. Master Data'!A370</f>
        <v>NT10366</v>
      </c>
      <c r="B370" s="1" t="str">
        <f>'1. Master Data'!B370</f>
        <v>ActionCam 138 4K</v>
      </c>
      <c r="C370" s="3" t="str">
        <f>'1. Master Data'!D370</f>
        <v>Central DC</v>
      </c>
      <c r="D370" s="5" t="str">
        <f>'4. ABC XYZ Analysis'!K370</f>
        <v>C</v>
      </c>
      <c r="E370" s="5" t="str">
        <f>'4. ABC XYZ Analysis'!M370</f>
        <v>Z</v>
      </c>
      <c r="F370" s="4">
        <f>'1. Master Data'!F370</f>
        <v>239</v>
      </c>
      <c r="G370" s="3">
        <f>'1. Master Data'!G370</f>
        <v>37</v>
      </c>
      <c r="H370" s="8">
        <f>'3. Demand Forecast'!F370/$T$3</f>
        <v>0.57727272727272727</v>
      </c>
      <c r="I370" s="8">
        <f>'3. Demand Forecast'!G370/SQRT($T$3)</f>
        <v>0.89544300869356386</v>
      </c>
      <c r="J370" s="5">
        <f t="shared" si="30"/>
        <v>9</v>
      </c>
      <c r="K370" s="5">
        <f t="shared" si="31"/>
        <v>31</v>
      </c>
      <c r="L370" s="3">
        <f>IF(F370=0,0,ROUNDUP(SQRT(2*'4. ABC XYZ Analysis'!F370*$U$3/(F370*$V$3)),0))</f>
        <v>22</v>
      </c>
      <c r="M370" s="3">
        <f>'1. Master Data'!I370</f>
        <v>35</v>
      </c>
      <c r="N370" s="3">
        <f t="shared" si="32"/>
        <v>61</v>
      </c>
      <c r="O370" s="5" t="str">
        <f t="shared" si="33"/>
        <v>ORDER SOON</v>
      </c>
      <c r="P370" s="5" t="str">
        <f t="shared" si="34"/>
        <v>MEDIUM</v>
      </c>
      <c r="Q370" s="3" t="str">
        <f t="shared" si="35"/>
        <v>Min Max</v>
      </c>
    </row>
    <row r="371" spans="1:17" ht="15" customHeight="1" x14ac:dyDescent="0.2">
      <c r="A371" s="3" t="str">
        <f>'1. Master Data'!A371</f>
        <v>NT10367</v>
      </c>
      <c r="B371" s="1" t="str">
        <f>'1. Master Data'!B371</f>
        <v>TravelShot 480 Compact</v>
      </c>
      <c r="C371" s="3" t="str">
        <f>'1. Master Data'!D371</f>
        <v>East DC</v>
      </c>
      <c r="D371" s="5" t="str">
        <f>'4. ABC XYZ Analysis'!K371</f>
        <v>C</v>
      </c>
      <c r="E371" s="5" t="str">
        <f>'4. ABC XYZ Analysis'!M371</f>
        <v>X</v>
      </c>
      <c r="F371" s="4">
        <f>'1. Master Data'!F371</f>
        <v>1187</v>
      </c>
      <c r="G371" s="3">
        <f>'1. Master Data'!G371</f>
        <v>22</v>
      </c>
      <c r="H371" s="8">
        <f>'3. Demand Forecast'!F371/$T$3</f>
        <v>0.33181818181818179</v>
      </c>
      <c r="I371" s="8">
        <f>'3. Demand Forecast'!G371/SQRT($T$3)</f>
        <v>1.2792042981336627</v>
      </c>
      <c r="J371" s="5">
        <f t="shared" si="30"/>
        <v>10</v>
      </c>
      <c r="K371" s="5">
        <f t="shared" si="31"/>
        <v>18</v>
      </c>
      <c r="L371" s="3">
        <f>IF(F371=0,0,ROUNDUP(SQRT(2*'4. ABC XYZ Analysis'!F371*$U$3/(F371*$V$3)),0))</f>
        <v>41</v>
      </c>
      <c r="M371" s="3">
        <f>'1. Master Data'!I371</f>
        <v>21</v>
      </c>
      <c r="N371" s="3">
        <f t="shared" si="32"/>
        <v>63</v>
      </c>
      <c r="O371" s="5" t="str">
        <f t="shared" si="33"/>
        <v>ORDER SOON</v>
      </c>
      <c r="P371" s="5" t="str">
        <f t="shared" si="34"/>
        <v>MEDIUM</v>
      </c>
      <c r="Q371" s="3" t="str">
        <f t="shared" si="35"/>
        <v>Reorder Point</v>
      </c>
    </row>
    <row r="372" spans="1:17" ht="15" customHeight="1" x14ac:dyDescent="0.2">
      <c r="A372" s="3" t="str">
        <f>'1. Master Data'!A372</f>
        <v>NT10368</v>
      </c>
      <c r="B372" s="1" t="str">
        <f>'1. Master Data'!B372</f>
        <v>OptiZoom 113 DSLR</v>
      </c>
      <c r="C372" s="3" t="str">
        <f>'1. Master Data'!D372</f>
        <v>West DC</v>
      </c>
      <c r="D372" s="5" t="str">
        <f>'4. ABC XYZ Analysis'!K372</f>
        <v>C</v>
      </c>
      <c r="E372" s="5" t="str">
        <f>'4. ABC XYZ Analysis'!M372</f>
        <v>Y</v>
      </c>
      <c r="F372" s="4">
        <f>'1. Master Data'!F372</f>
        <v>425</v>
      </c>
      <c r="G372" s="3">
        <f>'1. Master Data'!G372</f>
        <v>32</v>
      </c>
      <c r="H372" s="8">
        <f>'3. Demand Forecast'!F372/$T$3</f>
        <v>4.5590909090909086</v>
      </c>
      <c r="I372" s="8">
        <f>'3. Demand Forecast'!G372/SQRT($T$3)</f>
        <v>4.882296404543478</v>
      </c>
      <c r="J372" s="5">
        <f t="shared" si="30"/>
        <v>46</v>
      </c>
      <c r="K372" s="5">
        <f t="shared" si="31"/>
        <v>192</v>
      </c>
      <c r="L372" s="3">
        <f>IF(F372=0,0,ROUNDUP(SQRT(2*'4. ABC XYZ Analysis'!F372*$U$3/(F372*$V$3)),0))</f>
        <v>15</v>
      </c>
      <c r="M372" s="3">
        <f>'1. Master Data'!I372</f>
        <v>195</v>
      </c>
      <c r="N372" s="3">
        <f t="shared" si="32"/>
        <v>43</v>
      </c>
      <c r="O372" s="5" t="str">
        <f t="shared" si="33"/>
        <v>ORDER SOON</v>
      </c>
      <c r="P372" s="5" t="str">
        <f t="shared" si="34"/>
        <v>MEDIUM</v>
      </c>
      <c r="Q372" s="3" t="str">
        <f t="shared" si="35"/>
        <v>Reorder Point</v>
      </c>
    </row>
    <row r="373" spans="1:17" ht="15" customHeight="1" x14ac:dyDescent="0.2">
      <c r="A373" s="3" t="str">
        <f>'1. Master Data'!A373</f>
        <v>NT10369</v>
      </c>
      <c r="B373" s="1" t="str">
        <f>'1. Master Data'!B373</f>
        <v>ActionCam 161 4K</v>
      </c>
      <c r="C373" s="3" t="str">
        <f>'1. Master Data'!D373</f>
        <v>Central DC</v>
      </c>
      <c r="D373" s="5" t="str">
        <f>'4. ABC XYZ Analysis'!K373</f>
        <v>C</v>
      </c>
      <c r="E373" s="5" t="str">
        <f>'4. ABC XYZ Analysis'!M373</f>
        <v>Y</v>
      </c>
      <c r="F373" s="4">
        <f>'1. Master Data'!F373</f>
        <v>698</v>
      </c>
      <c r="G373" s="3">
        <f>'1. Master Data'!G373</f>
        <v>23</v>
      </c>
      <c r="H373" s="8">
        <f>'3. Demand Forecast'!F373/$T$3</f>
        <v>1.7772727272727273</v>
      </c>
      <c r="I373" s="8">
        <f>'3. Demand Forecast'!G373/SQRT($T$3)</f>
        <v>2.5797286679028861</v>
      </c>
      <c r="J373" s="5">
        <f t="shared" si="30"/>
        <v>21</v>
      </c>
      <c r="K373" s="5">
        <f t="shared" si="31"/>
        <v>62</v>
      </c>
      <c r="L373" s="3">
        <f>IF(F373=0,0,ROUNDUP(SQRT(2*'4. ABC XYZ Analysis'!F373*$U$3/(F373*$V$3)),0))</f>
        <v>37</v>
      </c>
      <c r="M373" s="3">
        <f>'1. Master Data'!I373</f>
        <v>65</v>
      </c>
      <c r="N373" s="3">
        <f t="shared" si="32"/>
        <v>37</v>
      </c>
      <c r="O373" s="5" t="str">
        <f t="shared" si="33"/>
        <v>ORDER SOON</v>
      </c>
      <c r="P373" s="5" t="str">
        <f t="shared" si="34"/>
        <v>MEDIUM</v>
      </c>
      <c r="Q373" s="3" t="str">
        <f t="shared" si="35"/>
        <v>Reorder Point</v>
      </c>
    </row>
    <row r="374" spans="1:17" ht="15" customHeight="1" x14ac:dyDescent="0.2">
      <c r="A374" s="3" t="str">
        <f>'1. Master Data'!A374</f>
        <v>NT10370</v>
      </c>
      <c r="B374" s="1" t="str">
        <f>'1. Master Data'!B374</f>
        <v>OptiZoom 229 DSLR</v>
      </c>
      <c r="C374" s="3" t="str">
        <f>'1. Master Data'!D374</f>
        <v>Central DC</v>
      </c>
      <c r="D374" s="5" t="str">
        <f>'4. ABC XYZ Analysis'!K374</f>
        <v>C</v>
      </c>
      <c r="E374" s="5" t="str">
        <f>'4. ABC XYZ Analysis'!M374</f>
        <v>Y</v>
      </c>
      <c r="F374" s="4">
        <f>'1. Master Data'!F374</f>
        <v>1027</v>
      </c>
      <c r="G374" s="3">
        <f>'1. Master Data'!G374</f>
        <v>39</v>
      </c>
      <c r="H374" s="8">
        <f>'3. Demand Forecast'!F374/$T$3</f>
        <v>0.20909090909090908</v>
      </c>
      <c r="I374" s="8">
        <f>'3. Demand Forecast'!G374/SQRT($T$3)</f>
        <v>0.27716093126229358</v>
      </c>
      <c r="J374" s="5">
        <f t="shared" si="30"/>
        <v>3</v>
      </c>
      <c r="K374" s="5">
        <f t="shared" si="31"/>
        <v>12</v>
      </c>
      <c r="L374" s="3">
        <f>IF(F374=0,0,ROUNDUP(SQRT(2*'4. ABC XYZ Analysis'!F374*$U$3/(F374*$V$3)),0))</f>
        <v>30</v>
      </c>
      <c r="M374" s="3">
        <f>'1. Master Data'!I374</f>
        <v>16</v>
      </c>
      <c r="N374" s="3">
        <f t="shared" si="32"/>
        <v>77</v>
      </c>
      <c r="O374" s="5" t="str">
        <f t="shared" si="33"/>
        <v>OK</v>
      </c>
      <c r="P374" s="5" t="str">
        <f t="shared" si="34"/>
        <v>LOW</v>
      </c>
      <c r="Q374" s="3" t="str">
        <f t="shared" si="35"/>
        <v>Reorder Point</v>
      </c>
    </row>
    <row r="375" spans="1:17" ht="15" customHeight="1" x14ac:dyDescent="0.2">
      <c r="A375" s="3" t="str">
        <f>'1. Master Data'!A375</f>
        <v>NT10371</v>
      </c>
      <c r="B375" s="1" t="str">
        <f>'1. Master Data'!B375</f>
        <v>ActionCam 137 4K</v>
      </c>
      <c r="C375" s="3" t="str">
        <f>'1. Master Data'!D375</f>
        <v>West DC</v>
      </c>
      <c r="D375" s="5" t="str">
        <f>'4. ABC XYZ Analysis'!K375</f>
        <v>C</v>
      </c>
      <c r="E375" s="5" t="str">
        <f>'4. ABC XYZ Analysis'!M375</f>
        <v>X</v>
      </c>
      <c r="F375" s="4">
        <f>'1. Master Data'!F375</f>
        <v>658</v>
      </c>
      <c r="G375" s="3">
        <f>'1. Master Data'!G375</f>
        <v>23</v>
      </c>
      <c r="H375" s="8">
        <f>'3. Demand Forecast'!F375/$T$3</f>
        <v>0.19545454545454544</v>
      </c>
      <c r="I375" s="8">
        <f>'3. Demand Forecast'!G375/SQRT($T$3)</f>
        <v>0.23452078799117149</v>
      </c>
      <c r="J375" s="5">
        <f t="shared" si="30"/>
        <v>2</v>
      </c>
      <c r="K375" s="5">
        <f t="shared" si="31"/>
        <v>7</v>
      </c>
      <c r="L375" s="3">
        <f>IF(F375=0,0,ROUNDUP(SQRT(2*'4. ABC XYZ Analysis'!F375*$U$3/(F375*$V$3)),0))</f>
        <v>26</v>
      </c>
      <c r="M375" s="3">
        <f>'1. Master Data'!I375</f>
        <v>10</v>
      </c>
      <c r="N375" s="3">
        <f t="shared" si="32"/>
        <v>51</v>
      </c>
      <c r="O375" s="5" t="str">
        <f t="shared" si="33"/>
        <v>OK</v>
      </c>
      <c r="P375" s="5" t="str">
        <f t="shared" si="34"/>
        <v>LOW</v>
      </c>
      <c r="Q375" s="3" t="str">
        <f t="shared" si="35"/>
        <v>Reorder Point</v>
      </c>
    </row>
    <row r="376" spans="1:17" ht="15" customHeight="1" x14ac:dyDescent="0.2">
      <c r="A376" s="3" t="str">
        <f>'1. Master Data'!A376</f>
        <v>NT10372</v>
      </c>
      <c r="B376" s="1" t="str">
        <f>'1. Master Data'!B376</f>
        <v>OptiZoom 369 DSLR</v>
      </c>
      <c r="C376" s="3" t="str">
        <f>'1. Master Data'!D376</f>
        <v>East DC</v>
      </c>
      <c r="D376" s="5" t="str">
        <f>'4. ABC XYZ Analysis'!K376</f>
        <v>C</v>
      </c>
      <c r="E376" s="5" t="str">
        <f>'4. ABC XYZ Analysis'!M376</f>
        <v>Y</v>
      </c>
      <c r="F376" s="4">
        <f>'1. Master Data'!F376</f>
        <v>536</v>
      </c>
      <c r="G376" s="3">
        <f>'1. Master Data'!G376</f>
        <v>21</v>
      </c>
      <c r="H376" s="8">
        <f>'3. Demand Forecast'!F376/$T$3</f>
        <v>0.2</v>
      </c>
      <c r="I376" s="8">
        <f>'3. Demand Forecast'!G376/SQRT($T$3)</f>
        <v>0.23452078799117149</v>
      </c>
      <c r="J376" s="5">
        <f t="shared" si="30"/>
        <v>2</v>
      </c>
      <c r="K376" s="5">
        <f t="shared" si="31"/>
        <v>7</v>
      </c>
      <c r="L376" s="3">
        <f>IF(F376=0,0,ROUNDUP(SQRT(2*'4. ABC XYZ Analysis'!F376*$U$3/(F376*$V$3)),0))</f>
        <v>25</v>
      </c>
      <c r="M376" s="3">
        <f>'1. Master Data'!I376</f>
        <v>10</v>
      </c>
      <c r="N376" s="3">
        <f t="shared" si="32"/>
        <v>50</v>
      </c>
      <c r="O376" s="5" t="str">
        <f t="shared" si="33"/>
        <v>OK</v>
      </c>
      <c r="P376" s="5" t="str">
        <f t="shared" si="34"/>
        <v>LOW</v>
      </c>
      <c r="Q376" s="3" t="str">
        <f t="shared" si="35"/>
        <v>Reorder Point</v>
      </c>
    </row>
    <row r="377" spans="1:17" ht="15" customHeight="1" x14ac:dyDescent="0.2">
      <c r="A377" s="3" t="str">
        <f>'1. Master Data'!A377</f>
        <v>NT10373</v>
      </c>
      <c r="B377" s="1" t="str">
        <f>'1. Master Data'!B377</f>
        <v>ActionCam 184 4K</v>
      </c>
      <c r="C377" s="3" t="str">
        <f>'1. Master Data'!D377</f>
        <v>Central DC</v>
      </c>
      <c r="D377" s="5" t="str">
        <f>'4. ABC XYZ Analysis'!K377</f>
        <v>C</v>
      </c>
      <c r="E377" s="5" t="str">
        <f>'4. ABC XYZ Analysis'!M377</f>
        <v>Y</v>
      </c>
      <c r="F377" s="4">
        <f>'1. Master Data'!F377</f>
        <v>252</v>
      </c>
      <c r="G377" s="3">
        <f>'1. Master Data'!G377</f>
        <v>42</v>
      </c>
      <c r="H377" s="8">
        <f>'3. Demand Forecast'!F377/$T$3</f>
        <v>1.3954545454545455</v>
      </c>
      <c r="I377" s="8">
        <f>'3. Demand Forecast'!G377/SQRT($T$3)</f>
        <v>1.8335261606582496</v>
      </c>
      <c r="J377" s="5">
        <f t="shared" si="30"/>
        <v>20</v>
      </c>
      <c r="K377" s="5">
        <f t="shared" si="31"/>
        <v>79</v>
      </c>
      <c r="L377" s="3">
        <f>IF(F377=0,0,ROUNDUP(SQRT(2*'4. ABC XYZ Analysis'!F377*$U$3/(F377*$V$3)),0))</f>
        <v>27</v>
      </c>
      <c r="M377" s="3">
        <f>'1. Master Data'!I377</f>
        <v>82</v>
      </c>
      <c r="N377" s="3">
        <f t="shared" si="32"/>
        <v>59</v>
      </c>
      <c r="O377" s="5" t="str">
        <f t="shared" si="33"/>
        <v>ORDER SOON</v>
      </c>
      <c r="P377" s="5" t="str">
        <f t="shared" si="34"/>
        <v>MEDIUM</v>
      </c>
      <c r="Q377" s="3" t="str">
        <f t="shared" si="35"/>
        <v>Reorder Point</v>
      </c>
    </row>
    <row r="378" spans="1:17" ht="15" customHeight="1" x14ac:dyDescent="0.2">
      <c r="A378" s="3" t="str">
        <f>'1. Master Data'!A378</f>
        <v>NT10374</v>
      </c>
      <c r="B378" s="1" t="str">
        <f>'1. Master Data'!B378</f>
        <v>OptiZoom 250 DSLR</v>
      </c>
      <c r="C378" s="3" t="str">
        <f>'1. Master Data'!D378</f>
        <v>East DC</v>
      </c>
      <c r="D378" s="5" t="str">
        <f>'4. ABC XYZ Analysis'!K378</f>
        <v>C</v>
      </c>
      <c r="E378" s="5" t="str">
        <f>'4. ABC XYZ Analysis'!M378</f>
        <v>Y</v>
      </c>
      <c r="F378" s="4">
        <f>'1. Master Data'!F378</f>
        <v>817</v>
      </c>
      <c r="G378" s="3">
        <f>'1. Master Data'!G378</f>
        <v>42</v>
      </c>
      <c r="H378" s="8">
        <f>'3. Demand Forecast'!F378/$T$3</f>
        <v>0.76818181818181808</v>
      </c>
      <c r="I378" s="8">
        <f>'3. Demand Forecast'!G378/SQRT($T$3)</f>
        <v>0.74620250724463644</v>
      </c>
      <c r="J378" s="5">
        <f t="shared" si="30"/>
        <v>8</v>
      </c>
      <c r="K378" s="5">
        <f t="shared" si="31"/>
        <v>41</v>
      </c>
      <c r="L378" s="3">
        <f>IF(F378=0,0,ROUNDUP(SQRT(2*'4. ABC XYZ Analysis'!F378*$U$3/(F378*$V$3)),0))</f>
        <v>29</v>
      </c>
      <c r="M378" s="3">
        <f>'1. Master Data'!I378</f>
        <v>44</v>
      </c>
      <c r="N378" s="3">
        <f t="shared" si="32"/>
        <v>57</v>
      </c>
      <c r="O378" s="5" t="str">
        <f t="shared" si="33"/>
        <v>ORDER SOON</v>
      </c>
      <c r="P378" s="5" t="str">
        <f t="shared" si="34"/>
        <v>MEDIUM</v>
      </c>
      <c r="Q378" s="3" t="str">
        <f t="shared" si="35"/>
        <v>Reorder Point</v>
      </c>
    </row>
    <row r="379" spans="1:17" ht="15" customHeight="1" x14ac:dyDescent="0.2">
      <c r="A379" s="3" t="str">
        <f>'1. Master Data'!A379</f>
        <v>NT10375</v>
      </c>
      <c r="B379" s="1" t="str">
        <f>'1. Master Data'!B379</f>
        <v>ActionCam 660 4K</v>
      </c>
      <c r="C379" s="3" t="str">
        <f>'1. Master Data'!D379</f>
        <v>Central DC</v>
      </c>
      <c r="D379" s="5" t="str">
        <f>'4. ABC XYZ Analysis'!K379</f>
        <v>C</v>
      </c>
      <c r="E379" s="5" t="str">
        <f>'4. ABC XYZ Analysis'!M379</f>
        <v>Y</v>
      </c>
      <c r="F379" s="4">
        <f>'1. Master Data'!F379</f>
        <v>193</v>
      </c>
      <c r="G379" s="3">
        <f>'1. Master Data'!G379</f>
        <v>37</v>
      </c>
      <c r="H379" s="8">
        <f>'3. Demand Forecast'!F379/$T$3</f>
        <v>0.22727272727272727</v>
      </c>
      <c r="I379" s="8">
        <f>'3. Demand Forecast'!G379/SQRT($T$3)</f>
        <v>0.31980107453341566</v>
      </c>
      <c r="J379" s="5">
        <f t="shared" si="30"/>
        <v>4</v>
      </c>
      <c r="K379" s="5">
        <f t="shared" si="31"/>
        <v>13</v>
      </c>
      <c r="L379" s="3">
        <f>IF(F379=0,0,ROUNDUP(SQRT(2*'4. ABC XYZ Analysis'!F379*$U$3/(F379*$V$3)),0))</f>
        <v>15</v>
      </c>
      <c r="M379" s="3">
        <f>'1. Master Data'!I379</f>
        <v>16</v>
      </c>
      <c r="N379" s="3">
        <f t="shared" si="32"/>
        <v>70</v>
      </c>
      <c r="O379" s="5" t="str">
        <f t="shared" si="33"/>
        <v>OK</v>
      </c>
      <c r="P379" s="5" t="str">
        <f t="shared" si="34"/>
        <v>LOW</v>
      </c>
      <c r="Q379" s="3" t="str">
        <f t="shared" si="35"/>
        <v>Reorder Point</v>
      </c>
    </row>
    <row r="380" spans="1:17" ht="15" customHeight="1" x14ac:dyDescent="0.2">
      <c r="A380" s="3" t="str">
        <f>'1. Master Data'!A380</f>
        <v>NT10376</v>
      </c>
      <c r="B380" s="1" t="str">
        <f>'1. Master Data'!B380</f>
        <v>TravelShot 472 Compact</v>
      </c>
      <c r="C380" s="3" t="str">
        <f>'1. Master Data'!D380</f>
        <v>East DC</v>
      </c>
      <c r="D380" s="5" t="str">
        <f>'4. ABC XYZ Analysis'!K380</f>
        <v>C</v>
      </c>
      <c r="E380" s="5" t="str">
        <f>'4. ABC XYZ Analysis'!M380</f>
        <v>Y</v>
      </c>
      <c r="F380" s="4">
        <f>'1. Master Data'!F380</f>
        <v>281</v>
      </c>
      <c r="G380" s="3">
        <f>'1. Master Data'!G380</f>
        <v>24</v>
      </c>
      <c r="H380" s="8">
        <f>'3. Demand Forecast'!F380/$T$3</f>
        <v>0.15454545454545454</v>
      </c>
      <c r="I380" s="8">
        <f>'3. Demand Forecast'!G380/SQRT($T$3)</f>
        <v>0.23452078799117149</v>
      </c>
      <c r="J380" s="5">
        <f t="shared" si="30"/>
        <v>2</v>
      </c>
      <c r="K380" s="5">
        <f t="shared" si="31"/>
        <v>6</v>
      </c>
      <c r="L380" s="3">
        <f>IF(F380=0,0,ROUNDUP(SQRT(2*'4. ABC XYZ Analysis'!F380*$U$3/(F380*$V$3)),0))</f>
        <v>29</v>
      </c>
      <c r="M380" s="3">
        <f>'1. Master Data'!I380</f>
        <v>15</v>
      </c>
      <c r="N380" s="3">
        <f t="shared" si="32"/>
        <v>97</v>
      </c>
      <c r="O380" s="5" t="str">
        <f t="shared" si="33"/>
        <v>OK</v>
      </c>
      <c r="P380" s="5" t="str">
        <f t="shared" si="34"/>
        <v>LOW</v>
      </c>
      <c r="Q380" s="3" t="str">
        <f t="shared" si="35"/>
        <v>Reorder Point</v>
      </c>
    </row>
    <row r="381" spans="1:17" ht="15" customHeight="1" x14ac:dyDescent="0.2">
      <c r="A381" s="3" t="str">
        <f>'1. Master Data'!A381</f>
        <v>NT10377</v>
      </c>
      <c r="B381" s="1" t="str">
        <f>'1. Master Data'!B381</f>
        <v>MirrorlessM 687</v>
      </c>
      <c r="C381" s="3" t="str">
        <f>'1. Master Data'!D381</f>
        <v>West DC</v>
      </c>
      <c r="D381" s="5" t="str">
        <f>'4. ABC XYZ Analysis'!K381</f>
        <v>C</v>
      </c>
      <c r="E381" s="5" t="str">
        <f>'4. ABC XYZ Analysis'!M381</f>
        <v>Y</v>
      </c>
      <c r="F381" s="4">
        <f>'1. Master Data'!F381</f>
        <v>354</v>
      </c>
      <c r="G381" s="3">
        <f>'1. Master Data'!G381</f>
        <v>35</v>
      </c>
      <c r="H381" s="8">
        <f>'3. Demand Forecast'!F381/$T$3</f>
        <v>0.48181818181818181</v>
      </c>
      <c r="I381" s="8">
        <f>'3. Demand Forecast'!G381/SQRT($T$3)</f>
        <v>0.66092222070239237</v>
      </c>
      <c r="J381" s="5">
        <f t="shared" si="30"/>
        <v>7</v>
      </c>
      <c r="K381" s="5">
        <f t="shared" si="31"/>
        <v>24</v>
      </c>
      <c r="L381" s="3">
        <f>IF(F381=0,0,ROUNDUP(SQRT(2*'4. ABC XYZ Analysis'!F381*$U$3/(F381*$V$3)),0))</f>
        <v>18</v>
      </c>
      <c r="M381" s="3">
        <f>'1. Master Data'!I381</f>
        <v>27</v>
      </c>
      <c r="N381" s="3">
        <f t="shared" si="32"/>
        <v>56</v>
      </c>
      <c r="O381" s="5" t="str">
        <f t="shared" si="33"/>
        <v>ORDER SOON</v>
      </c>
      <c r="P381" s="5" t="str">
        <f t="shared" si="34"/>
        <v>MEDIUM</v>
      </c>
      <c r="Q381" s="3" t="str">
        <f t="shared" si="35"/>
        <v>Reorder Point</v>
      </c>
    </row>
    <row r="382" spans="1:17" ht="15" customHeight="1" x14ac:dyDescent="0.2">
      <c r="A382" s="3" t="str">
        <f>'1. Master Data'!A382</f>
        <v>NT10378</v>
      </c>
      <c r="B382" s="1" t="str">
        <f>'1. Master Data'!B382</f>
        <v>TravelShot 774 Compact</v>
      </c>
      <c r="C382" s="3" t="str">
        <f>'1. Master Data'!D382</f>
        <v>West DC</v>
      </c>
      <c r="D382" s="5" t="str">
        <f>'4. ABC XYZ Analysis'!K382</f>
        <v>C</v>
      </c>
      <c r="E382" s="5" t="str">
        <f>'4. ABC XYZ Analysis'!M382</f>
        <v>Y</v>
      </c>
      <c r="F382" s="4">
        <f>'1. Master Data'!F382</f>
        <v>574</v>
      </c>
      <c r="G382" s="3">
        <f>'1. Master Data'!G382</f>
        <v>32</v>
      </c>
      <c r="H382" s="8">
        <f>'3. Demand Forecast'!F382/$T$3</f>
        <v>0.25</v>
      </c>
      <c r="I382" s="8">
        <f>'3. Demand Forecast'!G382/SQRT($T$3)</f>
        <v>0.34112114616897671</v>
      </c>
      <c r="J382" s="5">
        <f t="shared" si="30"/>
        <v>4</v>
      </c>
      <c r="K382" s="5">
        <f t="shared" si="31"/>
        <v>12</v>
      </c>
      <c r="L382" s="3">
        <f>IF(F382=0,0,ROUNDUP(SQRT(2*'4. ABC XYZ Analysis'!F382*$U$3/(F382*$V$3)),0))</f>
        <v>30</v>
      </c>
      <c r="M382" s="3">
        <f>'1. Master Data'!I382</f>
        <v>15</v>
      </c>
      <c r="N382" s="3">
        <f t="shared" si="32"/>
        <v>60</v>
      </c>
      <c r="O382" s="5" t="str">
        <f t="shared" si="33"/>
        <v>OK</v>
      </c>
      <c r="P382" s="5" t="str">
        <f t="shared" si="34"/>
        <v>LOW</v>
      </c>
      <c r="Q382" s="3" t="str">
        <f t="shared" si="35"/>
        <v>Reorder Point</v>
      </c>
    </row>
    <row r="383" spans="1:17" ht="15" customHeight="1" x14ac:dyDescent="0.2">
      <c r="A383" s="3" t="str">
        <f>'1. Master Data'!A383</f>
        <v>NT10379</v>
      </c>
      <c r="B383" s="1" t="str">
        <f>'1. Master Data'!B383</f>
        <v>ActionCam 760 4K</v>
      </c>
      <c r="C383" s="3" t="str">
        <f>'1. Master Data'!D383</f>
        <v>East DC</v>
      </c>
      <c r="D383" s="5" t="str">
        <f>'4. ABC XYZ Analysis'!K383</f>
        <v>C</v>
      </c>
      <c r="E383" s="5" t="str">
        <f>'4. ABC XYZ Analysis'!M383</f>
        <v>Y</v>
      </c>
      <c r="F383" s="4">
        <f>'1. Master Data'!F383</f>
        <v>350</v>
      </c>
      <c r="G383" s="3">
        <f>'1. Master Data'!G383</f>
        <v>39</v>
      </c>
      <c r="H383" s="8">
        <f>'3. Demand Forecast'!F383/$T$3</f>
        <v>0.40454545454545454</v>
      </c>
      <c r="I383" s="8">
        <f>'3. Demand Forecast'!G383/SQRT($T$3)</f>
        <v>0.51168171925346495</v>
      </c>
      <c r="J383" s="5">
        <f t="shared" si="30"/>
        <v>6</v>
      </c>
      <c r="K383" s="5">
        <f t="shared" si="31"/>
        <v>22</v>
      </c>
      <c r="L383" s="3">
        <f>IF(F383=0,0,ROUNDUP(SQRT(2*'4. ABC XYZ Analysis'!F383*$U$3/(F383*$V$3)),0))</f>
        <v>24</v>
      </c>
      <c r="M383" s="3">
        <f>'1. Master Data'!I383</f>
        <v>32</v>
      </c>
      <c r="N383" s="3">
        <f t="shared" si="32"/>
        <v>79</v>
      </c>
      <c r="O383" s="5" t="str">
        <f t="shared" si="33"/>
        <v>OK</v>
      </c>
      <c r="P383" s="5" t="str">
        <f t="shared" si="34"/>
        <v>LOW</v>
      </c>
      <c r="Q383" s="3" t="str">
        <f t="shared" si="35"/>
        <v>Reorder Point</v>
      </c>
    </row>
    <row r="384" spans="1:17" ht="15" customHeight="1" x14ac:dyDescent="0.2">
      <c r="A384" s="3" t="str">
        <f>'1. Master Data'!A384</f>
        <v>NT10380</v>
      </c>
      <c r="B384" s="1" t="str">
        <f>'1. Master Data'!B384</f>
        <v>ActionCam 649 4K</v>
      </c>
      <c r="C384" s="3" t="str">
        <f>'1. Master Data'!D384</f>
        <v>West DC</v>
      </c>
      <c r="D384" s="5" t="str">
        <f>'4. ABC XYZ Analysis'!K384</f>
        <v>C</v>
      </c>
      <c r="E384" s="5" t="str">
        <f>'4. ABC XYZ Analysis'!M384</f>
        <v>Y</v>
      </c>
      <c r="F384" s="4">
        <f>'1. Master Data'!F384</f>
        <v>226</v>
      </c>
      <c r="G384" s="3">
        <f>'1. Master Data'!G384</f>
        <v>19</v>
      </c>
      <c r="H384" s="8">
        <f>'3. Demand Forecast'!F384/$T$3</f>
        <v>3.7318181818181815</v>
      </c>
      <c r="I384" s="8">
        <f>'3. Demand Forecast'!G384/SQRT($T$3)</f>
        <v>5.1807774074413331</v>
      </c>
      <c r="J384" s="5">
        <f t="shared" si="30"/>
        <v>38</v>
      </c>
      <c r="K384" s="5">
        <f t="shared" si="31"/>
        <v>109</v>
      </c>
      <c r="L384" s="3">
        <f>IF(F384=0,0,ROUNDUP(SQRT(2*'4. ABC XYZ Analysis'!F384*$U$3/(F384*$V$3)),0))</f>
        <v>17</v>
      </c>
      <c r="M384" s="3">
        <f>'1. Master Data'!I384</f>
        <v>112</v>
      </c>
      <c r="N384" s="3">
        <f t="shared" si="32"/>
        <v>30</v>
      </c>
      <c r="O384" s="5" t="str">
        <f t="shared" si="33"/>
        <v>ORDER SOON</v>
      </c>
      <c r="P384" s="5" t="str">
        <f t="shared" si="34"/>
        <v>MEDIUM</v>
      </c>
      <c r="Q384" s="3" t="str">
        <f t="shared" si="35"/>
        <v>Reorder Point</v>
      </c>
    </row>
    <row r="385" spans="1:17" ht="15" customHeight="1" x14ac:dyDescent="0.2">
      <c r="A385" s="3" t="str">
        <f>'1. Master Data'!A385</f>
        <v>NT10381</v>
      </c>
      <c r="B385" s="1" t="str">
        <f>'1. Master Data'!B385</f>
        <v>ActionCam 391 4K</v>
      </c>
      <c r="C385" s="3" t="str">
        <f>'1. Master Data'!D385</f>
        <v>Central DC</v>
      </c>
      <c r="D385" s="5" t="str">
        <f>'4. ABC XYZ Analysis'!K385</f>
        <v>C</v>
      </c>
      <c r="E385" s="5" t="str">
        <f>'4. ABC XYZ Analysis'!M385</f>
        <v>Y</v>
      </c>
      <c r="F385" s="4">
        <f>'1. Master Data'!F385</f>
        <v>400</v>
      </c>
      <c r="G385" s="3">
        <f>'1. Master Data'!G385</f>
        <v>20</v>
      </c>
      <c r="H385" s="8">
        <f>'3. Demand Forecast'!F385/$T$3</f>
        <v>4.6590909090909092</v>
      </c>
      <c r="I385" s="8">
        <f>'3. Demand Forecast'!G385/SQRT($T$3)</f>
        <v>5.0954971208990889</v>
      </c>
      <c r="J385" s="5">
        <f t="shared" si="30"/>
        <v>38</v>
      </c>
      <c r="K385" s="5">
        <f t="shared" si="31"/>
        <v>132</v>
      </c>
      <c r="L385" s="3">
        <f>IF(F385=0,0,ROUNDUP(SQRT(2*'4. ABC XYZ Analysis'!F385*$U$3/(F385*$V$3)),0))</f>
        <v>16</v>
      </c>
      <c r="M385" s="3">
        <f>'1. Master Data'!I385</f>
        <v>135</v>
      </c>
      <c r="N385" s="3">
        <f t="shared" si="32"/>
        <v>29</v>
      </c>
      <c r="O385" s="5" t="str">
        <f t="shared" si="33"/>
        <v>ORDER SOON</v>
      </c>
      <c r="P385" s="5" t="str">
        <f t="shared" si="34"/>
        <v>MEDIUM</v>
      </c>
      <c r="Q385" s="3" t="str">
        <f t="shared" si="35"/>
        <v>Reorder Point</v>
      </c>
    </row>
    <row r="386" spans="1:17" ht="15" customHeight="1" x14ac:dyDescent="0.2">
      <c r="A386" s="3" t="str">
        <f>'1. Master Data'!A386</f>
        <v>NT10382</v>
      </c>
      <c r="B386" s="1" t="str">
        <f>'1. Master Data'!B386</f>
        <v>TravelShot 847 Compact</v>
      </c>
      <c r="C386" s="3" t="str">
        <f>'1. Master Data'!D386</f>
        <v>East DC</v>
      </c>
      <c r="D386" s="5" t="str">
        <f>'4. ABC XYZ Analysis'!K386</f>
        <v>C</v>
      </c>
      <c r="E386" s="5" t="str">
        <f>'4. ABC XYZ Analysis'!M386</f>
        <v>Y</v>
      </c>
      <c r="F386" s="4">
        <f>'1. Master Data'!F386</f>
        <v>362</v>
      </c>
      <c r="G386" s="3">
        <f>'1. Master Data'!G386</f>
        <v>20</v>
      </c>
      <c r="H386" s="8">
        <f>'3. Demand Forecast'!F386/$T$3</f>
        <v>0.15454545454545454</v>
      </c>
      <c r="I386" s="8">
        <f>'3. Demand Forecast'!G386/SQRT($T$3)</f>
        <v>0.21320071635561041</v>
      </c>
      <c r="J386" s="5">
        <f t="shared" si="30"/>
        <v>2</v>
      </c>
      <c r="K386" s="5">
        <f t="shared" si="31"/>
        <v>6</v>
      </c>
      <c r="L386" s="3">
        <f>IF(F386=0,0,ROUNDUP(SQRT(2*'4. ABC XYZ Analysis'!F386*$U$3/(F386*$V$3)),0))</f>
        <v>32</v>
      </c>
      <c r="M386" s="3">
        <f>'1. Master Data'!I386</f>
        <v>9</v>
      </c>
      <c r="N386" s="3">
        <f t="shared" si="32"/>
        <v>58</v>
      </c>
      <c r="O386" s="5" t="str">
        <f t="shared" si="33"/>
        <v>OK</v>
      </c>
      <c r="P386" s="5" t="str">
        <f t="shared" si="34"/>
        <v>LOW</v>
      </c>
      <c r="Q386" s="3" t="str">
        <f t="shared" si="35"/>
        <v>Reorder Point</v>
      </c>
    </row>
    <row r="387" spans="1:17" ht="15" customHeight="1" x14ac:dyDescent="0.2">
      <c r="A387" s="3" t="str">
        <f>'1. Master Data'!A387</f>
        <v>NT10383</v>
      </c>
      <c r="B387" s="1" t="str">
        <f>'1. Master Data'!B387</f>
        <v>MirrorlessM 561</v>
      </c>
      <c r="C387" s="3" t="str">
        <f>'1. Master Data'!D387</f>
        <v>Central DC</v>
      </c>
      <c r="D387" s="5" t="str">
        <f>'4. ABC XYZ Analysis'!K387</f>
        <v>C</v>
      </c>
      <c r="E387" s="5" t="str">
        <f>'4. ABC XYZ Analysis'!M387</f>
        <v>Y</v>
      </c>
      <c r="F387" s="4">
        <f>'1. Master Data'!F387</f>
        <v>814</v>
      </c>
      <c r="G387" s="3">
        <f>'1. Master Data'!G387</f>
        <v>19</v>
      </c>
      <c r="H387" s="8">
        <f>'3. Demand Forecast'!F387/$T$3</f>
        <v>0.59090909090909094</v>
      </c>
      <c r="I387" s="8">
        <f>'3. Demand Forecast'!G387/SQRT($T$3)</f>
        <v>0.85280286542244166</v>
      </c>
      <c r="J387" s="5">
        <f t="shared" si="30"/>
        <v>7</v>
      </c>
      <c r="K387" s="5">
        <f t="shared" si="31"/>
        <v>19</v>
      </c>
      <c r="L387" s="3">
        <f>IF(F387=0,0,ROUNDUP(SQRT(2*'4. ABC XYZ Analysis'!F387*$U$3/(F387*$V$3)),0))</f>
        <v>9</v>
      </c>
      <c r="M387" s="3">
        <f>'1. Master Data'!I387</f>
        <v>50</v>
      </c>
      <c r="N387" s="3">
        <f t="shared" si="32"/>
        <v>85</v>
      </c>
      <c r="O387" s="5" t="str">
        <f t="shared" si="33"/>
        <v>OK</v>
      </c>
      <c r="P387" s="5" t="str">
        <f t="shared" si="34"/>
        <v>LOW</v>
      </c>
      <c r="Q387" s="3" t="str">
        <f t="shared" si="35"/>
        <v>Reorder Point</v>
      </c>
    </row>
    <row r="388" spans="1:17" ht="15" customHeight="1" x14ac:dyDescent="0.2">
      <c r="A388" s="3" t="str">
        <f>'1. Master Data'!A388</f>
        <v>NT10384</v>
      </c>
      <c r="B388" s="1" t="str">
        <f>'1. Master Data'!B388</f>
        <v>MirrorlessM 246</v>
      </c>
      <c r="C388" s="3" t="str">
        <f>'1. Master Data'!D388</f>
        <v>Central DC</v>
      </c>
      <c r="D388" s="5" t="str">
        <f>'4. ABC XYZ Analysis'!K388</f>
        <v>C</v>
      </c>
      <c r="E388" s="5" t="str">
        <f>'4. ABC XYZ Analysis'!M388</f>
        <v>X</v>
      </c>
      <c r="F388" s="4">
        <f>'1. Master Data'!F388</f>
        <v>358</v>
      </c>
      <c r="G388" s="3">
        <f>'1. Master Data'!G388</f>
        <v>42</v>
      </c>
      <c r="H388" s="8">
        <f>'3. Demand Forecast'!F388/$T$3</f>
        <v>0.51363636363636367</v>
      </c>
      <c r="I388" s="8">
        <f>'3. Demand Forecast'!G388/SQRT($T$3)</f>
        <v>0.70356236397351435</v>
      </c>
      <c r="J388" s="5">
        <f t="shared" si="30"/>
        <v>8</v>
      </c>
      <c r="K388" s="5">
        <f t="shared" si="31"/>
        <v>30</v>
      </c>
      <c r="L388" s="3">
        <f>IF(F388=0,0,ROUNDUP(SQRT(2*'4. ABC XYZ Analysis'!F388*$U$3/(F388*$V$3)),0))</f>
        <v>55</v>
      </c>
      <c r="M388" s="3">
        <f>'1. Master Data'!I388</f>
        <v>33</v>
      </c>
      <c r="N388" s="3">
        <f t="shared" si="32"/>
        <v>64</v>
      </c>
      <c r="O388" s="5" t="str">
        <f t="shared" si="33"/>
        <v>ORDER SOON</v>
      </c>
      <c r="P388" s="5" t="str">
        <f t="shared" si="34"/>
        <v>MEDIUM</v>
      </c>
      <c r="Q388" s="3" t="str">
        <f t="shared" si="35"/>
        <v>Reorder Point</v>
      </c>
    </row>
    <row r="389" spans="1:17" ht="15" customHeight="1" x14ac:dyDescent="0.2">
      <c r="A389" s="3" t="str">
        <f>'1. Master Data'!A389</f>
        <v>NT10385</v>
      </c>
      <c r="B389" s="1" t="str">
        <f>'1. Master Data'!B389</f>
        <v>ActionCam 664 4K</v>
      </c>
      <c r="C389" s="3" t="str">
        <f>'1. Master Data'!D389</f>
        <v>Central DC</v>
      </c>
      <c r="D389" s="5" t="str">
        <f>'4. ABC XYZ Analysis'!K389</f>
        <v>C</v>
      </c>
      <c r="E389" s="5" t="str">
        <f>'4. ABC XYZ Analysis'!M389</f>
        <v>X</v>
      </c>
      <c r="F389" s="4">
        <f>'1. Master Data'!F389</f>
        <v>221</v>
      </c>
      <c r="G389" s="3">
        <f>'1. Master Data'!G389</f>
        <v>22</v>
      </c>
      <c r="H389" s="8">
        <f>'3. Demand Forecast'!F389/$T$3</f>
        <v>0.46363636363636362</v>
      </c>
      <c r="I389" s="8">
        <f>'3. Demand Forecast'!G389/SQRT($T$3)</f>
        <v>0.68224229233795342</v>
      </c>
      <c r="J389" s="5">
        <f t="shared" ref="J389:J452" si="36">ROUNDUP($S$3*I389*SQRT(G389),0)</f>
        <v>6</v>
      </c>
      <c r="K389" s="5">
        <f t="shared" ref="K389:K452" si="37">ROUNDUP(H389*G389+J389,0)</f>
        <v>17</v>
      </c>
      <c r="L389" s="3">
        <f>IF(F389=0,0,ROUNDUP(SQRT(2*'4. ABC XYZ Analysis'!F389*$U$3/(F389*$V$3)),0))</f>
        <v>38</v>
      </c>
      <c r="M389" s="3">
        <f>'1. Master Data'!I389</f>
        <v>20</v>
      </c>
      <c r="N389" s="3">
        <f t="shared" ref="N389:N452" si="38">IF(H389=0,999,ROUND(M389/H389,0))</f>
        <v>43</v>
      </c>
      <c r="O389" s="5" t="str">
        <f t="shared" ref="O389:O452" si="39">IF(M389&lt;=K389,"ORDER NOW",IF(M389&lt;=K389*1.2,"ORDER SOON","OK"))</f>
        <v>ORDER SOON</v>
      </c>
      <c r="P389" s="5" t="str">
        <f t="shared" ref="P389:P452" si="40">IF(O389="ORDER NOW",IF(D389="A","URGENT",IF(D389="B","HIGH","MEDIUM")),IF(O389="ORDER SOON",IF(D389="A","HIGH","MEDIUM"),"LOW"))</f>
        <v>MEDIUM</v>
      </c>
      <c r="Q389" s="3" t="str">
        <f t="shared" ref="Q389:Q452" si="41">IF(E389="Z","Min Max","Reorder Point")</f>
        <v>Reorder Point</v>
      </c>
    </row>
    <row r="390" spans="1:17" ht="15" customHeight="1" x14ac:dyDescent="0.2">
      <c r="A390" s="3" t="str">
        <f>'1. Master Data'!A390</f>
        <v>NT10386</v>
      </c>
      <c r="B390" s="1" t="str">
        <f>'1. Master Data'!B390</f>
        <v>TravelShot 287 Compact</v>
      </c>
      <c r="C390" s="3" t="str">
        <f>'1. Master Data'!D390</f>
        <v>West DC</v>
      </c>
      <c r="D390" s="5" t="str">
        <f>'4. ABC XYZ Analysis'!K390</f>
        <v>C</v>
      </c>
      <c r="E390" s="5" t="str">
        <f>'4. ABC XYZ Analysis'!M390</f>
        <v>Y</v>
      </c>
      <c r="F390" s="4">
        <f>'1. Master Data'!F390</f>
        <v>376</v>
      </c>
      <c r="G390" s="3">
        <f>'1. Master Data'!G390</f>
        <v>38</v>
      </c>
      <c r="H390" s="8">
        <f>'3. Demand Forecast'!F390/$T$3</f>
        <v>0.33181818181818179</v>
      </c>
      <c r="I390" s="8">
        <f>'3. Demand Forecast'!G390/SQRT($T$3)</f>
        <v>1.2578842264981016</v>
      </c>
      <c r="J390" s="5">
        <f t="shared" si="36"/>
        <v>13</v>
      </c>
      <c r="K390" s="5">
        <f t="shared" si="37"/>
        <v>26</v>
      </c>
      <c r="L390" s="3">
        <f>IF(F390=0,0,ROUNDUP(SQRT(2*'4. ABC XYZ Analysis'!F390*$U$3/(F390*$V$3)),0))</f>
        <v>10</v>
      </c>
      <c r="M390" s="3">
        <f>'1. Master Data'!I390</f>
        <v>29</v>
      </c>
      <c r="N390" s="3">
        <f t="shared" si="38"/>
        <v>87</v>
      </c>
      <c r="O390" s="5" t="str">
        <f t="shared" si="39"/>
        <v>ORDER SOON</v>
      </c>
      <c r="P390" s="5" t="str">
        <f t="shared" si="40"/>
        <v>MEDIUM</v>
      </c>
      <c r="Q390" s="3" t="str">
        <f t="shared" si="41"/>
        <v>Reorder Point</v>
      </c>
    </row>
    <row r="391" spans="1:17" ht="15" customHeight="1" x14ac:dyDescent="0.2">
      <c r="A391" s="3" t="str">
        <f>'1. Master Data'!A391</f>
        <v>NT10387</v>
      </c>
      <c r="B391" s="1" t="str">
        <f>'1. Master Data'!B391</f>
        <v>OptiZoom 998 DSLR</v>
      </c>
      <c r="C391" s="3" t="str">
        <f>'1. Master Data'!D391</f>
        <v>West DC</v>
      </c>
      <c r="D391" s="5" t="str">
        <f>'4. ABC XYZ Analysis'!K391</f>
        <v>C</v>
      </c>
      <c r="E391" s="5" t="str">
        <f>'4. ABC XYZ Analysis'!M391</f>
        <v>Y</v>
      </c>
      <c r="F391" s="4">
        <f>'1. Master Data'!F391</f>
        <v>693</v>
      </c>
      <c r="G391" s="3">
        <f>'1. Master Data'!G391</f>
        <v>26</v>
      </c>
      <c r="H391" s="8">
        <f>'3. Demand Forecast'!F391/$T$3</f>
        <v>5.909090909090909E-2</v>
      </c>
      <c r="I391" s="8">
        <f>'3. Demand Forecast'!G391/SQRT($T$3)</f>
        <v>0.17056057308448835</v>
      </c>
      <c r="J391" s="5">
        <f t="shared" si="36"/>
        <v>2</v>
      </c>
      <c r="K391" s="5">
        <f t="shared" si="37"/>
        <v>4</v>
      </c>
      <c r="L391" s="3">
        <f>IF(F391=0,0,ROUNDUP(SQRT(2*'4. ABC XYZ Analysis'!F391*$U$3/(F391*$V$3)),0))</f>
        <v>6</v>
      </c>
      <c r="M391" s="3">
        <f>'1. Master Data'!I391</f>
        <v>19</v>
      </c>
      <c r="N391" s="3">
        <f t="shared" si="38"/>
        <v>322</v>
      </c>
      <c r="O391" s="5" t="str">
        <f t="shared" si="39"/>
        <v>OK</v>
      </c>
      <c r="P391" s="5" t="str">
        <f t="shared" si="40"/>
        <v>LOW</v>
      </c>
      <c r="Q391" s="3" t="str">
        <f t="shared" si="41"/>
        <v>Reorder Point</v>
      </c>
    </row>
    <row r="392" spans="1:17" ht="15" customHeight="1" x14ac:dyDescent="0.2">
      <c r="A392" s="3" t="str">
        <f>'1. Master Data'!A392</f>
        <v>NT10388</v>
      </c>
      <c r="B392" s="1" t="str">
        <f>'1. Master Data'!B392</f>
        <v>MirrorlessM 748</v>
      </c>
      <c r="C392" s="3" t="str">
        <f>'1. Master Data'!D392</f>
        <v>East DC</v>
      </c>
      <c r="D392" s="5" t="str">
        <f>'4. ABC XYZ Analysis'!K392</f>
        <v>C</v>
      </c>
      <c r="E392" s="5" t="str">
        <f>'4. ABC XYZ Analysis'!M392</f>
        <v>Y</v>
      </c>
      <c r="F392" s="4">
        <f>'1. Master Data'!F392</f>
        <v>826</v>
      </c>
      <c r="G392" s="3">
        <f>'1. Master Data'!G392</f>
        <v>41</v>
      </c>
      <c r="H392" s="8">
        <f>'3. Demand Forecast'!F392/$T$3</f>
        <v>1.0454545454545454</v>
      </c>
      <c r="I392" s="8">
        <f>'3. Demand Forecast'!G392/SQRT($T$3)</f>
        <v>1.1939240115914183</v>
      </c>
      <c r="J392" s="5">
        <f t="shared" si="36"/>
        <v>13</v>
      </c>
      <c r="K392" s="5">
        <f t="shared" si="37"/>
        <v>56</v>
      </c>
      <c r="L392" s="3">
        <f>IF(F392=0,0,ROUNDUP(SQRT(2*'4. ABC XYZ Analysis'!F392*$U$3/(F392*$V$3)),0))</f>
        <v>34</v>
      </c>
      <c r="M392" s="3">
        <f>'1. Master Data'!I392</f>
        <v>84</v>
      </c>
      <c r="N392" s="3">
        <f t="shared" si="38"/>
        <v>80</v>
      </c>
      <c r="O392" s="5" t="str">
        <f t="shared" si="39"/>
        <v>OK</v>
      </c>
      <c r="P392" s="5" t="str">
        <f t="shared" si="40"/>
        <v>LOW</v>
      </c>
      <c r="Q392" s="3" t="str">
        <f t="shared" si="41"/>
        <v>Reorder Point</v>
      </c>
    </row>
    <row r="393" spans="1:17" ht="15" customHeight="1" x14ac:dyDescent="0.2">
      <c r="A393" s="3" t="str">
        <f>'1. Master Data'!A393</f>
        <v>NT10389</v>
      </c>
      <c r="B393" s="1" t="str">
        <f>'1. Master Data'!B393</f>
        <v>MirrorlessM 942</v>
      </c>
      <c r="C393" s="3" t="str">
        <f>'1. Master Data'!D393</f>
        <v>Central DC</v>
      </c>
      <c r="D393" s="5" t="str">
        <f>'4. ABC XYZ Analysis'!K393</f>
        <v>C</v>
      </c>
      <c r="E393" s="5" t="str">
        <f>'4. ABC XYZ Analysis'!M393</f>
        <v>X</v>
      </c>
      <c r="F393" s="4">
        <f>'1. Master Data'!F393</f>
        <v>599</v>
      </c>
      <c r="G393" s="3">
        <f>'1. Master Data'!G393</f>
        <v>41</v>
      </c>
      <c r="H393" s="8">
        <f>'3. Demand Forecast'!F393/$T$3</f>
        <v>1.4727272727272727</v>
      </c>
      <c r="I393" s="8">
        <f>'3. Demand Forecast'!G393/SQRT($T$3)</f>
        <v>2.2812476650050315</v>
      </c>
      <c r="J393" s="5">
        <f t="shared" si="36"/>
        <v>25</v>
      </c>
      <c r="K393" s="5">
        <f t="shared" si="37"/>
        <v>86</v>
      </c>
      <c r="L393" s="3">
        <f>IF(F393=0,0,ROUNDUP(SQRT(2*'4. ABC XYZ Analysis'!F393*$U$3/(F393*$V$3)),0))</f>
        <v>10</v>
      </c>
      <c r="M393" s="3">
        <f>'1. Master Data'!I393</f>
        <v>89</v>
      </c>
      <c r="N393" s="3">
        <f t="shared" si="38"/>
        <v>60</v>
      </c>
      <c r="O393" s="5" t="str">
        <f t="shared" si="39"/>
        <v>ORDER SOON</v>
      </c>
      <c r="P393" s="5" t="str">
        <f t="shared" si="40"/>
        <v>MEDIUM</v>
      </c>
      <c r="Q393" s="3" t="str">
        <f t="shared" si="41"/>
        <v>Reorder Point</v>
      </c>
    </row>
    <row r="394" spans="1:17" ht="15" customHeight="1" x14ac:dyDescent="0.2">
      <c r="A394" s="3" t="str">
        <f>'1. Master Data'!A394</f>
        <v>NT10390</v>
      </c>
      <c r="B394" s="1" t="str">
        <f>'1. Master Data'!B394</f>
        <v>ActionCam 753 4K</v>
      </c>
      <c r="C394" s="3" t="str">
        <f>'1. Master Data'!D394</f>
        <v>Central DC</v>
      </c>
      <c r="D394" s="5" t="str">
        <f>'4. ABC XYZ Analysis'!K394</f>
        <v>C</v>
      </c>
      <c r="E394" s="5" t="str">
        <f>'4. ABC XYZ Analysis'!M394</f>
        <v>X</v>
      </c>
      <c r="F394" s="4">
        <f>'1. Master Data'!F394</f>
        <v>281</v>
      </c>
      <c r="G394" s="3">
        <f>'1. Master Data'!G394</f>
        <v>27</v>
      </c>
      <c r="H394" s="8">
        <f>'3. Demand Forecast'!F394/$T$3</f>
        <v>0.67727272727272725</v>
      </c>
      <c r="I394" s="8">
        <f>'3. Demand Forecast'!G394/SQRT($T$3)</f>
        <v>0.8741229370580027</v>
      </c>
      <c r="J394" s="5">
        <f t="shared" si="36"/>
        <v>8</v>
      </c>
      <c r="K394" s="5">
        <f t="shared" si="37"/>
        <v>27</v>
      </c>
      <c r="L394" s="3">
        <f>IF(F394=0,0,ROUNDUP(SQRT(2*'4. ABC XYZ Analysis'!F394*$U$3/(F394*$V$3)),0))</f>
        <v>66</v>
      </c>
      <c r="M394" s="3">
        <f>'1. Master Data'!I394</f>
        <v>30</v>
      </c>
      <c r="N394" s="3">
        <f t="shared" si="38"/>
        <v>44</v>
      </c>
      <c r="O394" s="5" t="str">
        <f t="shared" si="39"/>
        <v>ORDER SOON</v>
      </c>
      <c r="P394" s="5" t="str">
        <f t="shared" si="40"/>
        <v>MEDIUM</v>
      </c>
      <c r="Q394" s="3" t="str">
        <f t="shared" si="41"/>
        <v>Reorder Point</v>
      </c>
    </row>
    <row r="395" spans="1:17" ht="15" customHeight="1" x14ac:dyDescent="0.2">
      <c r="A395" s="3" t="str">
        <f>'1. Master Data'!A395</f>
        <v>NT10391</v>
      </c>
      <c r="B395" s="1" t="str">
        <f>'1. Master Data'!B395</f>
        <v>OptiZoom 169 DSLR</v>
      </c>
      <c r="C395" s="3" t="str">
        <f>'1. Master Data'!D395</f>
        <v>East DC</v>
      </c>
      <c r="D395" s="5" t="str">
        <f>'4. ABC XYZ Analysis'!K395</f>
        <v>C</v>
      </c>
      <c r="E395" s="5" t="str">
        <f>'4. ABC XYZ Analysis'!M395</f>
        <v>X</v>
      </c>
      <c r="F395" s="4">
        <f>'1. Master Data'!F395</f>
        <v>686</v>
      </c>
      <c r="G395" s="3">
        <f>'1. Master Data'!G395</f>
        <v>25</v>
      </c>
      <c r="H395" s="8">
        <f>'3. Demand Forecast'!F395/$T$3</f>
        <v>1.2090909090909092</v>
      </c>
      <c r="I395" s="8">
        <f>'3. Demand Forecast'!G395/SQRT($T$3)</f>
        <v>1.8335261606582496</v>
      </c>
      <c r="J395" s="5">
        <f t="shared" si="36"/>
        <v>16</v>
      </c>
      <c r="K395" s="5">
        <f t="shared" si="37"/>
        <v>47</v>
      </c>
      <c r="L395" s="3">
        <f>IF(F395=0,0,ROUNDUP(SQRT(2*'4. ABC XYZ Analysis'!F395*$U$3/(F395*$V$3)),0))</f>
        <v>26</v>
      </c>
      <c r="M395" s="3">
        <f>'1. Master Data'!I395</f>
        <v>50</v>
      </c>
      <c r="N395" s="3">
        <f t="shared" si="38"/>
        <v>41</v>
      </c>
      <c r="O395" s="5" t="str">
        <f t="shared" si="39"/>
        <v>ORDER SOON</v>
      </c>
      <c r="P395" s="5" t="str">
        <f t="shared" si="40"/>
        <v>MEDIUM</v>
      </c>
      <c r="Q395" s="3" t="str">
        <f t="shared" si="41"/>
        <v>Reorder Point</v>
      </c>
    </row>
    <row r="396" spans="1:17" ht="15" customHeight="1" x14ac:dyDescent="0.2">
      <c r="A396" s="3" t="str">
        <f>'1. Master Data'!A396</f>
        <v>NT10392</v>
      </c>
      <c r="B396" s="1" t="str">
        <f>'1. Master Data'!B396</f>
        <v>OptiZoom 988 DSLR</v>
      </c>
      <c r="C396" s="3" t="str">
        <f>'1. Master Data'!D396</f>
        <v>West DC</v>
      </c>
      <c r="D396" s="5" t="str">
        <f>'4. ABC XYZ Analysis'!K396</f>
        <v>C</v>
      </c>
      <c r="E396" s="5" t="str">
        <f>'4. ABC XYZ Analysis'!M396</f>
        <v>Z</v>
      </c>
      <c r="F396" s="4">
        <f>'1. Master Data'!F396</f>
        <v>731</v>
      </c>
      <c r="G396" s="3">
        <f>'1. Master Data'!G396</f>
        <v>18</v>
      </c>
      <c r="H396" s="8">
        <f>'3. Demand Forecast'!F396/$T$3</f>
        <v>1.4227272727272728</v>
      </c>
      <c r="I396" s="8">
        <f>'3. Demand Forecast'!G396/SQRT($T$3)</f>
        <v>1.7908860173871277</v>
      </c>
      <c r="J396" s="5">
        <f t="shared" si="36"/>
        <v>13</v>
      </c>
      <c r="K396" s="5">
        <f t="shared" si="37"/>
        <v>39</v>
      </c>
      <c r="L396" s="3">
        <f>IF(F396=0,0,ROUNDUP(SQRT(2*'4. ABC XYZ Analysis'!F396*$U$3/(F396*$V$3)),0))</f>
        <v>12</v>
      </c>
      <c r="M396" s="3">
        <f>'1. Master Data'!I396</f>
        <v>42</v>
      </c>
      <c r="N396" s="3">
        <f t="shared" si="38"/>
        <v>30</v>
      </c>
      <c r="O396" s="5" t="str">
        <f t="shared" si="39"/>
        <v>ORDER SOON</v>
      </c>
      <c r="P396" s="5" t="str">
        <f t="shared" si="40"/>
        <v>MEDIUM</v>
      </c>
      <c r="Q396" s="3" t="str">
        <f t="shared" si="41"/>
        <v>Min Max</v>
      </c>
    </row>
    <row r="397" spans="1:17" ht="15" customHeight="1" x14ac:dyDescent="0.2">
      <c r="A397" s="3" t="str">
        <f>'1. Master Data'!A397</f>
        <v>NT10393</v>
      </c>
      <c r="B397" s="1" t="str">
        <f>'1. Master Data'!B397</f>
        <v>OptiZoom 452 DSLR</v>
      </c>
      <c r="C397" s="3" t="str">
        <f>'1. Master Data'!D397</f>
        <v>Central DC</v>
      </c>
      <c r="D397" s="5" t="str">
        <f>'4. ABC XYZ Analysis'!K397</f>
        <v>C</v>
      </c>
      <c r="E397" s="5" t="str">
        <f>'4. ABC XYZ Analysis'!M397</f>
        <v>Y</v>
      </c>
      <c r="F397" s="4">
        <f>'1. Master Data'!F397</f>
        <v>215</v>
      </c>
      <c r="G397" s="3">
        <f>'1. Master Data'!G397</f>
        <v>37</v>
      </c>
      <c r="H397" s="8">
        <f>'3. Demand Forecast'!F397/$T$3</f>
        <v>0.9363636363636364</v>
      </c>
      <c r="I397" s="8">
        <f>'3. Demand Forecast'!G397/SQRT($T$3)</f>
        <v>1.42844479958259</v>
      </c>
      <c r="J397" s="5">
        <f t="shared" si="36"/>
        <v>15</v>
      </c>
      <c r="K397" s="5">
        <f t="shared" si="37"/>
        <v>50</v>
      </c>
      <c r="L397" s="3">
        <f>IF(F397=0,0,ROUNDUP(SQRT(2*'4. ABC XYZ Analysis'!F397*$U$3/(F397*$V$3)),0))</f>
        <v>22</v>
      </c>
      <c r="M397" s="3">
        <f>'1. Master Data'!I397</f>
        <v>53</v>
      </c>
      <c r="N397" s="3">
        <f t="shared" si="38"/>
        <v>57</v>
      </c>
      <c r="O397" s="5" t="str">
        <f t="shared" si="39"/>
        <v>ORDER SOON</v>
      </c>
      <c r="P397" s="5" t="str">
        <f t="shared" si="40"/>
        <v>MEDIUM</v>
      </c>
      <c r="Q397" s="3" t="str">
        <f t="shared" si="41"/>
        <v>Reorder Point</v>
      </c>
    </row>
    <row r="398" spans="1:17" ht="15" customHeight="1" x14ac:dyDescent="0.2">
      <c r="A398" s="3" t="str">
        <f>'1. Master Data'!A398</f>
        <v>NT10394</v>
      </c>
      <c r="B398" s="1" t="str">
        <f>'1. Master Data'!B398</f>
        <v>MirrorlessM 247</v>
      </c>
      <c r="C398" s="3" t="str">
        <f>'1. Master Data'!D398</f>
        <v>Central DC</v>
      </c>
      <c r="D398" s="5" t="str">
        <f>'4. ABC XYZ Analysis'!K398</f>
        <v>C</v>
      </c>
      <c r="E398" s="5" t="str">
        <f>'4. ABC XYZ Analysis'!M398</f>
        <v>X</v>
      </c>
      <c r="F398" s="4">
        <f>'1. Master Data'!F398</f>
        <v>656</v>
      </c>
      <c r="G398" s="3">
        <f>'1. Master Data'!G398</f>
        <v>32</v>
      </c>
      <c r="H398" s="8">
        <f>'3. Demand Forecast'!F398/$T$3</f>
        <v>1.2863636363636364</v>
      </c>
      <c r="I398" s="8">
        <f>'3. Demand Forecast'!G398/SQRT($T$3)</f>
        <v>2.1533272351916652</v>
      </c>
      <c r="J398" s="5">
        <f t="shared" si="36"/>
        <v>21</v>
      </c>
      <c r="K398" s="5">
        <f t="shared" si="37"/>
        <v>63</v>
      </c>
      <c r="L398" s="3">
        <f>IF(F398=0,0,ROUNDUP(SQRT(2*'4. ABC XYZ Analysis'!F398*$U$3/(F398*$V$3)),0))</f>
        <v>25</v>
      </c>
      <c r="M398" s="3">
        <f>'1. Master Data'!I398</f>
        <v>66</v>
      </c>
      <c r="N398" s="3">
        <f t="shared" si="38"/>
        <v>51</v>
      </c>
      <c r="O398" s="5" t="str">
        <f t="shared" si="39"/>
        <v>ORDER SOON</v>
      </c>
      <c r="P398" s="5" t="str">
        <f t="shared" si="40"/>
        <v>MEDIUM</v>
      </c>
      <c r="Q398" s="3" t="str">
        <f t="shared" si="41"/>
        <v>Reorder Point</v>
      </c>
    </row>
    <row r="399" spans="1:17" ht="15" customHeight="1" x14ac:dyDescent="0.2">
      <c r="A399" s="3" t="str">
        <f>'1. Master Data'!A399</f>
        <v>NT10395</v>
      </c>
      <c r="B399" s="1" t="str">
        <f>'1. Master Data'!B399</f>
        <v>ActionCam 102 4K</v>
      </c>
      <c r="C399" s="3" t="str">
        <f>'1. Master Data'!D399</f>
        <v>East DC</v>
      </c>
      <c r="D399" s="5" t="str">
        <f>'4. ABC XYZ Analysis'!K399</f>
        <v>C</v>
      </c>
      <c r="E399" s="5" t="str">
        <f>'4. ABC XYZ Analysis'!M399</f>
        <v>Y</v>
      </c>
      <c r="F399" s="4">
        <f>'1. Master Data'!F399</f>
        <v>216</v>
      </c>
      <c r="G399" s="3">
        <f>'1. Master Data'!G399</f>
        <v>36</v>
      </c>
      <c r="H399" s="8">
        <f>'3. Demand Forecast'!F399/$T$3</f>
        <v>1.5590909090909089</v>
      </c>
      <c r="I399" s="8">
        <f>'3. Demand Forecast'!G399/SQRT($T$3)</f>
        <v>2.4731283097250807</v>
      </c>
      <c r="J399" s="5">
        <f t="shared" si="36"/>
        <v>25</v>
      </c>
      <c r="K399" s="5">
        <f t="shared" si="37"/>
        <v>82</v>
      </c>
      <c r="L399" s="3">
        <f>IF(F399=0,0,ROUNDUP(SQRT(2*'4. ABC XYZ Analysis'!F399*$U$3/(F399*$V$3)),0))</f>
        <v>42</v>
      </c>
      <c r="M399" s="3">
        <f>'1. Master Data'!I399</f>
        <v>85</v>
      </c>
      <c r="N399" s="3">
        <f t="shared" si="38"/>
        <v>55</v>
      </c>
      <c r="O399" s="5" t="str">
        <f t="shared" si="39"/>
        <v>ORDER SOON</v>
      </c>
      <c r="P399" s="5" t="str">
        <f t="shared" si="40"/>
        <v>MEDIUM</v>
      </c>
      <c r="Q399" s="3" t="str">
        <f t="shared" si="41"/>
        <v>Reorder Point</v>
      </c>
    </row>
    <row r="400" spans="1:17" ht="15" customHeight="1" x14ac:dyDescent="0.2">
      <c r="A400" s="3" t="str">
        <f>'1. Master Data'!A400</f>
        <v>NT10396</v>
      </c>
      <c r="B400" s="1" t="str">
        <f>'1. Master Data'!B400</f>
        <v>MirrorlessM 229</v>
      </c>
      <c r="C400" s="3" t="str">
        <f>'1. Master Data'!D400</f>
        <v>Central DC</v>
      </c>
      <c r="D400" s="5" t="str">
        <f>'4. ABC XYZ Analysis'!K400</f>
        <v>C</v>
      </c>
      <c r="E400" s="5" t="str">
        <f>'4. ABC XYZ Analysis'!M400</f>
        <v>Z</v>
      </c>
      <c r="F400" s="4">
        <f>'1. Master Data'!F400</f>
        <v>1120</v>
      </c>
      <c r="G400" s="3">
        <f>'1. Master Data'!G400</f>
        <v>27</v>
      </c>
      <c r="H400" s="8">
        <f>'3. Demand Forecast'!F400/$T$3</f>
        <v>7.2409090909090912</v>
      </c>
      <c r="I400" s="8">
        <f>'3. Demand Forecast'!G400/SQRT($T$3)</f>
        <v>8.4214282960466118</v>
      </c>
      <c r="J400" s="5">
        <f t="shared" si="36"/>
        <v>73</v>
      </c>
      <c r="K400" s="5">
        <f t="shared" si="37"/>
        <v>269</v>
      </c>
      <c r="L400" s="3">
        <f>IF(F400=0,0,ROUNDUP(SQRT(2*'4. ABC XYZ Analysis'!F400*$U$3/(F400*$V$3)),0))</f>
        <v>16</v>
      </c>
      <c r="M400" s="3">
        <f>'1. Master Data'!I400</f>
        <v>226</v>
      </c>
      <c r="N400" s="3">
        <f t="shared" si="38"/>
        <v>31</v>
      </c>
      <c r="O400" s="5" t="str">
        <f t="shared" si="39"/>
        <v>ORDER NOW</v>
      </c>
      <c r="P400" s="5" t="str">
        <f t="shared" si="40"/>
        <v>MEDIUM</v>
      </c>
      <c r="Q400" s="3" t="str">
        <f t="shared" si="41"/>
        <v>Min Max</v>
      </c>
    </row>
    <row r="401" spans="1:17" ht="15" customHeight="1" x14ac:dyDescent="0.2">
      <c r="A401" s="3" t="str">
        <f>'1. Master Data'!A401</f>
        <v>NT10397</v>
      </c>
      <c r="B401" s="1" t="str">
        <f>'1. Master Data'!B401</f>
        <v>MirrorlessM 487</v>
      </c>
      <c r="C401" s="3" t="str">
        <f>'1. Master Data'!D401</f>
        <v>Central DC</v>
      </c>
      <c r="D401" s="5" t="str">
        <f>'4. ABC XYZ Analysis'!K401</f>
        <v>C</v>
      </c>
      <c r="E401" s="5" t="str">
        <f>'4. ABC XYZ Analysis'!M401</f>
        <v>Y</v>
      </c>
      <c r="F401" s="4">
        <f>'1. Master Data'!F401</f>
        <v>275</v>
      </c>
      <c r="G401" s="3">
        <f>'1. Master Data'!G401</f>
        <v>42</v>
      </c>
      <c r="H401" s="8">
        <f>'3. Demand Forecast'!F401/$T$3</f>
        <v>6.8181818181818177E-2</v>
      </c>
      <c r="I401" s="8">
        <f>'3. Demand Forecast'!G401/SQRT($T$3)</f>
        <v>0.10660035817780521</v>
      </c>
      <c r="J401" s="5">
        <f t="shared" si="36"/>
        <v>2</v>
      </c>
      <c r="K401" s="5">
        <f t="shared" si="37"/>
        <v>5</v>
      </c>
      <c r="L401" s="3">
        <f>IF(F401=0,0,ROUNDUP(SQRT(2*'4. ABC XYZ Analysis'!F401*$U$3/(F401*$V$3)),0))</f>
        <v>21</v>
      </c>
      <c r="M401" s="3">
        <f>'1. Master Data'!I401</f>
        <v>8</v>
      </c>
      <c r="N401" s="3">
        <f t="shared" si="38"/>
        <v>117</v>
      </c>
      <c r="O401" s="5" t="str">
        <f t="shared" si="39"/>
        <v>OK</v>
      </c>
      <c r="P401" s="5" t="str">
        <f t="shared" si="40"/>
        <v>LOW</v>
      </c>
      <c r="Q401" s="3" t="str">
        <f t="shared" si="41"/>
        <v>Reorder Point</v>
      </c>
    </row>
    <row r="402" spans="1:17" ht="15" customHeight="1" x14ac:dyDescent="0.2">
      <c r="A402" s="3" t="str">
        <f>'1. Master Data'!A402</f>
        <v>NT10398</v>
      </c>
      <c r="B402" s="1" t="str">
        <f>'1. Master Data'!B402</f>
        <v>MirrorlessM 330</v>
      </c>
      <c r="C402" s="3" t="str">
        <f>'1. Master Data'!D402</f>
        <v>West DC</v>
      </c>
      <c r="D402" s="5" t="str">
        <f>'4. ABC XYZ Analysis'!K402</f>
        <v>C</v>
      </c>
      <c r="E402" s="5" t="str">
        <f>'4. ABC XYZ Analysis'!M402</f>
        <v>Y</v>
      </c>
      <c r="F402" s="4">
        <f>'1. Master Data'!F402</f>
        <v>174</v>
      </c>
      <c r="G402" s="3">
        <f>'1. Master Data'!G402</f>
        <v>39</v>
      </c>
      <c r="H402" s="8">
        <f>'3. Demand Forecast'!F402/$T$3</f>
        <v>0.68181818181818177</v>
      </c>
      <c r="I402" s="8">
        <f>'3. Demand Forecast'!G402/SQRT($T$3)</f>
        <v>0.83148279378688061</v>
      </c>
      <c r="J402" s="5">
        <f t="shared" si="36"/>
        <v>9</v>
      </c>
      <c r="K402" s="5">
        <f t="shared" si="37"/>
        <v>36</v>
      </c>
      <c r="L402" s="3">
        <f>IF(F402=0,0,ROUNDUP(SQRT(2*'4. ABC XYZ Analysis'!F402*$U$3/(F402*$V$3)),0))</f>
        <v>21</v>
      </c>
      <c r="M402" s="3">
        <f>'1. Master Data'!I402</f>
        <v>39</v>
      </c>
      <c r="N402" s="3">
        <f t="shared" si="38"/>
        <v>57</v>
      </c>
      <c r="O402" s="5" t="str">
        <f t="shared" si="39"/>
        <v>ORDER SOON</v>
      </c>
      <c r="P402" s="5" t="str">
        <f t="shared" si="40"/>
        <v>MEDIUM</v>
      </c>
      <c r="Q402" s="3" t="str">
        <f t="shared" si="41"/>
        <v>Reorder Point</v>
      </c>
    </row>
    <row r="403" spans="1:17" ht="15" customHeight="1" x14ac:dyDescent="0.2">
      <c r="A403" s="3" t="str">
        <f>'1. Master Data'!A403</f>
        <v>NT10399</v>
      </c>
      <c r="B403" s="1" t="str">
        <f>'1. Master Data'!B403</f>
        <v>OptiZoom 452 DSLR</v>
      </c>
      <c r="C403" s="3" t="str">
        <f>'1. Master Data'!D403</f>
        <v>Central DC</v>
      </c>
      <c r="D403" s="5" t="str">
        <f>'4. ABC XYZ Analysis'!K403</f>
        <v>C</v>
      </c>
      <c r="E403" s="5" t="str">
        <f>'4. ABC XYZ Analysis'!M403</f>
        <v>Y</v>
      </c>
      <c r="F403" s="4">
        <f>'1. Master Data'!F403</f>
        <v>350</v>
      </c>
      <c r="G403" s="3">
        <f>'1. Master Data'!G403</f>
        <v>39</v>
      </c>
      <c r="H403" s="8">
        <f>'3. Demand Forecast'!F403/$T$3</f>
        <v>0.29090909090909095</v>
      </c>
      <c r="I403" s="8">
        <f>'3. Demand Forecast'!G403/SQRT($T$3)</f>
        <v>0.34112114616897671</v>
      </c>
      <c r="J403" s="5">
        <f t="shared" si="36"/>
        <v>4</v>
      </c>
      <c r="K403" s="5">
        <f t="shared" si="37"/>
        <v>16</v>
      </c>
      <c r="L403" s="3">
        <f>IF(F403=0,0,ROUNDUP(SQRT(2*'4. ABC XYZ Analysis'!F403*$U$3/(F403*$V$3)),0))</f>
        <v>25</v>
      </c>
      <c r="M403" s="3">
        <f>'1. Master Data'!I403</f>
        <v>19</v>
      </c>
      <c r="N403" s="3">
        <f t="shared" si="38"/>
        <v>65</v>
      </c>
      <c r="O403" s="5" t="str">
        <f t="shared" si="39"/>
        <v>ORDER SOON</v>
      </c>
      <c r="P403" s="5" t="str">
        <f t="shared" si="40"/>
        <v>MEDIUM</v>
      </c>
      <c r="Q403" s="3" t="str">
        <f t="shared" si="41"/>
        <v>Reorder Point</v>
      </c>
    </row>
    <row r="404" spans="1:17" ht="15" customHeight="1" x14ac:dyDescent="0.2">
      <c r="A404" s="3" t="str">
        <f>'1. Master Data'!A404</f>
        <v>NT10400</v>
      </c>
      <c r="B404" s="1" t="str">
        <f>'1. Master Data'!B404</f>
        <v>OptiZoom 869 DSLR</v>
      </c>
      <c r="C404" s="3" t="str">
        <f>'1. Master Data'!D404</f>
        <v>West DC</v>
      </c>
      <c r="D404" s="5" t="str">
        <f>'4. ABC XYZ Analysis'!K404</f>
        <v>C</v>
      </c>
      <c r="E404" s="5" t="str">
        <f>'4. ABC XYZ Analysis'!M404</f>
        <v>X</v>
      </c>
      <c r="F404" s="4">
        <f>'1. Master Data'!F404</f>
        <v>419</v>
      </c>
      <c r="G404" s="3">
        <f>'1. Master Data'!G404</f>
        <v>20</v>
      </c>
      <c r="H404" s="8">
        <f>'3. Demand Forecast'!F404/$T$3</f>
        <v>0.77727272727272734</v>
      </c>
      <c r="I404" s="8">
        <f>'3. Demand Forecast'!G404/SQRT($T$3)</f>
        <v>1.1939240115914183</v>
      </c>
      <c r="J404" s="5">
        <f t="shared" si="36"/>
        <v>9</v>
      </c>
      <c r="K404" s="5">
        <f t="shared" si="37"/>
        <v>25</v>
      </c>
      <c r="L404" s="3">
        <f>IF(F404=0,0,ROUNDUP(SQRT(2*'4. ABC XYZ Analysis'!F404*$U$3/(F404*$V$3)),0))</f>
        <v>46</v>
      </c>
      <c r="M404" s="3">
        <f>'1. Master Data'!I404</f>
        <v>28</v>
      </c>
      <c r="N404" s="3">
        <f t="shared" si="38"/>
        <v>36</v>
      </c>
      <c r="O404" s="5" t="str">
        <f t="shared" si="39"/>
        <v>ORDER SOON</v>
      </c>
      <c r="P404" s="5" t="str">
        <f t="shared" si="40"/>
        <v>MEDIUM</v>
      </c>
      <c r="Q404" s="3" t="str">
        <f t="shared" si="41"/>
        <v>Reorder Point</v>
      </c>
    </row>
    <row r="405" spans="1:17" ht="15" customHeight="1" x14ac:dyDescent="0.2">
      <c r="A405" s="3" t="str">
        <f>'1. Master Data'!A405</f>
        <v>NT10401</v>
      </c>
      <c r="B405" s="1" t="str">
        <f>'1. Master Data'!B405</f>
        <v>DrawPad 390 12in</v>
      </c>
      <c r="C405" s="3" t="str">
        <f>'1. Master Data'!D405</f>
        <v>West DC</v>
      </c>
      <c r="D405" s="5" t="str">
        <f>'4. ABC XYZ Analysis'!K405</f>
        <v>C</v>
      </c>
      <c r="E405" s="5" t="str">
        <f>'4. ABC XYZ Analysis'!M405</f>
        <v>Y</v>
      </c>
      <c r="F405" s="4">
        <f>'1. Master Data'!F405</f>
        <v>311</v>
      </c>
      <c r="G405" s="3">
        <f>'1. Master Data'!G405</f>
        <v>39</v>
      </c>
      <c r="H405" s="8">
        <f>'3. Demand Forecast'!F405/$T$3</f>
        <v>1.2863636363636364</v>
      </c>
      <c r="I405" s="8">
        <f>'3. Demand Forecast'!G405/SQRT($T$3)</f>
        <v>1.8974863755649329</v>
      </c>
      <c r="J405" s="5">
        <f t="shared" si="36"/>
        <v>20</v>
      </c>
      <c r="K405" s="5">
        <f t="shared" si="37"/>
        <v>71</v>
      </c>
      <c r="L405" s="3">
        <f>IF(F405=0,0,ROUNDUP(SQRT(2*'4. ABC XYZ Analysis'!F405*$U$3/(F405*$V$3)),0))</f>
        <v>45</v>
      </c>
      <c r="M405" s="3">
        <f>'1. Master Data'!I405</f>
        <v>74</v>
      </c>
      <c r="N405" s="3">
        <f t="shared" si="38"/>
        <v>58</v>
      </c>
      <c r="O405" s="5" t="str">
        <f t="shared" si="39"/>
        <v>ORDER SOON</v>
      </c>
      <c r="P405" s="5" t="str">
        <f t="shared" si="40"/>
        <v>MEDIUM</v>
      </c>
      <c r="Q405" s="3" t="str">
        <f t="shared" si="41"/>
        <v>Reorder Point</v>
      </c>
    </row>
    <row r="406" spans="1:17" ht="15" customHeight="1" x14ac:dyDescent="0.2">
      <c r="A406" s="3" t="str">
        <f>'1. Master Data'!A406</f>
        <v>NT10402</v>
      </c>
      <c r="B406" s="1" t="str">
        <f>'1. Master Data'!B406</f>
        <v>NovaTab 904 10in</v>
      </c>
      <c r="C406" s="3" t="str">
        <f>'1. Master Data'!D406</f>
        <v>West DC</v>
      </c>
      <c r="D406" s="5" t="str">
        <f>'4. ABC XYZ Analysis'!K406</f>
        <v>C</v>
      </c>
      <c r="E406" s="5" t="str">
        <f>'4. ABC XYZ Analysis'!M406</f>
        <v>X</v>
      </c>
      <c r="F406" s="4">
        <f>'1. Master Data'!F406</f>
        <v>220</v>
      </c>
      <c r="G406" s="3">
        <f>'1. Master Data'!G406</f>
        <v>36</v>
      </c>
      <c r="H406" s="8">
        <f>'3. Demand Forecast'!F406/$T$3</f>
        <v>18.059090909090909</v>
      </c>
      <c r="I406" s="8">
        <f>'3. Demand Forecast'!G406/SQRT($T$3)</f>
        <v>22.556635790423581</v>
      </c>
      <c r="J406" s="5">
        <f t="shared" si="36"/>
        <v>224</v>
      </c>
      <c r="K406" s="5">
        <f t="shared" si="37"/>
        <v>875</v>
      </c>
      <c r="L406" s="3">
        <f>IF(F406=0,0,ROUNDUP(SQRT(2*'4. ABC XYZ Analysis'!F406*$U$3/(F406*$V$3)),0))</f>
        <v>60</v>
      </c>
      <c r="M406" s="3">
        <f>'1. Master Data'!I406</f>
        <v>878</v>
      </c>
      <c r="N406" s="3">
        <f t="shared" si="38"/>
        <v>49</v>
      </c>
      <c r="O406" s="5" t="str">
        <f t="shared" si="39"/>
        <v>ORDER SOON</v>
      </c>
      <c r="P406" s="5" t="str">
        <f t="shared" si="40"/>
        <v>MEDIUM</v>
      </c>
      <c r="Q406" s="3" t="str">
        <f t="shared" si="41"/>
        <v>Reorder Point</v>
      </c>
    </row>
    <row r="407" spans="1:17" ht="15" customHeight="1" x14ac:dyDescent="0.2">
      <c r="A407" s="3" t="str">
        <f>'1. Master Data'!A407</f>
        <v>NT10403</v>
      </c>
      <c r="B407" s="1" t="str">
        <f>'1. Master Data'!B407</f>
        <v>NovaTab 537 10in</v>
      </c>
      <c r="C407" s="3" t="str">
        <f>'1. Master Data'!D407</f>
        <v>West DC</v>
      </c>
      <c r="D407" s="5" t="str">
        <f>'4. ABC XYZ Analysis'!K407</f>
        <v>C</v>
      </c>
      <c r="E407" s="5" t="str">
        <f>'4. ABC XYZ Analysis'!M407</f>
        <v>Y</v>
      </c>
      <c r="F407" s="4">
        <f>'1. Master Data'!F407</f>
        <v>257</v>
      </c>
      <c r="G407" s="3">
        <f>'1. Master Data'!G407</f>
        <v>25</v>
      </c>
      <c r="H407" s="8">
        <f>'3. Demand Forecast'!F407/$T$3</f>
        <v>0.3</v>
      </c>
      <c r="I407" s="8">
        <f>'3. Demand Forecast'!G407/SQRT($T$3)</f>
        <v>1.4497648712181508</v>
      </c>
      <c r="J407" s="5">
        <f t="shared" si="36"/>
        <v>12</v>
      </c>
      <c r="K407" s="5">
        <f t="shared" si="37"/>
        <v>20</v>
      </c>
      <c r="L407" s="3">
        <f>IF(F407=0,0,ROUNDUP(SQRT(2*'4. ABC XYZ Analysis'!F407*$U$3/(F407*$V$3)),0))</f>
        <v>15</v>
      </c>
      <c r="M407" s="3">
        <f>'1. Master Data'!I407</f>
        <v>23</v>
      </c>
      <c r="N407" s="3">
        <f t="shared" si="38"/>
        <v>77</v>
      </c>
      <c r="O407" s="5" t="str">
        <f t="shared" si="39"/>
        <v>ORDER SOON</v>
      </c>
      <c r="P407" s="5" t="str">
        <f t="shared" si="40"/>
        <v>MEDIUM</v>
      </c>
      <c r="Q407" s="3" t="str">
        <f t="shared" si="41"/>
        <v>Reorder Point</v>
      </c>
    </row>
    <row r="408" spans="1:17" ht="15" customHeight="1" x14ac:dyDescent="0.2">
      <c r="A408" s="3" t="str">
        <f>'1. Master Data'!A408</f>
        <v>NT10404</v>
      </c>
      <c r="B408" s="1" t="str">
        <f>'1. Master Data'!B408</f>
        <v>NovaTab 716 Kids</v>
      </c>
      <c r="C408" s="3" t="str">
        <f>'1. Master Data'!D408</f>
        <v>East DC</v>
      </c>
      <c r="D408" s="5" t="str">
        <f>'4. ABC XYZ Analysis'!K408</f>
        <v>C</v>
      </c>
      <c r="E408" s="5" t="str">
        <f>'4. ABC XYZ Analysis'!M408</f>
        <v>X</v>
      </c>
      <c r="F408" s="4">
        <f>'1. Master Data'!F408</f>
        <v>225</v>
      </c>
      <c r="G408" s="3">
        <f>'1. Master Data'!G408</f>
        <v>24</v>
      </c>
      <c r="H408" s="8">
        <f>'3. Demand Forecast'!F408/$T$3</f>
        <v>1.0636363636363635</v>
      </c>
      <c r="I408" s="8">
        <f>'3. Demand Forecast'!G408/SQRT($T$3)</f>
        <v>1.4071247279470287</v>
      </c>
      <c r="J408" s="5">
        <f t="shared" si="36"/>
        <v>12</v>
      </c>
      <c r="K408" s="5">
        <f t="shared" si="37"/>
        <v>38</v>
      </c>
      <c r="L408" s="3">
        <f>IF(F408=0,0,ROUNDUP(SQRT(2*'4. ABC XYZ Analysis'!F408*$U$3/(F408*$V$3)),0))</f>
        <v>35</v>
      </c>
      <c r="M408" s="3">
        <f>'1. Master Data'!I408</f>
        <v>112</v>
      </c>
      <c r="N408" s="3">
        <f t="shared" si="38"/>
        <v>105</v>
      </c>
      <c r="O408" s="5" t="str">
        <f t="shared" si="39"/>
        <v>OK</v>
      </c>
      <c r="P408" s="5" t="str">
        <f t="shared" si="40"/>
        <v>LOW</v>
      </c>
      <c r="Q408" s="3" t="str">
        <f t="shared" si="41"/>
        <v>Reorder Point</v>
      </c>
    </row>
    <row r="409" spans="1:17" ht="15" customHeight="1" x14ac:dyDescent="0.2">
      <c r="A409" s="3" t="str">
        <f>'1. Master Data'!A409</f>
        <v>NT10405</v>
      </c>
      <c r="B409" s="1" t="str">
        <f>'1. Master Data'!B409</f>
        <v>NovaTab 280 10in</v>
      </c>
      <c r="C409" s="3" t="str">
        <f>'1. Master Data'!D409</f>
        <v>Central DC</v>
      </c>
      <c r="D409" s="5" t="str">
        <f>'4. ABC XYZ Analysis'!K409</f>
        <v>C</v>
      </c>
      <c r="E409" s="5" t="str">
        <f>'4. ABC XYZ Analysis'!M409</f>
        <v>Y</v>
      </c>
      <c r="F409" s="4">
        <f>'1. Master Data'!F409</f>
        <v>490</v>
      </c>
      <c r="G409" s="3">
        <f>'1. Master Data'!G409</f>
        <v>23</v>
      </c>
      <c r="H409" s="8">
        <f>'3. Demand Forecast'!F409/$T$3</f>
        <v>4.0772727272727272</v>
      </c>
      <c r="I409" s="8">
        <f>'3. Demand Forecast'!G409/SQRT($T$3)</f>
        <v>4.8609763329079181</v>
      </c>
      <c r="J409" s="5">
        <f t="shared" si="36"/>
        <v>39</v>
      </c>
      <c r="K409" s="5">
        <f t="shared" si="37"/>
        <v>133</v>
      </c>
      <c r="L409" s="3">
        <f>IF(F409=0,0,ROUNDUP(SQRT(2*'4. ABC XYZ Analysis'!F409*$U$3/(F409*$V$3)),0))</f>
        <v>19</v>
      </c>
      <c r="M409" s="3">
        <f>'1. Master Data'!I409</f>
        <v>136</v>
      </c>
      <c r="N409" s="3">
        <f t="shared" si="38"/>
        <v>33</v>
      </c>
      <c r="O409" s="5" t="str">
        <f t="shared" si="39"/>
        <v>ORDER SOON</v>
      </c>
      <c r="P409" s="5" t="str">
        <f t="shared" si="40"/>
        <v>MEDIUM</v>
      </c>
      <c r="Q409" s="3" t="str">
        <f t="shared" si="41"/>
        <v>Reorder Point</v>
      </c>
    </row>
    <row r="410" spans="1:17" ht="15" customHeight="1" x14ac:dyDescent="0.2">
      <c r="A410" s="3" t="str">
        <f>'1. Master Data'!A410</f>
        <v>NT10406</v>
      </c>
      <c r="B410" s="1" t="str">
        <f>'1. Master Data'!B410</f>
        <v>DrawPad 936 12in</v>
      </c>
      <c r="C410" s="3" t="str">
        <f>'1. Master Data'!D410</f>
        <v>Central DC</v>
      </c>
      <c r="D410" s="5" t="str">
        <f>'4. ABC XYZ Analysis'!K410</f>
        <v>C</v>
      </c>
      <c r="E410" s="5" t="str">
        <f>'4. ABC XYZ Analysis'!M410</f>
        <v>X</v>
      </c>
      <c r="F410" s="4">
        <f>'1. Master Data'!F410</f>
        <v>464</v>
      </c>
      <c r="G410" s="3">
        <f>'1. Master Data'!G410</f>
        <v>24</v>
      </c>
      <c r="H410" s="8">
        <f>'3. Demand Forecast'!F410/$T$3</f>
        <v>3.2454545454545456</v>
      </c>
      <c r="I410" s="8">
        <f>'3. Demand Forecast'!G410/SQRT($T$3)</f>
        <v>5.6498189834236765</v>
      </c>
      <c r="J410" s="5">
        <f t="shared" si="36"/>
        <v>46</v>
      </c>
      <c r="K410" s="5">
        <f t="shared" si="37"/>
        <v>124</v>
      </c>
      <c r="L410" s="3">
        <f>IF(F410=0,0,ROUNDUP(SQRT(2*'4. ABC XYZ Analysis'!F410*$U$3/(F410*$V$3)),0))</f>
        <v>38</v>
      </c>
      <c r="M410" s="3">
        <f>'1. Master Data'!I410</f>
        <v>127</v>
      </c>
      <c r="N410" s="3">
        <f t="shared" si="38"/>
        <v>39</v>
      </c>
      <c r="O410" s="5" t="str">
        <f t="shared" si="39"/>
        <v>ORDER SOON</v>
      </c>
      <c r="P410" s="5" t="str">
        <f t="shared" si="40"/>
        <v>MEDIUM</v>
      </c>
      <c r="Q410" s="3" t="str">
        <f t="shared" si="41"/>
        <v>Reorder Point</v>
      </c>
    </row>
    <row r="411" spans="1:17" ht="15" customHeight="1" x14ac:dyDescent="0.2">
      <c r="A411" s="3" t="str">
        <f>'1. Master Data'!A411</f>
        <v>NT10407</v>
      </c>
      <c r="B411" s="1" t="str">
        <f>'1. Master Data'!B411</f>
        <v>DrawPad 201 12in</v>
      </c>
      <c r="C411" s="3" t="str">
        <f>'1. Master Data'!D411</f>
        <v>West DC</v>
      </c>
      <c r="D411" s="5" t="str">
        <f>'4. ABC XYZ Analysis'!K411</f>
        <v>C</v>
      </c>
      <c r="E411" s="5" t="str">
        <f>'4. ABC XYZ Analysis'!M411</f>
        <v>Y</v>
      </c>
      <c r="F411" s="4">
        <f>'1. Master Data'!F411</f>
        <v>260</v>
      </c>
      <c r="G411" s="3">
        <f>'1. Master Data'!G411</f>
        <v>23</v>
      </c>
      <c r="H411" s="8">
        <f>'3. Demand Forecast'!F411/$T$3</f>
        <v>3.8318181818181816</v>
      </c>
      <c r="I411" s="8">
        <f>'3. Demand Forecast'!G411/SQRT($T$3)</f>
        <v>4.8183361896367956</v>
      </c>
      <c r="J411" s="5">
        <f t="shared" si="36"/>
        <v>39</v>
      </c>
      <c r="K411" s="5">
        <f t="shared" si="37"/>
        <v>128</v>
      </c>
      <c r="L411" s="3">
        <f>IF(F411=0,0,ROUNDUP(SQRT(2*'4. ABC XYZ Analysis'!F411*$U$3/(F411*$V$3)),0))</f>
        <v>38</v>
      </c>
      <c r="M411" s="3">
        <f>'1. Master Data'!I411</f>
        <v>131</v>
      </c>
      <c r="N411" s="3">
        <f t="shared" si="38"/>
        <v>34</v>
      </c>
      <c r="O411" s="5" t="str">
        <f t="shared" si="39"/>
        <v>ORDER SOON</v>
      </c>
      <c r="P411" s="5" t="str">
        <f t="shared" si="40"/>
        <v>MEDIUM</v>
      </c>
      <c r="Q411" s="3" t="str">
        <f t="shared" si="41"/>
        <v>Reorder Point</v>
      </c>
    </row>
    <row r="412" spans="1:17" ht="15" customHeight="1" x14ac:dyDescent="0.2">
      <c r="A412" s="3" t="str">
        <f>'1. Master Data'!A412</f>
        <v>NT10408</v>
      </c>
      <c r="B412" s="1" t="str">
        <f>'1. Master Data'!B412</f>
        <v>NovaTab 610 10in</v>
      </c>
      <c r="C412" s="3" t="str">
        <f>'1. Master Data'!D412</f>
        <v>Central DC</v>
      </c>
      <c r="D412" s="5" t="str">
        <f>'4. ABC XYZ Analysis'!K412</f>
        <v>C</v>
      </c>
      <c r="E412" s="5" t="str">
        <f>'4. ABC XYZ Analysis'!M412</f>
        <v>Y</v>
      </c>
      <c r="F412" s="4">
        <f>'1. Master Data'!F412</f>
        <v>479</v>
      </c>
      <c r="G412" s="3">
        <f>'1. Master Data'!G412</f>
        <v>16</v>
      </c>
      <c r="H412" s="8">
        <f>'3. Demand Forecast'!F412/$T$3</f>
        <v>1.1045454545454545</v>
      </c>
      <c r="I412" s="8">
        <f>'3. Demand Forecast'!G412/SQRT($T$3)</f>
        <v>1.0446835101424912</v>
      </c>
      <c r="J412" s="5">
        <f t="shared" si="36"/>
        <v>7</v>
      </c>
      <c r="K412" s="5">
        <f t="shared" si="37"/>
        <v>25</v>
      </c>
      <c r="L412" s="3">
        <f>IF(F412=0,0,ROUNDUP(SQRT(2*'4. ABC XYZ Analysis'!F412*$U$3/(F412*$V$3)),0))</f>
        <v>19</v>
      </c>
      <c r="M412" s="3">
        <f>'1. Master Data'!I412</f>
        <v>93</v>
      </c>
      <c r="N412" s="3">
        <f t="shared" si="38"/>
        <v>84</v>
      </c>
      <c r="O412" s="5" t="str">
        <f t="shared" si="39"/>
        <v>OK</v>
      </c>
      <c r="P412" s="5" t="str">
        <f t="shared" si="40"/>
        <v>LOW</v>
      </c>
      <c r="Q412" s="3" t="str">
        <f t="shared" si="41"/>
        <v>Reorder Point</v>
      </c>
    </row>
    <row r="413" spans="1:17" ht="15" customHeight="1" x14ac:dyDescent="0.2">
      <c r="A413" s="3" t="str">
        <f>'1. Master Data'!A413</f>
        <v>NT10409</v>
      </c>
      <c r="B413" s="1" t="str">
        <f>'1. Master Data'!B413</f>
        <v>DrawPad 147 12in</v>
      </c>
      <c r="C413" s="3" t="str">
        <f>'1. Master Data'!D413</f>
        <v>Central DC</v>
      </c>
      <c r="D413" s="5" t="str">
        <f>'4. ABC XYZ Analysis'!K413</f>
        <v>C</v>
      </c>
      <c r="E413" s="5" t="str">
        <f>'4. ABC XYZ Analysis'!M413</f>
        <v>Y</v>
      </c>
      <c r="F413" s="4">
        <f>'1. Master Data'!F413</f>
        <v>401</v>
      </c>
      <c r="G413" s="3">
        <f>'1. Master Data'!G413</f>
        <v>35</v>
      </c>
      <c r="H413" s="8">
        <f>'3. Demand Forecast'!F413/$T$3</f>
        <v>0.51363636363636367</v>
      </c>
      <c r="I413" s="8">
        <f>'3. Demand Forecast'!G413/SQRT($T$3)</f>
        <v>0.57564193416014819</v>
      </c>
      <c r="J413" s="5">
        <f t="shared" si="36"/>
        <v>6</v>
      </c>
      <c r="K413" s="5">
        <f t="shared" si="37"/>
        <v>24</v>
      </c>
      <c r="L413" s="3">
        <f>IF(F413=0,0,ROUNDUP(SQRT(2*'4. ABC XYZ Analysis'!F413*$U$3/(F413*$V$3)),0))</f>
        <v>29</v>
      </c>
      <c r="M413" s="3">
        <f>'1. Master Data'!I413</f>
        <v>27</v>
      </c>
      <c r="N413" s="3">
        <f t="shared" si="38"/>
        <v>53</v>
      </c>
      <c r="O413" s="5" t="str">
        <f t="shared" si="39"/>
        <v>ORDER SOON</v>
      </c>
      <c r="P413" s="5" t="str">
        <f t="shared" si="40"/>
        <v>MEDIUM</v>
      </c>
      <c r="Q413" s="3" t="str">
        <f t="shared" si="41"/>
        <v>Reorder Point</v>
      </c>
    </row>
    <row r="414" spans="1:17" ht="15" customHeight="1" x14ac:dyDescent="0.2">
      <c r="A414" s="3" t="str">
        <f>'1. Master Data'!A414</f>
        <v>NT10410</v>
      </c>
      <c r="B414" s="1" t="str">
        <f>'1. Master Data'!B414</f>
        <v>DrawPad 324 12in</v>
      </c>
      <c r="C414" s="3" t="str">
        <f>'1. Master Data'!D414</f>
        <v>Central DC</v>
      </c>
      <c r="D414" s="5" t="str">
        <f>'4. ABC XYZ Analysis'!K414</f>
        <v>C</v>
      </c>
      <c r="E414" s="5" t="str">
        <f>'4. ABC XYZ Analysis'!M414</f>
        <v>Y</v>
      </c>
      <c r="F414" s="4">
        <f>'1. Master Data'!F414</f>
        <v>436</v>
      </c>
      <c r="G414" s="3">
        <f>'1. Master Data'!G414</f>
        <v>16</v>
      </c>
      <c r="H414" s="8">
        <f>'3. Demand Forecast'!F414/$T$3</f>
        <v>4.040909090909091</v>
      </c>
      <c r="I414" s="8">
        <f>'3. Demand Forecast'!G414/SQRT($T$3)</f>
        <v>6.4386616339394349</v>
      </c>
      <c r="J414" s="5">
        <f t="shared" si="36"/>
        <v>43</v>
      </c>
      <c r="K414" s="5">
        <f t="shared" si="37"/>
        <v>108</v>
      </c>
      <c r="L414" s="3">
        <f>IF(F414=0,0,ROUNDUP(SQRT(2*'4. ABC XYZ Analysis'!F414*$U$3/(F414*$V$3)),0))</f>
        <v>11</v>
      </c>
      <c r="M414" s="3">
        <f>'1. Master Data'!I414</f>
        <v>111</v>
      </c>
      <c r="N414" s="3">
        <f t="shared" si="38"/>
        <v>27</v>
      </c>
      <c r="O414" s="5" t="str">
        <f t="shared" si="39"/>
        <v>ORDER SOON</v>
      </c>
      <c r="P414" s="5" t="str">
        <f t="shared" si="40"/>
        <v>MEDIUM</v>
      </c>
      <c r="Q414" s="3" t="str">
        <f t="shared" si="41"/>
        <v>Reorder Point</v>
      </c>
    </row>
    <row r="415" spans="1:17" ht="15" customHeight="1" x14ac:dyDescent="0.2">
      <c r="A415" s="3" t="str">
        <f>'1. Master Data'!A415</f>
        <v>NT10411</v>
      </c>
      <c r="B415" s="1" t="str">
        <f>'1. Master Data'!B415</f>
        <v>NovaTab 602 10in</v>
      </c>
      <c r="C415" s="3" t="str">
        <f>'1. Master Data'!D415</f>
        <v>East DC</v>
      </c>
      <c r="D415" s="5" t="str">
        <f>'4. ABC XYZ Analysis'!K415</f>
        <v>C</v>
      </c>
      <c r="E415" s="5" t="str">
        <f>'4. ABC XYZ Analysis'!M415</f>
        <v>X</v>
      </c>
      <c r="F415" s="4">
        <f>'1. Master Data'!F415</f>
        <v>220</v>
      </c>
      <c r="G415" s="3">
        <f>'1. Master Data'!G415</f>
        <v>21</v>
      </c>
      <c r="H415" s="8">
        <f>'3. Demand Forecast'!F415/$T$3</f>
        <v>4.1045454545454545</v>
      </c>
      <c r="I415" s="8">
        <f>'3. Demand Forecast'!G415/SQRT($T$3)</f>
        <v>5.7350992699659198</v>
      </c>
      <c r="J415" s="5">
        <f t="shared" si="36"/>
        <v>44</v>
      </c>
      <c r="K415" s="5">
        <f t="shared" si="37"/>
        <v>131</v>
      </c>
      <c r="L415" s="3">
        <f>IF(F415=0,0,ROUNDUP(SQRT(2*'4. ABC XYZ Analysis'!F415*$U$3/(F415*$V$3)),0))</f>
        <v>28</v>
      </c>
      <c r="M415" s="3">
        <f>'1. Master Data'!I415</f>
        <v>134</v>
      </c>
      <c r="N415" s="3">
        <f t="shared" si="38"/>
        <v>33</v>
      </c>
      <c r="O415" s="5" t="str">
        <f t="shared" si="39"/>
        <v>ORDER SOON</v>
      </c>
      <c r="P415" s="5" t="str">
        <f t="shared" si="40"/>
        <v>MEDIUM</v>
      </c>
      <c r="Q415" s="3" t="str">
        <f t="shared" si="41"/>
        <v>Reorder Point</v>
      </c>
    </row>
    <row r="416" spans="1:17" ht="15" customHeight="1" x14ac:dyDescent="0.2">
      <c r="A416" s="3" t="str">
        <f>'1. Master Data'!A416</f>
        <v>NT10412</v>
      </c>
      <c r="B416" s="1" t="str">
        <f>'1. Master Data'!B416</f>
        <v>NovaTab 225 Kids</v>
      </c>
      <c r="C416" s="3" t="str">
        <f>'1. Master Data'!D416</f>
        <v>Central DC</v>
      </c>
      <c r="D416" s="5" t="str">
        <f>'4. ABC XYZ Analysis'!K416</f>
        <v>C</v>
      </c>
      <c r="E416" s="5" t="str">
        <f>'4. ABC XYZ Analysis'!M416</f>
        <v>Y</v>
      </c>
      <c r="F416" s="4">
        <f>'1. Master Data'!F416</f>
        <v>230</v>
      </c>
      <c r="G416" s="3">
        <f>'1. Master Data'!G416</f>
        <v>25</v>
      </c>
      <c r="H416" s="8">
        <f>'3. Demand Forecast'!F416/$T$3</f>
        <v>2.709090909090909</v>
      </c>
      <c r="I416" s="8">
        <f>'3. Demand Forecast'!G416/SQRT($T$3)</f>
        <v>3.6670523213164992</v>
      </c>
      <c r="J416" s="5">
        <f t="shared" si="36"/>
        <v>31</v>
      </c>
      <c r="K416" s="5">
        <f t="shared" si="37"/>
        <v>99</v>
      </c>
      <c r="L416" s="3">
        <f>IF(F416=0,0,ROUNDUP(SQRT(2*'4. ABC XYZ Analysis'!F416*$U$3/(F416*$V$3)),0))</f>
        <v>19</v>
      </c>
      <c r="M416" s="3">
        <f>'1. Master Data'!I416</f>
        <v>102</v>
      </c>
      <c r="N416" s="3">
        <f t="shared" si="38"/>
        <v>38</v>
      </c>
      <c r="O416" s="5" t="str">
        <f t="shared" si="39"/>
        <v>ORDER SOON</v>
      </c>
      <c r="P416" s="5" t="str">
        <f t="shared" si="40"/>
        <v>MEDIUM</v>
      </c>
      <c r="Q416" s="3" t="str">
        <f t="shared" si="41"/>
        <v>Reorder Point</v>
      </c>
    </row>
    <row r="417" spans="1:17" ht="15" customHeight="1" x14ac:dyDescent="0.2">
      <c r="A417" s="3" t="str">
        <f>'1. Master Data'!A417</f>
        <v>NT10413</v>
      </c>
      <c r="B417" s="1" t="str">
        <f>'1. Master Data'!B417</f>
        <v>NovaTab 817 Kids</v>
      </c>
      <c r="C417" s="3" t="str">
        <f>'1. Master Data'!D417</f>
        <v>Central DC</v>
      </c>
      <c r="D417" s="5" t="str">
        <f>'4. ABC XYZ Analysis'!K417</f>
        <v>C</v>
      </c>
      <c r="E417" s="5" t="str">
        <f>'4. ABC XYZ Analysis'!M417</f>
        <v>X</v>
      </c>
      <c r="F417" s="4">
        <f>'1. Master Data'!F417</f>
        <v>216</v>
      </c>
      <c r="G417" s="3">
        <f>'1. Master Data'!G417</f>
        <v>35</v>
      </c>
      <c r="H417" s="8">
        <f>'3. Demand Forecast'!F417/$T$3</f>
        <v>0.74090909090909096</v>
      </c>
      <c r="I417" s="8">
        <f>'3. Demand Forecast'!G417/SQRT($T$3)</f>
        <v>0.89544300869356386</v>
      </c>
      <c r="J417" s="5">
        <f t="shared" si="36"/>
        <v>9</v>
      </c>
      <c r="K417" s="5">
        <f t="shared" si="37"/>
        <v>35</v>
      </c>
      <c r="L417" s="3">
        <f>IF(F417=0,0,ROUNDUP(SQRT(2*'4. ABC XYZ Analysis'!F417*$U$3/(F417*$V$3)),0))</f>
        <v>94</v>
      </c>
      <c r="M417" s="3">
        <f>'1. Master Data'!I417</f>
        <v>38</v>
      </c>
      <c r="N417" s="3">
        <f t="shared" si="38"/>
        <v>51</v>
      </c>
      <c r="O417" s="5" t="str">
        <f t="shared" si="39"/>
        <v>ORDER SOON</v>
      </c>
      <c r="P417" s="5" t="str">
        <f t="shared" si="40"/>
        <v>MEDIUM</v>
      </c>
      <c r="Q417" s="3" t="str">
        <f t="shared" si="41"/>
        <v>Reorder Point</v>
      </c>
    </row>
    <row r="418" spans="1:17" ht="15" customHeight="1" x14ac:dyDescent="0.2">
      <c r="A418" s="3" t="str">
        <f>'1. Master Data'!A418</f>
        <v>NT10414</v>
      </c>
      <c r="B418" s="1" t="str">
        <f>'1. Master Data'!B418</f>
        <v>NovaTab 269 10in</v>
      </c>
      <c r="C418" s="3" t="str">
        <f>'1. Master Data'!D418</f>
        <v>Central DC</v>
      </c>
      <c r="D418" s="5" t="str">
        <f>'4. ABC XYZ Analysis'!K418</f>
        <v>C</v>
      </c>
      <c r="E418" s="5" t="str">
        <f>'4. ABC XYZ Analysis'!M418</f>
        <v>X</v>
      </c>
      <c r="F418" s="4">
        <f>'1. Master Data'!F418</f>
        <v>451</v>
      </c>
      <c r="G418" s="3">
        <f>'1. Master Data'!G418</f>
        <v>43</v>
      </c>
      <c r="H418" s="8">
        <f>'3. Demand Forecast'!F418/$T$3</f>
        <v>0.51363636363636367</v>
      </c>
      <c r="I418" s="8">
        <f>'3. Demand Forecast'!G418/SQRT($T$3)</f>
        <v>0.70356236397351435</v>
      </c>
      <c r="J418" s="5">
        <f t="shared" si="36"/>
        <v>8</v>
      </c>
      <c r="K418" s="5">
        <f t="shared" si="37"/>
        <v>31</v>
      </c>
      <c r="L418" s="3">
        <f>IF(F418=0,0,ROUNDUP(SQRT(2*'4. ABC XYZ Analysis'!F418*$U$3/(F418*$V$3)),0))</f>
        <v>43</v>
      </c>
      <c r="M418" s="3">
        <f>'1. Master Data'!I418</f>
        <v>33</v>
      </c>
      <c r="N418" s="3">
        <f t="shared" si="38"/>
        <v>64</v>
      </c>
      <c r="O418" s="5" t="str">
        <f t="shared" si="39"/>
        <v>ORDER SOON</v>
      </c>
      <c r="P418" s="5" t="str">
        <f t="shared" si="40"/>
        <v>MEDIUM</v>
      </c>
      <c r="Q418" s="3" t="str">
        <f t="shared" si="41"/>
        <v>Reorder Point</v>
      </c>
    </row>
    <row r="419" spans="1:17" ht="15" customHeight="1" x14ac:dyDescent="0.2">
      <c r="A419" s="3" t="str">
        <f>'1. Master Data'!A419</f>
        <v>NT10415</v>
      </c>
      <c r="B419" s="1" t="str">
        <f>'1. Master Data'!B419</f>
        <v>DrawPad 859 12in</v>
      </c>
      <c r="C419" s="3" t="str">
        <f>'1. Master Data'!D419</f>
        <v>Central DC</v>
      </c>
      <c r="D419" s="5" t="str">
        <f>'4. ABC XYZ Analysis'!K419</f>
        <v>C</v>
      </c>
      <c r="E419" s="5" t="str">
        <f>'4. ABC XYZ Analysis'!M419</f>
        <v>X</v>
      </c>
      <c r="F419" s="4">
        <f>'1. Master Data'!F419</f>
        <v>313</v>
      </c>
      <c r="G419" s="3">
        <f>'1. Master Data'!G419</f>
        <v>38</v>
      </c>
      <c r="H419" s="8">
        <f>'3. Demand Forecast'!F419/$T$3</f>
        <v>0.31363636363636366</v>
      </c>
      <c r="I419" s="8">
        <f>'3. Demand Forecast'!G419/SQRT($T$3)</f>
        <v>1.0446835101424912</v>
      </c>
      <c r="J419" s="5">
        <f t="shared" si="36"/>
        <v>11</v>
      </c>
      <c r="K419" s="5">
        <f t="shared" si="37"/>
        <v>23</v>
      </c>
      <c r="L419" s="3">
        <f>IF(F419=0,0,ROUNDUP(SQRT(2*'4. ABC XYZ Analysis'!F419*$U$3/(F419*$V$3)),0))</f>
        <v>31</v>
      </c>
      <c r="M419" s="3">
        <f>'1. Master Data'!I419</f>
        <v>26</v>
      </c>
      <c r="N419" s="3">
        <f t="shared" si="38"/>
        <v>83</v>
      </c>
      <c r="O419" s="5" t="str">
        <f t="shared" si="39"/>
        <v>ORDER SOON</v>
      </c>
      <c r="P419" s="5" t="str">
        <f t="shared" si="40"/>
        <v>MEDIUM</v>
      </c>
      <c r="Q419" s="3" t="str">
        <f t="shared" si="41"/>
        <v>Reorder Point</v>
      </c>
    </row>
    <row r="420" spans="1:17" ht="15" customHeight="1" x14ac:dyDescent="0.2">
      <c r="A420" s="3" t="str">
        <f>'1. Master Data'!A420</f>
        <v>NT10416</v>
      </c>
      <c r="B420" s="1" t="str">
        <f>'1. Master Data'!B420</f>
        <v>NovaTab 541 Kids</v>
      </c>
      <c r="C420" s="3" t="str">
        <f>'1. Master Data'!D420</f>
        <v>West DC</v>
      </c>
      <c r="D420" s="5" t="str">
        <f>'4. ABC XYZ Analysis'!K420</f>
        <v>C</v>
      </c>
      <c r="E420" s="5" t="str">
        <f>'4. ABC XYZ Analysis'!M420</f>
        <v>Y</v>
      </c>
      <c r="F420" s="4">
        <f>'1. Master Data'!F420</f>
        <v>330</v>
      </c>
      <c r="G420" s="3">
        <f>'1. Master Data'!G420</f>
        <v>45</v>
      </c>
      <c r="H420" s="8">
        <f>'3. Demand Forecast'!F420/$T$3</f>
        <v>1.1454545454545455</v>
      </c>
      <c r="I420" s="8">
        <f>'3. Demand Forecast'!G420/SQRT($T$3)</f>
        <v>1.3431645130403456</v>
      </c>
      <c r="J420" s="5">
        <f t="shared" si="36"/>
        <v>15</v>
      </c>
      <c r="K420" s="5">
        <f t="shared" si="37"/>
        <v>67</v>
      </c>
      <c r="L420" s="3">
        <f>IF(F420=0,0,ROUNDUP(SQRT(2*'4. ABC XYZ Analysis'!F420*$U$3/(F420*$V$3)),0))</f>
        <v>16</v>
      </c>
      <c r="M420" s="3">
        <f>'1. Master Data'!I420</f>
        <v>70</v>
      </c>
      <c r="N420" s="3">
        <f t="shared" si="38"/>
        <v>61</v>
      </c>
      <c r="O420" s="5" t="str">
        <f t="shared" si="39"/>
        <v>ORDER SOON</v>
      </c>
      <c r="P420" s="5" t="str">
        <f t="shared" si="40"/>
        <v>MEDIUM</v>
      </c>
      <c r="Q420" s="3" t="str">
        <f t="shared" si="41"/>
        <v>Reorder Point</v>
      </c>
    </row>
    <row r="421" spans="1:17" ht="15" customHeight="1" x14ac:dyDescent="0.2">
      <c r="A421" s="3" t="str">
        <f>'1. Master Data'!A421</f>
        <v>NT10417</v>
      </c>
      <c r="B421" s="1" t="str">
        <f>'1. Master Data'!B421</f>
        <v>DrawPad 569 12in</v>
      </c>
      <c r="C421" s="3" t="str">
        <f>'1. Master Data'!D421</f>
        <v>West DC</v>
      </c>
      <c r="D421" s="5" t="str">
        <f>'4. ABC XYZ Analysis'!K421</f>
        <v>C</v>
      </c>
      <c r="E421" s="5" t="str">
        <f>'4. ABC XYZ Analysis'!M421</f>
        <v>Y</v>
      </c>
      <c r="F421" s="4">
        <f>'1. Master Data'!F421</f>
        <v>226</v>
      </c>
      <c r="G421" s="3">
        <f>'1. Master Data'!G421</f>
        <v>36</v>
      </c>
      <c r="H421" s="8">
        <f>'3. Demand Forecast'!F421/$T$3</f>
        <v>2.7181818181818183</v>
      </c>
      <c r="I421" s="8">
        <f>'3. Demand Forecast'!G421/SQRT($T$3)</f>
        <v>3.5817720347742554</v>
      </c>
      <c r="J421" s="5">
        <f t="shared" si="36"/>
        <v>36</v>
      </c>
      <c r="K421" s="5">
        <f t="shared" si="37"/>
        <v>134</v>
      </c>
      <c r="L421" s="3">
        <f>IF(F421=0,0,ROUNDUP(SQRT(2*'4. ABC XYZ Analysis'!F421*$U$3/(F421*$V$3)),0))</f>
        <v>33</v>
      </c>
      <c r="M421" s="3">
        <f>'1. Master Data'!I421</f>
        <v>137</v>
      </c>
      <c r="N421" s="3">
        <f t="shared" si="38"/>
        <v>50</v>
      </c>
      <c r="O421" s="5" t="str">
        <f t="shared" si="39"/>
        <v>ORDER SOON</v>
      </c>
      <c r="P421" s="5" t="str">
        <f t="shared" si="40"/>
        <v>MEDIUM</v>
      </c>
      <c r="Q421" s="3" t="str">
        <f t="shared" si="41"/>
        <v>Reorder Point</v>
      </c>
    </row>
    <row r="422" spans="1:17" ht="15" customHeight="1" x14ac:dyDescent="0.2">
      <c r="A422" s="3" t="str">
        <f>'1. Master Data'!A422</f>
        <v>NT10418</v>
      </c>
      <c r="B422" s="1" t="str">
        <f>'1. Master Data'!B422</f>
        <v>NovaTab 516 10in</v>
      </c>
      <c r="C422" s="3" t="str">
        <f>'1. Master Data'!D422</f>
        <v>Central DC</v>
      </c>
      <c r="D422" s="5" t="str">
        <f>'4. ABC XYZ Analysis'!K422</f>
        <v>C</v>
      </c>
      <c r="E422" s="5" t="str">
        <f>'4. ABC XYZ Analysis'!M422</f>
        <v>Y</v>
      </c>
      <c r="F422" s="4">
        <f>'1. Master Data'!F422</f>
        <v>293</v>
      </c>
      <c r="G422" s="3">
        <f>'1. Master Data'!G422</f>
        <v>20</v>
      </c>
      <c r="H422" s="8">
        <f>'3. Demand Forecast'!F422/$T$3</f>
        <v>0.86818181818181828</v>
      </c>
      <c r="I422" s="8">
        <f>'3. Demand Forecast'!G422/SQRT($T$3)</f>
        <v>1.3218444414047847</v>
      </c>
      <c r="J422" s="5">
        <f t="shared" si="36"/>
        <v>10</v>
      </c>
      <c r="K422" s="5">
        <f t="shared" si="37"/>
        <v>28</v>
      </c>
      <c r="L422" s="3">
        <f>IF(F422=0,0,ROUNDUP(SQRT(2*'4. ABC XYZ Analysis'!F422*$U$3/(F422*$V$3)),0))</f>
        <v>17</v>
      </c>
      <c r="M422" s="3">
        <f>'1. Master Data'!I422</f>
        <v>31</v>
      </c>
      <c r="N422" s="3">
        <f t="shared" si="38"/>
        <v>36</v>
      </c>
      <c r="O422" s="5" t="str">
        <f t="shared" si="39"/>
        <v>ORDER SOON</v>
      </c>
      <c r="P422" s="5" t="str">
        <f t="shared" si="40"/>
        <v>MEDIUM</v>
      </c>
      <c r="Q422" s="3" t="str">
        <f t="shared" si="41"/>
        <v>Reorder Point</v>
      </c>
    </row>
    <row r="423" spans="1:17" ht="15" customHeight="1" x14ac:dyDescent="0.2">
      <c r="A423" s="3" t="str">
        <f>'1. Master Data'!A423</f>
        <v>NT10419</v>
      </c>
      <c r="B423" s="1" t="str">
        <f>'1. Master Data'!B423</f>
        <v>NovaTab 191 Kids</v>
      </c>
      <c r="C423" s="3" t="str">
        <f>'1. Master Data'!D423</f>
        <v>West DC</v>
      </c>
      <c r="D423" s="5" t="str">
        <f>'4. ABC XYZ Analysis'!K423</f>
        <v>C</v>
      </c>
      <c r="E423" s="5" t="str">
        <f>'4. ABC XYZ Analysis'!M423</f>
        <v>X</v>
      </c>
      <c r="F423" s="4">
        <f>'1. Master Data'!F423</f>
        <v>234</v>
      </c>
      <c r="G423" s="3">
        <f>'1. Master Data'!G423</f>
        <v>14</v>
      </c>
      <c r="H423" s="8">
        <f>'3. Demand Forecast'!F423/$T$3</f>
        <v>1.65</v>
      </c>
      <c r="I423" s="8">
        <f>'3. Demand Forecast'!G423/SQRT($T$3)</f>
        <v>1.8761663039293719</v>
      </c>
      <c r="J423" s="5">
        <f t="shared" si="36"/>
        <v>12</v>
      </c>
      <c r="K423" s="5">
        <f t="shared" si="37"/>
        <v>36</v>
      </c>
      <c r="L423" s="3">
        <f>IF(F423=0,0,ROUNDUP(SQRT(2*'4. ABC XYZ Analysis'!F423*$U$3/(F423*$V$3)),0))</f>
        <v>108</v>
      </c>
      <c r="M423" s="3">
        <f>'1. Master Data'!I423</f>
        <v>39</v>
      </c>
      <c r="N423" s="3">
        <f t="shared" si="38"/>
        <v>24</v>
      </c>
      <c r="O423" s="5" t="str">
        <f t="shared" si="39"/>
        <v>ORDER SOON</v>
      </c>
      <c r="P423" s="5" t="str">
        <f t="shared" si="40"/>
        <v>MEDIUM</v>
      </c>
      <c r="Q423" s="3" t="str">
        <f t="shared" si="41"/>
        <v>Reorder Point</v>
      </c>
    </row>
    <row r="424" spans="1:17" ht="15" customHeight="1" x14ac:dyDescent="0.2">
      <c r="A424" s="3" t="str">
        <f>'1. Master Data'!A424</f>
        <v>NT10420</v>
      </c>
      <c r="B424" s="1" t="str">
        <f>'1. Master Data'!B424</f>
        <v>DrawPad 714 12in</v>
      </c>
      <c r="C424" s="3" t="str">
        <f>'1. Master Data'!D424</f>
        <v>East DC</v>
      </c>
      <c r="D424" s="5" t="str">
        <f>'4. ABC XYZ Analysis'!K424</f>
        <v>C</v>
      </c>
      <c r="E424" s="5" t="str">
        <f>'4. ABC XYZ Analysis'!M424</f>
        <v>Y</v>
      </c>
      <c r="F424" s="4">
        <f>'1. Master Data'!F424</f>
        <v>219</v>
      </c>
      <c r="G424" s="3">
        <f>'1. Master Data'!G424</f>
        <v>19</v>
      </c>
      <c r="H424" s="8">
        <f>'3. Demand Forecast'!F424/$T$3</f>
        <v>2.5818181818181816</v>
      </c>
      <c r="I424" s="8">
        <f>'3. Demand Forecast'!G424/SQRT($T$3)</f>
        <v>2.8995297424363016</v>
      </c>
      <c r="J424" s="5">
        <f t="shared" si="36"/>
        <v>21</v>
      </c>
      <c r="K424" s="5">
        <f t="shared" si="37"/>
        <v>71</v>
      </c>
      <c r="L424" s="3">
        <f>IF(F424=0,0,ROUNDUP(SQRT(2*'4. ABC XYZ Analysis'!F424*$U$3/(F424*$V$3)),0))</f>
        <v>15</v>
      </c>
      <c r="M424" s="3">
        <f>'1. Master Data'!I424</f>
        <v>74</v>
      </c>
      <c r="N424" s="3">
        <f t="shared" si="38"/>
        <v>29</v>
      </c>
      <c r="O424" s="5" t="str">
        <f t="shared" si="39"/>
        <v>ORDER SOON</v>
      </c>
      <c r="P424" s="5" t="str">
        <f t="shared" si="40"/>
        <v>MEDIUM</v>
      </c>
      <c r="Q424" s="3" t="str">
        <f t="shared" si="41"/>
        <v>Reorder Point</v>
      </c>
    </row>
    <row r="425" spans="1:17" ht="15" customHeight="1" x14ac:dyDescent="0.2">
      <c r="A425" s="3" t="str">
        <f>'1. Master Data'!A425</f>
        <v>NT10421</v>
      </c>
      <c r="B425" s="1" t="str">
        <f>'1. Master Data'!B425</f>
        <v>NovaTab 586 10in</v>
      </c>
      <c r="C425" s="3" t="str">
        <f>'1. Master Data'!D425</f>
        <v>East DC</v>
      </c>
      <c r="D425" s="5" t="str">
        <f>'4. ABC XYZ Analysis'!K425</f>
        <v>C</v>
      </c>
      <c r="E425" s="5" t="str">
        <f>'4. ABC XYZ Analysis'!M425</f>
        <v>Z</v>
      </c>
      <c r="F425" s="4">
        <f>'1. Master Data'!F425</f>
        <v>289</v>
      </c>
      <c r="G425" s="3">
        <f>'1. Master Data'!G425</f>
        <v>22</v>
      </c>
      <c r="H425" s="8">
        <f>'3. Demand Forecast'!F425/$T$3</f>
        <v>0.97727272727272729</v>
      </c>
      <c r="I425" s="8">
        <f>'3. Demand Forecast'!G425/SQRT($T$3)</f>
        <v>1.3644845846759068</v>
      </c>
      <c r="J425" s="5">
        <f t="shared" si="36"/>
        <v>11</v>
      </c>
      <c r="K425" s="5">
        <f t="shared" si="37"/>
        <v>33</v>
      </c>
      <c r="L425" s="3">
        <f>IF(F425=0,0,ROUNDUP(SQRT(2*'4. ABC XYZ Analysis'!F425*$U$3/(F425*$V$3)),0))</f>
        <v>32</v>
      </c>
      <c r="M425" s="3">
        <f>'1. Master Data'!I425</f>
        <v>36</v>
      </c>
      <c r="N425" s="3">
        <f t="shared" si="38"/>
        <v>37</v>
      </c>
      <c r="O425" s="5" t="str">
        <f t="shared" si="39"/>
        <v>ORDER SOON</v>
      </c>
      <c r="P425" s="5" t="str">
        <f t="shared" si="40"/>
        <v>MEDIUM</v>
      </c>
      <c r="Q425" s="3" t="str">
        <f t="shared" si="41"/>
        <v>Min Max</v>
      </c>
    </row>
    <row r="426" spans="1:17" ht="15" customHeight="1" x14ac:dyDescent="0.2">
      <c r="A426" s="3" t="str">
        <f>'1. Master Data'!A426</f>
        <v>NT10422</v>
      </c>
      <c r="B426" s="1" t="str">
        <f>'1. Master Data'!B426</f>
        <v>NovaTab 444 Kids</v>
      </c>
      <c r="C426" s="3" t="str">
        <f>'1. Master Data'!D426</f>
        <v>West DC</v>
      </c>
      <c r="D426" s="5" t="str">
        <f>'4. ABC XYZ Analysis'!K426</f>
        <v>C</v>
      </c>
      <c r="E426" s="5" t="str">
        <f>'4. ABC XYZ Analysis'!M426</f>
        <v>Z</v>
      </c>
      <c r="F426" s="4">
        <f>'1. Master Data'!F426</f>
        <v>141</v>
      </c>
      <c r="G426" s="3">
        <f>'1. Master Data'!G426</f>
        <v>20</v>
      </c>
      <c r="H426" s="8">
        <f>'3. Demand Forecast'!F426/$T$3</f>
        <v>9.9409090909090896</v>
      </c>
      <c r="I426" s="8">
        <f>'3. Demand Forecast'!G426/SQRT($T$3)</f>
        <v>13.026563769327797</v>
      </c>
      <c r="J426" s="5">
        <f t="shared" si="36"/>
        <v>97</v>
      </c>
      <c r="K426" s="5">
        <f t="shared" si="37"/>
        <v>296</v>
      </c>
      <c r="L426" s="3">
        <f>IF(F426=0,0,ROUNDUP(SQRT(2*'4. ABC XYZ Analysis'!F426*$U$3/(F426*$V$3)),0))</f>
        <v>9</v>
      </c>
      <c r="M426" s="3">
        <f>'1. Master Data'!I426</f>
        <v>299</v>
      </c>
      <c r="N426" s="3">
        <f t="shared" si="38"/>
        <v>30</v>
      </c>
      <c r="O426" s="5" t="str">
        <f t="shared" si="39"/>
        <v>ORDER SOON</v>
      </c>
      <c r="P426" s="5" t="str">
        <f t="shared" si="40"/>
        <v>MEDIUM</v>
      </c>
      <c r="Q426" s="3" t="str">
        <f t="shared" si="41"/>
        <v>Min Max</v>
      </c>
    </row>
    <row r="427" spans="1:17" ht="15" customHeight="1" x14ac:dyDescent="0.2">
      <c r="A427" s="3" t="str">
        <f>'1. Master Data'!A427</f>
        <v>NT10423</v>
      </c>
      <c r="B427" s="1" t="str">
        <f>'1. Master Data'!B427</f>
        <v>NovaTab 987 Kids</v>
      </c>
      <c r="C427" s="3" t="str">
        <f>'1. Master Data'!D427</f>
        <v>West DC</v>
      </c>
      <c r="D427" s="5" t="str">
        <f>'4. ABC XYZ Analysis'!K427</f>
        <v>C</v>
      </c>
      <c r="E427" s="5" t="str">
        <f>'4. ABC XYZ Analysis'!M427</f>
        <v>Y</v>
      </c>
      <c r="F427" s="4">
        <f>'1. Master Data'!F427</f>
        <v>228</v>
      </c>
      <c r="G427" s="3">
        <f>'1. Master Data'!G427</f>
        <v>37</v>
      </c>
      <c r="H427" s="8">
        <f>'3. Demand Forecast'!F427/$T$3</f>
        <v>7.8590909090909093</v>
      </c>
      <c r="I427" s="8">
        <f>'3. Demand Forecast'!G427/SQRT($T$3)</f>
        <v>11.47019853993184</v>
      </c>
      <c r="J427" s="5">
        <f t="shared" si="36"/>
        <v>116</v>
      </c>
      <c r="K427" s="5">
        <f t="shared" si="37"/>
        <v>407</v>
      </c>
      <c r="L427" s="3">
        <f>IF(F427=0,0,ROUNDUP(SQRT(2*'4. ABC XYZ Analysis'!F427*$U$3/(F427*$V$3)),0))</f>
        <v>11</v>
      </c>
      <c r="M427" s="3">
        <f>'1. Master Data'!I427</f>
        <v>410</v>
      </c>
      <c r="N427" s="3">
        <f t="shared" si="38"/>
        <v>52</v>
      </c>
      <c r="O427" s="5" t="str">
        <f t="shared" si="39"/>
        <v>ORDER SOON</v>
      </c>
      <c r="P427" s="5" t="str">
        <f t="shared" si="40"/>
        <v>MEDIUM</v>
      </c>
      <c r="Q427" s="3" t="str">
        <f t="shared" si="41"/>
        <v>Reorder Point</v>
      </c>
    </row>
    <row r="428" spans="1:17" ht="15" customHeight="1" x14ac:dyDescent="0.2">
      <c r="A428" s="3" t="str">
        <f>'1. Master Data'!A428</f>
        <v>NT10424</v>
      </c>
      <c r="B428" s="1" t="str">
        <f>'1. Master Data'!B428</f>
        <v>NovaTab 978 Kids</v>
      </c>
      <c r="C428" s="3" t="str">
        <f>'1. Master Data'!D428</f>
        <v>Central DC</v>
      </c>
      <c r="D428" s="5" t="str">
        <f>'4. ABC XYZ Analysis'!K428</f>
        <v>C</v>
      </c>
      <c r="E428" s="5" t="str">
        <f>'4. ABC XYZ Analysis'!M428</f>
        <v>Y</v>
      </c>
      <c r="F428" s="4">
        <f>'1. Master Data'!F428</f>
        <v>172</v>
      </c>
      <c r="G428" s="3">
        <f>'1. Master Data'!G428</f>
        <v>38</v>
      </c>
      <c r="H428" s="8">
        <f>'3. Demand Forecast'!F428/$T$3</f>
        <v>2.5</v>
      </c>
      <c r="I428" s="8">
        <f>'3. Demand Forecast'!G428/SQRT($T$3)</f>
        <v>4.0294935391210371</v>
      </c>
      <c r="J428" s="5">
        <f t="shared" si="36"/>
        <v>41</v>
      </c>
      <c r="K428" s="5">
        <f t="shared" si="37"/>
        <v>136</v>
      </c>
      <c r="L428" s="3">
        <f>IF(F428=0,0,ROUNDUP(SQRT(2*'4. ABC XYZ Analysis'!F428*$U$3/(F428*$V$3)),0))</f>
        <v>16</v>
      </c>
      <c r="M428" s="3">
        <f>'1. Master Data'!I428</f>
        <v>139</v>
      </c>
      <c r="N428" s="3">
        <f t="shared" si="38"/>
        <v>56</v>
      </c>
      <c r="O428" s="5" t="str">
        <f t="shared" si="39"/>
        <v>ORDER SOON</v>
      </c>
      <c r="P428" s="5" t="str">
        <f t="shared" si="40"/>
        <v>MEDIUM</v>
      </c>
      <c r="Q428" s="3" t="str">
        <f t="shared" si="41"/>
        <v>Reorder Point</v>
      </c>
    </row>
    <row r="429" spans="1:17" ht="15" customHeight="1" x14ac:dyDescent="0.2">
      <c r="A429" s="3" t="str">
        <f>'1. Master Data'!A429</f>
        <v>NT10425</v>
      </c>
      <c r="B429" s="1" t="str">
        <f>'1. Master Data'!B429</f>
        <v>NovaTab 147 10in</v>
      </c>
      <c r="C429" s="3" t="str">
        <f>'1. Master Data'!D429</f>
        <v>Central DC</v>
      </c>
      <c r="D429" s="5" t="str">
        <f>'4. ABC XYZ Analysis'!K429</f>
        <v>C</v>
      </c>
      <c r="E429" s="5" t="str">
        <f>'4. ABC XYZ Analysis'!M429</f>
        <v>Y</v>
      </c>
      <c r="F429" s="4">
        <f>'1. Master Data'!F429</f>
        <v>251</v>
      </c>
      <c r="G429" s="3">
        <f>'1. Master Data'!G429</f>
        <v>16</v>
      </c>
      <c r="H429" s="8">
        <f>'3. Demand Forecast'!F429/$T$3</f>
        <v>2.9454545454545453</v>
      </c>
      <c r="I429" s="8">
        <f>'3. Demand Forecast'!G429/SQRT($T$3)</f>
        <v>4.157413968934403</v>
      </c>
      <c r="J429" s="5">
        <f t="shared" si="36"/>
        <v>28</v>
      </c>
      <c r="K429" s="5">
        <f t="shared" si="37"/>
        <v>76</v>
      </c>
      <c r="L429" s="3">
        <f>IF(F429=0,0,ROUNDUP(SQRT(2*'4. ABC XYZ Analysis'!F429*$U$3/(F429*$V$3)),0))</f>
        <v>29</v>
      </c>
      <c r="M429" s="3">
        <f>'1. Master Data'!I429</f>
        <v>79</v>
      </c>
      <c r="N429" s="3">
        <f t="shared" si="38"/>
        <v>27</v>
      </c>
      <c r="O429" s="5" t="str">
        <f t="shared" si="39"/>
        <v>ORDER SOON</v>
      </c>
      <c r="P429" s="5" t="str">
        <f t="shared" si="40"/>
        <v>MEDIUM</v>
      </c>
      <c r="Q429" s="3" t="str">
        <f t="shared" si="41"/>
        <v>Reorder Point</v>
      </c>
    </row>
    <row r="430" spans="1:17" ht="15" customHeight="1" x14ac:dyDescent="0.2">
      <c r="A430" s="3" t="str">
        <f>'1. Master Data'!A430</f>
        <v>NT10426</v>
      </c>
      <c r="B430" s="1" t="str">
        <f>'1. Master Data'!B430</f>
        <v>NovaTab 641 Kids</v>
      </c>
      <c r="C430" s="3" t="str">
        <f>'1. Master Data'!D430</f>
        <v>West DC</v>
      </c>
      <c r="D430" s="5" t="str">
        <f>'4. ABC XYZ Analysis'!K430</f>
        <v>C</v>
      </c>
      <c r="E430" s="5" t="str">
        <f>'4. ABC XYZ Analysis'!M430</f>
        <v>Y</v>
      </c>
      <c r="F430" s="4">
        <f>'1. Master Data'!F430</f>
        <v>450</v>
      </c>
      <c r="G430" s="3">
        <f>'1. Master Data'!G430</f>
        <v>19</v>
      </c>
      <c r="H430" s="8">
        <f>'3. Demand Forecast'!F430/$T$3</f>
        <v>0.67272727272727273</v>
      </c>
      <c r="I430" s="8">
        <f>'3. Demand Forecast'!G430/SQRT($T$3)</f>
        <v>0.8741229370580027</v>
      </c>
      <c r="J430" s="5">
        <f t="shared" si="36"/>
        <v>7</v>
      </c>
      <c r="K430" s="5">
        <f t="shared" si="37"/>
        <v>20</v>
      </c>
      <c r="L430" s="3">
        <f>IF(F430=0,0,ROUNDUP(SQRT(2*'4. ABC XYZ Analysis'!F430*$U$3/(F430*$V$3)),0))</f>
        <v>12</v>
      </c>
      <c r="M430" s="3">
        <f>'1. Master Data'!I430</f>
        <v>23</v>
      </c>
      <c r="N430" s="3">
        <f t="shared" si="38"/>
        <v>34</v>
      </c>
      <c r="O430" s="5" t="str">
        <f t="shared" si="39"/>
        <v>ORDER SOON</v>
      </c>
      <c r="P430" s="5" t="str">
        <f t="shared" si="40"/>
        <v>MEDIUM</v>
      </c>
      <c r="Q430" s="3" t="str">
        <f t="shared" si="41"/>
        <v>Reorder Point</v>
      </c>
    </row>
    <row r="431" spans="1:17" ht="15" customHeight="1" x14ac:dyDescent="0.2">
      <c r="A431" s="3" t="str">
        <f>'1. Master Data'!A431</f>
        <v>NT10427</v>
      </c>
      <c r="B431" s="1" t="str">
        <f>'1. Master Data'!B431</f>
        <v>DrawPad 240 12in</v>
      </c>
      <c r="C431" s="3" t="str">
        <f>'1. Master Data'!D431</f>
        <v>East DC</v>
      </c>
      <c r="D431" s="5" t="str">
        <f>'4. ABC XYZ Analysis'!K431</f>
        <v>C</v>
      </c>
      <c r="E431" s="5" t="str">
        <f>'4. ABC XYZ Analysis'!M431</f>
        <v>Y</v>
      </c>
      <c r="F431" s="4">
        <f>'1. Master Data'!F431</f>
        <v>429</v>
      </c>
      <c r="G431" s="3">
        <f>'1. Master Data'!G431</f>
        <v>17</v>
      </c>
      <c r="H431" s="8">
        <f>'3. Demand Forecast'!F431/$T$3</f>
        <v>1.0818181818181818</v>
      </c>
      <c r="I431" s="8">
        <f>'3. Demand Forecast'!G431/SQRT($T$3)</f>
        <v>1.4497648712181508</v>
      </c>
      <c r="J431" s="5">
        <f t="shared" si="36"/>
        <v>10</v>
      </c>
      <c r="K431" s="5">
        <f t="shared" si="37"/>
        <v>29</v>
      </c>
      <c r="L431" s="3">
        <f>IF(F431=0,0,ROUNDUP(SQRT(2*'4. ABC XYZ Analysis'!F431*$U$3/(F431*$V$3)),0))</f>
        <v>22</v>
      </c>
      <c r="M431" s="3">
        <f>'1. Master Data'!I431</f>
        <v>89</v>
      </c>
      <c r="N431" s="3">
        <f t="shared" si="38"/>
        <v>82</v>
      </c>
      <c r="O431" s="5" t="str">
        <f t="shared" si="39"/>
        <v>OK</v>
      </c>
      <c r="P431" s="5" t="str">
        <f t="shared" si="40"/>
        <v>LOW</v>
      </c>
      <c r="Q431" s="3" t="str">
        <f t="shared" si="41"/>
        <v>Reorder Point</v>
      </c>
    </row>
    <row r="432" spans="1:17" ht="15" customHeight="1" x14ac:dyDescent="0.2">
      <c r="A432" s="3" t="str">
        <f>'1. Master Data'!A432</f>
        <v>NT10428</v>
      </c>
      <c r="B432" s="1" t="str">
        <f>'1. Master Data'!B432</f>
        <v>DrawPad 284 12in</v>
      </c>
      <c r="C432" s="3" t="str">
        <f>'1. Master Data'!D432</f>
        <v>East DC</v>
      </c>
      <c r="D432" s="5" t="str">
        <f>'4. ABC XYZ Analysis'!K432</f>
        <v>C</v>
      </c>
      <c r="E432" s="5" t="str">
        <f>'4. ABC XYZ Analysis'!M432</f>
        <v>X</v>
      </c>
      <c r="F432" s="4">
        <f>'1. Master Data'!F432</f>
        <v>439</v>
      </c>
      <c r="G432" s="3">
        <f>'1. Master Data'!G432</f>
        <v>41</v>
      </c>
      <c r="H432" s="8">
        <f>'3. Demand Forecast'!F432/$T$3</f>
        <v>8.3818181818181827</v>
      </c>
      <c r="I432" s="8">
        <f>'3. Demand Forecast'!G432/SQRT($T$3)</f>
        <v>10.276274528340423</v>
      </c>
      <c r="J432" s="5">
        <f t="shared" si="36"/>
        <v>109</v>
      </c>
      <c r="K432" s="5">
        <f t="shared" si="37"/>
        <v>453</v>
      </c>
      <c r="L432" s="3">
        <f>IF(F432=0,0,ROUNDUP(SQRT(2*'4. ABC XYZ Analysis'!F432*$U$3/(F432*$V$3)),0))</f>
        <v>30</v>
      </c>
      <c r="M432" s="3">
        <f>'1. Master Data'!I432</f>
        <v>456</v>
      </c>
      <c r="N432" s="3">
        <f t="shared" si="38"/>
        <v>54</v>
      </c>
      <c r="O432" s="5" t="str">
        <f t="shared" si="39"/>
        <v>ORDER SOON</v>
      </c>
      <c r="P432" s="5" t="str">
        <f t="shared" si="40"/>
        <v>MEDIUM</v>
      </c>
      <c r="Q432" s="3" t="str">
        <f t="shared" si="41"/>
        <v>Reorder Point</v>
      </c>
    </row>
    <row r="433" spans="1:17" ht="15" customHeight="1" x14ac:dyDescent="0.2">
      <c r="A433" s="3" t="str">
        <f>'1. Master Data'!A433</f>
        <v>NT10429</v>
      </c>
      <c r="B433" s="1" t="str">
        <f>'1. Master Data'!B433</f>
        <v>DrawPad 171 12in</v>
      </c>
      <c r="C433" s="3" t="str">
        <f>'1. Master Data'!D433</f>
        <v>Central DC</v>
      </c>
      <c r="D433" s="5" t="str">
        <f>'4. ABC XYZ Analysis'!K433</f>
        <v>C</v>
      </c>
      <c r="E433" s="5" t="str">
        <f>'4. ABC XYZ Analysis'!M433</f>
        <v>X</v>
      </c>
      <c r="F433" s="4">
        <f>'1. Master Data'!F433</f>
        <v>125</v>
      </c>
      <c r="G433" s="3">
        <f>'1. Master Data'!G433</f>
        <v>23</v>
      </c>
      <c r="H433" s="8">
        <f>'3. Demand Forecast'!F433/$T$3</f>
        <v>3.3636363636363638</v>
      </c>
      <c r="I433" s="8">
        <f>'3. Demand Forecast'!G433/SQRT($T$3)</f>
        <v>5.1594573358057723</v>
      </c>
      <c r="J433" s="5">
        <f t="shared" si="36"/>
        <v>41</v>
      </c>
      <c r="K433" s="5">
        <f t="shared" si="37"/>
        <v>119</v>
      </c>
      <c r="L433" s="3">
        <f>IF(F433=0,0,ROUNDUP(SQRT(2*'4. ABC XYZ Analysis'!F433*$U$3/(F433*$V$3)),0))</f>
        <v>56</v>
      </c>
      <c r="M433" s="3">
        <f>'1. Master Data'!I433</f>
        <v>122</v>
      </c>
      <c r="N433" s="3">
        <f t="shared" si="38"/>
        <v>36</v>
      </c>
      <c r="O433" s="5" t="str">
        <f t="shared" si="39"/>
        <v>ORDER SOON</v>
      </c>
      <c r="P433" s="5" t="str">
        <f t="shared" si="40"/>
        <v>MEDIUM</v>
      </c>
      <c r="Q433" s="3" t="str">
        <f t="shared" si="41"/>
        <v>Reorder Point</v>
      </c>
    </row>
    <row r="434" spans="1:17" ht="15" customHeight="1" x14ac:dyDescent="0.2">
      <c r="A434" s="3" t="str">
        <f>'1. Master Data'!A434</f>
        <v>NT10430</v>
      </c>
      <c r="B434" s="1" t="str">
        <f>'1. Master Data'!B434</f>
        <v>NovaTab 185 10in</v>
      </c>
      <c r="C434" s="3" t="str">
        <f>'1. Master Data'!D434</f>
        <v>Central DC</v>
      </c>
      <c r="D434" s="5" t="str">
        <f>'4. ABC XYZ Analysis'!K434</f>
        <v>C</v>
      </c>
      <c r="E434" s="5" t="str">
        <f>'4. ABC XYZ Analysis'!M434</f>
        <v>X</v>
      </c>
      <c r="F434" s="4">
        <f>'1. Master Data'!F434</f>
        <v>166</v>
      </c>
      <c r="G434" s="3">
        <f>'1. Master Data'!G434</f>
        <v>16</v>
      </c>
      <c r="H434" s="8">
        <f>'3. Demand Forecast'!F434/$T$3</f>
        <v>1.7545454545454546</v>
      </c>
      <c r="I434" s="8">
        <f>'3. Demand Forecast'!G434/SQRT($T$3)</f>
        <v>2.5797286679028861</v>
      </c>
      <c r="J434" s="5">
        <f t="shared" si="36"/>
        <v>18</v>
      </c>
      <c r="K434" s="5">
        <f t="shared" si="37"/>
        <v>47</v>
      </c>
      <c r="L434" s="3">
        <f>IF(F434=0,0,ROUNDUP(SQRT(2*'4. ABC XYZ Analysis'!F434*$U$3/(F434*$V$3)),0))</f>
        <v>81</v>
      </c>
      <c r="M434" s="3">
        <f>'1. Master Data'!I434</f>
        <v>126</v>
      </c>
      <c r="N434" s="3">
        <f t="shared" si="38"/>
        <v>72</v>
      </c>
      <c r="O434" s="5" t="str">
        <f t="shared" si="39"/>
        <v>OK</v>
      </c>
      <c r="P434" s="5" t="str">
        <f t="shared" si="40"/>
        <v>LOW</v>
      </c>
      <c r="Q434" s="3" t="str">
        <f t="shared" si="41"/>
        <v>Reorder Point</v>
      </c>
    </row>
    <row r="435" spans="1:17" ht="15" customHeight="1" x14ac:dyDescent="0.2">
      <c r="A435" s="3" t="str">
        <f>'1. Master Data'!A435</f>
        <v>NT10431</v>
      </c>
      <c r="B435" s="1" t="str">
        <f>'1. Master Data'!B435</f>
        <v>NovaTab 339 10in</v>
      </c>
      <c r="C435" s="3" t="str">
        <f>'1. Master Data'!D435</f>
        <v>West DC</v>
      </c>
      <c r="D435" s="5" t="str">
        <f>'4. ABC XYZ Analysis'!K435</f>
        <v>C</v>
      </c>
      <c r="E435" s="5" t="str">
        <f>'4. ABC XYZ Analysis'!M435</f>
        <v>Y</v>
      </c>
      <c r="F435" s="4">
        <f>'1. Master Data'!F435</f>
        <v>476</v>
      </c>
      <c r="G435" s="3">
        <f>'1. Master Data'!G435</f>
        <v>17</v>
      </c>
      <c r="H435" s="8">
        <f>'3. Demand Forecast'!F435/$T$3</f>
        <v>1.718181818181818</v>
      </c>
      <c r="I435" s="8">
        <f>'3. Demand Forecast'!G435/SQRT($T$3)</f>
        <v>1.7056057308448833</v>
      </c>
      <c r="J435" s="5">
        <f t="shared" si="36"/>
        <v>12</v>
      </c>
      <c r="K435" s="5">
        <f t="shared" si="37"/>
        <v>42</v>
      </c>
      <c r="L435" s="3">
        <f>IF(F435=0,0,ROUNDUP(SQRT(2*'4. ABC XYZ Analysis'!F435*$U$3/(F435*$V$3)),0))</f>
        <v>21</v>
      </c>
      <c r="M435" s="3">
        <f>'1. Master Data'!I435</f>
        <v>129</v>
      </c>
      <c r="N435" s="3">
        <f t="shared" si="38"/>
        <v>75</v>
      </c>
      <c r="O435" s="5" t="str">
        <f t="shared" si="39"/>
        <v>OK</v>
      </c>
      <c r="P435" s="5" t="str">
        <f t="shared" si="40"/>
        <v>LOW</v>
      </c>
      <c r="Q435" s="3" t="str">
        <f t="shared" si="41"/>
        <v>Reorder Point</v>
      </c>
    </row>
    <row r="436" spans="1:17" ht="15" customHeight="1" x14ac:dyDescent="0.2">
      <c r="A436" s="3" t="str">
        <f>'1. Master Data'!A436</f>
        <v>NT10432</v>
      </c>
      <c r="B436" s="1" t="str">
        <f>'1. Master Data'!B436</f>
        <v>DrawPad 694 12in</v>
      </c>
      <c r="C436" s="3" t="str">
        <f>'1. Master Data'!D436</f>
        <v>Central DC</v>
      </c>
      <c r="D436" s="5" t="str">
        <f>'4. ABC XYZ Analysis'!K436</f>
        <v>C</v>
      </c>
      <c r="E436" s="5" t="str">
        <f>'4. ABC XYZ Analysis'!M436</f>
        <v>X</v>
      </c>
      <c r="F436" s="4">
        <f>'1. Master Data'!F436</f>
        <v>412</v>
      </c>
      <c r="G436" s="3">
        <f>'1. Master Data'!G436</f>
        <v>25</v>
      </c>
      <c r="H436" s="8">
        <f>'3. Demand Forecast'!F436/$T$3</f>
        <v>1.0590909090909091</v>
      </c>
      <c r="I436" s="8">
        <f>'3. Demand Forecast'!G436/SQRT($T$3)</f>
        <v>1.5137250861248339</v>
      </c>
      <c r="J436" s="5">
        <f t="shared" si="36"/>
        <v>13</v>
      </c>
      <c r="K436" s="5">
        <f t="shared" si="37"/>
        <v>40</v>
      </c>
      <c r="L436" s="3">
        <f>IF(F436=0,0,ROUNDUP(SQRT(2*'4. ABC XYZ Analysis'!F436*$U$3/(F436*$V$3)),0))</f>
        <v>46</v>
      </c>
      <c r="M436" s="3">
        <f>'1. Master Data'!I436</f>
        <v>43</v>
      </c>
      <c r="N436" s="3">
        <f t="shared" si="38"/>
        <v>41</v>
      </c>
      <c r="O436" s="5" t="str">
        <f t="shared" si="39"/>
        <v>ORDER SOON</v>
      </c>
      <c r="P436" s="5" t="str">
        <f t="shared" si="40"/>
        <v>MEDIUM</v>
      </c>
      <c r="Q436" s="3" t="str">
        <f t="shared" si="41"/>
        <v>Reorder Point</v>
      </c>
    </row>
    <row r="437" spans="1:17" ht="15" customHeight="1" x14ac:dyDescent="0.2">
      <c r="A437" s="3" t="str">
        <f>'1. Master Data'!A437</f>
        <v>NT10433</v>
      </c>
      <c r="B437" s="1" t="str">
        <f>'1. Master Data'!B437</f>
        <v>NovaTab 132 10in</v>
      </c>
      <c r="C437" s="3" t="str">
        <f>'1. Master Data'!D437</f>
        <v>West DC</v>
      </c>
      <c r="D437" s="5" t="str">
        <f>'4. ABC XYZ Analysis'!K437</f>
        <v>C</v>
      </c>
      <c r="E437" s="5" t="str">
        <f>'4. ABC XYZ Analysis'!M437</f>
        <v>X</v>
      </c>
      <c r="F437" s="4">
        <f>'1. Master Data'!F437</f>
        <v>263</v>
      </c>
      <c r="G437" s="3">
        <f>'1. Master Data'!G437</f>
        <v>19</v>
      </c>
      <c r="H437" s="8">
        <f>'3. Demand Forecast'!F437/$T$3</f>
        <v>0.21818181818181817</v>
      </c>
      <c r="I437" s="8">
        <f>'3. Demand Forecast'!G437/SQRT($T$3)</f>
        <v>0.70356236397351435</v>
      </c>
      <c r="J437" s="5">
        <f t="shared" si="36"/>
        <v>6</v>
      </c>
      <c r="K437" s="5">
        <f t="shared" si="37"/>
        <v>11</v>
      </c>
      <c r="L437" s="3">
        <f>IF(F437=0,0,ROUNDUP(SQRT(2*'4. ABC XYZ Analysis'!F437*$U$3/(F437*$V$3)),0))</f>
        <v>66</v>
      </c>
      <c r="M437" s="3">
        <f>'1. Master Data'!I437</f>
        <v>36</v>
      </c>
      <c r="N437" s="3">
        <f t="shared" si="38"/>
        <v>165</v>
      </c>
      <c r="O437" s="5" t="str">
        <f t="shared" si="39"/>
        <v>OK</v>
      </c>
      <c r="P437" s="5" t="str">
        <f t="shared" si="40"/>
        <v>LOW</v>
      </c>
      <c r="Q437" s="3" t="str">
        <f t="shared" si="41"/>
        <v>Reorder Point</v>
      </c>
    </row>
    <row r="438" spans="1:17" ht="15" customHeight="1" x14ac:dyDescent="0.2">
      <c r="A438" s="3" t="str">
        <f>'1. Master Data'!A438</f>
        <v>NT10434</v>
      </c>
      <c r="B438" s="1" t="str">
        <f>'1. Master Data'!B438</f>
        <v>NovaTab 373 Kids</v>
      </c>
      <c r="C438" s="3" t="str">
        <f>'1. Master Data'!D438</f>
        <v>East DC</v>
      </c>
      <c r="D438" s="5" t="str">
        <f>'4. ABC XYZ Analysis'!K438</f>
        <v>C</v>
      </c>
      <c r="E438" s="5" t="str">
        <f>'4. ABC XYZ Analysis'!M438</f>
        <v>Y</v>
      </c>
      <c r="F438" s="4">
        <f>'1. Master Data'!F438</f>
        <v>232</v>
      </c>
      <c r="G438" s="3">
        <f>'1. Master Data'!G438</f>
        <v>37</v>
      </c>
      <c r="H438" s="8">
        <f>'3. Demand Forecast'!F438/$T$3</f>
        <v>3.0636363636363639</v>
      </c>
      <c r="I438" s="8">
        <f>'3. Demand Forecast'!G438/SQRT($T$3)</f>
        <v>4.4132548285611355</v>
      </c>
      <c r="J438" s="5">
        <f t="shared" si="36"/>
        <v>45</v>
      </c>
      <c r="K438" s="5">
        <f t="shared" si="37"/>
        <v>159</v>
      </c>
      <c r="L438" s="3">
        <f>IF(F438=0,0,ROUNDUP(SQRT(2*'4. ABC XYZ Analysis'!F438*$U$3/(F438*$V$3)),0))</f>
        <v>32</v>
      </c>
      <c r="M438" s="3">
        <f>'1. Master Data'!I438</f>
        <v>162</v>
      </c>
      <c r="N438" s="3">
        <f t="shared" si="38"/>
        <v>53</v>
      </c>
      <c r="O438" s="5" t="str">
        <f t="shared" si="39"/>
        <v>ORDER SOON</v>
      </c>
      <c r="P438" s="5" t="str">
        <f t="shared" si="40"/>
        <v>MEDIUM</v>
      </c>
      <c r="Q438" s="3" t="str">
        <f t="shared" si="41"/>
        <v>Reorder Point</v>
      </c>
    </row>
    <row r="439" spans="1:17" ht="15" customHeight="1" x14ac:dyDescent="0.2">
      <c r="A439" s="3" t="str">
        <f>'1. Master Data'!A439</f>
        <v>NT10435</v>
      </c>
      <c r="B439" s="1" t="str">
        <f>'1. Master Data'!B439</f>
        <v>NovaTab 789 Kids</v>
      </c>
      <c r="C439" s="3" t="str">
        <f>'1. Master Data'!D439</f>
        <v>West DC</v>
      </c>
      <c r="D439" s="5" t="str">
        <f>'4. ABC XYZ Analysis'!K439</f>
        <v>C</v>
      </c>
      <c r="E439" s="5" t="str">
        <f>'4. ABC XYZ Analysis'!M439</f>
        <v>Y</v>
      </c>
      <c r="F439" s="4">
        <f>'1. Master Data'!F439</f>
        <v>388</v>
      </c>
      <c r="G439" s="3">
        <f>'1. Master Data'!G439</f>
        <v>40</v>
      </c>
      <c r="H439" s="8">
        <f>'3. Demand Forecast'!F439/$T$3</f>
        <v>1.4772727272727273</v>
      </c>
      <c r="I439" s="8">
        <f>'3. Demand Forecast'!G439/SQRT($T$3)</f>
        <v>1.9827666621071771</v>
      </c>
      <c r="J439" s="5">
        <f t="shared" si="36"/>
        <v>21</v>
      </c>
      <c r="K439" s="5">
        <f t="shared" si="37"/>
        <v>81</v>
      </c>
      <c r="L439" s="3">
        <f>IF(F439=0,0,ROUNDUP(SQRT(2*'4. ABC XYZ Analysis'!F439*$U$3/(F439*$V$3)),0))</f>
        <v>8</v>
      </c>
      <c r="M439" s="3">
        <f>'1. Master Data'!I439</f>
        <v>84</v>
      </c>
      <c r="N439" s="3">
        <f t="shared" si="38"/>
        <v>57</v>
      </c>
      <c r="O439" s="5" t="str">
        <f t="shared" si="39"/>
        <v>ORDER SOON</v>
      </c>
      <c r="P439" s="5" t="str">
        <f t="shared" si="40"/>
        <v>MEDIUM</v>
      </c>
      <c r="Q439" s="3" t="str">
        <f t="shared" si="41"/>
        <v>Reorder Point</v>
      </c>
    </row>
    <row r="440" spans="1:17" ht="15" customHeight="1" x14ac:dyDescent="0.2">
      <c r="A440" s="3" t="str">
        <f>'1. Master Data'!A440</f>
        <v>NT10436</v>
      </c>
      <c r="B440" s="1" t="str">
        <f>'1. Master Data'!B440</f>
        <v>DrawPad 834 12in</v>
      </c>
      <c r="C440" s="3" t="str">
        <f>'1. Master Data'!D440</f>
        <v>East DC</v>
      </c>
      <c r="D440" s="5" t="str">
        <f>'4. ABC XYZ Analysis'!K440</f>
        <v>C</v>
      </c>
      <c r="E440" s="5" t="str">
        <f>'4. ABC XYZ Analysis'!M440</f>
        <v>Y</v>
      </c>
      <c r="F440" s="4">
        <f>'1. Master Data'!F440</f>
        <v>125</v>
      </c>
      <c r="G440" s="3">
        <f>'1. Master Data'!G440</f>
        <v>26</v>
      </c>
      <c r="H440" s="8">
        <f>'3. Demand Forecast'!F440/$T$3</f>
        <v>1.9</v>
      </c>
      <c r="I440" s="8">
        <f>'3. Demand Forecast'!G440/SQRT($T$3)</f>
        <v>2.8355695275296187</v>
      </c>
      <c r="J440" s="5">
        <f t="shared" si="36"/>
        <v>24</v>
      </c>
      <c r="K440" s="5">
        <f t="shared" si="37"/>
        <v>74</v>
      </c>
      <c r="L440" s="3">
        <f>IF(F440=0,0,ROUNDUP(SQRT(2*'4. ABC XYZ Analysis'!F440*$U$3/(F440*$V$3)),0))</f>
        <v>46</v>
      </c>
      <c r="M440" s="3">
        <f>'1. Master Data'!I440</f>
        <v>77</v>
      </c>
      <c r="N440" s="3">
        <f t="shared" si="38"/>
        <v>41</v>
      </c>
      <c r="O440" s="5" t="str">
        <f t="shared" si="39"/>
        <v>ORDER SOON</v>
      </c>
      <c r="P440" s="5" t="str">
        <f t="shared" si="40"/>
        <v>MEDIUM</v>
      </c>
      <c r="Q440" s="3" t="str">
        <f t="shared" si="41"/>
        <v>Reorder Point</v>
      </c>
    </row>
    <row r="441" spans="1:17" ht="15" customHeight="1" x14ac:dyDescent="0.2">
      <c r="A441" s="3" t="str">
        <f>'1. Master Data'!A441</f>
        <v>NT10437</v>
      </c>
      <c r="B441" s="1" t="str">
        <f>'1. Master Data'!B441</f>
        <v>NovaTab 346 Kids</v>
      </c>
      <c r="C441" s="3" t="str">
        <f>'1. Master Data'!D441</f>
        <v>East DC</v>
      </c>
      <c r="D441" s="5" t="str">
        <f>'4. ABC XYZ Analysis'!K441</f>
        <v>C</v>
      </c>
      <c r="E441" s="5" t="str">
        <f>'4. ABC XYZ Analysis'!M441</f>
        <v>Y</v>
      </c>
      <c r="F441" s="4">
        <f>'1. Master Data'!F441</f>
        <v>247</v>
      </c>
      <c r="G441" s="3">
        <f>'1. Master Data'!G441</f>
        <v>23</v>
      </c>
      <c r="H441" s="8">
        <f>'3. Demand Forecast'!F441/$T$3</f>
        <v>0.17272727272727273</v>
      </c>
      <c r="I441" s="8">
        <f>'3. Demand Forecast'!G441/SQRT($T$3)</f>
        <v>0.57564193416014819</v>
      </c>
      <c r="J441" s="5">
        <f t="shared" si="36"/>
        <v>5</v>
      </c>
      <c r="K441" s="5">
        <f t="shared" si="37"/>
        <v>9</v>
      </c>
      <c r="L441" s="3">
        <f>IF(F441=0,0,ROUNDUP(SQRT(2*'4. ABC XYZ Analysis'!F441*$U$3/(F441*$V$3)),0))</f>
        <v>21</v>
      </c>
      <c r="M441" s="3">
        <f>'1. Master Data'!I441</f>
        <v>20</v>
      </c>
      <c r="N441" s="3">
        <f t="shared" si="38"/>
        <v>116</v>
      </c>
      <c r="O441" s="5" t="str">
        <f t="shared" si="39"/>
        <v>OK</v>
      </c>
      <c r="P441" s="5" t="str">
        <f t="shared" si="40"/>
        <v>LOW</v>
      </c>
      <c r="Q441" s="3" t="str">
        <f t="shared" si="41"/>
        <v>Reorder Point</v>
      </c>
    </row>
    <row r="442" spans="1:17" ht="15" customHeight="1" x14ac:dyDescent="0.2">
      <c r="A442" s="3" t="str">
        <f>'1. Master Data'!A442</f>
        <v>NT10438</v>
      </c>
      <c r="B442" s="1" t="str">
        <f>'1. Master Data'!B442</f>
        <v>NovaTab 862 Kids</v>
      </c>
      <c r="C442" s="3" t="str">
        <f>'1. Master Data'!D442</f>
        <v>Central DC</v>
      </c>
      <c r="D442" s="5" t="str">
        <f>'4. ABC XYZ Analysis'!K442</f>
        <v>C</v>
      </c>
      <c r="E442" s="5" t="str">
        <f>'4. ABC XYZ Analysis'!M442</f>
        <v>Z</v>
      </c>
      <c r="F442" s="4">
        <f>'1. Master Data'!F442</f>
        <v>398</v>
      </c>
      <c r="G442" s="3">
        <f>'1. Master Data'!G442</f>
        <v>25</v>
      </c>
      <c r="H442" s="8">
        <f>'3. Demand Forecast'!F442/$T$3</f>
        <v>1.2863636363636364</v>
      </c>
      <c r="I442" s="8">
        <f>'3. Demand Forecast'!G442/SQRT($T$3)</f>
        <v>3.4964917482320108</v>
      </c>
      <c r="J442" s="5">
        <f t="shared" si="36"/>
        <v>29</v>
      </c>
      <c r="K442" s="5">
        <f t="shared" si="37"/>
        <v>62</v>
      </c>
      <c r="L442" s="3">
        <f>IF(F442=0,0,ROUNDUP(SQRT(2*'4. ABC XYZ Analysis'!F442*$U$3/(F442*$V$3)),0))</f>
        <v>36</v>
      </c>
      <c r="M442" s="3">
        <f>'1. Master Data'!I442</f>
        <v>65</v>
      </c>
      <c r="N442" s="3">
        <f t="shared" si="38"/>
        <v>51</v>
      </c>
      <c r="O442" s="5" t="str">
        <f t="shared" si="39"/>
        <v>ORDER SOON</v>
      </c>
      <c r="P442" s="5" t="str">
        <f t="shared" si="40"/>
        <v>MEDIUM</v>
      </c>
      <c r="Q442" s="3" t="str">
        <f t="shared" si="41"/>
        <v>Min Max</v>
      </c>
    </row>
    <row r="443" spans="1:17" ht="15" customHeight="1" x14ac:dyDescent="0.2">
      <c r="A443" s="3" t="str">
        <f>'1. Master Data'!A443</f>
        <v>NT10439</v>
      </c>
      <c r="B443" s="1" t="str">
        <f>'1. Master Data'!B443</f>
        <v>NovaTab 758 10in</v>
      </c>
      <c r="C443" s="3" t="str">
        <f>'1. Master Data'!D443</f>
        <v>Central DC</v>
      </c>
      <c r="D443" s="5" t="str">
        <f>'4. ABC XYZ Analysis'!K443</f>
        <v>C</v>
      </c>
      <c r="E443" s="5" t="str">
        <f>'4. ABC XYZ Analysis'!M443</f>
        <v>X</v>
      </c>
      <c r="F443" s="4">
        <f>'1. Master Data'!F443</f>
        <v>340</v>
      </c>
      <c r="G443" s="3">
        <f>'1. Master Data'!G443</f>
        <v>23</v>
      </c>
      <c r="H443" s="8">
        <f>'3. Demand Forecast'!F443/$T$3</f>
        <v>1.95</v>
      </c>
      <c r="I443" s="8">
        <f>'3. Demand Forecast'!G443/SQRT($T$3)</f>
        <v>2.8142494558940574</v>
      </c>
      <c r="J443" s="5">
        <f t="shared" si="36"/>
        <v>23</v>
      </c>
      <c r="K443" s="5">
        <f t="shared" si="37"/>
        <v>68</v>
      </c>
      <c r="L443" s="3">
        <f>IF(F443=0,0,ROUNDUP(SQRT(2*'4. ABC XYZ Analysis'!F443*$U$3/(F443*$V$3)),0))</f>
        <v>50</v>
      </c>
      <c r="M443" s="3">
        <f>'1. Master Data'!I443</f>
        <v>169</v>
      </c>
      <c r="N443" s="3">
        <f t="shared" si="38"/>
        <v>87</v>
      </c>
      <c r="O443" s="5" t="str">
        <f t="shared" si="39"/>
        <v>OK</v>
      </c>
      <c r="P443" s="5" t="str">
        <f t="shared" si="40"/>
        <v>LOW</v>
      </c>
      <c r="Q443" s="3" t="str">
        <f t="shared" si="41"/>
        <v>Reorder Point</v>
      </c>
    </row>
    <row r="444" spans="1:17" ht="15" customHeight="1" x14ac:dyDescent="0.2">
      <c r="A444" s="3" t="str">
        <f>'1. Master Data'!A444</f>
        <v>NT10440</v>
      </c>
      <c r="B444" s="1" t="str">
        <f>'1. Master Data'!B444</f>
        <v>DrawPad 640 12in</v>
      </c>
      <c r="C444" s="3" t="str">
        <f>'1. Master Data'!D444</f>
        <v>Central DC</v>
      </c>
      <c r="D444" s="5" t="str">
        <f>'4. ABC XYZ Analysis'!K444</f>
        <v>C</v>
      </c>
      <c r="E444" s="5" t="str">
        <f>'4. ABC XYZ Analysis'!M444</f>
        <v>Y</v>
      </c>
      <c r="F444" s="4">
        <f>'1. Master Data'!F444</f>
        <v>379</v>
      </c>
      <c r="G444" s="3">
        <f>'1. Master Data'!G444</f>
        <v>45</v>
      </c>
      <c r="H444" s="8">
        <f>'3. Demand Forecast'!F444/$T$3</f>
        <v>4.3181818181818183</v>
      </c>
      <c r="I444" s="8">
        <f>'3. Demand Forecast'!G444/SQRT($T$3)</f>
        <v>5.905659843050409</v>
      </c>
      <c r="J444" s="5">
        <f t="shared" si="36"/>
        <v>66</v>
      </c>
      <c r="K444" s="5">
        <f t="shared" si="37"/>
        <v>261</v>
      </c>
      <c r="L444" s="3">
        <f>IF(F444=0,0,ROUNDUP(SQRT(2*'4. ABC XYZ Analysis'!F444*$U$3/(F444*$V$3)),0))</f>
        <v>26</v>
      </c>
      <c r="M444" s="3">
        <f>'1. Master Data'!I444</f>
        <v>264</v>
      </c>
      <c r="N444" s="3">
        <f t="shared" si="38"/>
        <v>61</v>
      </c>
      <c r="O444" s="5" t="str">
        <f t="shared" si="39"/>
        <v>ORDER SOON</v>
      </c>
      <c r="P444" s="5" t="str">
        <f t="shared" si="40"/>
        <v>MEDIUM</v>
      </c>
      <c r="Q444" s="3" t="str">
        <f t="shared" si="41"/>
        <v>Reorder Point</v>
      </c>
    </row>
    <row r="445" spans="1:17" ht="15" customHeight="1" x14ac:dyDescent="0.2">
      <c r="A445" s="3" t="str">
        <f>'1. Master Data'!A445</f>
        <v>NT10441</v>
      </c>
      <c r="B445" s="1" t="str">
        <f>'1. Master Data'!B445</f>
        <v>DrawPad 374 12in</v>
      </c>
      <c r="C445" s="3" t="str">
        <f>'1. Master Data'!D445</f>
        <v>Central DC</v>
      </c>
      <c r="D445" s="5" t="str">
        <f>'4. ABC XYZ Analysis'!K445</f>
        <v>C</v>
      </c>
      <c r="E445" s="5" t="str">
        <f>'4. ABC XYZ Analysis'!M445</f>
        <v>Z</v>
      </c>
      <c r="F445" s="4">
        <f>'1. Master Data'!F445</f>
        <v>364</v>
      </c>
      <c r="G445" s="3">
        <f>'1. Master Data'!G445</f>
        <v>44</v>
      </c>
      <c r="H445" s="8">
        <f>'3. Demand Forecast'!F445/$T$3</f>
        <v>0.23636363636363636</v>
      </c>
      <c r="I445" s="8">
        <f>'3. Demand Forecast'!G445/SQRT($T$3)</f>
        <v>0.27716093126229358</v>
      </c>
      <c r="J445" s="5">
        <f t="shared" si="36"/>
        <v>4</v>
      </c>
      <c r="K445" s="5">
        <f t="shared" si="37"/>
        <v>15</v>
      </c>
      <c r="L445" s="3">
        <f>IF(F445=0,0,ROUNDUP(SQRT(2*'4. ABC XYZ Analysis'!F445*$U$3/(F445*$V$3)),0))</f>
        <v>10</v>
      </c>
      <c r="M445" s="3">
        <f>'1. Master Data'!I445</f>
        <v>18</v>
      </c>
      <c r="N445" s="3">
        <f t="shared" si="38"/>
        <v>76</v>
      </c>
      <c r="O445" s="5" t="str">
        <f t="shared" si="39"/>
        <v>ORDER SOON</v>
      </c>
      <c r="P445" s="5" t="str">
        <f t="shared" si="40"/>
        <v>MEDIUM</v>
      </c>
      <c r="Q445" s="3" t="str">
        <f t="shared" si="41"/>
        <v>Min Max</v>
      </c>
    </row>
    <row r="446" spans="1:17" ht="15" customHeight="1" x14ac:dyDescent="0.2">
      <c r="A446" s="3" t="str">
        <f>'1. Master Data'!A446</f>
        <v>NT10442</v>
      </c>
      <c r="B446" s="1" t="str">
        <f>'1. Master Data'!B446</f>
        <v>DrawPad 251 12in</v>
      </c>
      <c r="C446" s="3" t="str">
        <f>'1. Master Data'!D446</f>
        <v>East DC</v>
      </c>
      <c r="D446" s="5" t="str">
        <f>'4. ABC XYZ Analysis'!K446</f>
        <v>C</v>
      </c>
      <c r="E446" s="5" t="str">
        <f>'4. ABC XYZ Analysis'!M446</f>
        <v>Y</v>
      </c>
      <c r="F446" s="4">
        <f>'1. Master Data'!F446</f>
        <v>133</v>
      </c>
      <c r="G446" s="3">
        <f>'1. Master Data'!G446</f>
        <v>23</v>
      </c>
      <c r="H446" s="8">
        <f>'3. Demand Forecast'!F446/$T$3</f>
        <v>0.95454545454545459</v>
      </c>
      <c r="I446" s="8">
        <f>'3. Demand Forecast'!G446/SQRT($T$3)</f>
        <v>1.1939240115914183</v>
      </c>
      <c r="J446" s="5">
        <f t="shared" si="36"/>
        <v>10</v>
      </c>
      <c r="K446" s="5">
        <f t="shared" si="37"/>
        <v>32</v>
      </c>
      <c r="L446" s="3">
        <f>IF(F446=0,0,ROUNDUP(SQRT(2*'4. ABC XYZ Analysis'!F446*$U$3/(F446*$V$3)),0))</f>
        <v>25</v>
      </c>
      <c r="M446" s="3">
        <f>'1. Master Data'!I446</f>
        <v>82</v>
      </c>
      <c r="N446" s="3">
        <f t="shared" si="38"/>
        <v>86</v>
      </c>
      <c r="O446" s="5" t="str">
        <f t="shared" si="39"/>
        <v>OK</v>
      </c>
      <c r="P446" s="5" t="str">
        <f t="shared" si="40"/>
        <v>LOW</v>
      </c>
      <c r="Q446" s="3" t="str">
        <f t="shared" si="41"/>
        <v>Reorder Point</v>
      </c>
    </row>
    <row r="447" spans="1:17" ht="15" customHeight="1" x14ac:dyDescent="0.2">
      <c r="A447" s="3" t="str">
        <f>'1. Master Data'!A447</f>
        <v>NT10443</v>
      </c>
      <c r="B447" s="1" t="str">
        <f>'1. Master Data'!B447</f>
        <v>NovaTab 846 Kids</v>
      </c>
      <c r="C447" s="3" t="str">
        <f>'1. Master Data'!D447</f>
        <v>Central DC</v>
      </c>
      <c r="D447" s="5" t="str">
        <f>'4. ABC XYZ Analysis'!K447</f>
        <v>C</v>
      </c>
      <c r="E447" s="5" t="str">
        <f>'4. ABC XYZ Analysis'!M447</f>
        <v>X</v>
      </c>
      <c r="F447" s="4">
        <f>'1. Master Data'!F447</f>
        <v>244</v>
      </c>
      <c r="G447" s="3">
        <f>'1. Master Data'!G447</f>
        <v>44</v>
      </c>
      <c r="H447" s="8">
        <f>'3. Demand Forecast'!F447/$T$3</f>
        <v>0.95454545454545459</v>
      </c>
      <c r="I447" s="8">
        <f>'3. Demand Forecast'!G447/SQRT($T$3)</f>
        <v>1.3218444414047847</v>
      </c>
      <c r="J447" s="5">
        <f t="shared" si="36"/>
        <v>15</v>
      </c>
      <c r="K447" s="5">
        <f t="shared" si="37"/>
        <v>57</v>
      </c>
      <c r="L447" s="3">
        <f>IF(F447=0,0,ROUNDUP(SQRT(2*'4. ABC XYZ Analysis'!F447*$U$3/(F447*$V$3)),0))</f>
        <v>65</v>
      </c>
      <c r="M447" s="3">
        <f>'1. Master Data'!I447</f>
        <v>98</v>
      </c>
      <c r="N447" s="3">
        <f t="shared" si="38"/>
        <v>103</v>
      </c>
      <c r="O447" s="5" t="str">
        <f t="shared" si="39"/>
        <v>OK</v>
      </c>
      <c r="P447" s="5" t="str">
        <f t="shared" si="40"/>
        <v>LOW</v>
      </c>
      <c r="Q447" s="3" t="str">
        <f t="shared" si="41"/>
        <v>Reorder Point</v>
      </c>
    </row>
    <row r="448" spans="1:17" ht="15" customHeight="1" x14ac:dyDescent="0.2">
      <c r="A448" s="3" t="str">
        <f>'1. Master Data'!A448</f>
        <v>NT10444</v>
      </c>
      <c r="B448" s="1" t="str">
        <f>'1. Master Data'!B448</f>
        <v>NovaTab 111 10in</v>
      </c>
      <c r="C448" s="3" t="str">
        <f>'1. Master Data'!D448</f>
        <v>West DC</v>
      </c>
      <c r="D448" s="5" t="str">
        <f>'4. ABC XYZ Analysis'!K448</f>
        <v>C</v>
      </c>
      <c r="E448" s="5" t="str">
        <f>'4. ABC XYZ Analysis'!M448</f>
        <v>Z</v>
      </c>
      <c r="F448" s="4">
        <f>'1. Master Data'!F448</f>
        <v>144</v>
      </c>
      <c r="G448" s="3">
        <f>'1. Master Data'!G448</f>
        <v>39</v>
      </c>
      <c r="H448" s="8">
        <f>'3. Demand Forecast'!F448/$T$3</f>
        <v>0.30454545454545456</v>
      </c>
      <c r="I448" s="8">
        <f>'3. Demand Forecast'!G448/SQRT($T$3)</f>
        <v>1.3644845846759068</v>
      </c>
      <c r="J448" s="5">
        <f t="shared" si="36"/>
        <v>15</v>
      </c>
      <c r="K448" s="5">
        <f t="shared" si="37"/>
        <v>27</v>
      </c>
      <c r="L448" s="3">
        <f>IF(F448=0,0,ROUNDUP(SQRT(2*'4. ABC XYZ Analysis'!F448*$U$3/(F448*$V$3)),0))</f>
        <v>11</v>
      </c>
      <c r="M448" s="3">
        <f>'1. Master Data'!I448</f>
        <v>31</v>
      </c>
      <c r="N448" s="3">
        <f t="shared" si="38"/>
        <v>102</v>
      </c>
      <c r="O448" s="5" t="str">
        <f t="shared" si="39"/>
        <v>ORDER SOON</v>
      </c>
      <c r="P448" s="5" t="str">
        <f t="shared" si="40"/>
        <v>MEDIUM</v>
      </c>
      <c r="Q448" s="3" t="str">
        <f t="shared" si="41"/>
        <v>Min Max</v>
      </c>
    </row>
    <row r="449" spans="1:17" ht="15" customHeight="1" x14ac:dyDescent="0.2">
      <c r="A449" s="3" t="str">
        <f>'1. Master Data'!A449</f>
        <v>NT10445</v>
      </c>
      <c r="B449" s="1" t="str">
        <f>'1. Master Data'!B449</f>
        <v>DrawPad 495 12in</v>
      </c>
      <c r="C449" s="3" t="str">
        <f>'1. Master Data'!D449</f>
        <v>Central DC</v>
      </c>
      <c r="D449" s="5" t="str">
        <f>'4. ABC XYZ Analysis'!K449</f>
        <v>C</v>
      </c>
      <c r="E449" s="5" t="str">
        <f>'4. ABC XYZ Analysis'!M449</f>
        <v>Z</v>
      </c>
      <c r="F449" s="4">
        <f>'1. Master Data'!F449</f>
        <v>160</v>
      </c>
      <c r="G449" s="3">
        <f>'1. Master Data'!G449</f>
        <v>42</v>
      </c>
      <c r="H449" s="8">
        <f>'3. Demand Forecast'!F449/$T$3</f>
        <v>4.4227272727272728</v>
      </c>
      <c r="I449" s="8">
        <f>'3. Demand Forecast'!G449/SQRT($T$3)</f>
        <v>6.3960214906683124</v>
      </c>
      <c r="J449" s="5">
        <f t="shared" si="36"/>
        <v>69</v>
      </c>
      <c r="K449" s="5">
        <f t="shared" si="37"/>
        <v>255</v>
      </c>
      <c r="L449" s="3">
        <f>IF(F449=0,0,ROUNDUP(SQRT(2*'4. ABC XYZ Analysis'!F449*$U$3/(F449*$V$3)),0))</f>
        <v>17</v>
      </c>
      <c r="M449" s="3">
        <f>'1. Master Data'!I449</f>
        <v>258</v>
      </c>
      <c r="N449" s="3">
        <f t="shared" si="38"/>
        <v>58</v>
      </c>
      <c r="O449" s="5" t="str">
        <f t="shared" si="39"/>
        <v>ORDER SOON</v>
      </c>
      <c r="P449" s="5" t="str">
        <f t="shared" si="40"/>
        <v>MEDIUM</v>
      </c>
      <c r="Q449" s="3" t="str">
        <f t="shared" si="41"/>
        <v>Min Max</v>
      </c>
    </row>
    <row r="450" spans="1:17" ht="15" customHeight="1" x14ac:dyDescent="0.2">
      <c r="A450" s="3" t="str">
        <f>'1. Master Data'!A450</f>
        <v>NT10446</v>
      </c>
      <c r="B450" s="1" t="str">
        <f>'1. Master Data'!B450</f>
        <v>NovaTab 935 Kids</v>
      </c>
      <c r="C450" s="3" t="str">
        <f>'1. Master Data'!D450</f>
        <v>West DC</v>
      </c>
      <c r="D450" s="5" t="str">
        <f>'4. ABC XYZ Analysis'!K450</f>
        <v>C</v>
      </c>
      <c r="E450" s="5" t="str">
        <f>'4. ABC XYZ Analysis'!M450</f>
        <v>X</v>
      </c>
      <c r="F450" s="4">
        <f>'1. Master Data'!F450</f>
        <v>387</v>
      </c>
      <c r="G450" s="3">
        <f>'1. Master Data'!G450</f>
        <v>36</v>
      </c>
      <c r="H450" s="8">
        <f>'3. Demand Forecast'!F450/$T$3</f>
        <v>3.9045454545454548</v>
      </c>
      <c r="I450" s="8">
        <f>'3. Demand Forecast'!G450/SQRT($T$3)</f>
        <v>5.5432186252458715</v>
      </c>
      <c r="J450" s="5">
        <f t="shared" si="36"/>
        <v>55</v>
      </c>
      <c r="K450" s="5">
        <f t="shared" si="37"/>
        <v>196</v>
      </c>
      <c r="L450" s="3">
        <f>IF(F450=0,0,ROUNDUP(SQRT(2*'4. ABC XYZ Analysis'!F450*$U$3/(F450*$V$3)),0))</f>
        <v>24</v>
      </c>
      <c r="M450" s="3">
        <f>'1. Master Data'!I450</f>
        <v>199</v>
      </c>
      <c r="N450" s="3">
        <f t="shared" si="38"/>
        <v>51</v>
      </c>
      <c r="O450" s="5" t="str">
        <f t="shared" si="39"/>
        <v>ORDER SOON</v>
      </c>
      <c r="P450" s="5" t="str">
        <f t="shared" si="40"/>
        <v>MEDIUM</v>
      </c>
      <c r="Q450" s="3" t="str">
        <f t="shared" si="41"/>
        <v>Reorder Point</v>
      </c>
    </row>
    <row r="451" spans="1:17" ht="15" customHeight="1" x14ac:dyDescent="0.2">
      <c r="A451" s="3" t="str">
        <f>'1. Master Data'!A451</f>
        <v>NT10447</v>
      </c>
      <c r="B451" s="1" t="str">
        <f>'1. Master Data'!B451</f>
        <v>DrawPad 840 12in</v>
      </c>
      <c r="C451" s="3" t="str">
        <f>'1. Master Data'!D451</f>
        <v>Central DC</v>
      </c>
      <c r="D451" s="5" t="str">
        <f>'4. ABC XYZ Analysis'!K451</f>
        <v>C</v>
      </c>
      <c r="E451" s="5" t="str">
        <f>'4. ABC XYZ Analysis'!M451</f>
        <v>X</v>
      </c>
      <c r="F451" s="4">
        <f>'1. Master Data'!F451</f>
        <v>284</v>
      </c>
      <c r="G451" s="3">
        <f>'1. Master Data'!G451</f>
        <v>39</v>
      </c>
      <c r="H451" s="8">
        <f>'3. Demand Forecast'!F451/$T$3</f>
        <v>7.9227272727272728</v>
      </c>
      <c r="I451" s="8">
        <f>'3. Demand Forecast'!G451/SQRT($T$3)</f>
        <v>11.171717537033986</v>
      </c>
      <c r="J451" s="5">
        <f t="shared" si="36"/>
        <v>116</v>
      </c>
      <c r="K451" s="5">
        <f t="shared" si="37"/>
        <v>425</v>
      </c>
      <c r="L451" s="3">
        <f>IF(F451=0,0,ROUNDUP(SQRT(2*'4. ABC XYZ Analysis'!F451*$U$3/(F451*$V$3)),0))</f>
        <v>33</v>
      </c>
      <c r="M451" s="3">
        <f>'1. Master Data'!I451</f>
        <v>429</v>
      </c>
      <c r="N451" s="3">
        <f t="shared" si="38"/>
        <v>54</v>
      </c>
      <c r="O451" s="5" t="str">
        <f t="shared" si="39"/>
        <v>ORDER SOON</v>
      </c>
      <c r="P451" s="5" t="str">
        <f t="shared" si="40"/>
        <v>MEDIUM</v>
      </c>
      <c r="Q451" s="3" t="str">
        <f t="shared" si="41"/>
        <v>Reorder Point</v>
      </c>
    </row>
    <row r="452" spans="1:17" ht="15" customHeight="1" x14ac:dyDescent="0.2">
      <c r="A452" s="3" t="str">
        <f>'1. Master Data'!A452</f>
        <v>NT10448</v>
      </c>
      <c r="B452" s="1" t="str">
        <f>'1. Master Data'!B452</f>
        <v>NovaTab 743 10in</v>
      </c>
      <c r="C452" s="3" t="str">
        <f>'1. Master Data'!D452</f>
        <v>Central DC</v>
      </c>
      <c r="D452" s="5" t="str">
        <f>'4. ABC XYZ Analysis'!K452</f>
        <v>C</v>
      </c>
      <c r="E452" s="5" t="str">
        <f>'4. ABC XYZ Analysis'!M452</f>
        <v>Y</v>
      </c>
      <c r="F452" s="4">
        <f>'1. Master Data'!F452</f>
        <v>169</v>
      </c>
      <c r="G452" s="3">
        <f>'1. Master Data'!G452</f>
        <v>36</v>
      </c>
      <c r="H452" s="8">
        <f>'3. Demand Forecast'!F452/$T$3</f>
        <v>0.51363636363636367</v>
      </c>
      <c r="I452" s="8">
        <f>'3. Demand Forecast'!G452/SQRT($T$3)</f>
        <v>0.70356236397351435</v>
      </c>
      <c r="J452" s="5">
        <f t="shared" si="36"/>
        <v>7</v>
      </c>
      <c r="K452" s="5">
        <f t="shared" si="37"/>
        <v>26</v>
      </c>
      <c r="L452" s="3">
        <f>IF(F452=0,0,ROUNDUP(SQRT(2*'4. ABC XYZ Analysis'!F452*$U$3/(F452*$V$3)),0))</f>
        <v>21</v>
      </c>
      <c r="M452" s="3">
        <f>'1. Master Data'!I452</f>
        <v>29</v>
      </c>
      <c r="N452" s="3">
        <f t="shared" si="38"/>
        <v>56</v>
      </c>
      <c r="O452" s="5" t="str">
        <f t="shared" si="39"/>
        <v>ORDER SOON</v>
      </c>
      <c r="P452" s="5" t="str">
        <f t="shared" si="40"/>
        <v>MEDIUM</v>
      </c>
      <c r="Q452" s="3" t="str">
        <f t="shared" si="41"/>
        <v>Reorder Point</v>
      </c>
    </row>
    <row r="453" spans="1:17" ht="15" customHeight="1" x14ac:dyDescent="0.2">
      <c r="A453" s="3" t="str">
        <f>'1. Master Data'!A453</f>
        <v>NT10449</v>
      </c>
      <c r="B453" s="1" t="str">
        <f>'1. Master Data'!B453</f>
        <v>NovaTab 443 Kids</v>
      </c>
      <c r="C453" s="3" t="str">
        <f>'1. Master Data'!D453</f>
        <v>Central DC</v>
      </c>
      <c r="D453" s="5" t="str">
        <f>'4. ABC XYZ Analysis'!K453</f>
        <v>C</v>
      </c>
      <c r="E453" s="5" t="str">
        <f>'4. ABC XYZ Analysis'!M453</f>
        <v>Y</v>
      </c>
      <c r="F453" s="4">
        <f>'1. Master Data'!F453</f>
        <v>264</v>
      </c>
      <c r="G453" s="3">
        <f>'1. Master Data'!G453</f>
        <v>35</v>
      </c>
      <c r="H453" s="8">
        <f>'3. Demand Forecast'!F453/$T$3</f>
        <v>7.6363636363636367</v>
      </c>
      <c r="I453" s="8">
        <f>'3. Demand Forecast'!G453/SQRT($T$3)</f>
        <v>11.789999614465255</v>
      </c>
      <c r="J453" s="5">
        <f t="shared" ref="J453:J504" si="42">ROUNDUP($S$3*I453*SQRT(G453),0)</f>
        <v>116</v>
      </c>
      <c r="K453" s="5">
        <f t="shared" ref="K453:K504" si="43">ROUNDUP(H453*G453+J453,0)</f>
        <v>384</v>
      </c>
      <c r="L453" s="3">
        <f>IF(F453=0,0,ROUNDUP(SQRT(2*'4. ABC XYZ Analysis'!F453*$U$3/(F453*$V$3)),0))</f>
        <v>40</v>
      </c>
      <c r="M453" s="3">
        <f>'1. Master Data'!I453</f>
        <v>387</v>
      </c>
      <c r="N453" s="3">
        <f t="shared" ref="N453:N504" si="44">IF(H453=0,999,ROUND(M453/H453,0))</f>
        <v>51</v>
      </c>
      <c r="O453" s="5" t="str">
        <f t="shared" ref="O453:O504" si="45">IF(M453&lt;=K453,"ORDER NOW",IF(M453&lt;=K453*1.2,"ORDER SOON","OK"))</f>
        <v>ORDER SOON</v>
      </c>
      <c r="P453" s="5" t="str">
        <f t="shared" ref="P453:P504" si="46">IF(O453="ORDER NOW",IF(D453="A","URGENT",IF(D453="B","HIGH","MEDIUM")),IF(O453="ORDER SOON",IF(D453="A","HIGH","MEDIUM"),"LOW"))</f>
        <v>MEDIUM</v>
      </c>
      <c r="Q453" s="3" t="str">
        <f t="shared" ref="Q453:Q504" si="47">IF(E453="Z","Min Max","Reorder Point")</f>
        <v>Reorder Point</v>
      </c>
    </row>
    <row r="454" spans="1:17" ht="15" customHeight="1" x14ac:dyDescent="0.2">
      <c r="A454" s="3" t="str">
        <f>'1. Master Data'!A454</f>
        <v>NT10450</v>
      </c>
      <c r="B454" s="1" t="str">
        <f>'1. Master Data'!B454</f>
        <v>DrawPad 744 12in</v>
      </c>
      <c r="C454" s="3" t="str">
        <f>'1. Master Data'!D454</f>
        <v>Central DC</v>
      </c>
      <c r="D454" s="5" t="str">
        <f>'4. ABC XYZ Analysis'!K454</f>
        <v>C</v>
      </c>
      <c r="E454" s="5" t="str">
        <f>'4. ABC XYZ Analysis'!M454</f>
        <v>Y</v>
      </c>
      <c r="F454" s="4">
        <f>'1. Master Data'!F454</f>
        <v>182</v>
      </c>
      <c r="G454" s="3">
        <f>'1. Master Data'!G454</f>
        <v>36</v>
      </c>
      <c r="H454" s="8">
        <f>'3. Demand Forecast'!F454/$T$3</f>
        <v>3.5909090909090908</v>
      </c>
      <c r="I454" s="8">
        <f>'3. Demand Forecast'!G454/SQRT($T$3)</f>
        <v>5.3300179088902606</v>
      </c>
      <c r="J454" s="5">
        <f t="shared" si="42"/>
        <v>53</v>
      </c>
      <c r="K454" s="5">
        <f t="shared" si="43"/>
        <v>183</v>
      </c>
      <c r="L454" s="3">
        <f>IF(F454=0,0,ROUNDUP(SQRT(2*'4. ABC XYZ Analysis'!F454*$U$3/(F454*$V$3)),0))</f>
        <v>34</v>
      </c>
      <c r="M454" s="3">
        <f>'1. Master Data'!I454</f>
        <v>255</v>
      </c>
      <c r="N454" s="3">
        <f t="shared" si="44"/>
        <v>71</v>
      </c>
      <c r="O454" s="5" t="str">
        <f t="shared" si="45"/>
        <v>OK</v>
      </c>
      <c r="P454" s="5" t="str">
        <f t="shared" si="46"/>
        <v>LOW</v>
      </c>
      <c r="Q454" s="3" t="str">
        <f t="shared" si="47"/>
        <v>Reorder Point</v>
      </c>
    </row>
    <row r="455" spans="1:17" ht="15" customHeight="1" x14ac:dyDescent="0.2">
      <c r="A455" s="3" t="str">
        <f>'1. Master Data'!A455</f>
        <v>NT10451</v>
      </c>
      <c r="B455" s="1" t="str">
        <f>'1. Master Data'!B455</f>
        <v>Car Mount V755</v>
      </c>
      <c r="C455" s="3" t="str">
        <f>'1. Master Data'!D455</f>
        <v>East DC</v>
      </c>
      <c r="D455" s="5" t="str">
        <f>'4. ABC XYZ Analysis'!K455</f>
        <v>C</v>
      </c>
      <c r="E455" s="5" t="str">
        <f>'4. ABC XYZ Analysis'!M455</f>
        <v>X</v>
      </c>
      <c r="F455" s="4">
        <f>'1. Master Data'!F455</f>
        <v>35</v>
      </c>
      <c r="G455" s="3">
        <f>'1. Master Data'!G455</f>
        <v>11</v>
      </c>
      <c r="H455" s="8">
        <f>'3. Demand Forecast'!F455/$T$3</f>
        <v>15.05909090909091</v>
      </c>
      <c r="I455" s="8">
        <f>'3. Demand Forecast'!G455/SQRT($T$3)</f>
        <v>3.9868533958499146</v>
      </c>
      <c r="J455" s="5">
        <f t="shared" si="42"/>
        <v>22</v>
      </c>
      <c r="K455" s="5">
        <f t="shared" si="43"/>
        <v>188</v>
      </c>
      <c r="L455" s="3">
        <f>IF(F455=0,0,ROUNDUP(SQRT(2*'4. ABC XYZ Analysis'!F455*$U$3/(F455*$V$3)),0))</f>
        <v>105</v>
      </c>
      <c r="M455" s="3">
        <f>'1. Master Data'!I455</f>
        <v>191</v>
      </c>
      <c r="N455" s="3">
        <f t="shared" si="44"/>
        <v>13</v>
      </c>
      <c r="O455" s="5" t="str">
        <f t="shared" si="45"/>
        <v>ORDER SOON</v>
      </c>
      <c r="P455" s="5" t="str">
        <f t="shared" si="46"/>
        <v>MEDIUM</v>
      </c>
      <c r="Q455" s="3" t="str">
        <f t="shared" si="47"/>
        <v>Reorder Point</v>
      </c>
    </row>
    <row r="456" spans="1:17" ht="15" customHeight="1" x14ac:dyDescent="0.2">
      <c r="A456" s="3" t="str">
        <f>'1. Master Data'!A456</f>
        <v>NT10452</v>
      </c>
      <c r="B456" s="1" t="str">
        <f>'1. Master Data'!B456</f>
        <v>Phone Case Clear V585</v>
      </c>
      <c r="C456" s="3" t="str">
        <f>'1. Master Data'!D456</f>
        <v>West DC</v>
      </c>
      <c r="D456" s="5" t="str">
        <f>'4. ABC XYZ Analysis'!K456</f>
        <v>C</v>
      </c>
      <c r="E456" s="5" t="str">
        <f>'4. ABC XYZ Analysis'!M456</f>
        <v>X</v>
      </c>
      <c r="F456" s="4">
        <f>'1. Master Data'!F456</f>
        <v>38</v>
      </c>
      <c r="G456" s="3">
        <f>'1. Master Data'!G456</f>
        <v>11</v>
      </c>
      <c r="H456" s="8">
        <f>'3. Demand Forecast'!F456/$T$3</f>
        <v>26.15</v>
      </c>
      <c r="I456" s="8">
        <f>'3. Demand Forecast'!G456/SQRT($T$3)</f>
        <v>8.7412293705800277</v>
      </c>
      <c r="J456" s="5">
        <f t="shared" si="42"/>
        <v>48</v>
      </c>
      <c r="K456" s="5">
        <f t="shared" si="43"/>
        <v>336</v>
      </c>
      <c r="L456" s="3">
        <f>IF(F456=0,0,ROUNDUP(SQRT(2*'4. ABC XYZ Analysis'!F456*$U$3/(F456*$V$3)),0))</f>
        <v>24</v>
      </c>
      <c r="M456" s="3">
        <f>'1. Master Data'!I456</f>
        <v>339</v>
      </c>
      <c r="N456" s="3">
        <f t="shared" si="44"/>
        <v>13</v>
      </c>
      <c r="O456" s="5" t="str">
        <f t="shared" si="45"/>
        <v>ORDER SOON</v>
      </c>
      <c r="P456" s="5" t="str">
        <f t="shared" si="46"/>
        <v>MEDIUM</v>
      </c>
      <c r="Q456" s="3" t="str">
        <f t="shared" si="47"/>
        <v>Reorder Point</v>
      </c>
    </row>
    <row r="457" spans="1:17" ht="15" customHeight="1" x14ac:dyDescent="0.2">
      <c r="A457" s="3" t="str">
        <f>'1. Master Data'!A457</f>
        <v>NT10453</v>
      </c>
      <c r="B457" s="1" t="str">
        <f>'1. Master Data'!B457</f>
        <v>Power Bank 10K V720</v>
      </c>
      <c r="C457" s="3" t="str">
        <f>'1. Master Data'!D457</f>
        <v>West DC</v>
      </c>
      <c r="D457" s="5" t="str">
        <f>'4. ABC XYZ Analysis'!K457</f>
        <v>C</v>
      </c>
      <c r="E457" s="5" t="str">
        <f>'4. ABC XYZ Analysis'!M457</f>
        <v>X</v>
      </c>
      <c r="F457" s="4">
        <f>'1. Master Data'!F457</f>
        <v>4</v>
      </c>
      <c r="G457" s="3">
        <f>'1. Master Data'!G457</f>
        <v>21</v>
      </c>
      <c r="H457" s="8">
        <f>'3. Demand Forecast'!F457/$T$3</f>
        <v>3.4363636363636361</v>
      </c>
      <c r="I457" s="8">
        <f>'3. Demand Forecast'!G457/SQRT($T$3)</f>
        <v>0.66092222070239237</v>
      </c>
      <c r="J457" s="5">
        <f t="shared" si="42"/>
        <v>5</v>
      </c>
      <c r="K457" s="5">
        <f t="shared" si="43"/>
        <v>78</v>
      </c>
      <c r="L457" s="3">
        <f>IF(F457=0,0,ROUNDUP(SQRT(2*'4. ABC XYZ Analysis'!F457*$U$3/(F457*$V$3)),0))</f>
        <v>555</v>
      </c>
      <c r="M457" s="3">
        <f>'1. Master Data'!I457</f>
        <v>82</v>
      </c>
      <c r="N457" s="3">
        <f t="shared" si="44"/>
        <v>24</v>
      </c>
      <c r="O457" s="5" t="str">
        <f t="shared" si="45"/>
        <v>ORDER SOON</v>
      </c>
      <c r="P457" s="5" t="str">
        <f t="shared" si="46"/>
        <v>MEDIUM</v>
      </c>
      <c r="Q457" s="3" t="str">
        <f t="shared" si="47"/>
        <v>Reorder Point</v>
      </c>
    </row>
    <row r="458" spans="1:17" ht="15" customHeight="1" x14ac:dyDescent="0.2">
      <c r="A458" s="3" t="str">
        <f>'1. Master Data'!A458</f>
        <v>NT10454</v>
      </c>
      <c r="B458" s="1" t="str">
        <f>'1. Master Data'!B458</f>
        <v>Wall Charger 65W V714</v>
      </c>
      <c r="C458" s="3" t="str">
        <f>'1. Master Data'!D458</f>
        <v>Central DC</v>
      </c>
      <c r="D458" s="5" t="str">
        <f>'4. ABC XYZ Analysis'!K458</f>
        <v>C</v>
      </c>
      <c r="E458" s="5" t="str">
        <f>'4. ABC XYZ Analysis'!M458</f>
        <v>Y</v>
      </c>
      <c r="F458" s="4">
        <f>'1. Master Data'!F458</f>
        <v>24</v>
      </c>
      <c r="G458" s="3">
        <f>'1. Master Data'!G458</f>
        <v>21</v>
      </c>
      <c r="H458" s="8">
        <f>'3. Demand Forecast'!F458/$T$3</f>
        <v>41.831818181818178</v>
      </c>
      <c r="I458" s="8">
        <f>'3. Demand Forecast'!G458/SQRT($T$3)</f>
        <v>10.937196749042814</v>
      </c>
      <c r="J458" s="5">
        <f t="shared" si="42"/>
        <v>83</v>
      </c>
      <c r="K458" s="5">
        <f t="shared" si="43"/>
        <v>962</v>
      </c>
      <c r="L458" s="3">
        <f>IF(F458=0,0,ROUNDUP(SQRT(2*'4. ABC XYZ Analysis'!F458*$U$3/(F458*$V$3)),0))</f>
        <v>90</v>
      </c>
      <c r="M458" s="3">
        <f>'1. Master Data'!I458</f>
        <v>965</v>
      </c>
      <c r="N458" s="3">
        <f t="shared" si="44"/>
        <v>23</v>
      </c>
      <c r="O458" s="5" t="str">
        <f t="shared" si="45"/>
        <v>ORDER SOON</v>
      </c>
      <c r="P458" s="5" t="str">
        <f t="shared" si="46"/>
        <v>MEDIUM</v>
      </c>
      <c r="Q458" s="3" t="str">
        <f t="shared" si="47"/>
        <v>Reorder Point</v>
      </c>
    </row>
    <row r="459" spans="1:17" ht="15" customHeight="1" x14ac:dyDescent="0.2">
      <c r="A459" s="3" t="str">
        <f>'1. Master Data'!A459</f>
        <v>NT10455</v>
      </c>
      <c r="B459" s="1" t="str">
        <f>'1. Master Data'!B459</f>
        <v>Power Bank 10K V715</v>
      </c>
      <c r="C459" s="3" t="str">
        <f>'1. Master Data'!D459</f>
        <v>West DC</v>
      </c>
      <c r="D459" s="5" t="str">
        <f>'4. ABC XYZ Analysis'!K459</f>
        <v>C</v>
      </c>
      <c r="E459" s="5" t="str">
        <f>'4. ABC XYZ Analysis'!M459</f>
        <v>Y</v>
      </c>
      <c r="F459" s="4">
        <f>'1. Master Data'!F459</f>
        <v>24</v>
      </c>
      <c r="G459" s="3">
        <f>'1. Master Data'!G459</f>
        <v>13</v>
      </c>
      <c r="H459" s="8">
        <f>'3. Demand Forecast'!F459/$T$3</f>
        <v>30.518181818181816</v>
      </c>
      <c r="I459" s="8">
        <f>'3. Demand Forecast'!G459/SQRT($T$3)</f>
        <v>9.7219526658158362</v>
      </c>
      <c r="J459" s="5">
        <f t="shared" si="42"/>
        <v>58</v>
      </c>
      <c r="K459" s="5">
        <f t="shared" si="43"/>
        <v>455</v>
      </c>
      <c r="L459" s="3">
        <f>IF(F459=0,0,ROUNDUP(SQRT(2*'4. ABC XYZ Analysis'!F459*$U$3/(F459*$V$3)),0))</f>
        <v>46</v>
      </c>
      <c r="M459" s="3">
        <f>'1. Master Data'!I459</f>
        <v>458</v>
      </c>
      <c r="N459" s="3">
        <f t="shared" si="44"/>
        <v>15</v>
      </c>
      <c r="O459" s="5" t="str">
        <f t="shared" si="45"/>
        <v>ORDER SOON</v>
      </c>
      <c r="P459" s="5" t="str">
        <f t="shared" si="46"/>
        <v>MEDIUM</v>
      </c>
      <c r="Q459" s="3" t="str">
        <f t="shared" si="47"/>
        <v>Reorder Point</v>
      </c>
    </row>
    <row r="460" spans="1:17" ht="15" customHeight="1" x14ac:dyDescent="0.2">
      <c r="A460" s="3" t="str">
        <f>'1. Master Data'!A460</f>
        <v>NT10456</v>
      </c>
      <c r="B460" s="1" t="str">
        <f>'1. Master Data'!B460</f>
        <v>Phone Case Clear V184</v>
      </c>
      <c r="C460" s="3" t="str">
        <f>'1. Master Data'!D460</f>
        <v>East DC</v>
      </c>
      <c r="D460" s="5" t="str">
        <f>'4. ABC XYZ Analysis'!K460</f>
        <v>C</v>
      </c>
      <c r="E460" s="5" t="str">
        <f>'4. ABC XYZ Analysis'!M460</f>
        <v>X</v>
      </c>
      <c r="F460" s="4">
        <f>'1. Master Data'!F460</f>
        <v>34</v>
      </c>
      <c r="G460" s="3">
        <f>'1. Master Data'!G460</f>
        <v>12</v>
      </c>
      <c r="H460" s="8">
        <f>'3. Demand Forecast'!F460/$T$3</f>
        <v>10.549999999999999</v>
      </c>
      <c r="I460" s="8">
        <f>'3. Demand Forecast'!G460/SQRT($T$3)</f>
        <v>4.882296404543478</v>
      </c>
      <c r="J460" s="5">
        <f t="shared" si="42"/>
        <v>28</v>
      </c>
      <c r="K460" s="5">
        <f t="shared" si="43"/>
        <v>155</v>
      </c>
      <c r="L460" s="3">
        <f>IF(F460=0,0,ROUNDUP(SQRT(2*'4. ABC XYZ Analysis'!F460*$U$3/(F460*$V$3)),0))</f>
        <v>31</v>
      </c>
      <c r="M460" s="3">
        <f>'1. Master Data'!I460</f>
        <v>158</v>
      </c>
      <c r="N460" s="3">
        <f t="shared" si="44"/>
        <v>15</v>
      </c>
      <c r="O460" s="5" t="str">
        <f t="shared" si="45"/>
        <v>ORDER SOON</v>
      </c>
      <c r="P460" s="5" t="str">
        <f t="shared" si="46"/>
        <v>MEDIUM</v>
      </c>
      <c r="Q460" s="3" t="str">
        <f t="shared" si="47"/>
        <v>Reorder Point</v>
      </c>
    </row>
    <row r="461" spans="1:17" ht="15" customHeight="1" x14ac:dyDescent="0.2">
      <c r="A461" s="3" t="str">
        <f>'1. Master Data'!A461</f>
        <v>NT10457</v>
      </c>
      <c r="B461" s="1" t="str">
        <f>'1. Master Data'!B461</f>
        <v>Screen Guard 244</v>
      </c>
      <c r="C461" s="3" t="str">
        <f>'1. Master Data'!D461</f>
        <v>Central DC</v>
      </c>
      <c r="D461" s="5" t="str">
        <f>'4. ABC XYZ Analysis'!K461</f>
        <v>C</v>
      </c>
      <c r="E461" s="5" t="str">
        <f>'4. ABC XYZ Analysis'!M461</f>
        <v>Z</v>
      </c>
      <c r="F461" s="4">
        <f>'1. Master Data'!F461</f>
        <v>23</v>
      </c>
      <c r="G461" s="3">
        <f>'1. Master Data'!G461</f>
        <v>20</v>
      </c>
      <c r="H461" s="8">
        <f>'3. Demand Forecast'!F461/$T$3</f>
        <v>19.272727272727273</v>
      </c>
      <c r="I461" s="8">
        <f>'3. Demand Forecast'!G461/SQRT($T$3)</f>
        <v>5.607178840152554</v>
      </c>
      <c r="J461" s="5">
        <f t="shared" si="42"/>
        <v>42</v>
      </c>
      <c r="K461" s="5">
        <f t="shared" si="43"/>
        <v>428</v>
      </c>
      <c r="L461" s="3">
        <f>IF(F461=0,0,ROUNDUP(SQRT(2*'4. ABC XYZ Analysis'!F461*$U$3/(F461*$V$3)),0))</f>
        <v>38</v>
      </c>
      <c r="M461" s="3">
        <f>'1. Master Data'!I461</f>
        <v>431</v>
      </c>
      <c r="N461" s="3">
        <f t="shared" si="44"/>
        <v>22</v>
      </c>
      <c r="O461" s="5" t="str">
        <f t="shared" si="45"/>
        <v>ORDER SOON</v>
      </c>
      <c r="P461" s="5" t="str">
        <f t="shared" si="46"/>
        <v>MEDIUM</v>
      </c>
      <c r="Q461" s="3" t="str">
        <f t="shared" si="47"/>
        <v>Min Max</v>
      </c>
    </row>
    <row r="462" spans="1:17" ht="15" customHeight="1" x14ac:dyDescent="0.2">
      <c r="A462" s="3" t="str">
        <f>'1. Master Data'!A462</f>
        <v>NT10458</v>
      </c>
      <c r="B462" s="1" t="str">
        <f>'1. Master Data'!B462</f>
        <v>Screen Guard 376</v>
      </c>
      <c r="C462" s="3" t="str">
        <f>'1. Master Data'!D462</f>
        <v>West DC</v>
      </c>
      <c r="D462" s="5" t="str">
        <f>'4. ABC XYZ Analysis'!K462</f>
        <v>C</v>
      </c>
      <c r="E462" s="5" t="str">
        <f>'4. ABC XYZ Analysis'!M462</f>
        <v>Z</v>
      </c>
      <c r="F462" s="4">
        <f>'1. Master Data'!F462</f>
        <v>37</v>
      </c>
      <c r="G462" s="3">
        <f>'1. Master Data'!G462</f>
        <v>18</v>
      </c>
      <c r="H462" s="8">
        <f>'3. Demand Forecast'!F462/$T$3</f>
        <v>15.581818181818182</v>
      </c>
      <c r="I462" s="8">
        <f>'3. Demand Forecast'!G462/SQRT($T$3)</f>
        <v>4.6264555449167464</v>
      </c>
      <c r="J462" s="5">
        <f t="shared" si="42"/>
        <v>33</v>
      </c>
      <c r="K462" s="5">
        <f t="shared" si="43"/>
        <v>314</v>
      </c>
      <c r="L462" s="3">
        <f>IF(F462=0,0,ROUNDUP(SQRT(2*'4. ABC XYZ Analysis'!F462*$U$3/(F462*$V$3)),0))</f>
        <v>18</v>
      </c>
      <c r="M462" s="3">
        <f>'1. Master Data'!I462</f>
        <v>1445</v>
      </c>
      <c r="N462" s="3">
        <f t="shared" si="44"/>
        <v>93</v>
      </c>
      <c r="O462" s="5" t="str">
        <f t="shared" si="45"/>
        <v>OK</v>
      </c>
      <c r="P462" s="5" t="str">
        <f t="shared" si="46"/>
        <v>LOW</v>
      </c>
      <c r="Q462" s="3" t="str">
        <f t="shared" si="47"/>
        <v>Min Max</v>
      </c>
    </row>
    <row r="463" spans="1:17" ht="15" customHeight="1" x14ac:dyDescent="0.2">
      <c r="A463" s="3" t="str">
        <f>'1. Master Data'!A463</f>
        <v>NT10459</v>
      </c>
      <c r="B463" s="1" t="str">
        <f>'1. Master Data'!B463</f>
        <v>Wall Charger 65W V938</v>
      </c>
      <c r="C463" s="3" t="str">
        <f>'1. Master Data'!D463</f>
        <v>East DC</v>
      </c>
      <c r="D463" s="5" t="str">
        <f>'4. ABC XYZ Analysis'!K463</f>
        <v>C</v>
      </c>
      <c r="E463" s="5" t="str">
        <f>'4. ABC XYZ Analysis'!M463</f>
        <v>X</v>
      </c>
      <c r="F463" s="4">
        <f>'1. Master Data'!F463</f>
        <v>29</v>
      </c>
      <c r="G463" s="3">
        <f>'1. Master Data'!G463</f>
        <v>20</v>
      </c>
      <c r="H463" s="8">
        <f>'3. Demand Forecast'!F463/$T$3</f>
        <v>6.1590909090909092</v>
      </c>
      <c r="I463" s="8">
        <f>'3. Demand Forecast'!G463/SQRT($T$3)</f>
        <v>1.5350451577603952</v>
      </c>
      <c r="J463" s="5">
        <f t="shared" si="42"/>
        <v>12</v>
      </c>
      <c r="K463" s="5">
        <f t="shared" si="43"/>
        <v>136</v>
      </c>
      <c r="L463" s="3">
        <f>IF(F463=0,0,ROUNDUP(SQRT(2*'4. ABC XYZ Analysis'!F463*$U$3/(F463*$V$3)),0))</f>
        <v>148</v>
      </c>
      <c r="M463" s="3">
        <f>'1. Master Data'!I463</f>
        <v>455</v>
      </c>
      <c r="N463" s="3">
        <f t="shared" si="44"/>
        <v>74</v>
      </c>
      <c r="O463" s="5" t="str">
        <f t="shared" si="45"/>
        <v>OK</v>
      </c>
      <c r="P463" s="5" t="str">
        <f t="shared" si="46"/>
        <v>LOW</v>
      </c>
      <c r="Q463" s="3" t="str">
        <f t="shared" si="47"/>
        <v>Reorder Point</v>
      </c>
    </row>
    <row r="464" spans="1:17" ht="15" customHeight="1" x14ac:dyDescent="0.2">
      <c r="A464" s="3" t="str">
        <f>'1. Master Data'!A464</f>
        <v>NT10460</v>
      </c>
      <c r="B464" s="1" t="str">
        <f>'1. Master Data'!B464</f>
        <v>Power Bank 10K V876</v>
      </c>
      <c r="C464" s="3" t="str">
        <f>'1. Master Data'!D464</f>
        <v>West DC</v>
      </c>
      <c r="D464" s="5" t="str">
        <f>'4. ABC XYZ Analysis'!K464</f>
        <v>C</v>
      </c>
      <c r="E464" s="5" t="str">
        <f>'4. ABC XYZ Analysis'!M464</f>
        <v>X</v>
      </c>
      <c r="F464" s="4">
        <f>'1. Master Data'!F464</f>
        <v>18</v>
      </c>
      <c r="G464" s="3">
        <f>'1. Master Data'!G464</f>
        <v>16</v>
      </c>
      <c r="H464" s="8">
        <f>'3. Demand Forecast'!F464/$T$3</f>
        <v>11.381818181818183</v>
      </c>
      <c r="I464" s="8">
        <f>'3. Demand Forecast'!G464/SQRT($T$3)</f>
        <v>2.7289691693518137</v>
      </c>
      <c r="J464" s="5">
        <f t="shared" si="42"/>
        <v>19</v>
      </c>
      <c r="K464" s="5">
        <f t="shared" si="43"/>
        <v>202</v>
      </c>
      <c r="L464" s="3">
        <f>IF(F464=0,0,ROUNDUP(SQRT(2*'4. ABC XYZ Analysis'!F464*$U$3/(F464*$V$3)),0))</f>
        <v>306</v>
      </c>
      <c r="M464" s="3">
        <f>'1. Master Data'!I464</f>
        <v>205</v>
      </c>
      <c r="N464" s="3">
        <f t="shared" si="44"/>
        <v>18</v>
      </c>
      <c r="O464" s="5" t="str">
        <f t="shared" si="45"/>
        <v>ORDER SOON</v>
      </c>
      <c r="P464" s="5" t="str">
        <f t="shared" si="46"/>
        <v>MEDIUM</v>
      </c>
      <c r="Q464" s="3" t="str">
        <f t="shared" si="47"/>
        <v>Reorder Point</v>
      </c>
    </row>
    <row r="465" spans="1:17" ht="15" customHeight="1" x14ac:dyDescent="0.2">
      <c r="A465" s="3" t="str">
        <f>'1. Master Data'!A465</f>
        <v>NT10461</v>
      </c>
      <c r="B465" s="1" t="str">
        <f>'1. Master Data'!B465</f>
        <v>USB C Cable 2m V317</v>
      </c>
      <c r="C465" s="3" t="str">
        <f>'1. Master Data'!D465</f>
        <v>Central DC</v>
      </c>
      <c r="D465" s="5" t="str">
        <f>'4. ABC XYZ Analysis'!K465</f>
        <v>C</v>
      </c>
      <c r="E465" s="5" t="str">
        <f>'4. ABC XYZ Analysis'!M465</f>
        <v>Y</v>
      </c>
      <c r="F465" s="4">
        <f>'1. Master Data'!F465</f>
        <v>6</v>
      </c>
      <c r="G465" s="3">
        <f>'1. Master Data'!G465</f>
        <v>12</v>
      </c>
      <c r="H465" s="8">
        <f>'3. Demand Forecast'!F465/$T$3</f>
        <v>15.859090909090908</v>
      </c>
      <c r="I465" s="8">
        <f>'3. Demand Forecast'!G465/SQRT($T$3)</f>
        <v>3.9228931809432317</v>
      </c>
      <c r="J465" s="5">
        <f t="shared" si="42"/>
        <v>23</v>
      </c>
      <c r="K465" s="5">
        <f t="shared" si="43"/>
        <v>214</v>
      </c>
      <c r="L465" s="3">
        <f>IF(F465=0,0,ROUNDUP(SQRT(2*'4. ABC XYZ Analysis'!F465*$U$3/(F465*$V$3)),0))</f>
        <v>108</v>
      </c>
      <c r="M465" s="3">
        <f>'1. Master Data'!I465</f>
        <v>217</v>
      </c>
      <c r="N465" s="3">
        <f t="shared" si="44"/>
        <v>14</v>
      </c>
      <c r="O465" s="5" t="str">
        <f t="shared" si="45"/>
        <v>ORDER SOON</v>
      </c>
      <c r="P465" s="5" t="str">
        <f t="shared" si="46"/>
        <v>MEDIUM</v>
      </c>
      <c r="Q465" s="3" t="str">
        <f t="shared" si="47"/>
        <v>Reorder Point</v>
      </c>
    </row>
    <row r="466" spans="1:17" ht="15" customHeight="1" x14ac:dyDescent="0.2">
      <c r="A466" s="3" t="str">
        <f>'1. Master Data'!A466</f>
        <v>NT10462</v>
      </c>
      <c r="B466" s="1" t="str">
        <f>'1. Master Data'!B466</f>
        <v>Wall Charger 65W V731</v>
      </c>
      <c r="C466" s="3" t="str">
        <f>'1. Master Data'!D466</f>
        <v>East DC</v>
      </c>
      <c r="D466" s="5" t="str">
        <f>'4. ABC XYZ Analysis'!K466</f>
        <v>C</v>
      </c>
      <c r="E466" s="5" t="str">
        <f>'4. ABC XYZ Analysis'!M466</f>
        <v>Z</v>
      </c>
      <c r="F466" s="4">
        <f>'1. Master Data'!F466</f>
        <v>14</v>
      </c>
      <c r="G466" s="3">
        <f>'1. Master Data'!G466</f>
        <v>8</v>
      </c>
      <c r="H466" s="8">
        <f>'3. Demand Forecast'!F466/$T$3</f>
        <v>32.918181818181822</v>
      </c>
      <c r="I466" s="8">
        <f>'3. Demand Forecast'!G466/SQRT($T$3)</f>
        <v>10.254954456704862</v>
      </c>
      <c r="J466" s="5">
        <f t="shared" si="42"/>
        <v>48</v>
      </c>
      <c r="K466" s="5">
        <f t="shared" si="43"/>
        <v>312</v>
      </c>
      <c r="L466" s="3">
        <f>IF(F466=0,0,ROUNDUP(SQRT(2*'4. ABC XYZ Analysis'!F466*$U$3/(F466*$V$3)),0))</f>
        <v>314</v>
      </c>
      <c r="M466" s="3">
        <f>'1. Master Data'!I466</f>
        <v>3259</v>
      </c>
      <c r="N466" s="3">
        <f t="shared" si="44"/>
        <v>99</v>
      </c>
      <c r="O466" s="5" t="str">
        <f t="shared" si="45"/>
        <v>OK</v>
      </c>
      <c r="P466" s="5" t="str">
        <f t="shared" si="46"/>
        <v>LOW</v>
      </c>
      <c r="Q466" s="3" t="str">
        <f t="shared" si="47"/>
        <v>Min Max</v>
      </c>
    </row>
    <row r="467" spans="1:17" ht="15" customHeight="1" x14ac:dyDescent="0.2">
      <c r="A467" s="3" t="str">
        <f>'1. Master Data'!A467</f>
        <v>NT10463</v>
      </c>
      <c r="B467" s="1" t="str">
        <f>'1. Master Data'!B467</f>
        <v>HDMI Cable 4K V901</v>
      </c>
      <c r="C467" s="3" t="str">
        <f>'1. Master Data'!D467</f>
        <v>West DC</v>
      </c>
      <c r="D467" s="5" t="str">
        <f>'4. ABC XYZ Analysis'!K467</f>
        <v>C</v>
      </c>
      <c r="E467" s="5" t="str">
        <f>'4. ABC XYZ Analysis'!M467</f>
        <v>X</v>
      </c>
      <c r="F467" s="4">
        <f>'1. Master Data'!F467</f>
        <v>36</v>
      </c>
      <c r="G467" s="3">
        <f>'1. Master Data'!G467</f>
        <v>7</v>
      </c>
      <c r="H467" s="8">
        <f>'3. Demand Forecast'!F467/$T$3</f>
        <v>21.077272727272728</v>
      </c>
      <c r="I467" s="8">
        <f>'3. Demand Forecast'!G467/SQRT($T$3)</f>
        <v>11.363598181754035</v>
      </c>
      <c r="J467" s="5">
        <f t="shared" si="42"/>
        <v>50</v>
      </c>
      <c r="K467" s="5">
        <f t="shared" si="43"/>
        <v>198</v>
      </c>
      <c r="L467" s="3">
        <f>IF(F467=0,0,ROUNDUP(SQRT(2*'4. ABC XYZ Analysis'!F467*$U$3/(F467*$V$3)),0))</f>
        <v>119</v>
      </c>
      <c r="M467" s="3">
        <f>'1. Master Data'!I467</f>
        <v>201</v>
      </c>
      <c r="N467" s="3">
        <f t="shared" si="44"/>
        <v>10</v>
      </c>
      <c r="O467" s="5" t="str">
        <f t="shared" si="45"/>
        <v>ORDER SOON</v>
      </c>
      <c r="P467" s="5" t="str">
        <f t="shared" si="46"/>
        <v>MEDIUM</v>
      </c>
      <c r="Q467" s="3" t="str">
        <f t="shared" si="47"/>
        <v>Reorder Point</v>
      </c>
    </row>
    <row r="468" spans="1:17" ht="15" customHeight="1" x14ac:dyDescent="0.2">
      <c r="A468" s="3" t="str">
        <f>'1. Master Data'!A468</f>
        <v>NT10464</v>
      </c>
      <c r="B468" s="1" t="str">
        <f>'1. Master Data'!B468</f>
        <v>Phone Case Clear V580</v>
      </c>
      <c r="C468" s="3" t="str">
        <f>'1. Master Data'!D468</f>
        <v>Central DC</v>
      </c>
      <c r="D468" s="5" t="str">
        <f>'4. ABC XYZ Analysis'!K468</f>
        <v>C</v>
      </c>
      <c r="E468" s="5" t="str">
        <f>'4. ABC XYZ Analysis'!M468</f>
        <v>Y</v>
      </c>
      <c r="F468" s="4">
        <f>'1. Master Data'!F468</f>
        <v>27</v>
      </c>
      <c r="G468" s="3">
        <f>'1. Master Data'!G468</f>
        <v>8</v>
      </c>
      <c r="H468" s="8">
        <f>'3. Demand Forecast'!F468/$T$3</f>
        <v>2.4</v>
      </c>
      <c r="I468" s="8">
        <f>'3. Demand Forecast'!G468/SQRT($T$3)</f>
        <v>1.2152440832269795</v>
      </c>
      <c r="J468" s="5">
        <f t="shared" si="42"/>
        <v>6</v>
      </c>
      <c r="K468" s="5">
        <f t="shared" si="43"/>
        <v>26</v>
      </c>
      <c r="L468" s="3">
        <f>IF(F468=0,0,ROUNDUP(SQRT(2*'4. ABC XYZ Analysis'!F468*$U$3/(F468*$V$3)),0))</f>
        <v>45</v>
      </c>
      <c r="M468" s="3">
        <f>'1. Master Data'!I468</f>
        <v>232</v>
      </c>
      <c r="N468" s="3">
        <f t="shared" si="44"/>
        <v>97</v>
      </c>
      <c r="O468" s="5" t="str">
        <f t="shared" si="45"/>
        <v>OK</v>
      </c>
      <c r="P468" s="5" t="str">
        <f t="shared" si="46"/>
        <v>LOW</v>
      </c>
      <c r="Q468" s="3" t="str">
        <f t="shared" si="47"/>
        <v>Reorder Point</v>
      </c>
    </row>
    <row r="469" spans="1:17" ht="15" customHeight="1" x14ac:dyDescent="0.2">
      <c r="A469" s="3" t="str">
        <f>'1. Master Data'!A469</f>
        <v>NT10465</v>
      </c>
      <c r="B469" s="1" t="str">
        <f>'1. Master Data'!B469</f>
        <v>Power Bank 10K V432</v>
      </c>
      <c r="C469" s="3" t="str">
        <f>'1. Master Data'!D469</f>
        <v>Central DC</v>
      </c>
      <c r="D469" s="5" t="str">
        <f>'4. ABC XYZ Analysis'!K469</f>
        <v>C</v>
      </c>
      <c r="E469" s="5" t="str">
        <f>'4. ABC XYZ Analysis'!M469</f>
        <v>Y</v>
      </c>
      <c r="F469" s="4">
        <f>'1. Master Data'!F469</f>
        <v>37</v>
      </c>
      <c r="G469" s="3">
        <f>'1. Master Data'!G469</f>
        <v>12</v>
      </c>
      <c r="H469" s="8">
        <f>'3. Demand Forecast'!F469/$T$3</f>
        <v>3.65</v>
      </c>
      <c r="I469" s="8">
        <f>'3. Demand Forecast'!G469/SQRT($T$3)</f>
        <v>1.2152440832269795</v>
      </c>
      <c r="J469" s="5">
        <f t="shared" si="42"/>
        <v>7</v>
      </c>
      <c r="K469" s="5">
        <f t="shared" si="43"/>
        <v>51</v>
      </c>
      <c r="L469" s="3">
        <f>IF(F469=0,0,ROUNDUP(SQRT(2*'4. ABC XYZ Analysis'!F469*$U$3/(F469*$V$3)),0))</f>
        <v>18</v>
      </c>
      <c r="M469" s="3">
        <f>'1. Master Data'!I469</f>
        <v>54</v>
      </c>
      <c r="N469" s="3">
        <f t="shared" si="44"/>
        <v>15</v>
      </c>
      <c r="O469" s="5" t="str">
        <f t="shared" si="45"/>
        <v>ORDER SOON</v>
      </c>
      <c r="P469" s="5" t="str">
        <f t="shared" si="46"/>
        <v>MEDIUM</v>
      </c>
      <c r="Q469" s="3" t="str">
        <f t="shared" si="47"/>
        <v>Reorder Point</v>
      </c>
    </row>
    <row r="470" spans="1:17" ht="15" customHeight="1" x14ac:dyDescent="0.2">
      <c r="A470" s="3" t="str">
        <f>'1. Master Data'!A470</f>
        <v>NT10466</v>
      </c>
      <c r="B470" s="1" t="str">
        <f>'1. Master Data'!B470</f>
        <v>USB C Cable 2m V607</v>
      </c>
      <c r="C470" s="3" t="str">
        <f>'1. Master Data'!D470</f>
        <v>East DC</v>
      </c>
      <c r="D470" s="5" t="str">
        <f>'4. ABC XYZ Analysis'!K470</f>
        <v>C</v>
      </c>
      <c r="E470" s="5" t="str">
        <f>'4. ABC XYZ Analysis'!M470</f>
        <v>X</v>
      </c>
      <c r="F470" s="4">
        <f>'1. Master Data'!F470</f>
        <v>39</v>
      </c>
      <c r="G470" s="3">
        <f>'1. Master Data'!G470</f>
        <v>7</v>
      </c>
      <c r="H470" s="8">
        <f>'3. Demand Forecast'!F470/$T$3</f>
        <v>43.309090909090905</v>
      </c>
      <c r="I470" s="8">
        <f>'3. Demand Forecast'!G470/SQRT($T$3)</f>
        <v>178.38503937473925</v>
      </c>
      <c r="J470" s="5">
        <f t="shared" si="42"/>
        <v>779</v>
      </c>
      <c r="K470" s="5">
        <f t="shared" si="43"/>
        <v>1083</v>
      </c>
      <c r="L470" s="3">
        <f>IF(F470=0,0,ROUNDUP(SQRT(2*'4. ABC XYZ Analysis'!F470*$U$3/(F470*$V$3)),0))</f>
        <v>26</v>
      </c>
      <c r="M470" s="3">
        <f>'1. Master Data'!I470</f>
        <v>1086</v>
      </c>
      <c r="N470" s="3">
        <f t="shared" si="44"/>
        <v>25</v>
      </c>
      <c r="O470" s="5" t="str">
        <f t="shared" si="45"/>
        <v>ORDER SOON</v>
      </c>
      <c r="P470" s="5" t="str">
        <f t="shared" si="46"/>
        <v>MEDIUM</v>
      </c>
      <c r="Q470" s="3" t="str">
        <f t="shared" si="47"/>
        <v>Reorder Point</v>
      </c>
    </row>
    <row r="471" spans="1:17" ht="15" customHeight="1" x14ac:dyDescent="0.2">
      <c r="A471" s="3" t="str">
        <f>'1. Master Data'!A471</f>
        <v>NT10467</v>
      </c>
      <c r="B471" s="1" t="str">
        <f>'1. Master Data'!B471</f>
        <v>Screen Guard 172</v>
      </c>
      <c r="C471" s="3" t="str">
        <f>'1. Master Data'!D471</f>
        <v>Central DC</v>
      </c>
      <c r="D471" s="5" t="str">
        <f>'4. ABC XYZ Analysis'!K471</f>
        <v>C</v>
      </c>
      <c r="E471" s="5" t="str">
        <f>'4. ABC XYZ Analysis'!M471</f>
        <v>Z</v>
      </c>
      <c r="F471" s="4">
        <f>'1. Master Data'!F471</f>
        <v>6</v>
      </c>
      <c r="G471" s="3">
        <f>'1. Master Data'!G471</f>
        <v>12</v>
      </c>
      <c r="H471" s="8">
        <f>'3. Demand Forecast'!F471/$T$3</f>
        <v>25.709090909090911</v>
      </c>
      <c r="I471" s="8">
        <f>'3. Demand Forecast'!G471/SQRT($T$3)</f>
        <v>14.689529356901559</v>
      </c>
      <c r="J471" s="5">
        <f t="shared" si="42"/>
        <v>84</v>
      </c>
      <c r="K471" s="5">
        <f t="shared" si="43"/>
        <v>393</v>
      </c>
      <c r="L471" s="3">
        <f>IF(F471=0,0,ROUNDUP(SQRT(2*'4. ABC XYZ Analysis'!F471*$U$3/(F471*$V$3)),0))</f>
        <v>58</v>
      </c>
      <c r="M471" s="3">
        <f>'1. Master Data'!I471</f>
        <v>396</v>
      </c>
      <c r="N471" s="3">
        <f t="shared" si="44"/>
        <v>15</v>
      </c>
      <c r="O471" s="5" t="str">
        <f t="shared" si="45"/>
        <v>ORDER SOON</v>
      </c>
      <c r="P471" s="5" t="str">
        <f t="shared" si="46"/>
        <v>MEDIUM</v>
      </c>
      <c r="Q471" s="3" t="str">
        <f t="shared" si="47"/>
        <v>Min Max</v>
      </c>
    </row>
    <row r="472" spans="1:17" ht="15" customHeight="1" x14ac:dyDescent="0.2">
      <c r="A472" s="3" t="str">
        <f>'1. Master Data'!A472</f>
        <v>NT10468</v>
      </c>
      <c r="B472" s="1" t="str">
        <f>'1. Master Data'!B472</f>
        <v>Car Mount V982</v>
      </c>
      <c r="C472" s="3" t="str">
        <f>'1. Master Data'!D472</f>
        <v>West DC</v>
      </c>
      <c r="D472" s="5" t="str">
        <f>'4. ABC XYZ Analysis'!K472</f>
        <v>C</v>
      </c>
      <c r="E472" s="5" t="str">
        <f>'4. ABC XYZ Analysis'!M472</f>
        <v>X</v>
      </c>
      <c r="F472" s="4">
        <f>'1. Master Data'!F472</f>
        <v>29</v>
      </c>
      <c r="G472" s="3">
        <f>'1. Master Data'!G472</f>
        <v>11</v>
      </c>
      <c r="H472" s="8">
        <f>'3. Demand Forecast'!F472/$T$3</f>
        <v>44.895454545454548</v>
      </c>
      <c r="I472" s="8">
        <f>'3. Demand Forecast'!G472/SQRT($T$3)</f>
        <v>10.745316104322765</v>
      </c>
      <c r="J472" s="5">
        <f t="shared" si="42"/>
        <v>59</v>
      </c>
      <c r="K472" s="5">
        <f t="shared" si="43"/>
        <v>553</v>
      </c>
      <c r="L472" s="3">
        <f>IF(F472=0,0,ROUNDUP(SQRT(2*'4. ABC XYZ Analysis'!F472*$U$3/(F472*$V$3)),0))</f>
        <v>185</v>
      </c>
      <c r="M472" s="3">
        <f>'1. Master Data'!I472</f>
        <v>556</v>
      </c>
      <c r="N472" s="3">
        <f t="shared" si="44"/>
        <v>12</v>
      </c>
      <c r="O472" s="5" t="str">
        <f t="shared" si="45"/>
        <v>ORDER SOON</v>
      </c>
      <c r="P472" s="5" t="str">
        <f t="shared" si="46"/>
        <v>MEDIUM</v>
      </c>
      <c r="Q472" s="3" t="str">
        <f t="shared" si="47"/>
        <v>Reorder Point</v>
      </c>
    </row>
    <row r="473" spans="1:17" ht="15" customHeight="1" x14ac:dyDescent="0.2">
      <c r="A473" s="3" t="str">
        <f>'1. Master Data'!A473</f>
        <v>NT10469</v>
      </c>
      <c r="B473" s="1" t="str">
        <f>'1. Master Data'!B473</f>
        <v>Power Bank 10K V103</v>
      </c>
      <c r="C473" s="3" t="str">
        <f>'1. Master Data'!D473</f>
        <v>East DC</v>
      </c>
      <c r="D473" s="5" t="str">
        <f>'4. ABC XYZ Analysis'!K473</f>
        <v>C</v>
      </c>
      <c r="E473" s="5" t="str">
        <f>'4. ABC XYZ Analysis'!M473</f>
        <v>Y</v>
      </c>
      <c r="F473" s="4">
        <f>'1. Master Data'!F473</f>
        <v>19</v>
      </c>
      <c r="G473" s="3">
        <f>'1. Master Data'!G473</f>
        <v>10</v>
      </c>
      <c r="H473" s="8">
        <f>'3. Demand Forecast'!F473/$T$3</f>
        <v>4.7681818181818185</v>
      </c>
      <c r="I473" s="8">
        <f>'3. Demand Forecast'!G473/SQRT($T$3)</f>
        <v>1.9614465904716158</v>
      </c>
      <c r="J473" s="5">
        <f t="shared" si="42"/>
        <v>11</v>
      </c>
      <c r="K473" s="5">
        <f t="shared" si="43"/>
        <v>59</v>
      </c>
      <c r="L473" s="3">
        <f>IF(F473=0,0,ROUNDUP(SQRT(2*'4. ABC XYZ Analysis'!F473*$U$3/(F473*$V$3)),0))</f>
        <v>111</v>
      </c>
      <c r="M473" s="3">
        <f>'1. Master Data'!I473</f>
        <v>62</v>
      </c>
      <c r="N473" s="3">
        <f t="shared" si="44"/>
        <v>13</v>
      </c>
      <c r="O473" s="5" t="str">
        <f t="shared" si="45"/>
        <v>ORDER SOON</v>
      </c>
      <c r="P473" s="5" t="str">
        <f t="shared" si="46"/>
        <v>MEDIUM</v>
      </c>
      <c r="Q473" s="3" t="str">
        <f t="shared" si="47"/>
        <v>Reorder Point</v>
      </c>
    </row>
    <row r="474" spans="1:17" ht="15" customHeight="1" x14ac:dyDescent="0.2">
      <c r="A474" s="3" t="str">
        <f>'1. Master Data'!A474</f>
        <v>NT10470</v>
      </c>
      <c r="B474" s="1" t="str">
        <f>'1. Master Data'!B474</f>
        <v>Power Bank 10K V409</v>
      </c>
      <c r="C474" s="3" t="str">
        <f>'1. Master Data'!D474</f>
        <v>Central DC</v>
      </c>
      <c r="D474" s="5" t="str">
        <f>'4. ABC XYZ Analysis'!K474</f>
        <v>C</v>
      </c>
      <c r="E474" s="5" t="str">
        <f>'4. ABC XYZ Analysis'!M474</f>
        <v>Z</v>
      </c>
      <c r="F474" s="4">
        <f>'1. Master Data'!F474</f>
        <v>17</v>
      </c>
      <c r="G474" s="3">
        <f>'1. Master Data'!G474</f>
        <v>12</v>
      </c>
      <c r="H474" s="8">
        <f>'3. Demand Forecast'!F474/$T$3</f>
        <v>41.309090909090905</v>
      </c>
      <c r="I474" s="8">
        <f>'3. Demand Forecast'!G474/SQRT($T$3)</f>
        <v>14.518968783817069</v>
      </c>
      <c r="J474" s="5">
        <f t="shared" si="42"/>
        <v>83</v>
      </c>
      <c r="K474" s="5">
        <f t="shared" si="43"/>
        <v>579</v>
      </c>
      <c r="L474" s="3">
        <f>IF(F474=0,0,ROUNDUP(SQRT(2*'4. ABC XYZ Analysis'!F474*$U$3/(F474*$V$3)),0))</f>
        <v>124</v>
      </c>
      <c r="M474" s="3">
        <f>'1. Master Data'!I474</f>
        <v>582</v>
      </c>
      <c r="N474" s="3">
        <f t="shared" si="44"/>
        <v>14</v>
      </c>
      <c r="O474" s="5" t="str">
        <f t="shared" si="45"/>
        <v>ORDER SOON</v>
      </c>
      <c r="P474" s="5" t="str">
        <f t="shared" si="46"/>
        <v>MEDIUM</v>
      </c>
      <c r="Q474" s="3" t="str">
        <f t="shared" si="47"/>
        <v>Min Max</v>
      </c>
    </row>
    <row r="475" spans="1:17" ht="15" customHeight="1" x14ac:dyDescent="0.2">
      <c r="A475" s="3" t="str">
        <f>'1. Master Data'!A475</f>
        <v>NT10471</v>
      </c>
      <c r="B475" s="1" t="str">
        <f>'1. Master Data'!B475</f>
        <v>Phone Case Clear V314</v>
      </c>
      <c r="C475" s="3" t="str">
        <f>'1. Master Data'!D475</f>
        <v>Central DC</v>
      </c>
      <c r="D475" s="5" t="str">
        <f>'4. ABC XYZ Analysis'!K475</f>
        <v>C</v>
      </c>
      <c r="E475" s="5" t="str">
        <f>'4. ABC XYZ Analysis'!M475</f>
        <v>Z</v>
      </c>
      <c r="F475" s="4">
        <f>'1. Master Data'!F475</f>
        <v>7</v>
      </c>
      <c r="G475" s="3">
        <f>'1. Master Data'!G475</f>
        <v>7</v>
      </c>
      <c r="H475" s="8">
        <f>'3. Demand Forecast'!F475/$T$3</f>
        <v>12.990909090909092</v>
      </c>
      <c r="I475" s="8">
        <f>'3. Demand Forecast'!G475/SQRT($T$3)</f>
        <v>64.130775479767621</v>
      </c>
      <c r="J475" s="5">
        <f t="shared" si="42"/>
        <v>280</v>
      </c>
      <c r="K475" s="5">
        <f t="shared" si="43"/>
        <v>371</v>
      </c>
      <c r="L475" s="3">
        <f>IF(F475=0,0,ROUNDUP(SQRT(2*'4. ABC XYZ Analysis'!F475*$U$3/(F475*$V$3)),0))</f>
        <v>68</v>
      </c>
      <c r="M475" s="3">
        <f>'1. Master Data'!I475</f>
        <v>374</v>
      </c>
      <c r="N475" s="3">
        <f t="shared" si="44"/>
        <v>29</v>
      </c>
      <c r="O475" s="5" t="str">
        <f t="shared" si="45"/>
        <v>ORDER SOON</v>
      </c>
      <c r="P475" s="5" t="str">
        <f t="shared" si="46"/>
        <v>MEDIUM</v>
      </c>
      <c r="Q475" s="3" t="str">
        <f t="shared" si="47"/>
        <v>Min Max</v>
      </c>
    </row>
    <row r="476" spans="1:17" ht="15" customHeight="1" x14ac:dyDescent="0.2">
      <c r="A476" s="3" t="str">
        <f>'1. Master Data'!A476</f>
        <v>NT10472</v>
      </c>
      <c r="B476" s="1" t="str">
        <f>'1. Master Data'!B476</f>
        <v>Laptop Sleeve 15in V535</v>
      </c>
      <c r="C476" s="3" t="str">
        <f>'1. Master Data'!D476</f>
        <v>West DC</v>
      </c>
      <c r="D476" s="5" t="str">
        <f>'4. ABC XYZ Analysis'!K476</f>
        <v>C</v>
      </c>
      <c r="E476" s="5" t="str">
        <f>'4. ABC XYZ Analysis'!M476</f>
        <v>Y</v>
      </c>
      <c r="F476" s="4">
        <f>'1. Master Data'!F476</f>
        <v>6</v>
      </c>
      <c r="G476" s="3">
        <f>'1. Master Data'!G476</f>
        <v>12</v>
      </c>
      <c r="H476" s="8">
        <f>'3. Demand Forecast'!F476/$T$3</f>
        <v>8.377272727272727</v>
      </c>
      <c r="I476" s="8">
        <f>'3. Demand Forecast'!G476/SQRT($T$3)</f>
        <v>2.9208498140718628</v>
      </c>
      <c r="J476" s="5">
        <f t="shared" si="42"/>
        <v>17</v>
      </c>
      <c r="K476" s="5">
        <f t="shared" si="43"/>
        <v>118</v>
      </c>
      <c r="L476" s="3">
        <f>IF(F476=0,0,ROUNDUP(SQRT(2*'4. ABC XYZ Analysis'!F476*$U$3/(F476*$V$3)),0))</f>
        <v>35</v>
      </c>
      <c r="M476" s="3">
        <f>'1. Master Data'!I476</f>
        <v>121</v>
      </c>
      <c r="N476" s="3">
        <f t="shared" si="44"/>
        <v>14</v>
      </c>
      <c r="O476" s="5" t="str">
        <f t="shared" si="45"/>
        <v>ORDER SOON</v>
      </c>
      <c r="P476" s="5" t="str">
        <f t="shared" si="46"/>
        <v>MEDIUM</v>
      </c>
      <c r="Q476" s="3" t="str">
        <f t="shared" si="47"/>
        <v>Reorder Point</v>
      </c>
    </row>
    <row r="477" spans="1:17" ht="15" customHeight="1" x14ac:dyDescent="0.2">
      <c r="A477" s="3" t="str">
        <f>'1. Master Data'!A477</f>
        <v>NT10473</v>
      </c>
      <c r="B477" s="1" t="str">
        <f>'1. Master Data'!B477</f>
        <v>HDMI Cable 4K V358</v>
      </c>
      <c r="C477" s="3" t="str">
        <f>'1. Master Data'!D477</f>
        <v>West DC</v>
      </c>
      <c r="D477" s="5" t="str">
        <f>'4. ABC XYZ Analysis'!K477</f>
        <v>C</v>
      </c>
      <c r="E477" s="5" t="str">
        <f>'4. ABC XYZ Analysis'!M477</f>
        <v>X</v>
      </c>
      <c r="F477" s="4">
        <f>'1. Master Data'!F477</f>
        <v>9</v>
      </c>
      <c r="G477" s="3">
        <f>'1. Master Data'!G477</f>
        <v>17</v>
      </c>
      <c r="H477" s="8">
        <f>'3. Demand Forecast'!F477/$T$3</f>
        <v>18.040909090909089</v>
      </c>
      <c r="I477" s="8">
        <f>'3. Demand Forecast'!G477/SQRT($T$3)</f>
        <v>4.157413968934403</v>
      </c>
      <c r="J477" s="5">
        <f t="shared" si="42"/>
        <v>29</v>
      </c>
      <c r="K477" s="5">
        <f t="shared" si="43"/>
        <v>336</v>
      </c>
      <c r="L477" s="3">
        <f>IF(F477=0,0,ROUNDUP(SQRT(2*'4. ABC XYZ Analysis'!F477*$U$3/(F477*$V$3)),0))</f>
        <v>171</v>
      </c>
      <c r="M477" s="3">
        <f>'1. Master Data'!I477</f>
        <v>339</v>
      </c>
      <c r="N477" s="3">
        <f t="shared" si="44"/>
        <v>19</v>
      </c>
      <c r="O477" s="5" t="str">
        <f t="shared" si="45"/>
        <v>ORDER SOON</v>
      </c>
      <c r="P477" s="5" t="str">
        <f t="shared" si="46"/>
        <v>MEDIUM</v>
      </c>
      <c r="Q477" s="3" t="str">
        <f t="shared" si="47"/>
        <v>Reorder Point</v>
      </c>
    </row>
    <row r="478" spans="1:17" ht="15" customHeight="1" x14ac:dyDescent="0.2">
      <c r="A478" s="3" t="str">
        <f>'1. Master Data'!A478</f>
        <v>NT10474</v>
      </c>
      <c r="B478" s="1" t="str">
        <f>'1. Master Data'!B478</f>
        <v>Car Mount V739</v>
      </c>
      <c r="C478" s="3" t="str">
        <f>'1. Master Data'!D478</f>
        <v>East DC</v>
      </c>
      <c r="D478" s="5" t="str">
        <f>'4. ABC XYZ Analysis'!K478</f>
        <v>C</v>
      </c>
      <c r="E478" s="5" t="str">
        <f>'4. ABC XYZ Analysis'!M478</f>
        <v>X</v>
      </c>
      <c r="F478" s="4">
        <f>'1. Master Data'!F478</f>
        <v>32</v>
      </c>
      <c r="G478" s="3">
        <f>'1. Master Data'!G478</f>
        <v>6</v>
      </c>
      <c r="H478" s="8">
        <f>'3. Demand Forecast'!F478/$T$3</f>
        <v>11.177272727272728</v>
      </c>
      <c r="I478" s="8">
        <f>'3. Demand Forecast'!G478/SQRT($T$3)</f>
        <v>4.4132548285611355</v>
      </c>
      <c r="J478" s="5">
        <f t="shared" si="42"/>
        <v>18</v>
      </c>
      <c r="K478" s="5">
        <f t="shared" si="43"/>
        <v>86</v>
      </c>
      <c r="L478" s="3">
        <f>IF(F478=0,0,ROUNDUP(SQRT(2*'4. ABC XYZ Analysis'!F478*$U$3/(F478*$V$3)),0))</f>
        <v>68</v>
      </c>
      <c r="M478" s="3">
        <f>'1. Master Data'!I478</f>
        <v>89</v>
      </c>
      <c r="N478" s="3">
        <f t="shared" si="44"/>
        <v>8</v>
      </c>
      <c r="O478" s="5" t="str">
        <f t="shared" si="45"/>
        <v>ORDER SOON</v>
      </c>
      <c r="P478" s="5" t="str">
        <f t="shared" si="46"/>
        <v>MEDIUM</v>
      </c>
      <c r="Q478" s="3" t="str">
        <f t="shared" si="47"/>
        <v>Reorder Point</v>
      </c>
    </row>
    <row r="479" spans="1:17" ht="15" customHeight="1" x14ac:dyDescent="0.2">
      <c r="A479" s="3" t="str">
        <f>'1. Master Data'!A479</f>
        <v>NT10475</v>
      </c>
      <c r="B479" s="1" t="str">
        <f>'1. Master Data'!B479</f>
        <v>HDMI Cable 4K V959</v>
      </c>
      <c r="C479" s="3" t="str">
        <f>'1. Master Data'!D479</f>
        <v>Central DC</v>
      </c>
      <c r="D479" s="5" t="str">
        <f>'4. ABC XYZ Analysis'!K479</f>
        <v>C</v>
      </c>
      <c r="E479" s="5" t="str">
        <f>'4. ABC XYZ Analysis'!M479</f>
        <v>X</v>
      </c>
      <c r="F479" s="4">
        <f>'1. Master Data'!F479</f>
        <v>23</v>
      </c>
      <c r="G479" s="3">
        <f>'1. Master Data'!G479</f>
        <v>10</v>
      </c>
      <c r="H479" s="8">
        <f>'3. Demand Forecast'!F479/$T$3</f>
        <v>11.854545454545455</v>
      </c>
      <c r="I479" s="8">
        <f>'3. Demand Forecast'!G479/SQRT($T$3)</f>
        <v>3.0487702438852291</v>
      </c>
      <c r="J479" s="5">
        <f t="shared" si="42"/>
        <v>16</v>
      </c>
      <c r="K479" s="5">
        <f t="shared" si="43"/>
        <v>135</v>
      </c>
      <c r="L479" s="3">
        <f>IF(F479=0,0,ROUNDUP(SQRT(2*'4. ABC XYZ Analysis'!F479*$U$3/(F479*$V$3)),0))</f>
        <v>106</v>
      </c>
      <c r="M479" s="3">
        <f>'1. Master Data'!I479</f>
        <v>1188</v>
      </c>
      <c r="N479" s="3">
        <f t="shared" si="44"/>
        <v>100</v>
      </c>
      <c r="O479" s="5" t="str">
        <f t="shared" si="45"/>
        <v>OK</v>
      </c>
      <c r="P479" s="5" t="str">
        <f t="shared" si="46"/>
        <v>LOW</v>
      </c>
      <c r="Q479" s="3" t="str">
        <f t="shared" si="47"/>
        <v>Reorder Point</v>
      </c>
    </row>
    <row r="480" spans="1:17" ht="15" customHeight="1" x14ac:dyDescent="0.2">
      <c r="A480" s="3" t="str">
        <f>'1. Master Data'!A480</f>
        <v>NT10476</v>
      </c>
      <c r="B480" s="1" t="str">
        <f>'1. Master Data'!B480</f>
        <v>USB C Cable 2m V851</v>
      </c>
      <c r="C480" s="3" t="str">
        <f>'1. Master Data'!D480</f>
        <v>West DC</v>
      </c>
      <c r="D480" s="5" t="str">
        <f>'4. ABC XYZ Analysis'!K480</f>
        <v>C</v>
      </c>
      <c r="E480" s="5" t="str">
        <f>'4. ABC XYZ Analysis'!M480</f>
        <v>X</v>
      </c>
      <c r="F480" s="4">
        <f>'1. Master Data'!F480</f>
        <v>12</v>
      </c>
      <c r="G480" s="3">
        <f>'1. Master Data'!G480</f>
        <v>7</v>
      </c>
      <c r="H480" s="8">
        <f>'3. Demand Forecast'!F480/$T$3</f>
        <v>10.804545454545455</v>
      </c>
      <c r="I480" s="8">
        <f>'3. Demand Forecast'!G480/SQRT($T$3)</f>
        <v>2.3238878082761536</v>
      </c>
      <c r="J480" s="5">
        <f t="shared" si="42"/>
        <v>11</v>
      </c>
      <c r="K480" s="5">
        <f t="shared" si="43"/>
        <v>87</v>
      </c>
      <c r="L480" s="3">
        <f>IF(F480=0,0,ROUNDUP(SQRT(2*'4. ABC XYZ Analysis'!F480*$U$3/(F480*$V$3)),0))</f>
        <v>73</v>
      </c>
      <c r="M480" s="3">
        <f>'1. Master Data'!I480</f>
        <v>90</v>
      </c>
      <c r="N480" s="3">
        <f t="shared" si="44"/>
        <v>8</v>
      </c>
      <c r="O480" s="5" t="str">
        <f t="shared" si="45"/>
        <v>ORDER SOON</v>
      </c>
      <c r="P480" s="5" t="str">
        <f t="shared" si="46"/>
        <v>MEDIUM</v>
      </c>
      <c r="Q480" s="3" t="str">
        <f t="shared" si="47"/>
        <v>Reorder Point</v>
      </c>
    </row>
    <row r="481" spans="1:17" ht="15" customHeight="1" x14ac:dyDescent="0.2">
      <c r="A481" s="3" t="str">
        <f>'1. Master Data'!A481</f>
        <v>NT10477</v>
      </c>
      <c r="B481" s="1" t="str">
        <f>'1. Master Data'!B481</f>
        <v>Laptop Sleeve 15in V301</v>
      </c>
      <c r="C481" s="3" t="str">
        <f>'1. Master Data'!D481</f>
        <v>East DC</v>
      </c>
      <c r="D481" s="5" t="str">
        <f>'4. ABC XYZ Analysis'!K481</f>
        <v>C</v>
      </c>
      <c r="E481" s="5" t="str">
        <f>'4. ABC XYZ Analysis'!M481</f>
        <v>Y</v>
      </c>
      <c r="F481" s="4">
        <f>'1. Master Data'!F481</f>
        <v>23</v>
      </c>
      <c r="G481" s="3">
        <f>'1. Master Data'!G481</f>
        <v>9</v>
      </c>
      <c r="H481" s="8">
        <f>'3. Demand Forecast'!F481/$T$3</f>
        <v>27.727272727272727</v>
      </c>
      <c r="I481" s="8">
        <f>'3. Demand Forecast'!G481/SQRT($T$3)</f>
        <v>10.169674170162619</v>
      </c>
      <c r="J481" s="5">
        <f t="shared" si="42"/>
        <v>51</v>
      </c>
      <c r="K481" s="5">
        <f t="shared" si="43"/>
        <v>301</v>
      </c>
      <c r="L481" s="3">
        <f>IF(F481=0,0,ROUNDUP(SQRT(2*'4. ABC XYZ Analysis'!F481*$U$3/(F481*$V$3)),0))</f>
        <v>73</v>
      </c>
      <c r="M481" s="3">
        <f>'1. Master Data'!I481</f>
        <v>2710</v>
      </c>
      <c r="N481" s="3">
        <f t="shared" si="44"/>
        <v>98</v>
      </c>
      <c r="O481" s="5" t="str">
        <f t="shared" si="45"/>
        <v>OK</v>
      </c>
      <c r="P481" s="5" t="str">
        <f t="shared" si="46"/>
        <v>LOW</v>
      </c>
      <c r="Q481" s="3" t="str">
        <f t="shared" si="47"/>
        <v>Reorder Point</v>
      </c>
    </row>
    <row r="482" spans="1:17" ht="15" customHeight="1" x14ac:dyDescent="0.2">
      <c r="A482" s="3" t="str">
        <f>'1. Master Data'!A482</f>
        <v>NT10478</v>
      </c>
      <c r="B482" s="1" t="str">
        <f>'1. Master Data'!B482</f>
        <v>Power Bank 10K V365</v>
      </c>
      <c r="C482" s="3" t="str">
        <f>'1. Master Data'!D482</f>
        <v>East DC</v>
      </c>
      <c r="D482" s="5" t="str">
        <f>'4. ABC XYZ Analysis'!K482</f>
        <v>C</v>
      </c>
      <c r="E482" s="5" t="str">
        <f>'4. ABC XYZ Analysis'!M482</f>
        <v>Z</v>
      </c>
      <c r="F482" s="4">
        <f>'1. Master Data'!F482</f>
        <v>22</v>
      </c>
      <c r="G482" s="3">
        <f>'1. Master Data'!G482</f>
        <v>9</v>
      </c>
      <c r="H482" s="8">
        <f>'3. Demand Forecast'!F482/$T$3</f>
        <v>25.445454545454542</v>
      </c>
      <c r="I482" s="8">
        <f>'3. Demand Forecast'!G482/SQRT($T$3)</f>
        <v>7.5899455022597317</v>
      </c>
      <c r="J482" s="5">
        <f t="shared" si="42"/>
        <v>38</v>
      </c>
      <c r="K482" s="5">
        <f t="shared" si="43"/>
        <v>268</v>
      </c>
      <c r="L482" s="3">
        <f>IF(F482=0,0,ROUNDUP(SQRT(2*'4. ABC XYZ Analysis'!F482*$U$3/(F482*$V$3)),0))</f>
        <v>33</v>
      </c>
      <c r="M482" s="3">
        <f>'1. Master Data'!I482</f>
        <v>2671</v>
      </c>
      <c r="N482" s="3">
        <f t="shared" si="44"/>
        <v>105</v>
      </c>
      <c r="O482" s="5" t="str">
        <f t="shared" si="45"/>
        <v>OK</v>
      </c>
      <c r="P482" s="5" t="str">
        <f t="shared" si="46"/>
        <v>LOW</v>
      </c>
      <c r="Q482" s="3" t="str">
        <f t="shared" si="47"/>
        <v>Min Max</v>
      </c>
    </row>
    <row r="483" spans="1:17" ht="15" customHeight="1" x14ac:dyDescent="0.2">
      <c r="A483" s="3" t="str">
        <f>'1. Master Data'!A483</f>
        <v>NT10479</v>
      </c>
      <c r="B483" s="1" t="str">
        <f>'1. Master Data'!B483</f>
        <v>USB C Cable 2m V217</v>
      </c>
      <c r="C483" s="3" t="str">
        <f>'1. Master Data'!D483</f>
        <v>East DC</v>
      </c>
      <c r="D483" s="5" t="str">
        <f>'4. ABC XYZ Analysis'!K483</f>
        <v>C</v>
      </c>
      <c r="E483" s="5" t="str">
        <f>'4. ABC XYZ Analysis'!M483</f>
        <v>Y</v>
      </c>
      <c r="F483" s="4">
        <f>'1. Master Data'!F483</f>
        <v>9</v>
      </c>
      <c r="G483" s="3">
        <f>'1. Master Data'!G483</f>
        <v>11</v>
      </c>
      <c r="H483" s="8">
        <f>'3. Demand Forecast'!F483/$T$3</f>
        <v>9.331818181818182</v>
      </c>
      <c r="I483" s="8">
        <f>'3. Demand Forecast'!G483/SQRT($T$3)</f>
        <v>3.0700903155207904</v>
      </c>
      <c r="J483" s="5">
        <f t="shared" si="42"/>
        <v>17</v>
      </c>
      <c r="K483" s="5">
        <f t="shared" si="43"/>
        <v>120</v>
      </c>
      <c r="L483" s="3">
        <f>IF(F483=0,0,ROUNDUP(SQRT(2*'4. ABC XYZ Analysis'!F483*$U$3/(F483*$V$3)),0))</f>
        <v>43</v>
      </c>
      <c r="M483" s="3">
        <f>'1. Master Data'!I483</f>
        <v>123</v>
      </c>
      <c r="N483" s="3">
        <f t="shared" si="44"/>
        <v>13</v>
      </c>
      <c r="O483" s="5" t="str">
        <f t="shared" si="45"/>
        <v>ORDER SOON</v>
      </c>
      <c r="P483" s="5" t="str">
        <f t="shared" si="46"/>
        <v>MEDIUM</v>
      </c>
      <c r="Q483" s="3" t="str">
        <f t="shared" si="47"/>
        <v>Reorder Point</v>
      </c>
    </row>
    <row r="484" spans="1:17" ht="15" customHeight="1" x14ac:dyDescent="0.2">
      <c r="A484" s="3" t="str">
        <f>'1. Master Data'!A484</f>
        <v>NT10480</v>
      </c>
      <c r="B484" s="1" t="str">
        <f>'1. Master Data'!B484</f>
        <v>Wall Charger 65W V886</v>
      </c>
      <c r="C484" s="3" t="str">
        <f>'1. Master Data'!D484</f>
        <v>West DC</v>
      </c>
      <c r="D484" s="5" t="str">
        <f>'4. ABC XYZ Analysis'!K484</f>
        <v>C</v>
      </c>
      <c r="E484" s="5" t="str">
        <f>'4. ABC XYZ Analysis'!M484</f>
        <v>Y</v>
      </c>
      <c r="F484" s="4">
        <f>'1. Master Data'!F484</f>
        <v>23</v>
      </c>
      <c r="G484" s="3">
        <f>'1. Master Data'!G484</f>
        <v>16</v>
      </c>
      <c r="H484" s="8">
        <f>'3. Demand Forecast'!F484/$T$3</f>
        <v>24.468181818181815</v>
      </c>
      <c r="I484" s="8">
        <f>'3. Demand Forecast'!G484/SQRT($T$3)</f>
        <v>6.0975404877704582</v>
      </c>
      <c r="J484" s="5">
        <f t="shared" si="42"/>
        <v>41</v>
      </c>
      <c r="K484" s="5">
        <f t="shared" si="43"/>
        <v>433</v>
      </c>
      <c r="L484" s="3">
        <f>IF(F484=0,0,ROUNDUP(SQRT(2*'4. ABC XYZ Analysis'!F484*$U$3/(F484*$V$3)),0))</f>
        <v>62</v>
      </c>
      <c r="M484" s="3">
        <f>'1. Master Data'!I484</f>
        <v>436</v>
      </c>
      <c r="N484" s="3">
        <f t="shared" si="44"/>
        <v>18</v>
      </c>
      <c r="O484" s="5" t="str">
        <f t="shared" si="45"/>
        <v>ORDER SOON</v>
      </c>
      <c r="P484" s="5" t="str">
        <f t="shared" si="46"/>
        <v>MEDIUM</v>
      </c>
      <c r="Q484" s="3" t="str">
        <f t="shared" si="47"/>
        <v>Reorder Point</v>
      </c>
    </row>
    <row r="485" spans="1:17" ht="15" customHeight="1" x14ac:dyDescent="0.2">
      <c r="A485" s="3" t="str">
        <f>'1. Master Data'!A485</f>
        <v>NT10481</v>
      </c>
      <c r="B485" s="1" t="str">
        <f>'1. Master Data'!B485</f>
        <v>Screen Guard 821</v>
      </c>
      <c r="C485" s="3" t="str">
        <f>'1. Master Data'!D485</f>
        <v>East DC</v>
      </c>
      <c r="D485" s="5" t="str">
        <f>'4. ABC XYZ Analysis'!K485</f>
        <v>C</v>
      </c>
      <c r="E485" s="5" t="str">
        <f>'4. ABC XYZ Analysis'!M485</f>
        <v>X</v>
      </c>
      <c r="F485" s="4">
        <f>'1. Master Data'!F485</f>
        <v>16</v>
      </c>
      <c r="G485" s="3">
        <f>'1. Master Data'!G485</f>
        <v>9</v>
      </c>
      <c r="H485" s="8">
        <f>'3. Demand Forecast'!F485/$T$3</f>
        <v>7.8727272727272721</v>
      </c>
      <c r="I485" s="8">
        <f>'3. Demand Forecast'!G485/SQRT($T$3)</f>
        <v>2.3025677366405928</v>
      </c>
      <c r="J485" s="5">
        <f t="shared" si="42"/>
        <v>12</v>
      </c>
      <c r="K485" s="5">
        <f t="shared" si="43"/>
        <v>83</v>
      </c>
      <c r="L485" s="3">
        <f>IF(F485=0,0,ROUNDUP(SQRT(2*'4. ABC XYZ Analysis'!F485*$U$3/(F485*$V$3)),0))</f>
        <v>114</v>
      </c>
      <c r="M485" s="3">
        <f>'1. Master Data'!I485</f>
        <v>86</v>
      </c>
      <c r="N485" s="3">
        <f t="shared" si="44"/>
        <v>11</v>
      </c>
      <c r="O485" s="5" t="str">
        <f t="shared" si="45"/>
        <v>ORDER SOON</v>
      </c>
      <c r="P485" s="5" t="str">
        <f t="shared" si="46"/>
        <v>MEDIUM</v>
      </c>
      <c r="Q485" s="3" t="str">
        <f t="shared" si="47"/>
        <v>Reorder Point</v>
      </c>
    </row>
    <row r="486" spans="1:17" ht="15" customHeight="1" x14ac:dyDescent="0.2">
      <c r="A486" s="3" t="str">
        <f>'1. Master Data'!A486</f>
        <v>NT10482</v>
      </c>
      <c r="B486" s="1" t="str">
        <f>'1. Master Data'!B486</f>
        <v>Car Mount V587</v>
      </c>
      <c r="C486" s="3" t="str">
        <f>'1. Master Data'!D486</f>
        <v>East DC</v>
      </c>
      <c r="D486" s="5" t="str">
        <f>'4. ABC XYZ Analysis'!K486</f>
        <v>C</v>
      </c>
      <c r="E486" s="5" t="str">
        <f>'4. ABC XYZ Analysis'!M486</f>
        <v>X</v>
      </c>
      <c r="F486" s="4">
        <f>'1. Master Data'!F486</f>
        <v>26</v>
      </c>
      <c r="G486" s="3">
        <f>'1. Master Data'!G486</f>
        <v>20</v>
      </c>
      <c r="H486" s="8">
        <f>'3. Demand Forecast'!F486/$T$3</f>
        <v>12.631818181818181</v>
      </c>
      <c r="I486" s="8">
        <f>'3. Demand Forecast'!G486/SQRT($T$3)</f>
        <v>4.2640143271122088</v>
      </c>
      <c r="J486" s="5">
        <f t="shared" si="42"/>
        <v>32</v>
      </c>
      <c r="K486" s="5">
        <f t="shared" si="43"/>
        <v>285</v>
      </c>
      <c r="L486" s="3">
        <f>IF(F486=0,0,ROUNDUP(SQRT(2*'4. ABC XYZ Analysis'!F486*$U$3/(F486*$V$3)),0))</f>
        <v>185</v>
      </c>
      <c r="M486" s="3">
        <f>'1. Master Data'!I486</f>
        <v>288</v>
      </c>
      <c r="N486" s="3">
        <f t="shared" si="44"/>
        <v>23</v>
      </c>
      <c r="O486" s="5" t="str">
        <f t="shared" si="45"/>
        <v>ORDER SOON</v>
      </c>
      <c r="P486" s="5" t="str">
        <f t="shared" si="46"/>
        <v>MEDIUM</v>
      </c>
      <c r="Q486" s="3" t="str">
        <f t="shared" si="47"/>
        <v>Reorder Point</v>
      </c>
    </row>
    <row r="487" spans="1:17" ht="15" customHeight="1" x14ac:dyDescent="0.2">
      <c r="A487" s="3" t="str">
        <f>'1. Master Data'!A487</f>
        <v>NT10483</v>
      </c>
      <c r="B487" s="1" t="str">
        <f>'1. Master Data'!B487</f>
        <v>Laptop Sleeve 15in V271</v>
      </c>
      <c r="C487" s="3" t="str">
        <f>'1. Master Data'!D487</f>
        <v>West DC</v>
      </c>
      <c r="D487" s="5" t="str">
        <f>'4. ABC XYZ Analysis'!K487</f>
        <v>C</v>
      </c>
      <c r="E487" s="5" t="str">
        <f>'4. ABC XYZ Analysis'!M487</f>
        <v>Z</v>
      </c>
      <c r="F487" s="4">
        <f>'1. Master Data'!F487</f>
        <v>40</v>
      </c>
      <c r="G487" s="3">
        <f>'1. Master Data'!G487</f>
        <v>11</v>
      </c>
      <c r="H487" s="8">
        <f>'3. Demand Forecast'!F487/$T$3</f>
        <v>18.863636363636363</v>
      </c>
      <c r="I487" s="8">
        <f>'3. Demand Forecast'!G487/SQRT($T$3)</f>
        <v>4.0934537540277196</v>
      </c>
      <c r="J487" s="5">
        <f t="shared" si="42"/>
        <v>23</v>
      </c>
      <c r="K487" s="5">
        <f t="shared" si="43"/>
        <v>231</v>
      </c>
      <c r="L487" s="3">
        <f>IF(F487=0,0,ROUNDUP(SQRT(2*'4. ABC XYZ Analysis'!F487*$U$3/(F487*$V$3)),0))</f>
        <v>42</v>
      </c>
      <c r="M487" s="3">
        <f>'1. Master Data'!I487</f>
        <v>234</v>
      </c>
      <c r="N487" s="3">
        <f t="shared" si="44"/>
        <v>12</v>
      </c>
      <c r="O487" s="5" t="str">
        <f t="shared" si="45"/>
        <v>ORDER SOON</v>
      </c>
      <c r="P487" s="5" t="str">
        <f t="shared" si="46"/>
        <v>MEDIUM</v>
      </c>
      <c r="Q487" s="3" t="str">
        <f t="shared" si="47"/>
        <v>Min Max</v>
      </c>
    </row>
    <row r="488" spans="1:17" ht="15" customHeight="1" x14ac:dyDescent="0.2">
      <c r="A488" s="3" t="str">
        <f>'1. Master Data'!A488</f>
        <v>NT10484</v>
      </c>
      <c r="B488" s="1" t="str">
        <f>'1. Master Data'!B488</f>
        <v>Screen Guard 118</v>
      </c>
      <c r="C488" s="3" t="str">
        <f>'1. Master Data'!D488</f>
        <v>East DC</v>
      </c>
      <c r="D488" s="5" t="str">
        <f>'4. ABC XYZ Analysis'!K488</f>
        <v>C</v>
      </c>
      <c r="E488" s="5" t="str">
        <f>'4. ABC XYZ Analysis'!M488</f>
        <v>Y</v>
      </c>
      <c r="F488" s="4">
        <f>'1. Master Data'!F488</f>
        <v>23</v>
      </c>
      <c r="G488" s="3">
        <f>'1. Master Data'!G488</f>
        <v>18</v>
      </c>
      <c r="H488" s="8">
        <f>'3. Demand Forecast'!F488/$T$3</f>
        <v>9.9909090909090921</v>
      </c>
      <c r="I488" s="8">
        <f>'3. Demand Forecast'!G488/SQRT($T$3)</f>
        <v>2.4731283097250807</v>
      </c>
      <c r="J488" s="5">
        <f t="shared" si="42"/>
        <v>18</v>
      </c>
      <c r="K488" s="5">
        <f t="shared" si="43"/>
        <v>198</v>
      </c>
      <c r="L488" s="3">
        <f>IF(F488=0,0,ROUNDUP(SQRT(2*'4. ABC XYZ Analysis'!F488*$U$3/(F488*$V$3)),0))</f>
        <v>33</v>
      </c>
      <c r="M488" s="3">
        <f>'1. Master Data'!I488</f>
        <v>201</v>
      </c>
      <c r="N488" s="3">
        <f t="shared" si="44"/>
        <v>20</v>
      </c>
      <c r="O488" s="5" t="str">
        <f t="shared" si="45"/>
        <v>ORDER SOON</v>
      </c>
      <c r="P488" s="5" t="str">
        <f t="shared" si="46"/>
        <v>MEDIUM</v>
      </c>
      <c r="Q488" s="3" t="str">
        <f t="shared" si="47"/>
        <v>Reorder Point</v>
      </c>
    </row>
    <row r="489" spans="1:17" ht="15" customHeight="1" x14ac:dyDescent="0.2">
      <c r="A489" s="3" t="str">
        <f>'1. Master Data'!A489</f>
        <v>NT10485</v>
      </c>
      <c r="B489" s="1" t="str">
        <f>'1. Master Data'!B489</f>
        <v>Power Bank 10K V686</v>
      </c>
      <c r="C489" s="3" t="str">
        <f>'1. Master Data'!D489</f>
        <v>East DC</v>
      </c>
      <c r="D489" s="5" t="str">
        <f>'4. ABC XYZ Analysis'!K489</f>
        <v>C</v>
      </c>
      <c r="E489" s="5" t="str">
        <f>'4. ABC XYZ Analysis'!M489</f>
        <v>Y</v>
      </c>
      <c r="F489" s="4">
        <f>'1. Master Data'!F489</f>
        <v>23</v>
      </c>
      <c r="G489" s="3">
        <f>'1. Master Data'!G489</f>
        <v>10</v>
      </c>
      <c r="H489" s="8">
        <f>'3. Demand Forecast'!F489/$T$3</f>
        <v>22.463636363636365</v>
      </c>
      <c r="I489" s="8">
        <f>'3. Demand Forecast'!G489/SQRT($T$3)</f>
        <v>12.024520402456428</v>
      </c>
      <c r="J489" s="5">
        <f t="shared" si="42"/>
        <v>63</v>
      </c>
      <c r="K489" s="5">
        <f t="shared" si="43"/>
        <v>288</v>
      </c>
      <c r="L489" s="3">
        <f>IF(F489=0,0,ROUNDUP(SQRT(2*'4. ABC XYZ Analysis'!F489*$U$3/(F489*$V$3)),0))</f>
        <v>27</v>
      </c>
      <c r="M489" s="3">
        <f>'1. Master Data'!I489</f>
        <v>291</v>
      </c>
      <c r="N489" s="3">
        <f t="shared" si="44"/>
        <v>13</v>
      </c>
      <c r="O489" s="5" t="str">
        <f t="shared" si="45"/>
        <v>ORDER SOON</v>
      </c>
      <c r="P489" s="5" t="str">
        <f t="shared" si="46"/>
        <v>MEDIUM</v>
      </c>
      <c r="Q489" s="3" t="str">
        <f t="shared" si="47"/>
        <v>Reorder Point</v>
      </c>
    </row>
    <row r="490" spans="1:17" ht="15" customHeight="1" x14ac:dyDescent="0.2">
      <c r="A490" s="3" t="str">
        <f>'1. Master Data'!A490</f>
        <v>NT10486</v>
      </c>
      <c r="B490" s="1" t="str">
        <f>'1. Master Data'!B490</f>
        <v>HDMI Cable 4K V465</v>
      </c>
      <c r="C490" s="3" t="str">
        <f>'1. Master Data'!D490</f>
        <v>East DC</v>
      </c>
      <c r="D490" s="5" t="str">
        <f>'4. ABC XYZ Analysis'!K490</f>
        <v>C</v>
      </c>
      <c r="E490" s="5" t="str">
        <f>'4. ABC XYZ Analysis'!M490</f>
        <v>Z</v>
      </c>
      <c r="F490" s="4">
        <f>'1. Master Data'!F490</f>
        <v>16</v>
      </c>
      <c r="G490" s="3">
        <f>'1. Master Data'!G490</f>
        <v>15</v>
      </c>
      <c r="H490" s="8">
        <f>'3. Demand Forecast'!F490/$T$3</f>
        <v>44.9</v>
      </c>
      <c r="I490" s="8">
        <f>'3. Demand Forecast'!G490/SQRT($T$3)</f>
        <v>10.041753740349252</v>
      </c>
      <c r="J490" s="5">
        <f t="shared" si="42"/>
        <v>65</v>
      </c>
      <c r="K490" s="5">
        <f t="shared" si="43"/>
        <v>739</v>
      </c>
      <c r="L490" s="3">
        <f>IF(F490=0,0,ROUNDUP(SQRT(2*'4. ABC XYZ Analysis'!F490*$U$3/(F490*$V$3)),0))</f>
        <v>45</v>
      </c>
      <c r="M490" s="3">
        <f>'1. Master Data'!I490</f>
        <v>4220</v>
      </c>
      <c r="N490" s="3">
        <f t="shared" si="44"/>
        <v>94</v>
      </c>
      <c r="O490" s="5" t="str">
        <f t="shared" si="45"/>
        <v>OK</v>
      </c>
      <c r="P490" s="5" t="str">
        <f t="shared" si="46"/>
        <v>LOW</v>
      </c>
      <c r="Q490" s="3" t="str">
        <f t="shared" si="47"/>
        <v>Min Max</v>
      </c>
    </row>
    <row r="491" spans="1:17" ht="15" customHeight="1" x14ac:dyDescent="0.2">
      <c r="A491" s="3" t="str">
        <f>'1. Master Data'!A491</f>
        <v>NT10487</v>
      </c>
      <c r="B491" s="1" t="str">
        <f>'1. Master Data'!B491</f>
        <v>HDMI Cable 4K V201</v>
      </c>
      <c r="C491" s="3" t="str">
        <f>'1. Master Data'!D491</f>
        <v>Central DC</v>
      </c>
      <c r="D491" s="5" t="str">
        <f>'4. ABC XYZ Analysis'!K491</f>
        <v>C</v>
      </c>
      <c r="E491" s="5" t="str">
        <f>'4. ABC XYZ Analysis'!M491</f>
        <v>Z</v>
      </c>
      <c r="F491" s="4">
        <f>'1. Master Data'!F491</f>
        <v>22</v>
      </c>
      <c r="G491" s="3">
        <f>'1. Master Data'!G491</f>
        <v>16</v>
      </c>
      <c r="H491" s="8">
        <f>'3. Demand Forecast'!F491/$T$3</f>
        <v>14.318181818181818</v>
      </c>
      <c r="I491" s="8">
        <f>'3. Demand Forecast'!G491/SQRT($T$3)</f>
        <v>5.2447376223480164</v>
      </c>
      <c r="J491" s="5">
        <f t="shared" si="42"/>
        <v>35</v>
      </c>
      <c r="K491" s="5">
        <f t="shared" si="43"/>
        <v>265</v>
      </c>
      <c r="L491" s="3">
        <f>IF(F491=0,0,ROUNDUP(SQRT(2*'4. ABC XYZ Analysis'!F491*$U$3/(F491*$V$3)),0))</f>
        <v>111</v>
      </c>
      <c r="M491" s="3">
        <f>'1. Master Data'!I491</f>
        <v>268</v>
      </c>
      <c r="N491" s="3">
        <f t="shared" si="44"/>
        <v>19</v>
      </c>
      <c r="O491" s="5" t="str">
        <f t="shared" si="45"/>
        <v>ORDER SOON</v>
      </c>
      <c r="P491" s="5" t="str">
        <f t="shared" si="46"/>
        <v>MEDIUM</v>
      </c>
      <c r="Q491" s="3" t="str">
        <f t="shared" si="47"/>
        <v>Min Max</v>
      </c>
    </row>
    <row r="492" spans="1:17" ht="15" customHeight="1" x14ac:dyDescent="0.2">
      <c r="A492" s="3" t="str">
        <f>'1. Master Data'!A492</f>
        <v>NT10488</v>
      </c>
      <c r="B492" s="1" t="str">
        <f>'1. Master Data'!B492</f>
        <v>Phone Case Clear V482</v>
      </c>
      <c r="C492" s="3" t="str">
        <f>'1. Master Data'!D492</f>
        <v>West DC</v>
      </c>
      <c r="D492" s="5" t="str">
        <f>'4. ABC XYZ Analysis'!K492</f>
        <v>C</v>
      </c>
      <c r="E492" s="5" t="str">
        <f>'4. ABC XYZ Analysis'!M492</f>
        <v>Z</v>
      </c>
      <c r="F492" s="4">
        <f>'1. Master Data'!F492</f>
        <v>27</v>
      </c>
      <c r="G492" s="3">
        <f>'1. Master Data'!G492</f>
        <v>10</v>
      </c>
      <c r="H492" s="8">
        <f>'3. Demand Forecast'!F492/$T$3</f>
        <v>69.45</v>
      </c>
      <c r="I492" s="8">
        <f>'3. Demand Forecast'!G492/SQRT($T$3)</f>
        <v>17.802259815693471</v>
      </c>
      <c r="J492" s="5">
        <f t="shared" si="42"/>
        <v>93</v>
      </c>
      <c r="K492" s="5">
        <f t="shared" si="43"/>
        <v>788</v>
      </c>
      <c r="L492" s="3">
        <f>IF(F492=0,0,ROUNDUP(SQRT(2*'4. ABC XYZ Analysis'!F492*$U$3/(F492*$V$3)),0))</f>
        <v>26</v>
      </c>
      <c r="M492" s="3">
        <f>'1. Master Data'!I492</f>
        <v>622</v>
      </c>
      <c r="N492" s="3">
        <f t="shared" si="44"/>
        <v>9</v>
      </c>
      <c r="O492" s="5" t="str">
        <f t="shared" si="45"/>
        <v>ORDER NOW</v>
      </c>
      <c r="P492" s="5" t="str">
        <f t="shared" si="46"/>
        <v>MEDIUM</v>
      </c>
      <c r="Q492" s="3" t="str">
        <f t="shared" si="47"/>
        <v>Min Max</v>
      </c>
    </row>
    <row r="493" spans="1:17" ht="15" customHeight="1" x14ac:dyDescent="0.2">
      <c r="A493" s="3" t="str">
        <f>'1. Master Data'!A493</f>
        <v>NT10489</v>
      </c>
      <c r="B493" s="1" t="str">
        <f>'1. Master Data'!B493</f>
        <v>Phone Case Clear V901</v>
      </c>
      <c r="C493" s="3" t="str">
        <f>'1. Master Data'!D493</f>
        <v>East DC</v>
      </c>
      <c r="D493" s="5" t="str">
        <f>'4. ABC XYZ Analysis'!K493</f>
        <v>C</v>
      </c>
      <c r="E493" s="5" t="str">
        <f>'4. ABC XYZ Analysis'!M493</f>
        <v>Z</v>
      </c>
      <c r="F493" s="4">
        <f>'1. Master Data'!F493</f>
        <v>38</v>
      </c>
      <c r="G493" s="3">
        <f>'1. Master Data'!G493</f>
        <v>12</v>
      </c>
      <c r="H493" s="8">
        <f>'3. Demand Forecast'!F493/$T$3</f>
        <v>3.5818181818181816</v>
      </c>
      <c r="I493" s="8">
        <f>'3. Demand Forecast'!G493/SQRT($T$3)</f>
        <v>1.3644845846759068</v>
      </c>
      <c r="J493" s="5">
        <f t="shared" si="42"/>
        <v>8</v>
      </c>
      <c r="K493" s="5">
        <f t="shared" si="43"/>
        <v>51</v>
      </c>
      <c r="L493" s="3">
        <f>IF(F493=0,0,ROUNDUP(SQRT(2*'4. ABC XYZ Analysis'!F493*$U$3/(F493*$V$3)),0))</f>
        <v>13</v>
      </c>
      <c r="M493" s="3">
        <f>'1. Master Data'!I493</f>
        <v>54</v>
      </c>
      <c r="N493" s="3">
        <f t="shared" si="44"/>
        <v>15</v>
      </c>
      <c r="O493" s="5" t="str">
        <f t="shared" si="45"/>
        <v>ORDER SOON</v>
      </c>
      <c r="P493" s="5" t="str">
        <f t="shared" si="46"/>
        <v>MEDIUM</v>
      </c>
      <c r="Q493" s="3" t="str">
        <f t="shared" si="47"/>
        <v>Min Max</v>
      </c>
    </row>
    <row r="494" spans="1:17" ht="15" customHeight="1" x14ac:dyDescent="0.2">
      <c r="A494" s="3" t="str">
        <f>'1. Master Data'!A494</f>
        <v>NT10490</v>
      </c>
      <c r="B494" s="1" t="str">
        <f>'1. Master Data'!B494</f>
        <v>HDMI Cable 4K V488</v>
      </c>
      <c r="C494" s="3" t="str">
        <f>'1. Master Data'!D494</f>
        <v>East DC</v>
      </c>
      <c r="D494" s="5" t="str">
        <f>'4. ABC XYZ Analysis'!K494</f>
        <v>C</v>
      </c>
      <c r="E494" s="5" t="str">
        <f>'4. ABC XYZ Analysis'!M494</f>
        <v>Y</v>
      </c>
      <c r="F494" s="4">
        <f>'1. Master Data'!F494</f>
        <v>26</v>
      </c>
      <c r="G494" s="3">
        <f>'1. Master Data'!G494</f>
        <v>11</v>
      </c>
      <c r="H494" s="8">
        <f>'3. Demand Forecast'!F494/$T$3</f>
        <v>4.8681818181818182</v>
      </c>
      <c r="I494" s="8">
        <f>'3. Demand Forecast'!G494/SQRT($T$3)</f>
        <v>22.769836506779193</v>
      </c>
      <c r="J494" s="5">
        <f t="shared" si="42"/>
        <v>125</v>
      </c>
      <c r="K494" s="5">
        <f t="shared" si="43"/>
        <v>179</v>
      </c>
      <c r="L494" s="3">
        <f>IF(F494=0,0,ROUNDUP(SQRT(2*'4. ABC XYZ Analysis'!F494*$U$3/(F494*$V$3)),0))</f>
        <v>78</v>
      </c>
      <c r="M494" s="3">
        <f>'1. Master Data'!I494</f>
        <v>351</v>
      </c>
      <c r="N494" s="3">
        <f t="shared" si="44"/>
        <v>72</v>
      </c>
      <c r="O494" s="5" t="str">
        <f t="shared" si="45"/>
        <v>OK</v>
      </c>
      <c r="P494" s="5" t="str">
        <f t="shared" si="46"/>
        <v>LOW</v>
      </c>
      <c r="Q494" s="3" t="str">
        <f t="shared" si="47"/>
        <v>Reorder Point</v>
      </c>
    </row>
    <row r="495" spans="1:17" ht="15" customHeight="1" x14ac:dyDescent="0.2">
      <c r="A495" s="3" t="str">
        <f>'1. Master Data'!A495</f>
        <v>NT10491</v>
      </c>
      <c r="B495" s="1" t="str">
        <f>'1. Master Data'!B495</f>
        <v>Car Mount V298</v>
      </c>
      <c r="C495" s="3" t="str">
        <f>'1. Master Data'!D495</f>
        <v>Central DC</v>
      </c>
      <c r="D495" s="5" t="str">
        <f>'4. ABC XYZ Analysis'!K495</f>
        <v>C</v>
      </c>
      <c r="E495" s="5" t="str">
        <f>'4. ABC XYZ Analysis'!M495</f>
        <v>X</v>
      </c>
      <c r="F495" s="4">
        <f>'1. Master Data'!F495</f>
        <v>9</v>
      </c>
      <c r="G495" s="3">
        <f>'1. Master Data'!G495</f>
        <v>15</v>
      </c>
      <c r="H495" s="8">
        <f>'3. Demand Forecast'!F495/$T$3</f>
        <v>11.654545454545454</v>
      </c>
      <c r="I495" s="8">
        <f>'3. Demand Forecast'!G495/SQRT($T$3)</f>
        <v>2.7716093126229358</v>
      </c>
      <c r="J495" s="5">
        <f t="shared" si="42"/>
        <v>18</v>
      </c>
      <c r="K495" s="5">
        <f t="shared" si="43"/>
        <v>193</v>
      </c>
      <c r="L495" s="3">
        <f>IF(F495=0,0,ROUNDUP(SQRT(2*'4. ABC XYZ Analysis'!F495*$U$3/(F495*$V$3)),0))</f>
        <v>134</v>
      </c>
      <c r="M495" s="3">
        <f>'1. Master Data'!I495</f>
        <v>1032</v>
      </c>
      <c r="N495" s="3">
        <f t="shared" si="44"/>
        <v>89</v>
      </c>
      <c r="O495" s="5" t="str">
        <f t="shared" si="45"/>
        <v>OK</v>
      </c>
      <c r="P495" s="5" t="str">
        <f t="shared" si="46"/>
        <v>LOW</v>
      </c>
      <c r="Q495" s="3" t="str">
        <f t="shared" si="47"/>
        <v>Reorder Point</v>
      </c>
    </row>
    <row r="496" spans="1:17" ht="15" customHeight="1" x14ac:dyDescent="0.2">
      <c r="A496" s="3" t="str">
        <f>'1. Master Data'!A496</f>
        <v>NT10492</v>
      </c>
      <c r="B496" s="1" t="str">
        <f>'1. Master Data'!B496</f>
        <v>Wall Charger 65W V223</v>
      </c>
      <c r="C496" s="3" t="str">
        <f>'1. Master Data'!D496</f>
        <v>East DC</v>
      </c>
      <c r="D496" s="5" t="str">
        <f>'4. ABC XYZ Analysis'!K496</f>
        <v>C</v>
      </c>
      <c r="E496" s="5" t="str">
        <f>'4. ABC XYZ Analysis'!M496</f>
        <v>Y</v>
      </c>
      <c r="F496" s="4">
        <f>'1. Master Data'!F496</f>
        <v>30</v>
      </c>
      <c r="G496" s="3">
        <f>'1. Master Data'!G496</f>
        <v>12</v>
      </c>
      <c r="H496" s="8">
        <f>'3. Demand Forecast'!F496/$T$3</f>
        <v>12.531818181818181</v>
      </c>
      <c r="I496" s="8">
        <f>'3. Demand Forecast'!G496/SQRT($T$3)</f>
        <v>3.2193308169697175</v>
      </c>
      <c r="J496" s="5">
        <f t="shared" si="42"/>
        <v>19</v>
      </c>
      <c r="K496" s="5">
        <f t="shared" si="43"/>
        <v>170</v>
      </c>
      <c r="L496" s="3">
        <f>IF(F496=0,0,ROUNDUP(SQRT(2*'4. ABC XYZ Analysis'!F496*$U$3/(F496*$V$3)),0))</f>
        <v>50</v>
      </c>
      <c r="M496" s="3">
        <f>'1. Master Data'!I496</f>
        <v>1145</v>
      </c>
      <c r="N496" s="3">
        <f t="shared" si="44"/>
        <v>91</v>
      </c>
      <c r="O496" s="5" t="str">
        <f t="shared" si="45"/>
        <v>OK</v>
      </c>
      <c r="P496" s="5" t="str">
        <f t="shared" si="46"/>
        <v>LOW</v>
      </c>
      <c r="Q496" s="3" t="str">
        <f t="shared" si="47"/>
        <v>Reorder Point</v>
      </c>
    </row>
    <row r="497" spans="1:17" ht="15" customHeight="1" x14ac:dyDescent="0.2">
      <c r="A497" s="3" t="str">
        <f>'1. Master Data'!A497</f>
        <v>NT10493</v>
      </c>
      <c r="B497" s="1" t="str">
        <f>'1. Master Data'!B497</f>
        <v>Wall Charger 65W V210</v>
      </c>
      <c r="C497" s="3" t="str">
        <f>'1. Master Data'!D497</f>
        <v>Central DC</v>
      </c>
      <c r="D497" s="5" t="str">
        <f>'4. ABC XYZ Analysis'!K497</f>
        <v>C</v>
      </c>
      <c r="E497" s="5" t="str">
        <f>'4. ABC XYZ Analysis'!M497</f>
        <v>Y</v>
      </c>
      <c r="F497" s="4">
        <f>'1. Master Data'!F497</f>
        <v>19</v>
      </c>
      <c r="G497" s="3">
        <f>'1. Master Data'!G497</f>
        <v>17</v>
      </c>
      <c r="H497" s="8">
        <f>'3. Demand Forecast'!F497/$T$3</f>
        <v>20.877272727272729</v>
      </c>
      <c r="I497" s="8">
        <f>'3. Demand Forecast'!G497/SQRT($T$3)</f>
        <v>4.7117358314589906</v>
      </c>
      <c r="J497" s="5">
        <f t="shared" si="42"/>
        <v>33</v>
      </c>
      <c r="K497" s="5">
        <f t="shared" si="43"/>
        <v>388</v>
      </c>
      <c r="L497" s="3">
        <f>IF(F497=0,0,ROUNDUP(SQRT(2*'4. ABC XYZ Analysis'!F497*$U$3/(F497*$V$3)),0))</f>
        <v>78</v>
      </c>
      <c r="M497" s="3">
        <f>'1. Master Data'!I497</f>
        <v>1794</v>
      </c>
      <c r="N497" s="3">
        <f t="shared" si="44"/>
        <v>86</v>
      </c>
      <c r="O497" s="5" t="str">
        <f t="shared" si="45"/>
        <v>OK</v>
      </c>
      <c r="P497" s="5" t="str">
        <f t="shared" si="46"/>
        <v>LOW</v>
      </c>
      <c r="Q497" s="3" t="str">
        <f t="shared" si="47"/>
        <v>Reorder Point</v>
      </c>
    </row>
    <row r="498" spans="1:17" ht="15" customHeight="1" x14ac:dyDescent="0.2">
      <c r="A498" s="3" t="str">
        <f>'1. Master Data'!A498</f>
        <v>NT10494</v>
      </c>
      <c r="B498" s="1" t="str">
        <f>'1. Master Data'!B498</f>
        <v>Car Mount V201</v>
      </c>
      <c r="C498" s="3" t="str">
        <f>'1. Master Data'!D498</f>
        <v>West DC</v>
      </c>
      <c r="D498" s="5" t="str">
        <f>'4. ABC XYZ Analysis'!K498</f>
        <v>C</v>
      </c>
      <c r="E498" s="5" t="str">
        <f>'4. ABC XYZ Analysis'!M498</f>
        <v>Y</v>
      </c>
      <c r="F498" s="4">
        <f>'1. Master Data'!F498</f>
        <v>30</v>
      </c>
      <c r="G498" s="3">
        <f>'1. Master Data'!G498</f>
        <v>8</v>
      </c>
      <c r="H498" s="8">
        <f>'3. Demand Forecast'!F498/$T$3</f>
        <v>3.6045454545454545</v>
      </c>
      <c r="I498" s="8">
        <f>'3. Demand Forecast'!G498/SQRT($T$3)</f>
        <v>1.0020433668713691</v>
      </c>
      <c r="J498" s="5">
        <f t="shared" si="42"/>
        <v>5</v>
      </c>
      <c r="K498" s="5">
        <f t="shared" si="43"/>
        <v>34</v>
      </c>
      <c r="L498" s="3">
        <f>IF(F498=0,0,ROUNDUP(SQRT(2*'4. ABC XYZ Analysis'!F498*$U$3/(F498*$V$3)),0))</f>
        <v>77</v>
      </c>
      <c r="M498" s="3">
        <f>'1. Master Data'!I498</f>
        <v>38</v>
      </c>
      <c r="N498" s="3">
        <f t="shared" si="44"/>
        <v>11</v>
      </c>
      <c r="O498" s="5" t="str">
        <f t="shared" si="45"/>
        <v>ORDER SOON</v>
      </c>
      <c r="P498" s="5" t="str">
        <f t="shared" si="46"/>
        <v>MEDIUM</v>
      </c>
      <c r="Q498" s="3" t="str">
        <f t="shared" si="47"/>
        <v>Reorder Point</v>
      </c>
    </row>
    <row r="499" spans="1:17" ht="15" customHeight="1" x14ac:dyDescent="0.2">
      <c r="A499" s="3" t="str">
        <f>'1. Master Data'!A499</f>
        <v>NT10495</v>
      </c>
      <c r="B499" s="1" t="str">
        <f>'1. Master Data'!B499</f>
        <v>Phone Case Clear V726</v>
      </c>
      <c r="C499" s="3" t="str">
        <f>'1. Master Data'!D499</f>
        <v>Central DC</v>
      </c>
      <c r="D499" s="5" t="str">
        <f>'4. ABC XYZ Analysis'!K499</f>
        <v>C</v>
      </c>
      <c r="E499" s="5" t="str">
        <f>'4. ABC XYZ Analysis'!M499</f>
        <v>X</v>
      </c>
      <c r="F499" s="4">
        <f>'1. Master Data'!F499</f>
        <v>13</v>
      </c>
      <c r="G499" s="3">
        <f>'1. Master Data'!G499</f>
        <v>15</v>
      </c>
      <c r="H499" s="8">
        <f>'3. Demand Forecast'!F499/$T$3</f>
        <v>19.990909090909092</v>
      </c>
      <c r="I499" s="8">
        <f>'3. Demand Forecast'!G499/SQRT($T$3)</f>
        <v>5.6924591266947981</v>
      </c>
      <c r="J499" s="5">
        <f t="shared" si="42"/>
        <v>37</v>
      </c>
      <c r="K499" s="5">
        <f t="shared" si="43"/>
        <v>337</v>
      </c>
      <c r="L499" s="3">
        <f>IF(F499=0,0,ROUNDUP(SQRT(2*'4. ABC XYZ Analysis'!F499*$U$3/(F499*$V$3)),0))</f>
        <v>185</v>
      </c>
      <c r="M499" s="3">
        <f>'1. Master Data'!I499</f>
        <v>340</v>
      </c>
      <c r="N499" s="3">
        <f t="shared" si="44"/>
        <v>17</v>
      </c>
      <c r="O499" s="5" t="str">
        <f t="shared" si="45"/>
        <v>ORDER SOON</v>
      </c>
      <c r="P499" s="5" t="str">
        <f t="shared" si="46"/>
        <v>MEDIUM</v>
      </c>
      <c r="Q499" s="3" t="str">
        <f t="shared" si="47"/>
        <v>Reorder Point</v>
      </c>
    </row>
    <row r="500" spans="1:17" ht="15" customHeight="1" x14ac:dyDescent="0.2">
      <c r="A500" s="3" t="str">
        <f>'1. Master Data'!A500</f>
        <v>NT10496</v>
      </c>
      <c r="B500" s="1" t="str">
        <f>'1. Master Data'!B500</f>
        <v>HDMI Cable 4K V489</v>
      </c>
      <c r="C500" s="3" t="str">
        <f>'1. Master Data'!D500</f>
        <v>East DC</v>
      </c>
      <c r="D500" s="5" t="str">
        <f>'4. ABC XYZ Analysis'!K500</f>
        <v>C</v>
      </c>
      <c r="E500" s="5" t="str">
        <f>'4. ABC XYZ Analysis'!M500</f>
        <v>Y</v>
      </c>
      <c r="F500" s="4">
        <f>'1. Master Data'!F500</f>
        <v>18</v>
      </c>
      <c r="G500" s="3">
        <f>'1. Master Data'!G500</f>
        <v>22</v>
      </c>
      <c r="H500" s="8">
        <f>'3. Demand Forecast'!F500/$T$3</f>
        <v>17.831818181818182</v>
      </c>
      <c r="I500" s="8">
        <f>'3. Demand Forecast'!G500/SQRT($T$3)</f>
        <v>6.3533813473971907</v>
      </c>
      <c r="J500" s="5">
        <f t="shared" si="42"/>
        <v>50</v>
      </c>
      <c r="K500" s="5">
        <f t="shared" si="43"/>
        <v>443</v>
      </c>
      <c r="L500" s="3">
        <f>IF(F500=0,0,ROUNDUP(SQRT(2*'4. ABC XYZ Analysis'!F500*$U$3/(F500*$V$3)),0))</f>
        <v>48</v>
      </c>
      <c r="M500" s="3">
        <f>'1. Master Data'!I500</f>
        <v>1519</v>
      </c>
      <c r="N500" s="3">
        <f t="shared" si="44"/>
        <v>85</v>
      </c>
      <c r="O500" s="5" t="str">
        <f t="shared" si="45"/>
        <v>OK</v>
      </c>
      <c r="P500" s="5" t="str">
        <f t="shared" si="46"/>
        <v>LOW</v>
      </c>
      <c r="Q500" s="3" t="str">
        <f t="shared" si="47"/>
        <v>Reorder Point</v>
      </c>
    </row>
    <row r="501" spans="1:17" ht="15" customHeight="1" x14ac:dyDescent="0.2">
      <c r="A501" s="3" t="str">
        <f>'1. Master Data'!A501</f>
        <v>NT10497</v>
      </c>
      <c r="B501" s="1" t="str">
        <f>'1. Master Data'!B501</f>
        <v>Phone Case Clear V257</v>
      </c>
      <c r="C501" s="3" t="str">
        <f>'1. Master Data'!D501</f>
        <v>East DC</v>
      </c>
      <c r="D501" s="5" t="str">
        <f>'4. ABC XYZ Analysis'!K501</f>
        <v>C</v>
      </c>
      <c r="E501" s="5" t="str">
        <f>'4. ABC XYZ Analysis'!M501</f>
        <v>Y</v>
      </c>
      <c r="F501" s="4">
        <f>'1. Master Data'!F501</f>
        <v>16</v>
      </c>
      <c r="G501" s="3">
        <f>'1. Master Data'!G501</f>
        <v>6</v>
      </c>
      <c r="H501" s="8">
        <f>'3. Demand Forecast'!F501/$T$3</f>
        <v>6.0090909090909088</v>
      </c>
      <c r="I501" s="8">
        <f>'3. Demand Forecast'!G501/SQRT($T$3)</f>
        <v>1.5350451577603952</v>
      </c>
      <c r="J501" s="5">
        <f t="shared" si="42"/>
        <v>7</v>
      </c>
      <c r="K501" s="5">
        <f t="shared" si="43"/>
        <v>44</v>
      </c>
      <c r="L501" s="3">
        <f>IF(F501=0,0,ROUNDUP(SQRT(2*'4. ABC XYZ Analysis'!F501*$U$3/(F501*$V$3)),0))</f>
        <v>22</v>
      </c>
      <c r="M501" s="3">
        <f>'1. Master Data'!I501</f>
        <v>47</v>
      </c>
      <c r="N501" s="3">
        <f t="shared" si="44"/>
        <v>8</v>
      </c>
      <c r="O501" s="5" t="str">
        <f t="shared" si="45"/>
        <v>ORDER SOON</v>
      </c>
      <c r="P501" s="5" t="str">
        <f t="shared" si="46"/>
        <v>MEDIUM</v>
      </c>
      <c r="Q501" s="3" t="str">
        <f t="shared" si="47"/>
        <v>Reorder Point</v>
      </c>
    </row>
    <row r="502" spans="1:17" ht="15" customHeight="1" x14ac:dyDescent="0.2">
      <c r="A502" s="3" t="str">
        <f>'1. Master Data'!A502</f>
        <v>NT10498</v>
      </c>
      <c r="B502" s="1" t="str">
        <f>'1. Master Data'!B502</f>
        <v>Screen Guard 259</v>
      </c>
      <c r="C502" s="3" t="str">
        <f>'1. Master Data'!D502</f>
        <v>West DC</v>
      </c>
      <c r="D502" s="5" t="str">
        <f>'4. ABC XYZ Analysis'!K502</f>
        <v>C</v>
      </c>
      <c r="E502" s="5" t="str">
        <f>'4. ABC XYZ Analysis'!M502</f>
        <v>X</v>
      </c>
      <c r="F502" s="4">
        <f>'1. Master Data'!F502</f>
        <v>6</v>
      </c>
      <c r="G502" s="3">
        <f>'1. Master Data'!G502</f>
        <v>12</v>
      </c>
      <c r="H502" s="8">
        <f>'3. Demand Forecast'!F502/$T$3</f>
        <v>4.1818181818181817</v>
      </c>
      <c r="I502" s="8">
        <f>'3. Demand Forecast'!G502/SQRT($T$3)</f>
        <v>1.6842856592093225</v>
      </c>
      <c r="J502" s="5">
        <f t="shared" si="42"/>
        <v>10</v>
      </c>
      <c r="K502" s="5">
        <f t="shared" si="43"/>
        <v>61</v>
      </c>
      <c r="L502" s="3">
        <f>IF(F502=0,0,ROUNDUP(SQRT(2*'4. ABC XYZ Analysis'!F502*$U$3/(F502*$V$3)),0))</f>
        <v>246</v>
      </c>
      <c r="M502" s="3">
        <f>'1. Master Data'!I502</f>
        <v>64</v>
      </c>
      <c r="N502" s="3">
        <f t="shared" si="44"/>
        <v>15</v>
      </c>
      <c r="O502" s="5" t="str">
        <f t="shared" si="45"/>
        <v>ORDER SOON</v>
      </c>
      <c r="P502" s="5" t="str">
        <f t="shared" si="46"/>
        <v>MEDIUM</v>
      </c>
      <c r="Q502" s="3" t="str">
        <f t="shared" si="47"/>
        <v>Reorder Point</v>
      </c>
    </row>
    <row r="503" spans="1:17" ht="15" customHeight="1" x14ac:dyDescent="0.2">
      <c r="A503" s="3" t="str">
        <f>'1. Master Data'!A503</f>
        <v>NT10499</v>
      </c>
      <c r="B503" s="1" t="str">
        <f>'1. Master Data'!B503</f>
        <v>Screen Guard 771</v>
      </c>
      <c r="C503" s="3" t="str">
        <f>'1. Master Data'!D503</f>
        <v>West DC</v>
      </c>
      <c r="D503" s="5" t="str">
        <f>'4. ABC XYZ Analysis'!K503</f>
        <v>C</v>
      </c>
      <c r="E503" s="5" t="str">
        <f>'4. ABC XYZ Analysis'!M503</f>
        <v>Y</v>
      </c>
      <c r="F503" s="4">
        <f>'1. Master Data'!F503</f>
        <v>18</v>
      </c>
      <c r="G503" s="3">
        <f>'1. Master Data'!G503</f>
        <v>11</v>
      </c>
      <c r="H503" s="8">
        <f>'3. Demand Forecast'!F503/$T$3</f>
        <v>14.877272727272727</v>
      </c>
      <c r="I503" s="8">
        <f>'3. Demand Forecast'!G503/SQRT($T$3)</f>
        <v>8.911789943664516</v>
      </c>
      <c r="J503" s="5">
        <f t="shared" si="42"/>
        <v>49</v>
      </c>
      <c r="K503" s="5">
        <f t="shared" si="43"/>
        <v>213</v>
      </c>
      <c r="L503" s="3">
        <f>IF(F503=0,0,ROUNDUP(SQRT(2*'4. ABC XYZ Analysis'!F503*$U$3/(F503*$V$3)),0))</f>
        <v>20</v>
      </c>
      <c r="M503" s="3">
        <f>'1. Master Data'!I503</f>
        <v>1588</v>
      </c>
      <c r="N503" s="3">
        <f t="shared" si="44"/>
        <v>107</v>
      </c>
      <c r="O503" s="5" t="str">
        <f t="shared" si="45"/>
        <v>OK</v>
      </c>
      <c r="P503" s="5" t="str">
        <f t="shared" si="46"/>
        <v>LOW</v>
      </c>
      <c r="Q503" s="3" t="str">
        <f t="shared" si="47"/>
        <v>Reorder Point</v>
      </c>
    </row>
    <row r="504" spans="1:17" ht="15" customHeight="1" x14ac:dyDescent="0.2">
      <c r="A504" s="3" t="str">
        <f>'1. Master Data'!A504</f>
        <v>NT10500</v>
      </c>
      <c r="B504" s="1" t="str">
        <f>'1. Master Data'!B504</f>
        <v>Phone Case Clear V670</v>
      </c>
      <c r="C504" s="3" t="str">
        <f>'1. Master Data'!D504</f>
        <v>East DC</v>
      </c>
      <c r="D504" s="5" t="str">
        <f>'4. ABC XYZ Analysis'!K504</f>
        <v>C</v>
      </c>
      <c r="E504" s="5" t="str">
        <f>'4. ABC XYZ Analysis'!M504</f>
        <v>Y</v>
      </c>
      <c r="F504" s="4">
        <f>'1. Master Data'!F504</f>
        <v>28</v>
      </c>
      <c r="G504" s="3">
        <f>'1. Master Data'!G504</f>
        <v>22</v>
      </c>
      <c r="H504" s="8">
        <f>'3. Demand Forecast'!F504/$T$3</f>
        <v>11.218181818181819</v>
      </c>
      <c r="I504" s="8">
        <f>'3. Demand Forecast'!G504/SQRT($T$3)</f>
        <v>3.368571318418645</v>
      </c>
      <c r="J504" s="5">
        <f t="shared" si="42"/>
        <v>27</v>
      </c>
      <c r="K504" s="5">
        <f t="shared" si="43"/>
        <v>274</v>
      </c>
      <c r="L504" s="3">
        <f>IF(F504=0,0,ROUNDUP(SQRT(2*'4. ABC XYZ Analysis'!F504*$U$3/(F504*$V$3)),0))</f>
        <v>32</v>
      </c>
      <c r="M504" s="3">
        <f>'1. Master Data'!I504</f>
        <v>277</v>
      </c>
      <c r="N504" s="3">
        <f t="shared" si="44"/>
        <v>25</v>
      </c>
      <c r="O504" s="5" t="str">
        <f t="shared" si="45"/>
        <v>ORDER SOON</v>
      </c>
      <c r="P504" s="5" t="str">
        <f t="shared" si="46"/>
        <v>MEDIUM</v>
      </c>
      <c r="Q504" s="3" t="str">
        <f t="shared" si="47"/>
        <v>Reorder Point</v>
      </c>
    </row>
    <row r="506" spans="1:17" ht="15" customHeight="1" x14ac:dyDescent="0.2">
      <c r="A506" s="40" t="s">
        <v>1062</v>
      </c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</row>
    <row r="507" spans="1:17" ht="15" customHeight="1" x14ac:dyDescent="0.2">
      <c r="A507" s="25" t="s">
        <v>1161</v>
      </c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</row>
    <row r="508" spans="1:17" ht="15" customHeight="1" x14ac:dyDescent="0.2">
      <c r="A508" s="25" t="s">
        <v>1162</v>
      </c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</row>
    <row r="509" spans="1:17" ht="15" customHeight="1" x14ac:dyDescent="0.2">
      <c r="A509" s="25" t="s">
        <v>1163</v>
      </c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</row>
    <row r="510" spans="1:17" ht="15" customHeight="1" x14ac:dyDescent="0.2">
      <c r="A510" s="25" t="s">
        <v>1164</v>
      </c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</row>
    <row r="511" spans="1:17" ht="15" customHeight="1" x14ac:dyDescent="0.2">
      <c r="A511" s="25" t="s">
        <v>1165</v>
      </c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</row>
  </sheetData>
  <mergeCells count="8">
    <mergeCell ref="A509:Q509"/>
    <mergeCell ref="A510:Q510"/>
    <mergeCell ref="A511:Q511"/>
    <mergeCell ref="A1:Q1"/>
    <mergeCell ref="A2:Q2"/>
    <mergeCell ref="A506:Q506"/>
    <mergeCell ref="A507:Q507"/>
    <mergeCell ref="A508:Q508"/>
  </mergeCells>
  <conditionalFormatting sqref="O5:O504">
    <cfRule type="cellIs" dxfId="15" priority="2" operator="equal">
      <formula>"ORDER NOW"</formula>
    </cfRule>
    <cfRule type="cellIs" dxfId="14" priority="3" operator="equal">
      <formula>"ORDER SOON"</formula>
    </cfRule>
    <cfRule type="cellIs" dxfId="13" priority="4" operator="equal">
      <formula>"OK"</formula>
    </cfRule>
  </conditionalFormatting>
  <conditionalFormatting sqref="P5:P504">
    <cfRule type="cellIs" dxfId="12" priority="5" operator="equal">
      <formula>"URGENT"</formula>
    </cfRule>
    <cfRule type="cellIs" dxfId="11" priority="6" operator="equal">
      <formula>"HIGH"</formula>
    </cfRule>
    <cfRule type="cellIs" dxfId="10" priority="7" operator="equal">
      <formula>"MEDIUM"</formula>
    </cfRule>
    <cfRule type="cellIs" dxfId="9" priority="8" operator="equal">
      <formula>"LOW"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09"/>
  <sheetViews>
    <sheetView showGridLines="0" zoomScale="180" zoomScaleNormal="1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O17" sqref="O17"/>
    </sheetView>
  </sheetViews>
  <sheetFormatPr baseColWidth="10" defaultColWidth="8.6640625" defaultRowHeight="15" x14ac:dyDescent="0.2"/>
  <cols>
    <col min="1" max="1" width="8.6640625" bestFit="1" customWidth="1"/>
    <col min="2" max="2" width="20.1640625" bestFit="1" customWidth="1"/>
    <col min="3" max="3" width="11.5" bestFit="1" customWidth="1"/>
    <col min="4" max="4" width="8.5" bestFit="1" customWidth="1"/>
    <col min="5" max="5" width="9.83203125" bestFit="1" customWidth="1"/>
    <col min="6" max="6" width="11.83203125" bestFit="1" customWidth="1"/>
    <col min="7" max="7" width="11.33203125" bestFit="1" customWidth="1"/>
    <col min="8" max="8" width="14.33203125" bestFit="1" customWidth="1"/>
    <col min="9" max="9" width="12.5" bestFit="1" customWidth="1"/>
    <col min="10" max="10" width="14.33203125" bestFit="1" customWidth="1"/>
    <col min="11" max="11" width="12.33203125" bestFit="1" customWidth="1"/>
    <col min="12" max="12" width="9.5" bestFit="1" customWidth="1"/>
    <col min="13" max="13" width="13" bestFit="1" customWidth="1"/>
    <col min="14" max="14" width="13.6640625" bestFit="1" customWidth="1"/>
    <col min="15" max="15" width="19.83203125" bestFit="1" customWidth="1"/>
    <col min="18" max="18" width="13" customWidth="1"/>
    <col min="19" max="19" width="11" customWidth="1"/>
  </cols>
  <sheetData>
    <row r="1" spans="1:19" ht="31.5" customHeight="1" x14ac:dyDescent="0.2">
      <c r="A1" s="46" t="s">
        <v>1166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9" ht="18" customHeight="1" x14ac:dyDescent="0.2">
      <c r="A2" s="32" t="s">
        <v>1167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4" spans="1:19" ht="24" customHeight="1" x14ac:dyDescent="0.2">
      <c r="A4" s="2" t="s">
        <v>28</v>
      </c>
      <c r="B4" s="2" t="s">
        <v>29</v>
      </c>
      <c r="C4" s="2" t="s">
        <v>30</v>
      </c>
      <c r="D4" s="2" t="s">
        <v>31</v>
      </c>
      <c r="E4" s="2" t="s">
        <v>35</v>
      </c>
      <c r="F4" s="2" t="s">
        <v>33</v>
      </c>
      <c r="G4" s="2" t="s">
        <v>36</v>
      </c>
      <c r="H4" s="2" t="s">
        <v>1168</v>
      </c>
      <c r="I4" s="2" t="s">
        <v>37</v>
      </c>
      <c r="J4" s="2" t="s">
        <v>1169</v>
      </c>
      <c r="K4" s="2" t="s">
        <v>1170</v>
      </c>
      <c r="L4" s="2" t="s">
        <v>1171</v>
      </c>
      <c r="M4" s="2" t="s">
        <v>1172</v>
      </c>
      <c r="N4" s="2" t="s">
        <v>1173</v>
      </c>
      <c r="O4" s="2" t="s">
        <v>1174</v>
      </c>
      <c r="R4" s="13" t="s">
        <v>30</v>
      </c>
      <c r="S4" s="13" t="s">
        <v>1175</v>
      </c>
    </row>
    <row r="5" spans="1:19" ht="15" customHeight="1" x14ac:dyDescent="0.2">
      <c r="A5" s="3" t="str">
        <f>'1. Master Data'!A5</f>
        <v>NT10001</v>
      </c>
      <c r="B5" s="1" t="str">
        <f>'1. Master Data'!B5</f>
        <v>Nova X427 128GB</v>
      </c>
      <c r="C5" s="3" t="str">
        <f>'1. Master Data'!C5</f>
        <v>Smartphones</v>
      </c>
      <c r="D5" s="3" t="str">
        <f>'1. Master Data'!D5</f>
        <v>West DC</v>
      </c>
      <c r="E5" s="3" t="str">
        <f>'1. Master Data'!H5</f>
        <v>Active</v>
      </c>
      <c r="F5" s="4">
        <f>'1. Master Data'!F5</f>
        <v>865</v>
      </c>
      <c r="G5" s="3">
        <f>'1. Master Data'!I5</f>
        <v>124</v>
      </c>
      <c r="H5" s="15">
        <f>F5*G5</f>
        <v>107260</v>
      </c>
      <c r="I5" s="3">
        <f>'1. Master Data'!J5</f>
        <v>53</v>
      </c>
      <c r="J5" s="5" t="str">
        <f t="shared" ref="J5:J68" si="0">IF(I5&lt;=30,"Fresh",IF(I5&lt;=90,"Watch",IF(I5&lt;=180,"Aged","Obsolete Risk")))</f>
        <v>Watch</v>
      </c>
      <c r="K5" s="3">
        <f>IF('3. Demand Forecast'!F5=0,99,ROUND(G5/'3. Demand Forecast'!F5,1))</f>
        <v>1.3</v>
      </c>
      <c r="L5" s="3">
        <f>IF(G5=0,0,ROUND('4. ABC XYZ Analysis'!F5/G5,1))</f>
        <v>24.9</v>
      </c>
      <c r="M5" s="5" t="str">
        <f t="shared" ref="M5:M68" si="1">IF(OR(E5="EOL",I5&gt;90,K5&gt;6),"EXCESS","OK")</f>
        <v>OK</v>
      </c>
      <c r="N5" s="4">
        <f t="shared" ref="N5:N68" si="2">IF(M5="EXCESS",H5,0)</f>
        <v>0</v>
      </c>
      <c r="O5" s="1" t="str">
        <f t="shared" ref="O5:O68" si="3">IF(E5="EOL","Scrap / Liquidate",IF(I5&gt;180,"Disposition Review",IF(M5="EXCESS","Reduce orders and monitor","Healthy")))</f>
        <v>Healthy</v>
      </c>
      <c r="R5" s="13" t="s">
        <v>41</v>
      </c>
      <c r="S5" s="16">
        <f t="shared" ref="S5:S14" si="4">SUMIF(C$5:C$504,R5,N$5:N$504)</f>
        <v>204696</v>
      </c>
    </row>
    <row r="6" spans="1:19" ht="15" customHeight="1" x14ac:dyDescent="0.2">
      <c r="A6" s="3" t="str">
        <f>'1. Master Data'!A6</f>
        <v>NT10002</v>
      </c>
      <c r="B6" s="1" t="str">
        <f>'1. Master Data'!B6</f>
        <v>Pulse 962 Dual SIM</v>
      </c>
      <c r="C6" s="3" t="str">
        <f>'1. Master Data'!C6</f>
        <v>Smartphones</v>
      </c>
      <c r="D6" s="3" t="str">
        <f>'1. Master Data'!D6</f>
        <v>East DC</v>
      </c>
      <c r="E6" s="3" t="str">
        <f>'1. Master Data'!H6</f>
        <v>Active</v>
      </c>
      <c r="F6" s="4">
        <f>'1. Master Data'!F6</f>
        <v>701</v>
      </c>
      <c r="G6" s="3">
        <f>'1. Master Data'!I6</f>
        <v>146</v>
      </c>
      <c r="H6" s="15">
        <f t="shared" ref="H6:H68" si="5">F6*G6</f>
        <v>102346</v>
      </c>
      <c r="I6" s="3">
        <f>'1. Master Data'!J6</f>
        <v>48</v>
      </c>
      <c r="J6" s="5" t="str">
        <f t="shared" si="0"/>
        <v>Watch</v>
      </c>
      <c r="K6" s="3">
        <f>IF('3. Demand Forecast'!F6=0,99,ROUND(G6/'3. Demand Forecast'!F6,1))</f>
        <v>2.8</v>
      </c>
      <c r="L6" s="3">
        <f>IF(G6=0,0,ROUND('4. ABC XYZ Analysis'!F6/G6,1))</f>
        <v>15.5</v>
      </c>
      <c r="M6" s="5" t="str">
        <f t="shared" si="1"/>
        <v>OK</v>
      </c>
      <c r="N6" s="4">
        <f t="shared" si="2"/>
        <v>0</v>
      </c>
      <c r="O6" s="1" t="str">
        <f t="shared" si="3"/>
        <v>Healthy</v>
      </c>
      <c r="R6" s="13" t="s">
        <v>149</v>
      </c>
      <c r="S6" s="16">
        <f t="shared" si="4"/>
        <v>161382</v>
      </c>
    </row>
    <row r="7" spans="1:19" ht="15" customHeight="1" x14ac:dyDescent="0.2">
      <c r="A7" s="3" t="str">
        <f>'1. Master Data'!A7</f>
        <v>NT10003</v>
      </c>
      <c r="B7" s="1" t="str">
        <f>'1. Master Data'!B7</f>
        <v>Nova Lite 936 64GB</v>
      </c>
      <c r="C7" s="3" t="str">
        <f>'1. Master Data'!C7</f>
        <v>Smartphones</v>
      </c>
      <c r="D7" s="3" t="str">
        <f>'1. Master Data'!D7</f>
        <v>West DC</v>
      </c>
      <c r="E7" s="3" t="str">
        <f>'1. Master Data'!H7</f>
        <v>Active</v>
      </c>
      <c r="F7" s="4">
        <f>'1. Master Data'!F7</f>
        <v>261</v>
      </c>
      <c r="G7" s="3">
        <f>'1. Master Data'!I7</f>
        <v>181</v>
      </c>
      <c r="H7" s="15">
        <f t="shared" si="5"/>
        <v>47241</v>
      </c>
      <c r="I7" s="3">
        <f>'1. Master Data'!J7</f>
        <v>25</v>
      </c>
      <c r="J7" s="5" t="str">
        <f t="shared" si="0"/>
        <v>Fresh</v>
      </c>
      <c r="K7" s="3">
        <f>IF('3. Demand Forecast'!F7=0,99,ROUND(G7/'3. Demand Forecast'!F7,1))</f>
        <v>1.5</v>
      </c>
      <c r="L7" s="3">
        <f>IF(G7=0,0,ROUND('4. ABC XYZ Analysis'!F7/G7,1))</f>
        <v>21.7</v>
      </c>
      <c r="M7" s="5" t="str">
        <f t="shared" si="1"/>
        <v>OK</v>
      </c>
      <c r="N7" s="4">
        <f t="shared" si="2"/>
        <v>0</v>
      </c>
      <c r="O7" s="1" t="str">
        <f t="shared" si="3"/>
        <v>Healthy</v>
      </c>
      <c r="R7" s="13" t="s">
        <v>251</v>
      </c>
      <c r="S7" s="16">
        <f t="shared" si="4"/>
        <v>160608</v>
      </c>
    </row>
    <row r="8" spans="1:19" ht="15" customHeight="1" x14ac:dyDescent="0.2">
      <c r="A8" s="3" t="str">
        <f>'1. Master Data'!A8</f>
        <v>NT10004</v>
      </c>
      <c r="B8" s="1" t="str">
        <f>'1. Master Data'!B8</f>
        <v>Nova Lite 315 64GB</v>
      </c>
      <c r="C8" s="3" t="str">
        <f>'1. Master Data'!C8</f>
        <v>Smartphones</v>
      </c>
      <c r="D8" s="3" t="str">
        <f>'1. Master Data'!D8</f>
        <v>West DC</v>
      </c>
      <c r="E8" s="3" t="str">
        <f>'1. Master Data'!H8</f>
        <v>Active</v>
      </c>
      <c r="F8" s="4">
        <f>'1. Master Data'!F8</f>
        <v>606</v>
      </c>
      <c r="G8" s="3">
        <f>'1. Master Data'!I8</f>
        <v>177</v>
      </c>
      <c r="H8" s="15">
        <f t="shared" si="5"/>
        <v>107262</v>
      </c>
      <c r="I8" s="3">
        <f>'1. Master Data'!J8</f>
        <v>29</v>
      </c>
      <c r="J8" s="5" t="str">
        <f t="shared" si="0"/>
        <v>Fresh</v>
      </c>
      <c r="K8" s="3">
        <f>IF('3. Demand Forecast'!F8=0,99,ROUND(G8/'3. Demand Forecast'!F8,1))</f>
        <v>2.6</v>
      </c>
      <c r="L8" s="3">
        <f>IF(G8=0,0,ROUND('4. ABC XYZ Analysis'!F8/G8,1))</f>
        <v>14.8</v>
      </c>
      <c r="M8" s="5" t="str">
        <f t="shared" si="1"/>
        <v>OK</v>
      </c>
      <c r="N8" s="4">
        <f t="shared" si="2"/>
        <v>0</v>
      </c>
      <c r="O8" s="1" t="str">
        <f t="shared" si="3"/>
        <v>Healthy</v>
      </c>
      <c r="R8" s="13" t="s">
        <v>353</v>
      </c>
      <c r="S8" s="16">
        <f t="shared" si="4"/>
        <v>213003</v>
      </c>
    </row>
    <row r="9" spans="1:19" ht="15" customHeight="1" x14ac:dyDescent="0.2">
      <c r="A9" s="3" t="str">
        <f>'1. Master Data'!A9</f>
        <v>NT10005</v>
      </c>
      <c r="B9" s="1" t="str">
        <f>'1. Master Data'!B9</f>
        <v>Pulse 753 Dual SIM</v>
      </c>
      <c r="C9" s="3" t="str">
        <f>'1. Master Data'!C9</f>
        <v>Smartphones</v>
      </c>
      <c r="D9" s="3" t="str">
        <f>'1. Master Data'!D9</f>
        <v>Central DC</v>
      </c>
      <c r="E9" s="3" t="str">
        <f>'1. Master Data'!H9</f>
        <v>Active</v>
      </c>
      <c r="F9" s="4">
        <f>'1. Master Data'!F9</f>
        <v>598</v>
      </c>
      <c r="G9" s="3">
        <f>'1. Master Data'!I9</f>
        <v>61</v>
      </c>
      <c r="H9" s="15">
        <f t="shared" si="5"/>
        <v>36478</v>
      </c>
      <c r="I9" s="3">
        <f>'1. Master Data'!J9</f>
        <v>43</v>
      </c>
      <c r="J9" s="5" t="str">
        <f t="shared" si="0"/>
        <v>Watch</v>
      </c>
      <c r="K9" s="3">
        <f>IF('3. Demand Forecast'!F9=0,99,ROUND(G9/'3. Demand Forecast'!F9,1))</f>
        <v>1.7</v>
      </c>
      <c r="L9" s="3">
        <f>IF(G9=0,0,ROUND('4. ABC XYZ Analysis'!F9/G9,1))</f>
        <v>36</v>
      </c>
      <c r="M9" s="5" t="str">
        <f t="shared" si="1"/>
        <v>OK</v>
      </c>
      <c r="N9" s="4">
        <f t="shared" si="2"/>
        <v>0</v>
      </c>
      <c r="O9" s="1" t="str">
        <f t="shared" si="3"/>
        <v>Healthy</v>
      </c>
      <c r="R9" s="13" t="s">
        <v>456</v>
      </c>
      <c r="S9" s="16">
        <f t="shared" si="4"/>
        <v>353306</v>
      </c>
    </row>
    <row r="10" spans="1:19" ht="15" customHeight="1" x14ac:dyDescent="0.2">
      <c r="A10" s="3" t="str">
        <f>'1. Master Data'!A10</f>
        <v>NT10006</v>
      </c>
      <c r="B10" s="1" t="str">
        <f>'1. Master Data'!B10</f>
        <v>Edge 244 5G 128GB</v>
      </c>
      <c r="C10" s="3" t="str">
        <f>'1. Master Data'!C10</f>
        <v>Smartphones</v>
      </c>
      <c r="D10" s="3" t="str">
        <f>'1. Master Data'!D10</f>
        <v>Central DC</v>
      </c>
      <c r="E10" s="3" t="str">
        <f>'1. Master Data'!H10</f>
        <v>Active</v>
      </c>
      <c r="F10" s="4">
        <f>'1. Master Data'!F10</f>
        <v>627</v>
      </c>
      <c r="G10" s="3">
        <f>'1. Master Data'!I10</f>
        <v>150</v>
      </c>
      <c r="H10" s="15">
        <f t="shared" si="5"/>
        <v>94050</v>
      </c>
      <c r="I10" s="3">
        <f>'1. Master Data'!J10</f>
        <v>68</v>
      </c>
      <c r="J10" s="5" t="str">
        <f t="shared" si="0"/>
        <v>Watch</v>
      </c>
      <c r="K10" s="3">
        <f>IF('3. Demand Forecast'!F10=0,99,ROUND(G10/'3. Demand Forecast'!F10,1))</f>
        <v>2.2999999999999998</v>
      </c>
      <c r="L10" s="3">
        <f>IF(G10=0,0,ROUND('4. ABC XYZ Analysis'!F10/G10,1))</f>
        <v>45.4</v>
      </c>
      <c r="M10" s="5" t="str">
        <f t="shared" si="1"/>
        <v>OK</v>
      </c>
      <c r="N10" s="4">
        <f t="shared" si="2"/>
        <v>0</v>
      </c>
      <c r="O10" s="1" t="str">
        <f t="shared" si="3"/>
        <v>Healthy</v>
      </c>
      <c r="R10" s="13" t="s">
        <v>556</v>
      </c>
      <c r="S10" s="16">
        <f t="shared" si="4"/>
        <v>223320</v>
      </c>
    </row>
    <row r="11" spans="1:19" ht="15" customHeight="1" x14ac:dyDescent="0.2">
      <c r="A11" s="3" t="str">
        <f>'1. Master Data'!A11</f>
        <v>NT10007</v>
      </c>
      <c r="B11" s="1" t="str">
        <f>'1. Master Data'!B11</f>
        <v>Pulse 667 Dual SIM</v>
      </c>
      <c r="C11" s="3" t="str">
        <f>'1. Master Data'!C11</f>
        <v>Smartphones</v>
      </c>
      <c r="D11" s="3" t="str">
        <f>'1. Master Data'!D11</f>
        <v>Central DC</v>
      </c>
      <c r="E11" s="3" t="str">
        <f>'1. Master Data'!H11</f>
        <v>Active</v>
      </c>
      <c r="F11" s="4">
        <f>'1. Master Data'!F11</f>
        <v>685</v>
      </c>
      <c r="G11" s="3">
        <f>'1. Master Data'!I11</f>
        <v>86</v>
      </c>
      <c r="H11" s="15">
        <f t="shared" si="5"/>
        <v>58910</v>
      </c>
      <c r="I11" s="3">
        <f>'1. Master Data'!J11</f>
        <v>16</v>
      </c>
      <c r="J11" s="5" t="str">
        <f t="shared" si="0"/>
        <v>Fresh</v>
      </c>
      <c r="K11" s="3">
        <f>IF('3. Demand Forecast'!F11=0,99,ROUND(G11/'3. Demand Forecast'!F11,1))</f>
        <v>2.5</v>
      </c>
      <c r="L11" s="3">
        <f>IF(G11=0,0,ROUND('4. ABC XYZ Analysis'!F11/G11,1))</f>
        <v>22.2</v>
      </c>
      <c r="M11" s="5" t="str">
        <f t="shared" si="1"/>
        <v>OK</v>
      </c>
      <c r="N11" s="4">
        <f t="shared" si="2"/>
        <v>0</v>
      </c>
      <c r="O11" s="1" t="str">
        <f t="shared" si="3"/>
        <v>Healthy</v>
      </c>
      <c r="R11" s="13" t="s">
        <v>658</v>
      </c>
      <c r="S11" s="16">
        <f t="shared" si="4"/>
        <v>246695</v>
      </c>
    </row>
    <row r="12" spans="1:19" ht="15" customHeight="1" x14ac:dyDescent="0.2">
      <c r="A12" s="3" t="str">
        <f>'1. Master Data'!A12</f>
        <v>NT10008</v>
      </c>
      <c r="B12" s="1" t="str">
        <f>'1. Master Data'!B12</f>
        <v>Edge 637 5G 128GB</v>
      </c>
      <c r="C12" s="3" t="str">
        <f>'1. Master Data'!C12</f>
        <v>Smartphones</v>
      </c>
      <c r="D12" s="3" t="str">
        <f>'1. Master Data'!D12</f>
        <v>West DC</v>
      </c>
      <c r="E12" s="3" t="str">
        <f>'1. Master Data'!H12</f>
        <v>Active</v>
      </c>
      <c r="F12" s="4">
        <f>'1. Master Data'!F12</f>
        <v>827</v>
      </c>
      <c r="G12" s="3">
        <f>'1. Master Data'!I12</f>
        <v>370</v>
      </c>
      <c r="H12" s="15">
        <f t="shared" si="5"/>
        <v>305990</v>
      </c>
      <c r="I12" s="3">
        <f>'1. Master Data'!J12</f>
        <v>69</v>
      </c>
      <c r="J12" s="5" t="str">
        <f t="shared" si="0"/>
        <v>Watch</v>
      </c>
      <c r="K12" s="3">
        <f>IF('3. Demand Forecast'!F12=0,99,ROUND(G12/'3. Demand Forecast'!F12,1))</f>
        <v>2.7</v>
      </c>
      <c r="L12" s="3">
        <f>IF(G12=0,0,ROUND('4. ABC XYZ Analysis'!F12/G12,1))</f>
        <v>19.5</v>
      </c>
      <c r="M12" s="5" t="str">
        <f t="shared" si="1"/>
        <v>OK</v>
      </c>
      <c r="N12" s="4">
        <f t="shared" si="2"/>
        <v>0</v>
      </c>
      <c r="O12" s="1" t="str">
        <f t="shared" si="3"/>
        <v>Healthy</v>
      </c>
      <c r="R12" s="13" t="s">
        <v>760</v>
      </c>
      <c r="S12" s="16">
        <f t="shared" si="4"/>
        <v>250872</v>
      </c>
    </row>
    <row r="13" spans="1:19" ht="15" customHeight="1" x14ac:dyDescent="0.2">
      <c r="A13" s="3" t="str">
        <f>'1. Master Data'!A13</f>
        <v>NT10009</v>
      </c>
      <c r="B13" s="1" t="str">
        <f>'1. Master Data'!B13</f>
        <v>Nova X689 128GB</v>
      </c>
      <c r="C13" s="3" t="str">
        <f>'1. Master Data'!C13</f>
        <v>Smartphones</v>
      </c>
      <c r="D13" s="3" t="str">
        <f>'1. Master Data'!D13</f>
        <v>West DC</v>
      </c>
      <c r="E13" s="3" t="str">
        <f>'1. Master Data'!H13</f>
        <v>Active</v>
      </c>
      <c r="F13" s="4">
        <f>'1. Master Data'!F13</f>
        <v>382</v>
      </c>
      <c r="G13" s="3">
        <f>'1. Master Data'!I13</f>
        <v>86</v>
      </c>
      <c r="H13" s="15">
        <f t="shared" si="5"/>
        <v>32852</v>
      </c>
      <c r="I13" s="3">
        <f>'1. Master Data'!J13</f>
        <v>53</v>
      </c>
      <c r="J13" s="5" t="str">
        <f t="shared" si="0"/>
        <v>Watch</v>
      </c>
      <c r="K13" s="3">
        <f>IF('3. Demand Forecast'!F13=0,99,ROUND(G13/'3. Demand Forecast'!F13,1))</f>
        <v>1.7</v>
      </c>
      <c r="L13" s="3">
        <f>IF(G13=0,0,ROUND('4. ABC XYZ Analysis'!F13/G13,1))</f>
        <v>39.5</v>
      </c>
      <c r="M13" s="5" t="str">
        <f t="shared" si="1"/>
        <v>OK</v>
      </c>
      <c r="N13" s="4">
        <f t="shared" si="2"/>
        <v>0</v>
      </c>
      <c r="O13" s="1" t="str">
        <f t="shared" si="3"/>
        <v>Healthy</v>
      </c>
      <c r="R13" s="13" t="s">
        <v>860</v>
      </c>
      <c r="S13" s="16">
        <f t="shared" si="4"/>
        <v>381816</v>
      </c>
    </row>
    <row r="14" spans="1:19" ht="15" customHeight="1" x14ac:dyDescent="0.2">
      <c r="A14" s="3" t="str">
        <f>'1. Master Data'!A14</f>
        <v>NT10010</v>
      </c>
      <c r="B14" s="1" t="str">
        <f>'1. Master Data'!B14</f>
        <v>Nova X834 128GB</v>
      </c>
      <c r="C14" s="3" t="str">
        <f>'1. Master Data'!C14</f>
        <v>Smartphones</v>
      </c>
      <c r="D14" s="3" t="str">
        <f>'1. Master Data'!D14</f>
        <v>West DC</v>
      </c>
      <c r="E14" s="3" t="str">
        <f>'1. Master Data'!H14</f>
        <v>Active</v>
      </c>
      <c r="F14" s="4">
        <f>'1. Master Data'!F14</f>
        <v>395</v>
      </c>
      <c r="G14" s="3">
        <f>'1. Master Data'!I14</f>
        <v>608</v>
      </c>
      <c r="H14" s="15">
        <f t="shared" si="5"/>
        <v>240160</v>
      </c>
      <c r="I14" s="3">
        <f>'1. Master Data'!J14</f>
        <v>30</v>
      </c>
      <c r="J14" s="5" t="str">
        <f t="shared" si="0"/>
        <v>Fresh</v>
      </c>
      <c r="K14" s="3">
        <f>IF('3. Demand Forecast'!F14=0,99,ROUND(G14/'3. Demand Forecast'!F14,1))</f>
        <v>2.6</v>
      </c>
      <c r="L14" s="3">
        <f>IF(G14=0,0,ROUND('4. ABC XYZ Analysis'!F14/G14,1))</f>
        <v>33.1</v>
      </c>
      <c r="M14" s="5" t="str">
        <f t="shared" si="1"/>
        <v>OK</v>
      </c>
      <c r="N14" s="4">
        <f t="shared" si="2"/>
        <v>0</v>
      </c>
      <c r="O14" s="1" t="str">
        <f t="shared" si="3"/>
        <v>Healthy</v>
      </c>
      <c r="R14" s="13" t="s">
        <v>961</v>
      </c>
      <c r="S14" s="16">
        <f t="shared" si="4"/>
        <v>477262</v>
      </c>
    </row>
    <row r="15" spans="1:19" ht="15" customHeight="1" x14ac:dyDescent="0.2">
      <c r="A15" s="3" t="str">
        <f>'1. Master Data'!A15</f>
        <v>NT10011</v>
      </c>
      <c r="B15" s="1" t="str">
        <f>'1. Master Data'!B15</f>
        <v>Edge 790 5G 128GB</v>
      </c>
      <c r="C15" s="3" t="str">
        <f>'1. Master Data'!C15</f>
        <v>Smartphones</v>
      </c>
      <c r="D15" s="3" t="str">
        <f>'1. Master Data'!D15</f>
        <v>Central DC</v>
      </c>
      <c r="E15" s="3" t="str">
        <f>'1. Master Data'!H15</f>
        <v>Active</v>
      </c>
      <c r="F15" s="4">
        <f>'1. Master Data'!F15</f>
        <v>507</v>
      </c>
      <c r="G15" s="3">
        <f>'1. Master Data'!I15</f>
        <v>251</v>
      </c>
      <c r="H15" s="15">
        <f t="shared" si="5"/>
        <v>127257</v>
      </c>
      <c r="I15" s="3">
        <f>'1. Master Data'!J15</f>
        <v>53</v>
      </c>
      <c r="J15" s="5" t="str">
        <f t="shared" si="0"/>
        <v>Watch</v>
      </c>
      <c r="K15" s="3">
        <f>IF('3. Demand Forecast'!F15=0,99,ROUND(G15/'3. Demand Forecast'!F15,1))</f>
        <v>2.8</v>
      </c>
      <c r="L15" s="3">
        <f>IF(G15=0,0,ROUND('4. ABC XYZ Analysis'!F15/G15,1))</f>
        <v>36.5</v>
      </c>
      <c r="M15" s="5" t="str">
        <f t="shared" si="1"/>
        <v>OK</v>
      </c>
      <c r="N15" s="4">
        <f t="shared" si="2"/>
        <v>0</v>
      </c>
      <c r="O15" s="1" t="str">
        <f t="shared" si="3"/>
        <v>Healthy</v>
      </c>
    </row>
    <row r="16" spans="1:19" ht="15" customHeight="1" x14ac:dyDescent="0.2">
      <c r="A16" s="3" t="str">
        <f>'1. Master Data'!A16</f>
        <v>NT10012</v>
      </c>
      <c r="B16" s="1" t="str">
        <f>'1. Master Data'!B16</f>
        <v>Pulse 918 Dual SIM</v>
      </c>
      <c r="C16" s="3" t="str">
        <f>'1. Master Data'!C16</f>
        <v>Smartphones</v>
      </c>
      <c r="D16" s="3" t="str">
        <f>'1. Master Data'!D16</f>
        <v>East DC</v>
      </c>
      <c r="E16" s="3" t="str">
        <f>'1. Master Data'!H16</f>
        <v>Active</v>
      </c>
      <c r="F16" s="4">
        <f>'1. Master Data'!F16</f>
        <v>693</v>
      </c>
      <c r="G16" s="3">
        <f>'1. Master Data'!I16</f>
        <v>29</v>
      </c>
      <c r="H16" s="15">
        <f t="shared" si="5"/>
        <v>20097</v>
      </c>
      <c r="I16" s="3">
        <f>'1. Master Data'!J16</f>
        <v>6</v>
      </c>
      <c r="J16" s="5" t="str">
        <f t="shared" si="0"/>
        <v>Fresh</v>
      </c>
      <c r="K16" s="3">
        <f>IF('3. Demand Forecast'!F16=0,99,ROUND(G16/'3. Demand Forecast'!F16,1))</f>
        <v>2.9</v>
      </c>
      <c r="L16" s="3">
        <f>IF(G16=0,0,ROUND('4. ABC XYZ Analysis'!F16/G16,1))</f>
        <v>39.1</v>
      </c>
      <c r="M16" s="5" t="str">
        <f t="shared" si="1"/>
        <v>OK</v>
      </c>
      <c r="N16" s="4">
        <f t="shared" si="2"/>
        <v>0</v>
      </c>
      <c r="O16" s="1" t="str">
        <f t="shared" si="3"/>
        <v>Healthy</v>
      </c>
    </row>
    <row r="17" spans="1:15" ht="15" customHeight="1" x14ac:dyDescent="0.2">
      <c r="A17" s="3" t="str">
        <f>'1. Master Data'!A17</f>
        <v>NT10013</v>
      </c>
      <c r="B17" s="1" t="str">
        <f>'1. Master Data'!B17</f>
        <v>Pulse 569 Dual SIM</v>
      </c>
      <c r="C17" s="3" t="str">
        <f>'1. Master Data'!C17</f>
        <v>Smartphones</v>
      </c>
      <c r="D17" s="3" t="str">
        <f>'1. Master Data'!D17</f>
        <v>West DC</v>
      </c>
      <c r="E17" s="3" t="str">
        <f>'1. Master Data'!H17</f>
        <v>EOL</v>
      </c>
      <c r="F17" s="4">
        <f>'1. Master Data'!F17</f>
        <v>454</v>
      </c>
      <c r="G17" s="3">
        <f>'1. Master Data'!I17</f>
        <v>24</v>
      </c>
      <c r="H17" s="15">
        <f t="shared" si="5"/>
        <v>10896</v>
      </c>
      <c r="I17" s="3">
        <f>'1. Master Data'!J17</f>
        <v>202</v>
      </c>
      <c r="J17" s="5" t="str">
        <f t="shared" si="0"/>
        <v>Obsolete Risk</v>
      </c>
      <c r="K17" s="3">
        <f>IF('3. Demand Forecast'!F17=0,99,ROUND(G17/'3. Demand Forecast'!F17,1))</f>
        <v>5.9</v>
      </c>
      <c r="L17" s="3">
        <f>IF(G17=0,0,ROUND('4. ABC XYZ Analysis'!F17/G17,1))</f>
        <v>55.8</v>
      </c>
      <c r="M17" s="5" t="str">
        <f t="shared" si="1"/>
        <v>EXCESS</v>
      </c>
      <c r="N17" s="4">
        <f t="shared" si="2"/>
        <v>10896</v>
      </c>
      <c r="O17" s="1" t="str">
        <f t="shared" si="3"/>
        <v>Scrap / Liquidate</v>
      </c>
    </row>
    <row r="18" spans="1:15" ht="15" customHeight="1" x14ac:dyDescent="0.2">
      <c r="A18" s="3" t="str">
        <f>'1. Master Data'!A18</f>
        <v>NT10014</v>
      </c>
      <c r="B18" s="1" t="str">
        <f>'1. Master Data'!B18</f>
        <v>Edge 927 5G 128GB</v>
      </c>
      <c r="C18" s="3" t="str">
        <f>'1. Master Data'!C18</f>
        <v>Smartphones</v>
      </c>
      <c r="D18" s="3" t="str">
        <f>'1. Master Data'!D18</f>
        <v>East DC</v>
      </c>
      <c r="E18" s="3" t="str">
        <f>'1. Master Data'!H18</f>
        <v>EOL</v>
      </c>
      <c r="F18" s="4">
        <f>'1. Master Data'!F18</f>
        <v>284</v>
      </c>
      <c r="G18" s="3">
        <f>'1. Master Data'!I18</f>
        <v>38</v>
      </c>
      <c r="H18" s="15">
        <f t="shared" si="5"/>
        <v>10792</v>
      </c>
      <c r="I18" s="3">
        <f>'1. Master Data'!J18</f>
        <v>184</v>
      </c>
      <c r="J18" s="5" t="str">
        <f t="shared" si="0"/>
        <v>Obsolete Risk</v>
      </c>
      <c r="K18" s="3">
        <f>IF('3. Demand Forecast'!F18=0,99,ROUND(G18/'3. Demand Forecast'!F18,1))</f>
        <v>4.0999999999999996</v>
      </c>
      <c r="L18" s="3">
        <f>IF(G18=0,0,ROUND('4. ABC XYZ Analysis'!F18/G18,1))</f>
        <v>38.200000000000003</v>
      </c>
      <c r="M18" s="5" t="str">
        <f t="shared" si="1"/>
        <v>EXCESS</v>
      </c>
      <c r="N18" s="4">
        <f t="shared" si="2"/>
        <v>10792</v>
      </c>
      <c r="O18" s="1" t="str">
        <f t="shared" si="3"/>
        <v>Scrap / Liquidate</v>
      </c>
    </row>
    <row r="19" spans="1:15" ht="15" customHeight="1" x14ac:dyDescent="0.2">
      <c r="A19" s="3" t="str">
        <f>'1. Master Data'!A19</f>
        <v>NT10015</v>
      </c>
      <c r="B19" s="1" t="str">
        <f>'1. Master Data'!B19</f>
        <v>Edge 805 5G 128GB</v>
      </c>
      <c r="C19" s="3" t="str">
        <f>'1. Master Data'!C19</f>
        <v>Smartphones</v>
      </c>
      <c r="D19" s="3" t="str">
        <f>'1. Master Data'!D19</f>
        <v>East DC</v>
      </c>
      <c r="E19" s="3" t="str">
        <f>'1. Master Data'!H19</f>
        <v>Active</v>
      </c>
      <c r="F19" s="4">
        <f>'1. Master Data'!F19</f>
        <v>437</v>
      </c>
      <c r="G19" s="3">
        <f>'1. Master Data'!I19</f>
        <v>133</v>
      </c>
      <c r="H19" s="15">
        <f t="shared" si="5"/>
        <v>58121</v>
      </c>
      <c r="I19" s="3">
        <f>'1. Master Data'!J19</f>
        <v>26</v>
      </c>
      <c r="J19" s="5" t="str">
        <f t="shared" si="0"/>
        <v>Fresh</v>
      </c>
      <c r="K19" s="3">
        <f>IF('3. Demand Forecast'!F19=0,99,ROUND(G19/'3. Demand Forecast'!F19,1))</f>
        <v>2.7</v>
      </c>
      <c r="L19" s="3">
        <f>IF(G19=0,0,ROUND('4. ABC XYZ Analysis'!F19/G19,1))</f>
        <v>46</v>
      </c>
      <c r="M19" s="5" t="str">
        <f t="shared" si="1"/>
        <v>OK</v>
      </c>
      <c r="N19" s="4">
        <f t="shared" si="2"/>
        <v>0</v>
      </c>
      <c r="O19" s="1" t="str">
        <f t="shared" si="3"/>
        <v>Healthy</v>
      </c>
    </row>
    <row r="20" spans="1:15" ht="15" customHeight="1" x14ac:dyDescent="0.2">
      <c r="A20" s="3" t="str">
        <f>'1. Master Data'!A20</f>
        <v>NT10016</v>
      </c>
      <c r="B20" s="1" t="str">
        <f>'1. Master Data'!B20</f>
        <v>Nova Lite 610 64GB</v>
      </c>
      <c r="C20" s="3" t="str">
        <f>'1. Master Data'!C20</f>
        <v>Smartphones</v>
      </c>
      <c r="D20" s="3" t="str">
        <f>'1. Master Data'!D20</f>
        <v>Central DC</v>
      </c>
      <c r="E20" s="3" t="str">
        <f>'1. Master Data'!H20</f>
        <v>Active</v>
      </c>
      <c r="F20" s="4">
        <f>'1. Master Data'!F20</f>
        <v>449</v>
      </c>
      <c r="G20" s="3">
        <f>'1. Master Data'!I20</f>
        <v>238</v>
      </c>
      <c r="H20" s="15">
        <f t="shared" si="5"/>
        <v>106862</v>
      </c>
      <c r="I20" s="3">
        <f>'1. Master Data'!J20</f>
        <v>49</v>
      </c>
      <c r="J20" s="5" t="str">
        <f t="shared" si="0"/>
        <v>Watch</v>
      </c>
      <c r="K20" s="3">
        <f>IF('3. Demand Forecast'!F20=0,99,ROUND(G20/'3. Demand Forecast'!F20,1))</f>
        <v>2.2000000000000002</v>
      </c>
      <c r="L20" s="3">
        <f>IF(G20=0,0,ROUND('4. ABC XYZ Analysis'!F20/G20,1))</f>
        <v>7.3</v>
      </c>
      <c r="M20" s="5" t="str">
        <f t="shared" si="1"/>
        <v>OK</v>
      </c>
      <c r="N20" s="4">
        <f t="shared" si="2"/>
        <v>0</v>
      </c>
      <c r="O20" s="1" t="str">
        <f t="shared" si="3"/>
        <v>Healthy</v>
      </c>
    </row>
    <row r="21" spans="1:15" ht="15" customHeight="1" x14ac:dyDescent="0.2">
      <c r="A21" s="3" t="str">
        <f>'1. Master Data'!A21</f>
        <v>NT10017</v>
      </c>
      <c r="B21" s="1" t="str">
        <f>'1. Master Data'!B21</f>
        <v>Nova X194 128GB</v>
      </c>
      <c r="C21" s="3" t="str">
        <f>'1. Master Data'!C21</f>
        <v>Smartphones</v>
      </c>
      <c r="D21" s="3" t="str">
        <f>'1. Master Data'!D21</f>
        <v>East DC</v>
      </c>
      <c r="E21" s="3" t="str">
        <f>'1. Master Data'!H21</f>
        <v>Active</v>
      </c>
      <c r="F21" s="4">
        <f>'1. Master Data'!F21</f>
        <v>844</v>
      </c>
      <c r="G21" s="3">
        <f>'1. Master Data'!I21</f>
        <v>61</v>
      </c>
      <c r="H21" s="15">
        <f t="shared" si="5"/>
        <v>51484</v>
      </c>
      <c r="I21" s="3">
        <f>'1. Master Data'!J21</f>
        <v>37</v>
      </c>
      <c r="J21" s="5" t="str">
        <f t="shared" si="0"/>
        <v>Watch</v>
      </c>
      <c r="K21" s="3">
        <f>IF('3. Demand Forecast'!F21=0,99,ROUND(G21/'3. Demand Forecast'!F21,1))</f>
        <v>1.7</v>
      </c>
      <c r="L21" s="3">
        <f>IF(G21=0,0,ROUND('4. ABC XYZ Analysis'!F21/G21,1))</f>
        <v>26.3</v>
      </c>
      <c r="M21" s="5" t="str">
        <f t="shared" si="1"/>
        <v>OK</v>
      </c>
      <c r="N21" s="4">
        <f t="shared" si="2"/>
        <v>0</v>
      </c>
      <c r="O21" s="1" t="str">
        <f t="shared" si="3"/>
        <v>Healthy</v>
      </c>
    </row>
    <row r="22" spans="1:15" ht="15" customHeight="1" x14ac:dyDescent="0.2">
      <c r="A22" s="3" t="str">
        <f>'1. Master Data'!A22</f>
        <v>NT10018</v>
      </c>
      <c r="B22" s="1" t="str">
        <f>'1. Master Data'!B22</f>
        <v>Nova X223 Pro 256GB</v>
      </c>
      <c r="C22" s="3" t="str">
        <f>'1. Master Data'!C22</f>
        <v>Smartphones</v>
      </c>
      <c r="D22" s="3" t="str">
        <f>'1. Master Data'!D22</f>
        <v>West DC</v>
      </c>
      <c r="E22" s="3" t="str">
        <f>'1. Master Data'!H22</f>
        <v>Active</v>
      </c>
      <c r="F22" s="4">
        <f>'1. Master Data'!F22</f>
        <v>809</v>
      </c>
      <c r="G22" s="3">
        <f>'1. Master Data'!I22</f>
        <v>202</v>
      </c>
      <c r="H22" s="15">
        <f t="shared" si="5"/>
        <v>163418</v>
      </c>
      <c r="I22" s="3">
        <f>'1. Master Data'!J22</f>
        <v>6</v>
      </c>
      <c r="J22" s="5" t="str">
        <f t="shared" si="0"/>
        <v>Fresh</v>
      </c>
      <c r="K22" s="3">
        <f>IF('3. Demand Forecast'!F22=0,99,ROUND(G22/'3. Demand Forecast'!F22,1))</f>
        <v>1.4</v>
      </c>
      <c r="L22" s="3">
        <f>IF(G22=0,0,ROUND('4. ABC XYZ Analysis'!F22/G22,1))</f>
        <v>8.1</v>
      </c>
      <c r="M22" s="5" t="str">
        <f t="shared" si="1"/>
        <v>OK</v>
      </c>
      <c r="N22" s="4">
        <f t="shared" si="2"/>
        <v>0</v>
      </c>
      <c r="O22" s="1" t="str">
        <f t="shared" si="3"/>
        <v>Healthy</v>
      </c>
    </row>
    <row r="23" spans="1:15" ht="15" customHeight="1" x14ac:dyDescent="0.2">
      <c r="A23" s="3" t="str">
        <f>'1. Master Data'!A23</f>
        <v>NT10019</v>
      </c>
      <c r="B23" s="1" t="str">
        <f>'1. Master Data'!B23</f>
        <v>Nova Lite 258 64GB</v>
      </c>
      <c r="C23" s="3" t="str">
        <f>'1. Master Data'!C23</f>
        <v>Smartphones</v>
      </c>
      <c r="D23" s="3" t="str">
        <f>'1. Master Data'!D23</f>
        <v>West DC</v>
      </c>
      <c r="E23" s="3" t="str">
        <f>'1. Master Data'!H23</f>
        <v>Active</v>
      </c>
      <c r="F23" s="4">
        <f>'1. Master Data'!F23</f>
        <v>847</v>
      </c>
      <c r="G23" s="3">
        <f>'1. Master Data'!I23</f>
        <v>71</v>
      </c>
      <c r="H23" s="15">
        <f t="shared" si="5"/>
        <v>60137</v>
      </c>
      <c r="I23" s="3">
        <f>'1. Master Data'!J23</f>
        <v>42</v>
      </c>
      <c r="J23" s="5" t="str">
        <f t="shared" si="0"/>
        <v>Watch</v>
      </c>
      <c r="K23" s="3">
        <f>IF('3. Demand Forecast'!F23=0,99,ROUND(G23/'3. Demand Forecast'!F23,1))</f>
        <v>1.5</v>
      </c>
      <c r="L23" s="3">
        <f>IF(G23=0,0,ROUND('4. ABC XYZ Analysis'!F23/G23,1))</f>
        <v>10.7</v>
      </c>
      <c r="M23" s="5" t="str">
        <f t="shared" si="1"/>
        <v>OK</v>
      </c>
      <c r="N23" s="4">
        <f t="shared" si="2"/>
        <v>0</v>
      </c>
      <c r="O23" s="1" t="str">
        <f t="shared" si="3"/>
        <v>Healthy</v>
      </c>
    </row>
    <row r="24" spans="1:15" ht="15" customHeight="1" x14ac:dyDescent="0.2">
      <c r="A24" s="3" t="str">
        <f>'1. Master Data'!A24</f>
        <v>NT10020</v>
      </c>
      <c r="B24" s="1" t="str">
        <f>'1. Master Data'!B24</f>
        <v>Nova X658 Pro 256GB</v>
      </c>
      <c r="C24" s="3" t="str">
        <f>'1. Master Data'!C24</f>
        <v>Smartphones</v>
      </c>
      <c r="D24" s="3" t="str">
        <f>'1. Master Data'!D24</f>
        <v>West DC</v>
      </c>
      <c r="E24" s="3" t="str">
        <f>'1. Master Data'!H24</f>
        <v>Active</v>
      </c>
      <c r="F24" s="4">
        <f>'1. Master Data'!F24</f>
        <v>852</v>
      </c>
      <c r="G24" s="3">
        <f>'1. Master Data'!I24</f>
        <v>64</v>
      </c>
      <c r="H24" s="15">
        <f t="shared" si="5"/>
        <v>54528</v>
      </c>
      <c r="I24" s="3">
        <f>'1. Master Data'!J24</f>
        <v>48</v>
      </c>
      <c r="J24" s="5" t="str">
        <f t="shared" si="0"/>
        <v>Watch</v>
      </c>
      <c r="K24" s="3">
        <f>IF('3. Demand Forecast'!F24=0,99,ROUND(G24/'3. Demand Forecast'!F24,1))</f>
        <v>1.6</v>
      </c>
      <c r="L24" s="3">
        <f>IF(G24=0,0,ROUND('4. ABC XYZ Analysis'!F24/G24,1))</f>
        <v>23.3</v>
      </c>
      <c r="M24" s="5" t="str">
        <f t="shared" si="1"/>
        <v>OK</v>
      </c>
      <c r="N24" s="4">
        <f t="shared" si="2"/>
        <v>0</v>
      </c>
      <c r="O24" s="1" t="str">
        <f t="shared" si="3"/>
        <v>Healthy</v>
      </c>
    </row>
    <row r="25" spans="1:15" ht="15" customHeight="1" x14ac:dyDescent="0.2">
      <c r="A25" s="3" t="str">
        <f>'1. Master Data'!A25</f>
        <v>NT10021</v>
      </c>
      <c r="B25" s="1" t="str">
        <f>'1. Master Data'!B25</f>
        <v>Pulse 397 Dual SIM</v>
      </c>
      <c r="C25" s="3" t="str">
        <f>'1. Master Data'!C25</f>
        <v>Smartphones</v>
      </c>
      <c r="D25" s="3" t="str">
        <f>'1. Master Data'!D25</f>
        <v>Central DC</v>
      </c>
      <c r="E25" s="3" t="str">
        <f>'1. Master Data'!H25</f>
        <v>Active</v>
      </c>
      <c r="F25" s="4">
        <f>'1. Master Data'!F25</f>
        <v>413</v>
      </c>
      <c r="G25" s="3">
        <f>'1. Master Data'!I25</f>
        <v>100</v>
      </c>
      <c r="H25" s="15">
        <f t="shared" si="5"/>
        <v>41300</v>
      </c>
      <c r="I25" s="3">
        <f>'1. Master Data'!J25</f>
        <v>4</v>
      </c>
      <c r="J25" s="5" t="str">
        <f t="shared" si="0"/>
        <v>Fresh</v>
      </c>
      <c r="K25" s="3">
        <f>IF('3. Demand Forecast'!F25=0,99,ROUND(G25/'3. Demand Forecast'!F25,1))</f>
        <v>1.5</v>
      </c>
      <c r="L25" s="3">
        <f>IF(G25=0,0,ROUND('4. ABC XYZ Analysis'!F25/G25,1))</f>
        <v>56</v>
      </c>
      <c r="M25" s="5" t="str">
        <f t="shared" si="1"/>
        <v>OK</v>
      </c>
      <c r="N25" s="4">
        <f t="shared" si="2"/>
        <v>0</v>
      </c>
      <c r="O25" s="1" t="str">
        <f t="shared" si="3"/>
        <v>Healthy</v>
      </c>
    </row>
    <row r="26" spans="1:15" ht="15" customHeight="1" x14ac:dyDescent="0.2">
      <c r="A26" s="3" t="str">
        <f>'1. Master Data'!A26</f>
        <v>NT10022</v>
      </c>
      <c r="B26" s="1" t="str">
        <f>'1. Master Data'!B26</f>
        <v>Pulse 521 Dual SIM</v>
      </c>
      <c r="C26" s="3" t="str">
        <f>'1. Master Data'!C26</f>
        <v>Smartphones</v>
      </c>
      <c r="D26" s="3" t="str">
        <f>'1. Master Data'!D26</f>
        <v>East DC</v>
      </c>
      <c r="E26" s="3" t="str">
        <f>'1. Master Data'!H26</f>
        <v>Active</v>
      </c>
      <c r="F26" s="4">
        <f>'1. Master Data'!F26</f>
        <v>782</v>
      </c>
      <c r="G26" s="3">
        <f>'1. Master Data'!I26</f>
        <v>281</v>
      </c>
      <c r="H26" s="15">
        <f t="shared" si="5"/>
        <v>219742</v>
      </c>
      <c r="I26" s="3">
        <f>'1. Master Data'!J26</f>
        <v>49</v>
      </c>
      <c r="J26" s="5" t="str">
        <f t="shared" si="0"/>
        <v>Watch</v>
      </c>
      <c r="K26" s="3">
        <f>IF('3. Demand Forecast'!F26=0,99,ROUND(G26/'3. Demand Forecast'!F26,1))</f>
        <v>2.4</v>
      </c>
      <c r="L26" s="3">
        <f>IF(G26=0,0,ROUND('4. ABC XYZ Analysis'!F26/G26,1))</f>
        <v>39.799999999999997</v>
      </c>
      <c r="M26" s="5" t="str">
        <f t="shared" si="1"/>
        <v>OK</v>
      </c>
      <c r="N26" s="4">
        <f t="shared" si="2"/>
        <v>0</v>
      </c>
      <c r="O26" s="1" t="str">
        <f t="shared" si="3"/>
        <v>Healthy</v>
      </c>
    </row>
    <row r="27" spans="1:15" ht="15" customHeight="1" x14ac:dyDescent="0.2">
      <c r="A27" s="3" t="str">
        <f>'1. Master Data'!A27</f>
        <v>NT10023</v>
      </c>
      <c r="B27" s="1" t="str">
        <f>'1. Master Data'!B27</f>
        <v>Edge 175 5G 128GB</v>
      </c>
      <c r="C27" s="3" t="str">
        <f>'1. Master Data'!C27</f>
        <v>Smartphones</v>
      </c>
      <c r="D27" s="3" t="str">
        <f>'1. Master Data'!D27</f>
        <v>Central DC</v>
      </c>
      <c r="E27" s="3" t="str">
        <f>'1. Master Data'!H27</f>
        <v>Active</v>
      </c>
      <c r="F27" s="4">
        <f>'1. Master Data'!F27</f>
        <v>611</v>
      </c>
      <c r="G27" s="3">
        <f>'1. Master Data'!I27</f>
        <v>44</v>
      </c>
      <c r="H27" s="15">
        <f t="shared" si="5"/>
        <v>26884</v>
      </c>
      <c r="I27" s="3">
        <f>'1. Master Data'!J27</f>
        <v>23</v>
      </c>
      <c r="J27" s="5" t="str">
        <f t="shared" si="0"/>
        <v>Fresh</v>
      </c>
      <c r="K27" s="3">
        <f>IF('3. Demand Forecast'!F27=0,99,ROUND(G27/'3. Demand Forecast'!F27,1))</f>
        <v>1.5</v>
      </c>
      <c r="L27" s="3">
        <f>IF(G27=0,0,ROUND('4. ABC XYZ Analysis'!F27/G27,1))</f>
        <v>18.7</v>
      </c>
      <c r="M27" s="5" t="str">
        <f t="shared" si="1"/>
        <v>OK</v>
      </c>
      <c r="N27" s="4">
        <f t="shared" si="2"/>
        <v>0</v>
      </c>
      <c r="O27" s="1" t="str">
        <f t="shared" si="3"/>
        <v>Healthy</v>
      </c>
    </row>
    <row r="28" spans="1:15" ht="15" customHeight="1" x14ac:dyDescent="0.2">
      <c r="A28" s="3" t="str">
        <f>'1. Master Data'!A28</f>
        <v>NT10024</v>
      </c>
      <c r="B28" s="1" t="str">
        <f>'1. Master Data'!B28</f>
        <v>Nova Lite 799 64GB</v>
      </c>
      <c r="C28" s="3" t="str">
        <f>'1. Master Data'!C28</f>
        <v>Smartphones</v>
      </c>
      <c r="D28" s="3" t="str">
        <f>'1. Master Data'!D28</f>
        <v>Central DC</v>
      </c>
      <c r="E28" s="3" t="str">
        <f>'1. Master Data'!H28</f>
        <v>Active</v>
      </c>
      <c r="F28" s="4">
        <f>'1. Master Data'!F28</f>
        <v>583</v>
      </c>
      <c r="G28" s="3">
        <f>'1. Master Data'!I28</f>
        <v>347</v>
      </c>
      <c r="H28" s="15">
        <f t="shared" si="5"/>
        <v>202301</v>
      </c>
      <c r="I28" s="3">
        <f>'1. Master Data'!J28</f>
        <v>25</v>
      </c>
      <c r="J28" s="5" t="str">
        <f t="shared" si="0"/>
        <v>Fresh</v>
      </c>
      <c r="K28" s="3">
        <f>IF('3. Demand Forecast'!F28=0,99,ROUND(G28/'3. Demand Forecast'!F28,1))</f>
        <v>2.6</v>
      </c>
      <c r="L28" s="3">
        <f>IF(G28=0,0,ROUND('4. ABC XYZ Analysis'!F28/G28,1))</f>
        <v>11.4</v>
      </c>
      <c r="M28" s="5" t="str">
        <f t="shared" si="1"/>
        <v>OK</v>
      </c>
      <c r="N28" s="4">
        <f t="shared" si="2"/>
        <v>0</v>
      </c>
      <c r="O28" s="1" t="str">
        <f t="shared" si="3"/>
        <v>Healthy</v>
      </c>
    </row>
    <row r="29" spans="1:15" ht="15" customHeight="1" x14ac:dyDescent="0.2">
      <c r="A29" s="3" t="str">
        <f>'1. Master Data'!A29</f>
        <v>NT10025</v>
      </c>
      <c r="B29" s="1" t="str">
        <f>'1. Master Data'!B29</f>
        <v>Pulse 733 Dual SIM</v>
      </c>
      <c r="C29" s="3" t="str">
        <f>'1. Master Data'!C29</f>
        <v>Smartphones</v>
      </c>
      <c r="D29" s="3" t="str">
        <f>'1. Master Data'!D29</f>
        <v>Central DC</v>
      </c>
      <c r="E29" s="3" t="str">
        <f>'1. Master Data'!H29</f>
        <v>Active</v>
      </c>
      <c r="F29" s="4">
        <f>'1. Master Data'!F29</f>
        <v>855</v>
      </c>
      <c r="G29" s="3">
        <f>'1. Master Data'!I29</f>
        <v>101</v>
      </c>
      <c r="H29" s="15">
        <f t="shared" si="5"/>
        <v>86355</v>
      </c>
      <c r="I29" s="3">
        <f>'1. Master Data'!J29</f>
        <v>5</v>
      </c>
      <c r="J29" s="5" t="str">
        <f t="shared" si="0"/>
        <v>Fresh</v>
      </c>
      <c r="K29" s="3">
        <f>IF('3. Demand Forecast'!F29=0,99,ROUND(G29/'3. Demand Forecast'!F29,1))</f>
        <v>1.1000000000000001</v>
      </c>
      <c r="L29" s="3">
        <f>IF(G29=0,0,ROUND('4. ABC XYZ Analysis'!F29/G29,1))</f>
        <v>14</v>
      </c>
      <c r="M29" s="5" t="str">
        <f t="shared" si="1"/>
        <v>OK</v>
      </c>
      <c r="N29" s="4">
        <f t="shared" si="2"/>
        <v>0</v>
      </c>
      <c r="O29" s="1" t="str">
        <f t="shared" si="3"/>
        <v>Healthy</v>
      </c>
    </row>
    <row r="30" spans="1:15" ht="15" customHeight="1" x14ac:dyDescent="0.2">
      <c r="A30" s="3" t="str">
        <f>'1. Master Data'!A30</f>
        <v>NT10026</v>
      </c>
      <c r="B30" s="1" t="str">
        <f>'1. Master Data'!B30</f>
        <v>Edge 712 5G 128GB</v>
      </c>
      <c r="C30" s="3" t="str">
        <f>'1. Master Data'!C30</f>
        <v>Smartphones</v>
      </c>
      <c r="D30" s="3" t="str">
        <f>'1. Master Data'!D30</f>
        <v>East DC</v>
      </c>
      <c r="E30" s="3" t="str">
        <f>'1. Master Data'!H30</f>
        <v>Active</v>
      </c>
      <c r="F30" s="4">
        <f>'1. Master Data'!F30</f>
        <v>321</v>
      </c>
      <c r="G30" s="3">
        <f>'1. Master Data'!I30</f>
        <v>928</v>
      </c>
      <c r="H30" s="15">
        <f t="shared" si="5"/>
        <v>297888</v>
      </c>
      <c r="I30" s="3">
        <f>'1. Master Data'!J30</f>
        <v>15</v>
      </c>
      <c r="J30" s="5" t="str">
        <f t="shared" si="0"/>
        <v>Fresh</v>
      </c>
      <c r="K30" s="3">
        <f>IF('3. Demand Forecast'!F30=0,99,ROUND(G30/'3. Demand Forecast'!F30,1))</f>
        <v>1.6</v>
      </c>
      <c r="L30" s="3">
        <f>IF(G30=0,0,ROUND('4. ABC XYZ Analysis'!F30/G30,1))</f>
        <v>1.1000000000000001</v>
      </c>
      <c r="M30" s="5" t="str">
        <f t="shared" si="1"/>
        <v>OK</v>
      </c>
      <c r="N30" s="4">
        <f t="shared" si="2"/>
        <v>0</v>
      </c>
      <c r="O30" s="1" t="str">
        <f t="shared" si="3"/>
        <v>Healthy</v>
      </c>
    </row>
    <row r="31" spans="1:15" ht="15" customHeight="1" x14ac:dyDescent="0.2">
      <c r="A31" s="3" t="str">
        <f>'1. Master Data'!A31</f>
        <v>NT10027</v>
      </c>
      <c r="B31" s="1" t="str">
        <f>'1. Master Data'!B31</f>
        <v>Nova X763 128GB</v>
      </c>
      <c r="C31" s="3" t="str">
        <f>'1. Master Data'!C31</f>
        <v>Smartphones</v>
      </c>
      <c r="D31" s="3" t="str">
        <f>'1. Master Data'!D31</f>
        <v>East DC</v>
      </c>
      <c r="E31" s="3" t="str">
        <f>'1. Master Data'!H31</f>
        <v>Active</v>
      </c>
      <c r="F31" s="4">
        <f>'1. Master Data'!F31</f>
        <v>443</v>
      </c>
      <c r="G31" s="3">
        <f>'1. Master Data'!I31</f>
        <v>122</v>
      </c>
      <c r="H31" s="15">
        <f t="shared" si="5"/>
        <v>54046</v>
      </c>
      <c r="I31" s="3">
        <f>'1. Master Data'!J31</f>
        <v>27</v>
      </c>
      <c r="J31" s="5" t="str">
        <f t="shared" si="0"/>
        <v>Fresh</v>
      </c>
      <c r="K31" s="3">
        <f>IF('3. Demand Forecast'!F31=0,99,ROUND(G31/'3. Demand Forecast'!F31,1))</f>
        <v>1.5</v>
      </c>
      <c r="L31" s="3">
        <f>IF(G31=0,0,ROUND('4. ABC XYZ Analysis'!F31/G31,1))</f>
        <v>29.2</v>
      </c>
      <c r="M31" s="5" t="str">
        <f t="shared" si="1"/>
        <v>OK</v>
      </c>
      <c r="N31" s="4">
        <f t="shared" si="2"/>
        <v>0</v>
      </c>
      <c r="O31" s="1" t="str">
        <f t="shared" si="3"/>
        <v>Healthy</v>
      </c>
    </row>
    <row r="32" spans="1:15" ht="15" customHeight="1" x14ac:dyDescent="0.2">
      <c r="A32" s="3" t="str">
        <f>'1. Master Data'!A32</f>
        <v>NT10028</v>
      </c>
      <c r="B32" s="1" t="str">
        <f>'1. Master Data'!B32</f>
        <v>Nova X761 Pro 256GB</v>
      </c>
      <c r="C32" s="3" t="str">
        <f>'1. Master Data'!C32</f>
        <v>Smartphones</v>
      </c>
      <c r="D32" s="3" t="str">
        <f>'1. Master Data'!D32</f>
        <v>East DC</v>
      </c>
      <c r="E32" s="3" t="str">
        <f>'1. Master Data'!H32</f>
        <v>Active</v>
      </c>
      <c r="F32" s="4">
        <f>'1. Master Data'!F32</f>
        <v>779</v>
      </c>
      <c r="G32" s="3">
        <f>'1. Master Data'!I32</f>
        <v>597</v>
      </c>
      <c r="H32" s="15">
        <f t="shared" si="5"/>
        <v>465063</v>
      </c>
      <c r="I32" s="3">
        <f>'1. Master Data'!J32</f>
        <v>19</v>
      </c>
      <c r="J32" s="5" t="str">
        <f t="shared" si="0"/>
        <v>Fresh</v>
      </c>
      <c r="K32" s="3">
        <f>IF('3. Demand Forecast'!F32=0,99,ROUND(G32/'3. Demand Forecast'!F32,1))</f>
        <v>1.8</v>
      </c>
      <c r="L32" s="3">
        <f>IF(G32=0,0,ROUND('4. ABC XYZ Analysis'!F32/G32,1))</f>
        <v>1.4</v>
      </c>
      <c r="M32" s="5" t="str">
        <f t="shared" si="1"/>
        <v>OK</v>
      </c>
      <c r="N32" s="4">
        <f t="shared" si="2"/>
        <v>0</v>
      </c>
      <c r="O32" s="1" t="str">
        <f t="shared" si="3"/>
        <v>Healthy</v>
      </c>
    </row>
    <row r="33" spans="1:15" ht="15" customHeight="1" x14ac:dyDescent="0.2">
      <c r="A33" s="3" t="str">
        <f>'1. Master Data'!A33</f>
        <v>NT10029</v>
      </c>
      <c r="B33" s="1" t="str">
        <f>'1. Master Data'!B33</f>
        <v>Edge 379 5G 128GB</v>
      </c>
      <c r="C33" s="3" t="str">
        <f>'1. Master Data'!C33</f>
        <v>Smartphones</v>
      </c>
      <c r="D33" s="3" t="str">
        <f>'1. Master Data'!D33</f>
        <v>East DC</v>
      </c>
      <c r="E33" s="3" t="str">
        <f>'1. Master Data'!H33</f>
        <v>Active</v>
      </c>
      <c r="F33" s="4">
        <f>'1. Master Data'!F33</f>
        <v>674</v>
      </c>
      <c r="G33" s="3">
        <f>'1. Master Data'!I33</f>
        <v>234</v>
      </c>
      <c r="H33" s="15">
        <f t="shared" si="5"/>
        <v>157716</v>
      </c>
      <c r="I33" s="3">
        <f>'1. Master Data'!J33</f>
        <v>12</v>
      </c>
      <c r="J33" s="5" t="str">
        <f t="shared" si="0"/>
        <v>Fresh</v>
      </c>
      <c r="K33" s="3">
        <f>IF('3. Demand Forecast'!F33=0,99,ROUND(G33/'3. Demand Forecast'!F33,1))</f>
        <v>1.8</v>
      </c>
      <c r="L33" s="3">
        <f>IF(G33=0,0,ROUND('4. ABC XYZ Analysis'!F33/G33,1))</f>
        <v>11.8</v>
      </c>
      <c r="M33" s="5" t="str">
        <f t="shared" si="1"/>
        <v>OK</v>
      </c>
      <c r="N33" s="4">
        <f t="shared" si="2"/>
        <v>0</v>
      </c>
      <c r="O33" s="1" t="str">
        <f t="shared" si="3"/>
        <v>Healthy</v>
      </c>
    </row>
    <row r="34" spans="1:15" ht="15" customHeight="1" x14ac:dyDescent="0.2">
      <c r="A34" s="3" t="str">
        <f>'1. Master Data'!A34</f>
        <v>NT10030</v>
      </c>
      <c r="B34" s="1" t="str">
        <f>'1. Master Data'!B34</f>
        <v>Nova Lite 278 64GB</v>
      </c>
      <c r="C34" s="3" t="str">
        <f>'1. Master Data'!C34</f>
        <v>Smartphones</v>
      </c>
      <c r="D34" s="3" t="str">
        <f>'1. Master Data'!D34</f>
        <v>East DC</v>
      </c>
      <c r="E34" s="3" t="str">
        <f>'1. Master Data'!H34</f>
        <v>EOL</v>
      </c>
      <c r="F34" s="4">
        <f>'1. Master Data'!F34</f>
        <v>759</v>
      </c>
      <c r="G34" s="3">
        <f>'1. Master Data'!I34</f>
        <v>16</v>
      </c>
      <c r="H34" s="15">
        <f t="shared" si="5"/>
        <v>12144</v>
      </c>
      <c r="I34" s="3">
        <f>'1. Master Data'!J34</f>
        <v>267</v>
      </c>
      <c r="J34" s="5" t="str">
        <f t="shared" si="0"/>
        <v>Obsolete Risk</v>
      </c>
      <c r="K34" s="3">
        <f>IF('3. Demand Forecast'!F34=0,99,ROUND(G34/'3. Demand Forecast'!F34,1))</f>
        <v>4.5999999999999996</v>
      </c>
      <c r="L34" s="3">
        <f>IF(G34=0,0,ROUND('4. ABC XYZ Analysis'!F34/G34,1))</f>
        <v>142.6</v>
      </c>
      <c r="M34" s="5" t="str">
        <f t="shared" si="1"/>
        <v>EXCESS</v>
      </c>
      <c r="N34" s="4">
        <f t="shared" si="2"/>
        <v>12144</v>
      </c>
      <c r="O34" s="1" t="str">
        <f t="shared" si="3"/>
        <v>Scrap / Liquidate</v>
      </c>
    </row>
    <row r="35" spans="1:15" ht="15" customHeight="1" x14ac:dyDescent="0.2">
      <c r="A35" s="3" t="str">
        <f>'1. Master Data'!A35</f>
        <v>NT10031</v>
      </c>
      <c r="B35" s="1" t="str">
        <f>'1. Master Data'!B35</f>
        <v>Nova Lite 631 64GB</v>
      </c>
      <c r="C35" s="3" t="str">
        <f>'1. Master Data'!C35</f>
        <v>Smartphones</v>
      </c>
      <c r="D35" s="3" t="str">
        <f>'1. Master Data'!D35</f>
        <v>Central DC</v>
      </c>
      <c r="E35" s="3" t="str">
        <f>'1. Master Data'!H35</f>
        <v>Active</v>
      </c>
      <c r="F35" s="4">
        <f>'1. Master Data'!F35</f>
        <v>372</v>
      </c>
      <c r="G35" s="3">
        <f>'1. Master Data'!I35</f>
        <v>222</v>
      </c>
      <c r="H35" s="15">
        <f t="shared" si="5"/>
        <v>82584</v>
      </c>
      <c r="I35" s="3">
        <f>'1. Master Data'!J35</f>
        <v>60</v>
      </c>
      <c r="J35" s="5" t="str">
        <f t="shared" si="0"/>
        <v>Watch</v>
      </c>
      <c r="K35" s="3">
        <f>IF('3. Demand Forecast'!F35=0,99,ROUND(G35/'3. Demand Forecast'!F35,1))</f>
        <v>2.6</v>
      </c>
      <c r="L35" s="3">
        <f>IF(G35=0,0,ROUND('4. ABC XYZ Analysis'!F35/G35,1))</f>
        <v>11.5</v>
      </c>
      <c r="M35" s="5" t="str">
        <f t="shared" si="1"/>
        <v>OK</v>
      </c>
      <c r="N35" s="4">
        <f t="shared" si="2"/>
        <v>0</v>
      </c>
      <c r="O35" s="1" t="str">
        <f t="shared" si="3"/>
        <v>Healthy</v>
      </c>
    </row>
    <row r="36" spans="1:15" ht="15" customHeight="1" x14ac:dyDescent="0.2">
      <c r="A36" s="3" t="str">
        <f>'1. Master Data'!A36</f>
        <v>NT10032</v>
      </c>
      <c r="B36" s="1" t="str">
        <f>'1. Master Data'!B36</f>
        <v>Nova X968 128GB</v>
      </c>
      <c r="C36" s="3" t="str">
        <f>'1. Master Data'!C36</f>
        <v>Smartphones</v>
      </c>
      <c r="D36" s="3" t="str">
        <f>'1. Master Data'!D36</f>
        <v>Central DC</v>
      </c>
      <c r="E36" s="3" t="str">
        <f>'1. Master Data'!H36</f>
        <v>Active</v>
      </c>
      <c r="F36" s="4">
        <f>'1. Master Data'!F36</f>
        <v>255</v>
      </c>
      <c r="G36" s="3">
        <f>'1. Master Data'!I36</f>
        <v>74</v>
      </c>
      <c r="H36" s="15">
        <f t="shared" si="5"/>
        <v>18870</v>
      </c>
      <c r="I36" s="3">
        <f>'1. Master Data'!J36</f>
        <v>12</v>
      </c>
      <c r="J36" s="5" t="str">
        <f t="shared" si="0"/>
        <v>Fresh</v>
      </c>
      <c r="K36" s="3">
        <f>IF('3. Demand Forecast'!F36=0,99,ROUND(G36/'3. Demand Forecast'!F36,1))</f>
        <v>1.3</v>
      </c>
      <c r="L36" s="3">
        <f>IF(G36=0,0,ROUND('4. ABC XYZ Analysis'!F36/G36,1))</f>
        <v>21.1</v>
      </c>
      <c r="M36" s="5" t="str">
        <f t="shared" si="1"/>
        <v>OK</v>
      </c>
      <c r="N36" s="4">
        <f t="shared" si="2"/>
        <v>0</v>
      </c>
      <c r="O36" s="1" t="str">
        <f t="shared" si="3"/>
        <v>Healthy</v>
      </c>
    </row>
    <row r="37" spans="1:15" ht="15" customHeight="1" x14ac:dyDescent="0.2">
      <c r="A37" s="3" t="str">
        <f>'1. Master Data'!A37</f>
        <v>NT10033</v>
      </c>
      <c r="B37" s="1" t="str">
        <f>'1. Master Data'!B37</f>
        <v>Pulse 902 Dual SIM</v>
      </c>
      <c r="C37" s="3" t="str">
        <f>'1. Master Data'!C37</f>
        <v>Smartphones</v>
      </c>
      <c r="D37" s="3" t="str">
        <f>'1. Master Data'!D37</f>
        <v>West DC</v>
      </c>
      <c r="E37" s="3" t="str">
        <f>'1. Master Data'!H37</f>
        <v>Active</v>
      </c>
      <c r="F37" s="4">
        <f>'1. Master Data'!F37</f>
        <v>610</v>
      </c>
      <c r="G37" s="3">
        <f>'1. Master Data'!I37</f>
        <v>134</v>
      </c>
      <c r="H37" s="15">
        <f t="shared" si="5"/>
        <v>81740</v>
      </c>
      <c r="I37" s="3">
        <f>'1. Master Data'!J37</f>
        <v>65</v>
      </c>
      <c r="J37" s="5" t="str">
        <f t="shared" si="0"/>
        <v>Watch</v>
      </c>
      <c r="K37" s="3">
        <f>IF('3. Demand Forecast'!F37=0,99,ROUND(G37/'3. Demand Forecast'!F37,1))</f>
        <v>1.1000000000000001</v>
      </c>
      <c r="L37" s="3">
        <f>IF(G37=0,0,ROUND('4. ABC XYZ Analysis'!F37/G37,1))</f>
        <v>5.9</v>
      </c>
      <c r="M37" s="5" t="str">
        <f t="shared" si="1"/>
        <v>OK</v>
      </c>
      <c r="N37" s="4">
        <f t="shared" si="2"/>
        <v>0</v>
      </c>
      <c r="O37" s="1" t="str">
        <f t="shared" si="3"/>
        <v>Healthy</v>
      </c>
    </row>
    <row r="38" spans="1:15" ht="15" customHeight="1" x14ac:dyDescent="0.2">
      <c r="A38" s="3" t="str">
        <f>'1. Master Data'!A38</f>
        <v>NT10034</v>
      </c>
      <c r="B38" s="1" t="str">
        <f>'1. Master Data'!B38</f>
        <v>Pulse 910 Dual SIM</v>
      </c>
      <c r="C38" s="3" t="str">
        <f>'1. Master Data'!C38</f>
        <v>Smartphones</v>
      </c>
      <c r="D38" s="3" t="str">
        <f>'1. Master Data'!D38</f>
        <v>West DC</v>
      </c>
      <c r="E38" s="3" t="str">
        <f>'1. Master Data'!H38</f>
        <v>Active</v>
      </c>
      <c r="F38" s="4">
        <f>'1. Master Data'!F38</f>
        <v>885</v>
      </c>
      <c r="G38" s="3">
        <f>'1. Master Data'!I38</f>
        <v>80</v>
      </c>
      <c r="H38" s="15">
        <f t="shared" si="5"/>
        <v>70800</v>
      </c>
      <c r="I38" s="3">
        <f>'1. Master Data'!J38</f>
        <v>24</v>
      </c>
      <c r="J38" s="5" t="str">
        <f t="shared" si="0"/>
        <v>Fresh</v>
      </c>
      <c r="K38" s="3">
        <f>IF('3. Demand Forecast'!F38=0,99,ROUND(G38/'3. Demand Forecast'!F38,1))</f>
        <v>2</v>
      </c>
      <c r="L38" s="3">
        <f>IF(G38=0,0,ROUND('4. ABC XYZ Analysis'!F38/G38,1))</f>
        <v>59.6</v>
      </c>
      <c r="M38" s="5" t="str">
        <f t="shared" si="1"/>
        <v>OK</v>
      </c>
      <c r="N38" s="4">
        <f t="shared" si="2"/>
        <v>0</v>
      </c>
      <c r="O38" s="1" t="str">
        <f t="shared" si="3"/>
        <v>Healthy</v>
      </c>
    </row>
    <row r="39" spans="1:15" ht="15" customHeight="1" x14ac:dyDescent="0.2">
      <c r="A39" s="3" t="str">
        <f>'1. Master Data'!A39</f>
        <v>NT10035</v>
      </c>
      <c r="B39" s="1" t="str">
        <f>'1. Master Data'!B39</f>
        <v>Nova X683 Pro 256GB</v>
      </c>
      <c r="C39" s="3" t="str">
        <f>'1. Master Data'!C39</f>
        <v>Smartphones</v>
      </c>
      <c r="D39" s="3" t="str">
        <f>'1. Master Data'!D39</f>
        <v>East DC</v>
      </c>
      <c r="E39" s="3" t="str">
        <f>'1. Master Data'!H39</f>
        <v>Active</v>
      </c>
      <c r="F39" s="4">
        <f>'1. Master Data'!F39</f>
        <v>524</v>
      </c>
      <c r="G39" s="3">
        <f>'1. Master Data'!I39</f>
        <v>446</v>
      </c>
      <c r="H39" s="15">
        <f t="shared" si="5"/>
        <v>233704</v>
      </c>
      <c r="I39" s="3">
        <f>'1. Master Data'!J39</f>
        <v>8</v>
      </c>
      <c r="J39" s="5" t="str">
        <f t="shared" si="0"/>
        <v>Fresh</v>
      </c>
      <c r="K39" s="3">
        <f>IF('3. Demand Forecast'!F39=0,99,ROUND(G39/'3. Demand Forecast'!F39,1))</f>
        <v>1.6</v>
      </c>
      <c r="L39" s="3">
        <f>IF(G39=0,0,ROUND('4. ABC XYZ Analysis'!F39/G39,1))</f>
        <v>23.2</v>
      </c>
      <c r="M39" s="5" t="str">
        <f t="shared" si="1"/>
        <v>OK</v>
      </c>
      <c r="N39" s="4">
        <f t="shared" si="2"/>
        <v>0</v>
      </c>
      <c r="O39" s="1" t="str">
        <f t="shared" si="3"/>
        <v>Healthy</v>
      </c>
    </row>
    <row r="40" spans="1:15" ht="15" customHeight="1" x14ac:dyDescent="0.2">
      <c r="A40" s="3" t="str">
        <f>'1. Master Data'!A40</f>
        <v>NT10036</v>
      </c>
      <c r="B40" s="1" t="str">
        <f>'1. Master Data'!B40</f>
        <v>Edge 275 5G 128GB</v>
      </c>
      <c r="C40" s="3" t="str">
        <f>'1. Master Data'!C40</f>
        <v>Smartphones</v>
      </c>
      <c r="D40" s="3" t="str">
        <f>'1. Master Data'!D40</f>
        <v>West DC</v>
      </c>
      <c r="E40" s="3" t="str">
        <f>'1. Master Data'!H40</f>
        <v>Active</v>
      </c>
      <c r="F40" s="4">
        <f>'1. Master Data'!F40</f>
        <v>311</v>
      </c>
      <c r="G40" s="3">
        <f>'1. Master Data'!I40</f>
        <v>110</v>
      </c>
      <c r="H40" s="15">
        <f t="shared" si="5"/>
        <v>34210</v>
      </c>
      <c r="I40" s="3">
        <f>'1. Master Data'!J40</f>
        <v>98</v>
      </c>
      <c r="J40" s="5" t="str">
        <f t="shared" si="0"/>
        <v>Aged</v>
      </c>
      <c r="K40" s="3">
        <f>IF('3. Demand Forecast'!F40=0,99,ROUND(G40/'3. Demand Forecast'!F40,1))</f>
        <v>3.5</v>
      </c>
      <c r="L40" s="3">
        <f>IF(G40=0,0,ROUND('4. ABC XYZ Analysis'!F40/G40,1))</f>
        <v>98.6</v>
      </c>
      <c r="M40" s="5" t="str">
        <f t="shared" si="1"/>
        <v>EXCESS</v>
      </c>
      <c r="N40" s="4">
        <f t="shared" si="2"/>
        <v>34210</v>
      </c>
      <c r="O40" s="1" t="str">
        <f t="shared" si="3"/>
        <v>Reduce orders and monitor</v>
      </c>
    </row>
    <row r="41" spans="1:15" ht="15" customHeight="1" x14ac:dyDescent="0.2">
      <c r="A41" s="3" t="str">
        <f>'1. Master Data'!A41</f>
        <v>NT10037</v>
      </c>
      <c r="B41" s="1" t="str">
        <f>'1. Master Data'!B41</f>
        <v>Nova X618 128GB</v>
      </c>
      <c r="C41" s="3" t="str">
        <f>'1. Master Data'!C41</f>
        <v>Smartphones</v>
      </c>
      <c r="D41" s="3" t="str">
        <f>'1. Master Data'!D41</f>
        <v>Central DC</v>
      </c>
      <c r="E41" s="3" t="str">
        <f>'1. Master Data'!H41</f>
        <v>Active</v>
      </c>
      <c r="F41" s="4">
        <f>'1. Master Data'!F41</f>
        <v>852</v>
      </c>
      <c r="G41" s="3">
        <f>'1. Master Data'!I41</f>
        <v>224</v>
      </c>
      <c r="H41" s="15">
        <f t="shared" si="5"/>
        <v>190848</v>
      </c>
      <c r="I41" s="3">
        <f>'1. Master Data'!J41</f>
        <v>11</v>
      </c>
      <c r="J41" s="5" t="str">
        <f t="shared" si="0"/>
        <v>Fresh</v>
      </c>
      <c r="K41" s="3">
        <f>IF('3. Demand Forecast'!F41=0,99,ROUND(G41/'3. Demand Forecast'!F41,1))</f>
        <v>1.8</v>
      </c>
      <c r="L41" s="3">
        <f>IF(G41=0,0,ROUND('4. ABC XYZ Analysis'!F41/G41,1))</f>
        <v>3.2</v>
      </c>
      <c r="M41" s="5" t="str">
        <f t="shared" si="1"/>
        <v>OK</v>
      </c>
      <c r="N41" s="4">
        <f t="shared" si="2"/>
        <v>0</v>
      </c>
      <c r="O41" s="1" t="str">
        <f t="shared" si="3"/>
        <v>Healthy</v>
      </c>
    </row>
    <row r="42" spans="1:15" ht="15" customHeight="1" x14ac:dyDescent="0.2">
      <c r="A42" s="3" t="str">
        <f>'1. Master Data'!A42</f>
        <v>NT10038</v>
      </c>
      <c r="B42" s="1" t="str">
        <f>'1. Master Data'!B42</f>
        <v>Nova X367 Pro 256GB</v>
      </c>
      <c r="C42" s="3" t="str">
        <f>'1. Master Data'!C42</f>
        <v>Smartphones</v>
      </c>
      <c r="D42" s="3" t="str">
        <f>'1. Master Data'!D42</f>
        <v>Central DC</v>
      </c>
      <c r="E42" s="3" t="str">
        <f>'1. Master Data'!H42</f>
        <v>Active</v>
      </c>
      <c r="F42" s="4">
        <f>'1. Master Data'!F42</f>
        <v>264</v>
      </c>
      <c r="G42" s="3">
        <f>'1. Master Data'!I42</f>
        <v>142</v>
      </c>
      <c r="H42" s="15">
        <f t="shared" si="5"/>
        <v>37488</v>
      </c>
      <c r="I42" s="3">
        <f>'1. Master Data'!J42</f>
        <v>198</v>
      </c>
      <c r="J42" s="5" t="str">
        <f t="shared" si="0"/>
        <v>Obsolete Risk</v>
      </c>
      <c r="K42" s="3">
        <f>IF('3. Demand Forecast'!F42=0,99,ROUND(G42/'3. Demand Forecast'!F42,1))</f>
        <v>4.4000000000000004</v>
      </c>
      <c r="L42" s="3">
        <f>IF(G42=0,0,ROUND('4. ABC XYZ Analysis'!F42/G42,1))</f>
        <v>4.8</v>
      </c>
      <c r="M42" s="5" t="str">
        <f t="shared" si="1"/>
        <v>EXCESS</v>
      </c>
      <c r="N42" s="4">
        <f t="shared" si="2"/>
        <v>37488</v>
      </c>
      <c r="O42" s="1" t="str">
        <f t="shared" si="3"/>
        <v>Disposition Review</v>
      </c>
    </row>
    <row r="43" spans="1:15" ht="15" customHeight="1" x14ac:dyDescent="0.2">
      <c r="A43" s="3" t="str">
        <f>'1. Master Data'!A43</f>
        <v>NT10039</v>
      </c>
      <c r="B43" s="1" t="str">
        <f>'1. Master Data'!B43</f>
        <v>Nova X158 128GB</v>
      </c>
      <c r="C43" s="3" t="str">
        <f>'1. Master Data'!C43</f>
        <v>Smartphones</v>
      </c>
      <c r="D43" s="3" t="str">
        <f>'1. Master Data'!D43</f>
        <v>Central DC</v>
      </c>
      <c r="E43" s="3" t="str">
        <f>'1. Master Data'!H43</f>
        <v>Active</v>
      </c>
      <c r="F43" s="4">
        <f>'1. Master Data'!F43</f>
        <v>273</v>
      </c>
      <c r="G43" s="3">
        <f>'1. Master Data'!I43</f>
        <v>179</v>
      </c>
      <c r="H43" s="15">
        <f t="shared" si="5"/>
        <v>48867</v>
      </c>
      <c r="I43" s="3">
        <f>'1. Master Data'!J43</f>
        <v>10</v>
      </c>
      <c r="J43" s="5" t="str">
        <f t="shared" si="0"/>
        <v>Fresh</v>
      </c>
      <c r="K43" s="3">
        <f>IF('3. Demand Forecast'!F43=0,99,ROUND(G43/'3. Demand Forecast'!F43,1))</f>
        <v>1.3</v>
      </c>
      <c r="L43" s="3">
        <f>IF(G43=0,0,ROUND('4. ABC XYZ Analysis'!F43/G43,1))</f>
        <v>3.9</v>
      </c>
      <c r="M43" s="5" t="str">
        <f t="shared" si="1"/>
        <v>OK</v>
      </c>
      <c r="N43" s="4">
        <f t="shared" si="2"/>
        <v>0</v>
      </c>
      <c r="O43" s="1" t="str">
        <f t="shared" si="3"/>
        <v>Healthy</v>
      </c>
    </row>
    <row r="44" spans="1:15" ht="15" customHeight="1" x14ac:dyDescent="0.2">
      <c r="A44" s="3" t="str">
        <f>'1. Master Data'!A44</f>
        <v>NT10040</v>
      </c>
      <c r="B44" s="1" t="str">
        <f>'1. Master Data'!B44</f>
        <v>Nova Lite 898 64GB</v>
      </c>
      <c r="C44" s="3" t="str">
        <f>'1. Master Data'!C44</f>
        <v>Smartphones</v>
      </c>
      <c r="D44" s="3" t="str">
        <f>'1. Master Data'!D44</f>
        <v>Central DC</v>
      </c>
      <c r="E44" s="3" t="str">
        <f>'1. Master Data'!H44</f>
        <v>Active</v>
      </c>
      <c r="F44" s="4">
        <f>'1. Master Data'!F44</f>
        <v>890</v>
      </c>
      <c r="G44" s="3">
        <f>'1. Master Data'!I44</f>
        <v>171</v>
      </c>
      <c r="H44" s="15">
        <f t="shared" si="5"/>
        <v>152190</v>
      </c>
      <c r="I44" s="3">
        <f>'1. Master Data'!J44</f>
        <v>44</v>
      </c>
      <c r="J44" s="5" t="str">
        <f t="shared" si="0"/>
        <v>Watch</v>
      </c>
      <c r="K44" s="3">
        <f>IF('3. Demand Forecast'!F44=0,99,ROUND(G44/'3. Demand Forecast'!F44,1))</f>
        <v>3.9</v>
      </c>
      <c r="L44" s="3">
        <f>IF(G44=0,0,ROUND('4. ABC XYZ Analysis'!F44/G44,1))</f>
        <v>6.7</v>
      </c>
      <c r="M44" s="5" t="str">
        <f t="shared" si="1"/>
        <v>OK</v>
      </c>
      <c r="N44" s="4">
        <f t="shared" si="2"/>
        <v>0</v>
      </c>
      <c r="O44" s="1" t="str">
        <f t="shared" si="3"/>
        <v>Healthy</v>
      </c>
    </row>
    <row r="45" spans="1:15" ht="15" customHeight="1" x14ac:dyDescent="0.2">
      <c r="A45" s="3" t="str">
        <f>'1. Master Data'!A45</f>
        <v>NT10041</v>
      </c>
      <c r="B45" s="1" t="str">
        <f>'1. Master Data'!B45</f>
        <v>Nova Lite 722 64GB</v>
      </c>
      <c r="C45" s="3" t="str">
        <f>'1. Master Data'!C45</f>
        <v>Smartphones</v>
      </c>
      <c r="D45" s="3" t="str">
        <f>'1. Master Data'!D45</f>
        <v>East DC</v>
      </c>
      <c r="E45" s="3" t="str">
        <f>'1. Master Data'!H45</f>
        <v>Active</v>
      </c>
      <c r="F45" s="4">
        <f>'1. Master Data'!F45</f>
        <v>723</v>
      </c>
      <c r="G45" s="3">
        <f>'1. Master Data'!I45</f>
        <v>89</v>
      </c>
      <c r="H45" s="15">
        <f t="shared" si="5"/>
        <v>64347</v>
      </c>
      <c r="I45" s="3">
        <f>'1. Master Data'!J45</f>
        <v>6</v>
      </c>
      <c r="J45" s="5" t="str">
        <f t="shared" si="0"/>
        <v>Fresh</v>
      </c>
      <c r="K45" s="3">
        <f>IF('3. Demand Forecast'!F45=0,99,ROUND(G45/'3. Demand Forecast'!F45,1))</f>
        <v>1.2</v>
      </c>
      <c r="L45" s="3">
        <f>IF(G45=0,0,ROUND('4. ABC XYZ Analysis'!F45/G45,1))</f>
        <v>24.9</v>
      </c>
      <c r="M45" s="5" t="str">
        <f t="shared" si="1"/>
        <v>OK</v>
      </c>
      <c r="N45" s="4">
        <f t="shared" si="2"/>
        <v>0</v>
      </c>
      <c r="O45" s="1" t="str">
        <f t="shared" si="3"/>
        <v>Healthy</v>
      </c>
    </row>
    <row r="46" spans="1:15" ht="15" customHeight="1" x14ac:dyDescent="0.2">
      <c r="A46" s="3" t="str">
        <f>'1. Master Data'!A46</f>
        <v>NT10042</v>
      </c>
      <c r="B46" s="1" t="str">
        <f>'1. Master Data'!B46</f>
        <v>Nova Lite 981 64GB</v>
      </c>
      <c r="C46" s="3" t="str">
        <f>'1. Master Data'!C46</f>
        <v>Smartphones</v>
      </c>
      <c r="D46" s="3" t="str">
        <f>'1. Master Data'!D46</f>
        <v>West DC</v>
      </c>
      <c r="E46" s="3" t="str">
        <f>'1. Master Data'!H46</f>
        <v>Active</v>
      </c>
      <c r="F46" s="4">
        <f>'1. Master Data'!F46</f>
        <v>548</v>
      </c>
      <c r="G46" s="3">
        <f>'1. Master Data'!I46</f>
        <v>380</v>
      </c>
      <c r="H46" s="15">
        <f t="shared" si="5"/>
        <v>208240</v>
      </c>
      <c r="I46" s="3">
        <f>'1. Master Data'!J46</f>
        <v>61</v>
      </c>
      <c r="J46" s="5" t="str">
        <f t="shared" si="0"/>
        <v>Watch</v>
      </c>
      <c r="K46" s="3">
        <f>IF('3. Demand Forecast'!F46=0,99,ROUND(G46/'3. Demand Forecast'!F46,1))</f>
        <v>2.8</v>
      </c>
      <c r="L46" s="3">
        <f>IF(G46=0,0,ROUND('4. ABC XYZ Analysis'!F46/G46,1))</f>
        <v>1.9</v>
      </c>
      <c r="M46" s="5" t="str">
        <f t="shared" si="1"/>
        <v>OK</v>
      </c>
      <c r="N46" s="4">
        <f t="shared" si="2"/>
        <v>0</v>
      </c>
      <c r="O46" s="1" t="str">
        <f t="shared" si="3"/>
        <v>Healthy</v>
      </c>
    </row>
    <row r="47" spans="1:15" ht="15" customHeight="1" x14ac:dyDescent="0.2">
      <c r="A47" s="3" t="str">
        <f>'1. Master Data'!A47</f>
        <v>NT10043</v>
      </c>
      <c r="B47" s="1" t="str">
        <f>'1. Master Data'!B47</f>
        <v>Edge 999 5G 128GB</v>
      </c>
      <c r="C47" s="3" t="str">
        <f>'1. Master Data'!C47</f>
        <v>Smartphones</v>
      </c>
      <c r="D47" s="3" t="str">
        <f>'1. Master Data'!D47</f>
        <v>East DC</v>
      </c>
      <c r="E47" s="3" t="str">
        <f>'1. Master Data'!H47</f>
        <v>Active</v>
      </c>
      <c r="F47" s="4">
        <f>'1. Master Data'!F47</f>
        <v>588</v>
      </c>
      <c r="G47" s="3">
        <f>'1. Master Data'!I47</f>
        <v>110</v>
      </c>
      <c r="H47" s="15">
        <f t="shared" si="5"/>
        <v>64680</v>
      </c>
      <c r="I47" s="3">
        <f>'1. Master Data'!J47</f>
        <v>134</v>
      </c>
      <c r="J47" s="5" t="str">
        <f t="shared" si="0"/>
        <v>Aged</v>
      </c>
      <c r="K47" s="3">
        <f>IF('3. Demand Forecast'!F47=0,99,ROUND(G47/'3. Demand Forecast'!F47,1))</f>
        <v>3.9</v>
      </c>
      <c r="L47" s="3">
        <f>IF(G47=0,0,ROUND('4. ABC XYZ Analysis'!F47/G47,1))</f>
        <v>6</v>
      </c>
      <c r="M47" s="5" t="str">
        <f t="shared" si="1"/>
        <v>EXCESS</v>
      </c>
      <c r="N47" s="4">
        <f t="shared" si="2"/>
        <v>64680</v>
      </c>
      <c r="O47" s="1" t="str">
        <f t="shared" si="3"/>
        <v>Reduce orders and monitor</v>
      </c>
    </row>
    <row r="48" spans="1:15" ht="15" customHeight="1" x14ac:dyDescent="0.2">
      <c r="A48" s="3" t="str">
        <f>'1. Master Data'!A48</f>
        <v>NT10044</v>
      </c>
      <c r="B48" s="1" t="str">
        <f>'1. Master Data'!B48</f>
        <v>Nova Lite 886 64GB</v>
      </c>
      <c r="C48" s="3" t="str">
        <f>'1. Master Data'!C48</f>
        <v>Smartphones</v>
      </c>
      <c r="D48" s="3" t="str">
        <f>'1. Master Data'!D48</f>
        <v>Central DC</v>
      </c>
      <c r="E48" s="3" t="str">
        <f>'1. Master Data'!H48</f>
        <v>Active</v>
      </c>
      <c r="F48" s="4">
        <f>'1. Master Data'!F48</f>
        <v>849</v>
      </c>
      <c r="G48" s="3">
        <f>'1. Master Data'!I48</f>
        <v>126</v>
      </c>
      <c r="H48" s="15">
        <f t="shared" si="5"/>
        <v>106974</v>
      </c>
      <c r="I48" s="3">
        <f>'1. Master Data'!J48</f>
        <v>5</v>
      </c>
      <c r="J48" s="5" t="str">
        <f t="shared" si="0"/>
        <v>Fresh</v>
      </c>
      <c r="K48" s="3">
        <f>IF('3. Demand Forecast'!F48=0,99,ROUND(G48/'3. Demand Forecast'!F48,1))</f>
        <v>0.9</v>
      </c>
      <c r="L48" s="3">
        <f>IF(G48=0,0,ROUND('4. ABC XYZ Analysis'!F48/G48,1))</f>
        <v>39.5</v>
      </c>
      <c r="M48" s="5" t="str">
        <f t="shared" si="1"/>
        <v>OK</v>
      </c>
      <c r="N48" s="4">
        <f t="shared" si="2"/>
        <v>0</v>
      </c>
      <c r="O48" s="1" t="str">
        <f t="shared" si="3"/>
        <v>Healthy</v>
      </c>
    </row>
    <row r="49" spans="1:15" ht="15" customHeight="1" x14ac:dyDescent="0.2">
      <c r="A49" s="3" t="str">
        <f>'1. Master Data'!A49</f>
        <v>NT10045</v>
      </c>
      <c r="B49" s="1" t="str">
        <f>'1. Master Data'!B49</f>
        <v>Nova X674 Pro 256GB</v>
      </c>
      <c r="C49" s="3" t="str">
        <f>'1. Master Data'!C49</f>
        <v>Smartphones</v>
      </c>
      <c r="D49" s="3" t="str">
        <f>'1. Master Data'!D49</f>
        <v>West DC</v>
      </c>
      <c r="E49" s="3" t="str">
        <f>'1. Master Data'!H49</f>
        <v>Active</v>
      </c>
      <c r="F49" s="4">
        <f>'1. Master Data'!F49</f>
        <v>365</v>
      </c>
      <c r="G49" s="3">
        <f>'1. Master Data'!I49</f>
        <v>113</v>
      </c>
      <c r="H49" s="15">
        <f t="shared" si="5"/>
        <v>41245</v>
      </c>
      <c r="I49" s="3">
        <f>'1. Master Data'!J49</f>
        <v>24</v>
      </c>
      <c r="J49" s="5" t="str">
        <f t="shared" si="0"/>
        <v>Fresh</v>
      </c>
      <c r="K49" s="3">
        <f>IF('3. Demand Forecast'!F49=0,99,ROUND(G49/'3. Demand Forecast'!F49,1))</f>
        <v>1.6</v>
      </c>
      <c r="L49" s="3">
        <f>IF(G49=0,0,ROUND('4. ABC XYZ Analysis'!F49/G49,1))</f>
        <v>62.4</v>
      </c>
      <c r="M49" s="5" t="str">
        <f t="shared" si="1"/>
        <v>OK</v>
      </c>
      <c r="N49" s="4">
        <f t="shared" si="2"/>
        <v>0</v>
      </c>
      <c r="O49" s="1" t="str">
        <f t="shared" si="3"/>
        <v>Healthy</v>
      </c>
    </row>
    <row r="50" spans="1:15" ht="15" customHeight="1" x14ac:dyDescent="0.2">
      <c r="A50" s="3" t="str">
        <f>'1. Master Data'!A50</f>
        <v>NT10046</v>
      </c>
      <c r="B50" s="1" t="str">
        <f>'1. Master Data'!B50</f>
        <v>Nova Lite 711 64GB</v>
      </c>
      <c r="C50" s="3" t="str">
        <f>'1. Master Data'!C50</f>
        <v>Smartphones</v>
      </c>
      <c r="D50" s="3" t="str">
        <f>'1. Master Data'!D50</f>
        <v>Central DC</v>
      </c>
      <c r="E50" s="3" t="str">
        <f>'1. Master Data'!H50</f>
        <v>Active</v>
      </c>
      <c r="F50" s="4">
        <f>'1. Master Data'!F50</f>
        <v>684</v>
      </c>
      <c r="G50" s="3">
        <f>'1. Master Data'!I50</f>
        <v>207</v>
      </c>
      <c r="H50" s="15">
        <f t="shared" si="5"/>
        <v>141588</v>
      </c>
      <c r="I50" s="3">
        <f>'1. Master Data'!J50</f>
        <v>54</v>
      </c>
      <c r="J50" s="5" t="str">
        <f t="shared" si="0"/>
        <v>Watch</v>
      </c>
      <c r="K50" s="3">
        <f>IF('3. Demand Forecast'!F50=0,99,ROUND(G50/'3. Demand Forecast'!F50,1))</f>
        <v>2.2999999999999998</v>
      </c>
      <c r="L50" s="3">
        <f>IF(G50=0,0,ROUND('4. ABC XYZ Analysis'!F50/G50,1))</f>
        <v>7.7</v>
      </c>
      <c r="M50" s="5" t="str">
        <f t="shared" si="1"/>
        <v>OK</v>
      </c>
      <c r="N50" s="4">
        <f t="shared" si="2"/>
        <v>0</v>
      </c>
      <c r="O50" s="1" t="str">
        <f t="shared" si="3"/>
        <v>Healthy</v>
      </c>
    </row>
    <row r="51" spans="1:15" ht="15" customHeight="1" x14ac:dyDescent="0.2">
      <c r="A51" s="3" t="str">
        <f>'1. Master Data'!A51</f>
        <v>NT10047</v>
      </c>
      <c r="B51" s="1" t="str">
        <f>'1. Master Data'!B51</f>
        <v>Edge 345 5G 128GB</v>
      </c>
      <c r="C51" s="3" t="str">
        <f>'1. Master Data'!C51</f>
        <v>Smartphones</v>
      </c>
      <c r="D51" s="3" t="str">
        <f>'1. Master Data'!D51</f>
        <v>West DC</v>
      </c>
      <c r="E51" s="3" t="str">
        <f>'1. Master Data'!H51</f>
        <v>Active</v>
      </c>
      <c r="F51" s="4">
        <f>'1. Master Data'!F51</f>
        <v>474</v>
      </c>
      <c r="G51" s="3">
        <f>'1. Master Data'!I51</f>
        <v>526</v>
      </c>
      <c r="H51" s="15">
        <f t="shared" si="5"/>
        <v>249324</v>
      </c>
      <c r="I51" s="3">
        <f>'1. Master Data'!J51</f>
        <v>41</v>
      </c>
      <c r="J51" s="5" t="str">
        <f t="shared" si="0"/>
        <v>Watch</v>
      </c>
      <c r="K51" s="3">
        <f>IF('3. Demand Forecast'!F51=0,99,ROUND(G51/'3. Demand Forecast'!F51,1))</f>
        <v>2.8</v>
      </c>
      <c r="L51" s="3">
        <f>IF(G51=0,0,ROUND('4. ABC XYZ Analysis'!F51/G51,1))</f>
        <v>1.6</v>
      </c>
      <c r="M51" s="5" t="str">
        <f t="shared" si="1"/>
        <v>OK</v>
      </c>
      <c r="N51" s="4">
        <f t="shared" si="2"/>
        <v>0</v>
      </c>
      <c r="O51" s="1" t="str">
        <f t="shared" si="3"/>
        <v>Healthy</v>
      </c>
    </row>
    <row r="52" spans="1:15" ht="15" customHeight="1" x14ac:dyDescent="0.2">
      <c r="A52" s="3" t="str">
        <f>'1. Master Data'!A52</f>
        <v>NT10048</v>
      </c>
      <c r="B52" s="1" t="str">
        <f>'1. Master Data'!B52</f>
        <v>Pulse 800 Dual SIM</v>
      </c>
      <c r="C52" s="3" t="str">
        <f>'1. Master Data'!C52</f>
        <v>Smartphones</v>
      </c>
      <c r="D52" s="3" t="str">
        <f>'1. Master Data'!D52</f>
        <v>Central DC</v>
      </c>
      <c r="E52" s="3" t="str">
        <f>'1. Master Data'!H52</f>
        <v>EOL</v>
      </c>
      <c r="F52" s="4">
        <f>'1. Master Data'!F52</f>
        <v>401</v>
      </c>
      <c r="G52" s="3">
        <f>'1. Master Data'!I52</f>
        <v>86</v>
      </c>
      <c r="H52" s="15">
        <f t="shared" si="5"/>
        <v>34486</v>
      </c>
      <c r="I52" s="3">
        <f>'1. Master Data'!J52</f>
        <v>185</v>
      </c>
      <c r="J52" s="5" t="str">
        <f t="shared" si="0"/>
        <v>Obsolete Risk</v>
      </c>
      <c r="K52" s="3">
        <f>IF('3. Demand Forecast'!F52=0,99,ROUND(G52/'3. Demand Forecast'!F52,1))</f>
        <v>3.4</v>
      </c>
      <c r="L52" s="3">
        <f>IF(G52=0,0,ROUND('4. ABC XYZ Analysis'!F52/G52,1))</f>
        <v>17.399999999999999</v>
      </c>
      <c r="M52" s="5" t="str">
        <f t="shared" si="1"/>
        <v>EXCESS</v>
      </c>
      <c r="N52" s="4">
        <f t="shared" si="2"/>
        <v>34486</v>
      </c>
      <c r="O52" s="1" t="str">
        <f t="shared" si="3"/>
        <v>Scrap / Liquidate</v>
      </c>
    </row>
    <row r="53" spans="1:15" ht="15" customHeight="1" x14ac:dyDescent="0.2">
      <c r="A53" s="3" t="str">
        <f>'1. Master Data'!A53</f>
        <v>NT10049</v>
      </c>
      <c r="B53" s="1" t="str">
        <f>'1. Master Data'!B53</f>
        <v>Nova Lite 422 64GB</v>
      </c>
      <c r="C53" s="3" t="str">
        <f>'1. Master Data'!C53</f>
        <v>Smartphones</v>
      </c>
      <c r="D53" s="3" t="str">
        <f>'1. Master Data'!D53</f>
        <v>West DC</v>
      </c>
      <c r="E53" s="3" t="str">
        <f>'1. Master Data'!H53</f>
        <v>Active</v>
      </c>
      <c r="F53" s="4">
        <f>'1. Master Data'!F53</f>
        <v>857</v>
      </c>
      <c r="G53" s="3">
        <f>'1. Master Data'!I53</f>
        <v>90</v>
      </c>
      <c r="H53" s="15">
        <f t="shared" si="5"/>
        <v>77130</v>
      </c>
      <c r="I53" s="3">
        <f>'1. Master Data'!J53</f>
        <v>57</v>
      </c>
      <c r="J53" s="5" t="str">
        <f t="shared" si="0"/>
        <v>Watch</v>
      </c>
      <c r="K53" s="3">
        <f>IF('3. Demand Forecast'!F53=0,99,ROUND(G53/'3. Demand Forecast'!F53,1))</f>
        <v>1.6</v>
      </c>
      <c r="L53" s="3">
        <f>IF(G53=0,0,ROUND('4. ABC XYZ Analysis'!F53/G53,1))</f>
        <v>11.8</v>
      </c>
      <c r="M53" s="5" t="str">
        <f t="shared" si="1"/>
        <v>OK</v>
      </c>
      <c r="N53" s="4">
        <f t="shared" si="2"/>
        <v>0</v>
      </c>
      <c r="O53" s="1" t="str">
        <f t="shared" si="3"/>
        <v>Healthy</v>
      </c>
    </row>
    <row r="54" spans="1:15" ht="15" customHeight="1" x14ac:dyDescent="0.2">
      <c r="A54" s="3" t="str">
        <f>'1. Master Data'!A54</f>
        <v>NT10050</v>
      </c>
      <c r="B54" s="1" t="str">
        <f>'1. Master Data'!B54</f>
        <v>Nova Lite 448 64GB</v>
      </c>
      <c r="C54" s="3" t="str">
        <f>'1. Master Data'!C54</f>
        <v>Smartphones</v>
      </c>
      <c r="D54" s="3" t="str">
        <f>'1. Master Data'!D54</f>
        <v>East DC</v>
      </c>
      <c r="E54" s="3" t="str">
        <f>'1. Master Data'!H54</f>
        <v>Active</v>
      </c>
      <c r="F54" s="4">
        <f>'1. Master Data'!F54</f>
        <v>261</v>
      </c>
      <c r="G54" s="3">
        <f>'1. Master Data'!I54</f>
        <v>352</v>
      </c>
      <c r="H54" s="15">
        <f t="shared" si="5"/>
        <v>91872</v>
      </c>
      <c r="I54" s="3">
        <f>'1. Master Data'!J54</f>
        <v>14</v>
      </c>
      <c r="J54" s="5" t="str">
        <f t="shared" si="0"/>
        <v>Fresh</v>
      </c>
      <c r="K54" s="3">
        <f>IF('3. Demand Forecast'!F54=0,99,ROUND(G54/'3. Demand Forecast'!F54,1))</f>
        <v>2.1</v>
      </c>
      <c r="L54" s="3">
        <f>IF(G54=0,0,ROUND('4. ABC XYZ Analysis'!F54/G54,1))</f>
        <v>4.5999999999999996</v>
      </c>
      <c r="M54" s="5" t="str">
        <f t="shared" si="1"/>
        <v>OK</v>
      </c>
      <c r="N54" s="4">
        <f t="shared" si="2"/>
        <v>0</v>
      </c>
      <c r="O54" s="1" t="str">
        <f t="shared" si="3"/>
        <v>Healthy</v>
      </c>
    </row>
    <row r="55" spans="1:15" ht="15" customHeight="1" x14ac:dyDescent="0.2">
      <c r="A55" s="3" t="str">
        <f>'1. Master Data'!A55</f>
        <v>NT10051</v>
      </c>
      <c r="B55" s="1" t="str">
        <f>'1. Master Data'!B55</f>
        <v>CreatorPro 982 i9 16in</v>
      </c>
      <c r="C55" s="3" t="str">
        <f>'1. Master Data'!C55</f>
        <v>Laptops</v>
      </c>
      <c r="D55" s="3" t="str">
        <f>'1. Master Data'!D55</f>
        <v>Central DC</v>
      </c>
      <c r="E55" s="3" t="str">
        <f>'1. Master Data'!H55</f>
        <v>Active</v>
      </c>
      <c r="F55" s="4">
        <f>'1. Master Data'!F55</f>
        <v>1137</v>
      </c>
      <c r="G55" s="3">
        <f>'1. Master Data'!I55</f>
        <v>471</v>
      </c>
      <c r="H55" s="15">
        <f t="shared" si="5"/>
        <v>535527</v>
      </c>
      <c r="I55" s="3">
        <f>'1. Master Data'!J55</f>
        <v>62</v>
      </c>
      <c r="J55" s="5" t="str">
        <f t="shared" si="0"/>
        <v>Watch</v>
      </c>
      <c r="K55" s="3">
        <f>IF('3. Demand Forecast'!F55=0,99,ROUND(G55/'3. Demand Forecast'!F55,1))</f>
        <v>2.6</v>
      </c>
      <c r="L55" s="3">
        <f>IF(G55=0,0,ROUND('4. ABC XYZ Analysis'!F55/G55,1))</f>
        <v>1.2</v>
      </c>
      <c r="M55" s="5" t="str">
        <f t="shared" si="1"/>
        <v>OK</v>
      </c>
      <c r="N55" s="4">
        <f t="shared" si="2"/>
        <v>0</v>
      </c>
      <c r="O55" s="1" t="str">
        <f t="shared" si="3"/>
        <v>Healthy</v>
      </c>
    </row>
    <row r="56" spans="1:15" ht="15" customHeight="1" x14ac:dyDescent="0.2">
      <c r="A56" s="3" t="str">
        <f>'1. Master Data'!A56</f>
        <v>NT10052</v>
      </c>
      <c r="B56" s="1" t="str">
        <f>'1. Master Data'!B56</f>
        <v>ProBook 483 i7 15in</v>
      </c>
      <c r="C56" s="3" t="str">
        <f>'1. Master Data'!C56</f>
        <v>Laptops</v>
      </c>
      <c r="D56" s="3" t="str">
        <f>'1. Master Data'!D56</f>
        <v>West DC</v>
      </c>
      <c r="E56" s="3" t="str">
        <f>'1. Master Data'!H56</f>
        <v>Active</v>
      </c>
      <c r="F56" s="4">
        <f>'1. Master Data'!F56</f>
        <v>1337</v>
      </c>
      <c r="G56" s="3">
        <f>'1. Master Data'!I56</f>
        <v>76</v>
      </c>
      <c r="H56" s="15">
        <f t="shared" si="5"/>
        <v>101612</v>
      </c>
      <c r="I56" s="3">
        <f>'1. Master Data'!J56</f>
        <v>12</v>
      </c>
      <c r="J56" s="5" t="str">
        <f t="shared" si="0"/>
        <v>Fresh</v>
      </c>
      <c r="K56" s="3">
        <f>IF('3. Demand Forecast'!F56=0,99,ROUND(G56/'3. Demand Forecast'!F56,1))</f>
        <v>3</v>
      </c>
      <c r="L56" s="3">
        <f>IF(G56=0,0,ROUND('4. ABC XYZ Analysis'!F56/G56,1))</f>
        <v>99.8</v>
      </c>
      <c r="M56" s="5" t="str">
        <f t="shared" si="1"/>
        <v>OK</v>
      </c>
      <c r="N56" s="4">
        <f t="shared" si="2"/>
        <v>0</v>
      </c>
      <c r="O56" s="1" t="str">
        <f t="shared" si="3"/>
        <v>Healthy</v>
      </c>
    </row>
    <row r="57" spans="1:15" ht="15" customHeight="1" x14ac:dyDescent="0.2">
      <c r="A57" s="3" t="str">
        <f>'1. Master Data'!A57</f>
        <v>NT10053</v>
      </c>
      <c r="B57" s="1" t="str">
        <f>'1. Master Data'!B57</f>
        <v>CreatorPro 419 i9 16in</v>
      </c>
      <c r="C57" s="3" t="str">
        <f>'1. Master Data'!C57</f>
        <v>Laptops</v>
      </c>
      <c r="D57" s="3" t="str">
        <f>'1. Master Data'!D57</f>
        <v>West DC</v>
      </c>
      <c r="E57" s="3" t="str">
        <f>'1. Master Data'!H57</f>
        <v>Active</v>
      </c>
      <c r="F57" s="4">
        <f>'1. Master Data'!F57</f>
        <v>1240</v>
      </c>
      <c r="G57" s="3">
        <f>'1. Master Data'!I57</f>
        <v>31</v>
      </c>
      <c r="H57" s="15">
        <f t="shared" si="5"/>
        <v>38440</v>
      </c>
      <c r="I57" s="3">
        <f>'1. Master Data'!J57</f>
        <v>63</v>
      </c>
      <c r="J57" s="5" t="str">
        <f t="shared" si="0"/>
        <v>Watch</v>
      </c>
      <c r="K57" s="3">
        <f>IF('3. Demand Forecast'!F57=0,99,ROUND(G57/'3. Demand Forecast'!F57,1))</f>
        <v>2.6</v>
      </c>
      <c r="L57" s="3">
        <f>IF(G57=0,0,ROUND('4. ABC XYZ Analysis'!F57/G57,1))</f>
        <v>81.3</v>
      </c>
      <c r="M57" s="5" t="str">
        <f t="shared" si="1"/>
        <v>OK</v>
      </c>
      <c r="N57" s="4">
        <f t="shared" si="2"/>
        <v>0</v>
      </c>
      <c r="O57" s="1" t="str">
        <f t="shared" si="3"/>
        <v>Healthy</v>
      </c>
    </row>
    <row r="58" spans="1:15" ht="15" customHeight="1" x14ac:dyDescent="0.2">
      <c r="A58" s="3" t="str">
        <f>'1. Master Data'!A58</f>
        <v>NT10054</v>
      </c>
      <c r="B58" s="1" t="str">
        <f>'1. Master Data'!B58</f>
        <v>WorkMate 914 i3 14in</v>
      </c>
      <c r="C58" s="3" t="str">
        <f>'1. Master Data'!C58</f>
        <v>Laptops</v>
      </c>
      <c r="D58" s="3" t="str">
        <f>'1. Master Data'!D58</f>
        <v>West DC</v>
      </c>
      <c r="E58" s="3" t="str">
        <f>'1. Master Data'!H58</f>
        <v>Active</v>
      </c>
      <c r="F58" s="4">
        <f>'1. Master Data'!F58</f>
        <v>753</v>
      </c>
      <c r="G58" s="3">
        <f>'1. Master Data'!I58</f>
        <v>79</v>
      </c>
      <c r="H58" s="15">
        <f t="shared" si="5"/>
        <v>59487</v>
      </c>
      <c r="I58" s="3">
        <f>'1. Master Data'!J58</f>
        <v>111</v>
      </c>
      <c r="J58" s="5" t="str">
        <f t="shared" si="0"/>
        <v>Aged</v>
      </c>
      <c r="K58" s="3">
        <f>IF('3. Demand Forecast'!F58=0,99,ROUND(G58/'3. Demand Forecast'!F58,1))</f>
        <v>4.9000000000000004</v>
      </c>
      <c r="L58" s="3">
        <f>IF(G58=0,0,ROUND('4. ABC XYZ Analysis'!F58/G58,1))</f>
        <v>32</v>
      </c>
      <c r="M58" s="5" t="str">
        <f t="shared" si="1"/>
        <v>EXCESS</v>
      </c>
      <c r="N58" s="4">
        <f t="shared" si="2"/>
        <v>59487</v>
      </c>
      <c r="O58" s="1" t="str">
        <f t="shared" si="3"/>
        <v>Reduce orders and monitor</v>
      </c>
    </row>
    <row r="59" spans="1:15" ht="15" customHeight="1" x14ac:dyDescent="0.2">
      <c r="A59" s="3" t="str">
        <f>'1. Master Data'!A59</f>
        <v>NT10055</v>
      </c>
      <c r="B59" s="1" t="str">
        <f>'1. Master Data'!B59</f>
        <v>UltraSlim 241 Ryzen 5</v>
      </c>
      <c r="C59" s="3" t="str">
        <f>'1. Master Data'!C59</f>
        <v>Laptops</v>
      </c>
      <c r="D59" s="3" t="str">
        <f>'1. Master Data'!D59</f>
        <v>West DC</v>
      </c>
      <c r="E59" s="3" t="str">
        <f>'1. Master Data'!H59</f>
        <v>Active</v>
      </c>
      <c r="F59" s="4">
        <f>'1. Master Data'!F59</f>
        <v>1492</v>
      </c>
      <c r="G59" s="3">
        <f>'1. Master Data'!I59</f>
        <v>25</v>
      </c>
      <c r="H59" s="15">
        <f t="shared" si="5"/>
        <v>37300</v>
      </c>
      <c r="I59" s="3">
        <f>'1. Master Data'!J59</f>
        <v>31</v>
      </c>
      <c r="J59" s="5" t="str">
        <f t="shared" si="0"/>
        <v>Watch</v>
      </c>
      <c r="K59" s="3">
        <f>IF('3. Demand Forecast'!F59=0,99,ROUND(G59/'3. Demand Forecast'!F59,1))</f>
        <v>2.6</v>
      </c>
      <c r="L59" s="3">
        <f>IF(G59=0,0,ROUND('4. ABC XYZ Analysis'!F59/G59,1))</f>
        <v>18.2</v>
      </c>
      <c r="M59" s="5" t="str">
        <f t="shared" si="1"/>
        <v>OK</v>
      </c>
      <c r="N59" s="4">
        <f t="shared" si="2"/>
        <v>0</v>
      </c>
      <c r="O59" s="1" t="str">
        <f t="shared" si="3"/>
        <v>Healthy</v>
      </c>
    </row>
    <row r="60" spans="1:15" ht="15" customHeight="1" x14ac:dyDescent="0.2">
      <c r="A60" s="3" t="str">
        <f>'1. Master Data'!A60</f>
        <v>NT10056</v>
      </c>
      <c r="B60" s="1" t="str">
        <f>'1. Master Data'!B60</f>
        <v>ProBook 502 i5 14in</v>
      </c>
      <c r="C60" s="3" t="str">
        <f>'1. Master Data'!C60</f>
        <v>Laptops</v>
      </c>
      <c r="D60" s="3" t="str">
        <f>'1. Master Data'!D60</f>
        <v>West DC</v>
      </c>
      <c r="E60" s="3" t="str">
        <f>'1. Master Data'!H60</f>
        <v>Active</v>
      </c>
      <c r="F60" s="4">
        <f>'1. Master Data'!F60</f>
        <v>1457</v>
      </c>
      <c r="G60" s="3">
        <f>'1. Master Data'!I60</f>
        <v>101</v>
      </c>
      <c r="H60" s="15">
        <f t="shared" si="5"/>
        <v>147157</v>
      </c>
      <c r="I60" s="3">
        <f>'1. Master Data'!J60</f>
        <v>66</v>
      </c>
      <c r="J60" s="5" t="str">
        <f t="shared" si="0"/>
        <v>Watch</v>
      </c>
      <c r="K60" s="3">
        <f>IF('3. Demand Forecast'!F60=0,99,ROUND(G60/'3. Demand Forecast'!F60,1))</f>
        <v>1.8</v>
      </c>
      <c r="L60" s="3">
        <f>IF(G60=0,0,ROUND('4. ABC XYZ Analysis'!F60/G60,1))</f>
        <v>5.4</v>
      </c>
      <c r="M60" s="5" t="str">
        <f t="shared" si="1"/>
        <v>OK</v>
      </c>
      <c r="N60" s="4">
        <f t="shared" si="2"/>
        <v>0</v>
      </c>
      <c r="O60" s="1" t="str">
        <f t="shared" si="3"/>
        <v>Healthy</v>
      </c>
    </row>
    <row r="61" spans="1:15" ht="15" customHeight="1" x14ac:dyDescent="0.2">
      <c r="A61" s="3" t="str">
        <f>'1. Master Data'!A61</f>
        <v>NT10057</v>
      </c>
      <c r="B61" s="1" t="str">
        <f>'1. Master Data'!B61</f>
        <v>ProBook 187 i5 14in</v>
      </c>
      <c r="C61" s="3" t="str">
        <f>'1. Master Data'!C61</f>
        <v>Laptops</v>
      </c>
      <c r="D61" s="3" t="str">
        <f>'1. Master Data'!D61</f>
        <v>West DC</v>
      </c>
      <c r="E61" s="3" t="str">
        <f>'1. Master Data'!H61</f>
        <v>Active</v>
      </c>
      <c r="F61" s="4">
        <f>'1. Master Data'!F61</f>
        <v>1083</v>
      </c>
      <c r="G61" s="3">
        <f>'1. Master Data'!I61</f>
        <v>94</v>
      </c>
      <c r="H61" s="15">
        <f t="shared" si="5"/>
        <v>101802</v>
      </c>
      <c r="I61" s="3">
        <f>'1. Master Data'!J61</f>
        <v>45</v>
      </c>
      <c r="J61" s="5" t="str">
        <f t="shared" si="0"/>
        <v>Watch</v>
      </c>
      <c r="K61" s="3">
        <f>IF('3. Demand Forecast'!F61=0,99,ROUND(G61/'3. Demand Forecast'!F61,1))</f>
        <v>4.0999999999999996</v>
      </c>
      <c r="L61" s="3">
        <f>IF(G61=0,0,ROUND('4. ABC XYZ Analysis'!F61/G61,1))</f>
        <v>5.3</v>
      </c>
      <c r="M61" s="5" t="str">
        <f t="shared" si="1"/>
        <v>OK</v>
      </c>
      <c r="N61" s="4">
        <f t="shared" si="2"/>
        <v>0</v>
      </c>
      <c r="O61" s="1" t="str">
        <f t="shared" si="3"/>
        <v>Healthy</v>
      </c>
    </row>
    <row r="62" spans="1:15" ht="15" customHeight="1" x14ac:dyDescent="0.2">
      <c r="A62" s="3" t="str">
        <f>'1. Master Data'!A62</f>
        <v>NT10058</v>
      </c>
      <c r="B62" s="1" t="str">
        <f>'1. Master Data'!B62</f>
        <v>CreatorPro 778 i9 16in</v>
      </c>
      <c r="C62" s="3" t="str">
        <f>'1. Master Data'!C62</f>
        <v>Laptops</v>
      </c>
      <c r="D62" s="3" t="str">
        <f>'1. Master Data'!D62</f>
        <v>East DC</v>
      </c>
      <c r="E62" s="3" t="str">
        <f>'1. Master Data'!H62</f>
        <v>Active</v>
      </c>
      <c r="F62" s="4">
        <f>'1. Master Data'!F62</f>
        <v>999</v>
      </c>
      <c r="G62" s="3">
        <f>'1. Master Data'!I62</f>
        <v>77</v>
      </c>
      <c r="H62" s="15">
        <f t="shared" si="5"/>
        <v>76923</v>
      </c>
      <c r="I62" s="3">
        <f>'1. Master Data'!J62</f>
        <v>55</v>
      </c>
      <c r="J62" s="5" t="str">
        <f t="shared" si="0"/>
        <v>Watch</v>
      </c>
      <c r="K62" s="3">
        <f>IF('3. Demand Forecast'!F62=0,99,ROUND(G62/'3. Demand Forecast'!F62,1))</f>
        <v>2.6</v>
      </c>
      <c r="L62" s="3">
        <f>IF(G62=0,0,ROUND('4. ABC XYZ Analysis'!F62/G62,1))</f>
        <v>6.9</v>
      </c>
      <c r="M62" s="5" t="str">
        <f t="shared" si="1"/>
        <v>OK</v>
      </c>
      <c r="N62" s="4">
        <f t="shared" si="2"/>
        <v>0</v>
      </c>
      <c r="O62" s="1" t="str">
        <f t="shared" si="3"/>
        <v>Healthy</v>
      </c>
    </row>
    <row r="63" spans="1:15" ht="15" customHeight="1" x14ac:dyDescent="0.2">
      <c r="A63" s="3" t="str">
        <f>'1. Master Data'!A63</f>
        <v>NT10059</v>
      </c>
      <c r="B63" s="1" t="str">
        <f>'1. Master Data'!B63</f>
        <v>WorkMate 293 i3 14in</v>
      </c>
      <c r="C63" s="3" t="str">
        <f>'1. Master Data'!C63</f>
        <v>Laptops</v>
      </c>
      <c r="D63" s="3" t="str">
        <f>'1. Master Data'!D63</f>
        <v>West DC</v>
      </c>
      <c r="E63" s="3" t="str">
        <f>'1. Master Data'!H63</f>
        <v>Active</v>
      </c>
      <c r="F63" s="4">
        <f>'1. Master Data'!F63</f>
        <v>1383</v>
      </c>
      <c r="G63" s="3">
        <f>'1. Master Data'!I63</f>
        <v>191</v>
      </c>
      <c r="H63" s="15">
        <f t="shared" si="5"/>
        <v>264153</v>
      </c>
      <c r="I63" s="3">
        <f>'1. Master Data'!J63</f>
        <v>37</v>
      </c>
      <c r="J63" s="5" t="str">
        <f t="shared" si="0"/>
        <v>Watch</v>
      </c>
      <c r="K63" s="3">
        <f>IF('3. Demand Forecast'!F63=0,99,ROUND(G63/'3. Demand Forecast'!F63,1))</f>
        <v>2.8</v>
      </c>
      <c r="L63" s="3">
        <f>IF(G63=0,0,ROUND('4. ABC XYZ Analysis'!F63/G63,1))</f>
        <v>2.5</v>
      </c>
      <c r="M63" s="5" t="str">
        <f t="shared" si="1"/>
        <v>OK</v>
      </c>
      <c r="N63" s="4">
        <f t="shared" si="2"/>
        <v>0</v>
      </c>
      <c r="O63" s="1" t="str">
        <f t="shared" si="3"/>
        <v>Healthy</v>
      </c>
    </row>
    <row r="64" spans="1:15" ht="15" customHeight="1" x14ac:dyDescent="0.2">
      <c r="A64" s="3" t="str">
        <f>'1. Master Data'!A64</f>
        <v>NT10060</v>
      </c>
      <c r="B64" s="1" t="str">
        <f>'1. Master Data'!B64</f>
        <v>ProBook 839 i7 15in</v>
      </c>
      <c r="C64" s="3" t="str">
        <f>'1. Master Data'!C64</f>
        <v>Laptops</v>
      </c>
      <c r="D64" s="3" t="str">
        <f>'1. Master Data'!D64</f>
        <v>West DC</v>
      </c>
      <c r="E64" s="3" t="str">
        <f>'1. Master Data'!H64</f>
        <v>Active</v>
      </c>
      <c r="F64" s="4">
        <f>'1. Master Data'!F64</f>
        <v>1044</v>
      </c>
      <c r="G64" s="3">
        <f>'1. Master Data'!I64</f>
        <v>175</v>
      </c>
      <c r="H64" s="15">
        <f t="shared" si="5"/>
        <v>182700</v>
      </c>
      <c r="I64" s="3">
        <f>'1. Master Data'!J64</f>
        <v>47</v>
      </c>
      <c r="J64" s="5" t="str">
        <f t="shared" si="0"/>
        <v>Watch</v>
      </c>
      <c r="K64" s="3">
        <f>IF('3. Demand Forecast'!F64=0,99,ROUND(G64/'3. Demand Forecast'!F64,1))</f>
        <v>4</v>
      </c>
      <c r="L64" s="3">
        <f>IF(G64=0,0,ROUND('4. ABC XYZ Analysis'!F64/G64,1))</f>
        <v>4.4000000000000004</v>
      </c>
      <c r="M64" s="5" t="str">
        <f t="shared" si="1"/>
        <v>OK</v>
      </c>
      <c r="N64" s="4">
        <f t="shared" si="2"/>
        <v>0</v>
      </c>
      <c r="O64" s="1" t="str">
        <f t="shared" si="3"/>
        <v>Healthy</v>
      </c>
    </row>
    <row r="65" spans="1:15" ht="15" customHeight="1" x14ac:dyDescent="0.2">
      <c r="A65" s="3" t="str">
        <f>'1. Master Data'!A65</f>
        <v>NT10061</v>
      </c>
      <c r="B65" s="1" t="str">
        <f>'1. Master Data'!B65</f>
        <v>ProBook 962 i5 14in</v>
      </c>
      <c r="C65" s="3" t="str">
        <f>'1. Master Data'!C65</f>
        <v>Laptops</v>
      </c>
      <c r="D65" s="3" t="str">
        <f>'1. Master Data'!D65</f>
        <v>West DC</v>
      </c>
      <c r="E65" s="3" t="str">
        <f>'1. Master Data'!H65</f>
        <v>Active</v>
      </c>
      <c r="F65" s="4">
        <f>'1. Master Data'!F65</f>
        <v>1153</v>
      </c>
      <c r="G65" s="3">
        <f>'1. Master Data'!I65</f>
        <v>46</v>
      </c>
      <c r="H65" s="15">
        <f t="shared" si="5"/>
        <v>53038</v>
      </c>
      <c r="I65" s="3">
        <f>'1. Master Data'!J65</f>
        <v>35</v>
      </c>
      <c r="J65" s="5" t="str">
        <f t="shared" si="0"/>
        <v>Watch</v>
      </c>
      <c r="K65" s="3">
        <f>IF('3. Demand Forecast'!F65=0,99,ROUND(G65/'3. Demand Forecast'!F65,1))</f>
        <v>1.5</v>
      </c>
      <c r="L65" s="3">
        <f>IF(G65=0,0,ROUND('4. ABC XYZ Analysis'!F65/G65,1))</f>
        <v>100.7</v>
      </c>
      <c r="M65" s="5" t="str">
        <f t="shared" si="1"/>
        <v>OK</v>
      </c>
      <c r="N65" s="4">
        <f t="shared" si="2"/>
        <v>0</v>
      </c>
      <c r="O65" s="1" t="str">
        <f t="shared" si="3"/>
        <v>Healthy</v>
      </c>
    </row>
    <row r="66" spans="1:15" ht="15" customHeight="1" x14ac:dyDescent="0.2">
      <c r="A66" s="3" t="str">
        <f>'1. Master Data'!A66</f>
        <v>NT10062</v>
      </c>
      <c r="B66" s="1" t="str">
        <f>'1. Master Data'!B66</f>
        <v>CreatorPro 354 i9 16in</v>
      </c>
      <c r="C66" s="3" t="str">
        <f>'1. Master Data'!C66</f>
        <v>Laptops</v>
      </c>
      <c r="D66" s="3" t="str">
        <f>'1. Master Data'!D66</f>
        <v>Central DC</v>
      </c>
      <c r="E66" s="3" t="str">
        <f>'1. Master Data'!H66</f>
        <v>Active</v>
      </c>
      <c r="F66" s="4">
        <f>'1. Master Data'!F66</f>
        <v>1068</v>
      </c>
      <c r="G66" s="3">
        <f>'1. Master Data'!I66</f>
        <v>46</v>
      </c>
      <c r="H66" s="15">
        <f t="shared" si="5"/>
        <v>49128</v>
      </c>
      <c r="I66" s="3">
        <f>'1. Master Data'!J66</f>
        <v>51</v>
      </c>
      <c r="J66" s="5" t="str">
        <f t="shared" si="0"/>
        <v>Watch</v>
      </c>
      <c r="K66" s="3">
        <f>IF('3. Demand Forecast'!F66=0,99,ROUND(G66/'3. Demand Forecast'!F66,1))</f>
        <v>2.5</v>
      </c>
      <c r="L66" s="3">
        <f>IF(G66=0,0,ROUND('4. ABC XYZ Analysis'!F66/G66,1))</f>
        <v>177.1</v>
      </c>
      <c r="M66" s="5" t="str">
        <f t="shared" si="1"/>
        <v>OK</v>
      </c>
      <c r="N66" s="4">
        <f t="shared" si="2"/>
        <v>0</v>
      </c>
      <c r="O66" s="1" t="str">
        <f t="shared" si="3"/>
        <v>Healthy</v>
      </c>
    </row>
    <row r="67" spans="1:15" ht="15" customHeight="1" x14ac:dyDescent="0.2">
      <c r="A67" s="3" t="str">
        <f>'1. Master Data'!A67</f>
        <v>NT10063</v>
      </c>
      <c r="B67" s="1" t="str">
        <f>'1. Master Data'!B67</f>
        <v>UltraSlim 731 Ryzen 5</v>
      </c>
      <c r="C67" s="3" t="str">
        <f>'1. Master Data'!C67</f>
        <v>Laptops</v>
      </c>
      <c r="D67" s="3" t="str">
        <f>'1. Master Data'!D67</f>
        <v>West DC</v>
      </c>
      <c r="E67" s="3" t="str">
        <f>'1. Master Data'!H67</f>
        <v>Active</v>
      </c>
      <c r="F67" s="4">
        <f>'1. Master Data'!F67</f>
        <v>640</v>
      </c>
      <c r="G67" s="3">
        <f>'1. Master Data'!I67</f>
        <v>19</v>
      </c>
      <c r="H67" s="15">
        <f t="shared" si="5"/>
        <v>12160</v>
      </c>
      <c r="I67" s="3">
        <f>'1. Master Data'!J67</f>
        <v>4</v>
      </c>
      <c r="J67" s="5" t="str">
        <f t="shared" si="0"/>
        <v>Fresh</v>
      </c>
      <c r="K67" s="3">
        <f>IF('3. Demand Forecast'!F67=0,99,ROUND(G67/'3. Demand Forecast'!F67,1))</f>
        <v>2.5</v>
      </c>
      <c r="L67" s="3">
        <f>IF(G67=0,0,ROUND('4. ABC XYZ Analysis'!F67/G67,1))</f>
        <v>23.9</v>
      </c>
      <c r="M67" s="5" t="str">
        <f t="shared" si="1"/>
        <v>OK</v>
      </c>
      <c r="N67" s="4">
        <f t="shared" si="2"/>
        <v>0</v>
      </c>
      <c r="O67" s="1" t="str">
        <f t="shared" si="3"/>
        <v>Healthy</v>
      </c>
    </row>
    <row r="68" spans="1:15" ht="15" customHeight="1" x14ac:dyDescent="0.2">
      <c r="A68" s="3" t="str">
        <f>'1. Master Data'!A68</f>
        <v>NT10064</v>
      </c>
      <c r="B68" s="1" t="str">
        <f>'1. Master Data'!B68</f>
        <v>ProBook 948 i7 15in</v>
      </c>
      <c r="C68" s="3" t="str">
        <f>'1. Master Data'!C68</f>
        <v>Laptops</v>
      </c>
      <c r="D68" s="3" t="str">
        <f>'1. Master Data'!D68</f>
        <v>East DC</v>
      </c>
      <c r="E68" s="3" t="str">
        <f>'1. Master Data'!H68</f>
        <v>Active</v>
      </c>
      <c r="F68" s="4">
        <f>'1. Master Data'!F68</f>
        <v>1333</v>
      </c>
      <c r="G68" s="3">
        <f>'1. Master Data'!I68</f>
        <v>87</v>
      </c>
      <c r="H68" s="15">
        <f t="shared" si="5"/>
        <v>115971</v>
      </c>
      <c r="I68" s="3">
        <f>'1. Master Data'!J68</f>
        <v>6</v>
      </c>
      <c r="J68" s="5" t="str">
        <f t="shared" si="0"/>
        <v>Fresh</v>
      </c>
      <c r="K68" s="3">
        <f>IF('3. Demand Forecast'!F68=0,99,ROUND(G68/'3. Demand Forecast'!F68,1))</f>
        <v>1.3</v>
      </c>
      <c r="L68" s="3">
        <f>IF(G68=0,0,ROUND('4. ABC XYZ Analysis'!F68/G68,1))</f>
        <v>7.4</v>
      </c>
      <c r="M68" s="5" t="str">
        <f t="shared" si="1"/>
        <v>OK</v>
      </c>
      <c r="N68" s="4">
        <f t="shared" si="2"/>
        <v>0</v>
      </c>
      <c r="O68" s="1" t="str">
        <f t="shared" si="3"/>
        <v>Healthy</v>
      </c>
    </row>
    <row r="69" spans="1:15" ht="15" customHeight="1" x14ac:dyDescent="0.2">
      <c r="A69" s="3" t="str">
        <f>'1. Master Data'!A69</f>
        <v>NT10065</v>
      </c>
      <c r="B69" s="1" t="str">
        <f>'1. Master Data'!B69</f>
        <v>ProBook 927 i5 14in</v>
      </c>
      <c r="C69" s="3" t="str">
        <f>'1. Master Data'!C69</f>
        <v>Laptops</v>
      </c>
      <c r="D69" s="3" t="str">
        <f>'1. Master Data'!D69</f>
        <v>East DC</v>
      </c>
      <c r="E69" s="3" t="str">
        <f>'1. Master Data'!H69</f>
        <v>Active</v>
      </c>
      <c r="F69" s="4">
        <f>'1. Master Data'!F69</f>
        <v>1039</v>
      </c>
      <c r="G69" s="3">
        <f>'1. Master Data'!I69</f>
        <v>58</v>
      </c>
      <c r="H69" s="15">
        <f t="shared" ref="H69:H132" si="6">F69*G69</f>
        <v>60262</v>
      </c>
      <c r="I69" s="3">
        <f>'1. Master Data'!J69</f>
        <v>9</v>
      </c>
      <c r="J69" s="5" t="str">
        <f t="shared" ref="J69:J132" si="7">IF(I69&lt;=30,"Fresh",IF(I69&lt;=90,"Watch",IF(I69&lt;=180,"Aged","Obsolete Risk")))</f>
        <v>Fresh</v>
      </c>
      <c r="K69" s="3">
        <f>IF('3. Demand Forecast'!F69=0,99,ROUND(G69/'3. Demand Forecast'!F69,1))</f>
        <v>2.1</v>
      </c>
      <c r="L69" s="3">
        <f>IF(G69=0,0,ROUND('4. ABC XYZ Analysis'!F69/G69,1))</f>
        <v>18.5</v>
      </c>
      <c r="M69" s="5" t="str">
        <f t="shared" ref="M69:M132" si="8">IF(OR(E69="EOL",I69&gt;90,K69&gt;6),"EXCESS","OK")</f>
        <v>OK</v>
      </c>
      <c r="N69" s="4">
        <f t="shared" ref="N69:N132" si="9">IF(M69="EXCESS",H69,0)</f>
        <v>0</v>
      </c>
      <c r="O69" s="1" t="str">
        <f t="shared" ref="O69:O132" si="10">IF(E69="EOL","Scrap / Liquidate",IF(I69&gt;180,"Disposition Review",IF(M69="EXCESS","Reduce orders and monitor","Healthy")))</f>
        <v>Healthy</v>
      </c>
    </row>
    <row r="70" spans="1:15" ht="15" customHeight="1" x14ac:dyDescent="0.2">
      <c r="A70" s="3" t="str">
        <f>'1. Master Data'!A70</f>
        <v>NT10066</v>
      </c>
      <c r="B70" s="1" t="str">
        <f>'1. Master Data'!B70</f>
        <v>UltraSlim 542 Ryzen 5</v>
      </c>
      <c r="C70" s="3" t="str">
        <f>'1. Master Data'!C70</f>
        <v>Laptops</v>
      </c>
      <c r="D70" s="3" t="str">
        <f>'1. Master Data'!D70</f>
        <v>East DC</v>
      </c>
      <c r="E70" s="3" t="str">
        <f>'1. Master Data'!H70</f>
        <v>Active</v>
      </c>
      <c r="F70" s="4">
        <f>'1. Master Data'!F70</f>
        <v>1410</v>
      </c>
      <c r="G70" s="3">
        <f>'1. Master Data'!I70</f>
        <v>69</v>
      </c>
      <c r="H70" s="15">
        <f t="shared" si="6"/>
        <v>97290</v>
      </c>
      <c r="I70" s="3">
        <f>'1. Master Data'!J70</f>
        <v>12</v>
      </c>
      <c r="J70" s="5" t="str">
        <f t="shared" si="7"/>
        <v>Fresh</v>
      </c>
      <c r="K70" s="3">
        <f>IF('3. Demand Forecast'!F70=0,99,ROUND(G70/'3. Demand Forecast'!F70,1))</f>
        <v>0.7</v>
      </c>
      <c r="L70" s="3">
        <f>IF(G70=0,0,ROUND('4. ABC XYZ Analysis'!F70/G70,1))</f>
        <v>97.8</v>
      </c>
      <c r="M70" s="5" t="str">
        <f t="shared" si="8"/>
        <v>OK</v>
      </c>
      <c r="N70" s="4">
        <f t="shared" si="9"/>
        <v>0</v>
      </c>
      <c r="O70" s="1" t="str">
        <f t="shared" si="10"/>
        <v>Healthy</v>
      </c>
    </row>
    <row r="71" spans="1:15" ht="15" customHeight="1" x14ac:dyDescent="0.2">
      <c r="A71" s="3" t="str">
        <f>'1. Master Data'!A71</f>
        <v>NT10067</v>
      </c>
      <c r="B71" s="1" t="str">
        <f>'1. Master Data'!B71</f>
        <v>UltraSlim 877 Ryzen 5</v>
      </c>
      <c r="C71" s="3" t="str">
        <f>'1. Master Data'!C71</f>
        <v>Laptops</v>
      </c>
      <c r="D71" s="3" t="str">
        <f>'1. Master Data'!D71</f>
        <v>West DC</v>
      </c>
      <c r="E71" s="3" t="str">
        <f>'1. Master Data'!H71</f>
        <v>Active</v>
      </c>
      <c r="F71" s="4">
        <f>'1. Master Data'!F71</f>
        <v>1181</v>
      </c>
      <c r="G71" s="3">
        <f>'1. Master Data'!I71</f>
        <v>42</v>
      </c>
      <c r="H71" s="15">
        <f t="shared" si="6"/>
        <v>49602</v>
      </c>
      <c r="I71" s="3">
        <f>'1. Master Data'!J71</f>
        <v>25</v>
      </c>
      <c r="J71" s="5" t="str">
        <f t="shared" si="7"/>
        <v>Fresh</v>
      </c>
      <c r="K71" s="3">
        <f>IF('3. Demand Forecast'!F71=0,99,ROUND(G71/'3. Demand Forecast'!F71,1))</f>
        <v>1.7</v>
      </c>
      <c r="L71" s="3">
        <f>IF(G71=0,0,ROUND('4. ABC XYZ Analysis'!F71/G71,1))</f>
        <v>12</v>
      </c>
      <c r="M71" s="5" t="str">
        <f t="shared" si="8"/>
        <v>OK</v>
      </c>
      <c r="N71" s="4">
        <f t="shared" si="9"/>
        <v>0</v>
      </c>
      <c r="O71" s="1" t="str">
        <f t="shared" si="10"/>
        <v>Healthy</v>
      </c>
    </row>
    <row r="72" spans="1:15" ht="15" customHeight="1" x14ac:dyDescent="0.2">
      <c r="A72" s="3" t="str">
        <f>'1. Master Data'!A72</f>
        <v>NT10068</v>
      </c>
      <c r="B72" s="1" t="str">
        <f>'1. Master Data'!B72</f>
        <v>ProBook 541 i7 15in</v>
      </c>
      <c r="C72" s="3" t="str">
        <f>'1. Master Data'!C72</f>
        <v>Laptops</v>
      </c>
      <c r="D72" s="3" t="str">
        <f>'1. Master Data'!D72</f>
        <v>East DC</v>
      </c>
      <c r="E72" s="3" t="str">
        <f>'1. Master Data'!H72</f>
        <v>Active</v>
      </c>
      <c r="F72" s="4">
        <f>'1. Master Data'!F72</f>
        <v>641</v>
      </c>
      <c r="G72" s="3">
        <f>'1. Master Data'!I72</f>
        <v>35</v>
      </c>
      <c r="H72" s="15">
        <f t="shared" si="6"/>
        <v>22435</v>
      </c>
      <c r="I72" s="3">
        <f>'1. Master Data'!J72</f>
        <v>169</v>
      </c>
      <c r="J72" s="5" t="str">
        <f t="shared" si="7"/>
        <v>Aged</v>
      </c>
      <c r="K72" s="3">
        <f>IF('3. Demand Forecast'!F72=0,99,ROUND(G72/'3. Demand Forecast'!F72,1))</f>
        <v>3.2</v>
      </c>
      <c r="L72" s="3">
        <f>IF(G72=0,0,ROUND('4. ABC XYZ Analysis'!F72/G72,1))</f>
        <v>129.30000000000001</v>
      </c>
      <c r="M72" s="5" t="str">
        <f t="shared" si="8"/>
        <v>EXCESS</v>
      </c>
      <c r="N72" s="4">
        <f t="shared" si="9"/>
        <v>22435</v>
      </c>
      <c r="O72" s="1" t="str">
        <f t="shared" si="10"/>
        <v>Reduce orders and monitor</v>
      </c>
    </row>
    <row r="73" spans="1:15" ht="15" customHeight="1" x14ac:dyDescent="0.2">
      <c r="A73" s="3" t="str">
        <f>'1. Master Data'!A73</f>
        <v>NT10069</v>
      </c>
      <c r="B73" s="1" t="str">
        <f>'1. Master Data'!B73</f>
        <v>CreatorPro 741 i9 16in</v>
      </c>
      <c r="C73" s="3" t="str">
        <f>'1. Master Data'!C73</f>
        <v>Laptops</v>
      </c>
      <c r="D73" s="3" t="str">
        <f>'1. Master Data'!D73</f>
        <v>East DC</v>
      </c>
      <c r="E73" s="3" t="str">
        <f>'1. Master Data'!H73</f>
        <v>Active</v>
      </c>
      <c r="F73" s="4">
        <f>'1. Master Data'!F73</f>
        <v>1079</v>
      </c>
      <c r="G73" s="3">
        <f>'1. Master Data'!I73</f>
        <v>102</v>
      </c>
      <c r="H73" s="15">
        <f t="shared" si="6"/>
        <v>110058</v>
      </c>
      <c r="I73" s="3">
        <f>'1. Master Data'!J73</f>
        <v>50</v>
      </c>
      <c r="J73" s="5" t="str">
        <f t="shared" si="7"/>
        <v>Watch</v>
      </c>
      <c r="K73" s="3">
        <f>IF('3. Demand Forecast'!F73=0,99,ROUND(G73/'3. Demand Forecast'!F73,1))</f>
        <v>1.4</v>
      </c>
      <c r="L73" s="3">
        <f>IF(G73=0,0,ROUND('4. ABC XYZ Analysis'!F73/G73,1))</f>
        <v>22.9</v>
      </c>
      <c r="M73" s="5" t="str">
        <f t="shared" si="8"/>
        <v>OK</v>
      </c>
      <c r="N73" s="4">
        <f t="shared" si="9"/>
        <v>0</v>
      </c>
      <c r="O73" s="1" t="str">
        <f t="shared" si="10"/>
        <v>Healthy</v>
      </c>
    </row>
    <row r="74" spans="1:15" ht="15" customHeight="1" x14ac:dyDescent="0.2">
      <c r="A74" s="3" t="str">
        <f>'1. Master Data'!A74</f>
        <v>NT10070</v>
      </c>
      <c r="B74" s="1" t="str">
        <f>'1. Master Data'!B74</f>
        <v>UltraSlim 400 Ryzen 5</v>
      </c>
      <c r="C74" s="3" t="str">
        <f>'1. Master Data'!C74</f>
        <v>Laptops</v>
      </c>
      <c r="D74" s="3" t="str">
        <f>'1. Master Data'!D74</f>
        <v>Central DC</v>
      </c>
      <c r="E74" s="3" t="str">
        <f>'1. Master Data'!H74</f>
        <v>Active</v>
      </c>
      <c r="F74" s="4">
        <f>'1. Master Data'!F74</f>
        <v>1221</v>
      </c>
      <c r="G74" s="3">
        <f>'1. Master Data'!I74</f>
        <v>67</v>
      </c>
      <c r="H74" s="15">
        <f t="shared" si="6"/>
        <v>81807</v>
      </c>
      <c r="I74" s="3">
        <f>'1. Master Data'!J74</f>
        <v>33</v>
      </c>
      <c r="J74" s="5" t="str">
        <f t="shared" si="7"/>
        <v>Watch</v>
      </c>
      <c r="K74" s="3">
        <f>IF('3. Demand Forecast'!F74=0,99,ROUND(G74/'3. Demand Forecast'!F74,1))</f>
        <v>1.9</v>
      </c>
      <c r="L74" s="3">
        <f>IF(G74=0,0,ROUND('4. ABC XYZ Analysis'!F74/G74,1))</f>
        <v>21</v>
      </c>
      <c r="M74" s="5" t="str">
        <f t="shared" si="8"/>
        <v>OK</v>
      </c>
      <c r="N74" s="4">
        <f t="shared" si="9"/>
        <v>0</v>
      </c>
      <c r="O74" s="1" t="str">
        <f t="shared" si="10"/>
        <v>Healthy</v>
      </c>
    </row>
    <row r="75" spans="1:15" ht="15" customHeight="1" x14ac:dyDescent="0.2">
      <c r="A75" s="3" t="str">
        <f>'1. Master Data'!A75</f>
        <v>NT10071</v>
      </c>
      <c r="B75" s="1" t="str">
        <f>'1. Master Data'!B75</f>
        <v>WorkMate 444 i3 14in</v>
      </c>
      <c r="C75" s="3" t="str">
        <f>'1. Master Data'!C75</f>
        <v>Laptops</v>
      </c>
      <c r="D75" s="3" t="str">
        <f>'1. Master Data'!D75</f>
        <v>West DC</v>
      </c>
      <c r="E75" s="3" t="str">
        <f>'1. Master Data'!H75</f>
        <v>Active</v>
      </c>
      <c r="F75" s="4">
        <f>'1. Master Data'!F75</f>
        <v>1413</v>
      </c>
      <c r="G75" s="3">
        <f>'1. Master Data'!I75</f>
        <v>78</v>
      </c>
      <c r="H75" s="15">
        <f t="shared" si="6"/>
        <v>110214</v>
      </c>
      <c r="I75" s="3">
        <f>'1. Master Data'!J75</f>
        <v>11</v>
      </c>
      <c r="J75" s="5" t="str">
        <f t="shared" si="7"/>
        <v>Fresh</v>
      </c>
      <c r="K75" s="3">
        <f>IF('3. Demand Forecast'!F75=0,99,ROUND(G75/'3. Demand Forecast'!F75,1))</f>
        <v>2.1</v>
      </c>
      <c r="L75" s="3">
        <f>IF(G75=0,0,ROUND('4. ABC XYZ Analysis'!F75/G75,1))</f>
        <v>11.4</v>
      </c>
      <c r="M75" s="5" t="str">
        <f t="shared" si="8"/>
        <v>OK</v>
      </c>
      <c r="N75" s="4">
        <f t="shared" si="9"/>
        <v>0</v>
      </c>
      <c r="O75" s="1" t="str">
        <f t="shared" si="10"/>
        <v>Healthy</v>
      </c>
    </row>
    <row r="76" spans="1:15" ht="15" customHeight="1" x14ac:dyDescent="0.2">
      <c r="A76" s="3" t="str">
        <f>'1. Master Data'!A76</f>
        <v>NT10072</v>
      </c>
      <c r="B76" s="1" t="str">
        <f>'1. Master Data'!B76</f>
        <v>CreatorPro 629 i9 16in</v>
      </c>
      <c r="C76" s="3" t="str">
        <f>'1. Master Data'!C76</f>
        <v>Laptops</v>
      </c>
      <c r="D76" s="3" t="str">
        <f>'1. Master Data'!D76</f>
        <v>East DC</v>
      </c>
      <c r="E76" s="3" t="str">
        <f>'1. Master Data'!H76</f>
        <v>Active</v>
      </c>
      <c r="F76" s="4">
        <f>'1. Master Data'!F76</f>
        <v>1121</v>
      </c>
      <c r="G76" s="3">
        <f>'1. Master Data'!I76</f>
        <v>663</v>
      </c>
      <c r="H76" s="15">
        <f t="shared" si="6"/>
        <v>743223</v>
      </c>
      <c r="I76" s="3">
        <f>'1. Master Data'!J76</f>
        <v>37</v>
      </c>
      <c r="J76" s="5" t="str">
        <f t="shared" si="7"/>
        <v>Watch</v>
      </c>
      <c r="K76" s="3">
        <f>IF('3. Demand Forecast'!F76=0,99,ROUND(G76/'3. Demand Forecast'!F76,1))</f>
        <v>2.6</v>
      </c>
      <c r="L76" s="3">
        <f>IF(G76=0,0,ROUND('4. ABC XYZ Analysis'!F76/G76,1))</f>
        <v>1.1000000000000001</v>
      </c>
      <c r="M76" s="5" t="str">
        <f t="shared" si="8"/>
        <v>OK</v>
      </c>
      <c r="N76" s="4">
        <f t="shared" si="9"/>
        <v>0</v>
      </c>
      <c r="O76" s="1" t="str">
        <f t="shared" si="10"/>
        <v>Healthy</v>
      </c>
    </row>
    <row r="77" spans="1:15" ht="15" customHeight="1" x14ac:dyDescent="0.2">
      <c r="A77" s="3" t="str">
        <f>'1. Master Data'!A77</f>
        <v>NT10073</v>
      </c>
      <c r="B77" s="1" t="str">
        <f>'1. Master Data'!B77</f>
        <v>ProBook 373 i5 14in</v>
      </c>
      <c r="C77" s="3" t="str">
        <f>'1. Master Data'!C77</f>
        <v>Laptops</v>
      </c>
      <c r="D77" s="3" t="str">
        <f>'1. Master Data'!D77</f>
        <v>Central DC</v>
      </c>
      <c r="E77" s="3" t="str">
        <f>'1. Master Data'!H77</f>
        <v>Active</v>
      </c>
      <c r="F77" s="4">
        <f>'1. Master Data'!F77</f>
        <v>1084</v>
      </c>
      <c r="G77" s="3">
        <f>'1. Master Data'!I77</f>
        <v>62</v>
      </c>
      <c r="H77" s="15">
        <f t="shared" si="6"/>
        <v>67208</v>
      </c>
      <c r="I77" s="3">
        <f>'1. Master Data'!J77</f>
        <v>28</v>
      </c>
      <c r="J77" s="5" t="str">
        <f t="shared" si="7"/>
        <v>Fresh</v>
      </c>
      <c r="K77" s="3">
        <f>IF('3. Demand Forecast'!F77=0,99,ROUND(G77/'3. Demand Forecast'!F77,1))</f>
        <v>1.4</v>
      </c>
      <c r="L77" s="3">
        <f>IF(G77=0,0,ROUND('4. ABC XYZ Analysis'!F77/G77,1))</f>
        <v>7.8</v>
      </c>
      <c r="M77" s="5" t="str">
        <f t="shared" si="8"/>
        <v>OK</v>
      </c>
      <c r="N77" s="4">
        <f t="shared" si="9"/>
        <v>0</v>
      </c>
      <c r="O77" s="1" t="str">
        <f t="shared" si="10"/>
        <v>Healthy</v>
      </c>
    </row>
    <row r="78" spans="1:15" ht="15" customHeight="1" x14ac:dyDescent="0.2">
      <c r="A78" s="3" t="str">
        <f>'1. Master Data'!A78</f>
        <v>NT10074</v>
      </c>
      <c r="B78" s="1" t="str">
        <f>'1. Master Data'!B78</f>
        <v>WorkMate 446 i3 14in</v>
      </c>
      <c r="C78" s="3" t="str">
        <f>'1. Master Data'!C78</f>
        <v>Laptops</v>
      </c>
      <c r="D78" s="3" t="str">
        <f>'1. Master Data'!D78</f>
        <v>Central DC</v>
      </c>
      <c r="E78" s="3" t="str">
        <f>'1. Master Data'!H78</f>
        <v>Active</v>
      </c>
      <c r="F78" s="4">
        <f>'1. Master Data'!F78</f>
        <v>850</v>
      </c>
      <c r="G78" s="3">
        <f>'1. Master Data'!I78</f>
        <v>117</v>
      </c>
      <c r="H78" s="15">
        <f t="shared" si="6"/>
        <v>99450</v>
      </c>
      <c r="I78" s="3">
        <f>'1. Master Data'!J78</f>
        <v>63</v>
      </c>
      <c r="J78" s="5" t="str">
        <f t="shared" si="7"/>
        <v>Watch</v>
      </c>
      <c r="K78" s="3">
        <f>IF('3. Demand Forecast'!F78=0,99,ROUND(G78/'3. Demand Forecast'!F78,1))</f>
        <v>2.2999999999999998</v>
      </c>
      <c r="L78" s="3">
        <f>IF(G78=0,0,ROUND('4. ABC XYZ Analysis'!F78/G78,1))</f>
        <v>4.2</v>
      </c>
      <c r="M78" s="5" t="str">
        <f t="shared" si="8"/>
        <v>OK</v>
      </c>
      <c r="N78" s="4">
        <f t="shared" si="9"/>
        <v>0</v>
      </c>
      <c r="O78" s="1" t="str">
        <f t="shared" si="10"/>
        <v>Healthy</v>
      </c>
    </row>
    <row r="79" spans="1:15" ht="15" customHeight="1" x14ac:dyDescent="0.2">
      <c r="A79" s="3" t="str">
        <f>'1. Master Data'!A79</f>
        <v>NT10075</v>
      </c>
      <c r="B79" s="1" t="str">
        <f>'1. Master Data'!B79</f>
        <v>UltraSlim 118 Ryzen 5</v>
      </c>
      <c r="C79" s="3" t="str">
        <f>'1. Master Data'!C79</f>
        <v>Laptops</v>
      </c>
      <c r="D79" s="3" t="str">
        <f>'1. Master Data'!D79</f>
        <v>East DC</v>
      </c>
      <c r="E79" s="3" t="str">
        <f>'1. Master Data'!H79</f>
        <v>Active</v>
      </c>
      <c r="F79" s="4">
        <f>'1. Master Data'!F79</f>
        <v>1454</v>
      </c>
      <c r="G79" s="3">
        <f>'1. Master Data'!I79</f>
        <v>26</v>
      </c>
      <c r="H79" s="15">
        <f t="shared" si="6"/>
        <v>37804</v>
      </c>
      <c r="I79" s="3">
        <f>'1. Master Data'!J79</f>
        <v>5</v>
      </c>
      <c r="J79" s="5" t="str">
        <f t="shared" si="7"/>
        <v>Fresh</v>
      </c>
      <c r="K79" s="3">
        <f>IF('3. Demand Forecast'!F79=0,99,ROUND(G79/'3. Demand Forecast'!F79,1))</f>
        <v>0.9</v>
      </c>
      <c r="L79" s="3">
        <f>IF(G79=0,0,ROUND('4. ABC XYZ Analysis'!F79/G79,1))</f>
        <v>77.3</v>
      </c>
      <c r="M79" s="5" t="str">
        <f t="shared" si="8"/>
        <v>OK</v>
      </c>
      <c r="N79" s="4">
        <f t="shared" si="9"/>
        <v>0</v>
      </c>
      <c r="O79" s="1" t="str">
        <f t="shared" si="10"/>
        <v>Healthy</v>
      </c>
    </row>
    <row r="80" spans="1:15" ht="15" customHeight="1" x14ac:dyDescent="0.2">
      <c r="A80" s="3" t="str">
        <f>'1. Master Data'!A80</f>
        <v>NT10076</v>
      </c>
      <c r="B80" s="1" t="str">
        <f>'1. Master Data'!B80</f>
        <v>CreatorPro 809 i9 16in</v>
      </c>
      <c r="C80" s="3" t="str">
        <f>'1. Master Data'!C80</f>
        <v>Laptops</v>
      </c>
      <c r="D80" s="3" t="str">
        <f>'1. Master Data'!D80</f>
        <v>Central DC</v>
      </c>
      <c r="E80" s="3" t="str">
        <f>'1. Master Data'!H80</f>
        <v>Active</v>
      </c>
      <c r="F80" s="4">
        <f>'1. Master Data'!F80</f>
        <v>423</v>
      </c>
      <c r="G80" s="3">
        <f>'1. Master Data'!I80</f>
        <v>363</v>
      </c>
      <c r="H80" s="15">
        <f t="shared" si="6"/>
        <v>153549</v>
      </c>
      <c r="I80" s="3">
        <f>'1. Master Data'!J80</f>
        <v>4</v>
      </c>
      <c r="J80" s="5" t="str">
        <f t="shared" si="7"/>
        <v>Fresh</v>
      </c>
      <c r="K80" s="3">
        <f>IF('3. Demand Forecast'!F80=0,99,ROUND(G80/'3. Demand Forecast'!F80,1))</f>
        <v>1.7</v>
      </c>
      <c r="L80" s="3">
        <f>IF(G80=0,0,ROUND('4. ABC XYZ Analysis'!F80/G80,1))</f>
        <v>1.2</v>
      </c>
      <c r="M80" s="5" t="str">
        <f t="shared" si="8"/>
        <v>OK</v>
      </c>
      <c r="N80" s="4">
        <f t="shared" si="9"/>
        <v>0</v>
      </c>
      <c r="O80" s="1" t="str">
        <f t="shared" si="10"/>
        <v>Healthy</v>
      </c>
    </row>
    <row r="81" spans="1:15" ht="15" customHeight="1" x14ac:dyDescent="0.2">
      <c r="A81" s="3" t="str">
        <f>'1. Master Data'!A81</f>
        <v>NT10077</v>
      </c>
      <c r="B81" s="1" t="str">
        <f>'1. Master Data'!B81</f>
        <v>ProBook 720 i7 15in</v>
      </c>
      <c r="C81" s="3" t="str">
        <f>'1. Master Data'!C81</f>
        <v>Laptops</v>
      </c>
      <c r="D81" s="3" t="str">
        <f>'1. Master Data'!D81</f>
        <v>West DC</v>
      </c>
      <c r="E81" s="3" t="str">
        <f>'1. Master Data'!H81</f>
        <v>Active</v>
      </c>
      <c r="F81" s="4">
        <f>'1. Master Data'!F81</f>
        <v>572</v>
      </c>
      <c r="G81" s="3">
        <f>'1. Master Data'!I81</f>
        <v>116</v>
      </c>
      <c r="H81" s="15">
        <f t="shared" si="6"/>
        <v>66352</v>
      </c>
      <c r="I81" s="3">
        <f>'1. Master Data'!J81</f>
        <v>15</v>
      </c>
      <c r="J81" s="5" t="str">
        <f t="shared" si="7"/>
        <v>Fresh</v>
      </c>
      <c r="K81" s="3">
        <f>IF('3. Demand Forecast'!F81=0,99,ROUND(G81/'3. Demand Forecast'!F81,1))</f>
        <v>2.5</v>
      </c>
      <c r="L81" s="3">
        <f>IF(G81=0,0,ROUND('4. ABC XYZ Analysis'!F81/G81,1))</f>
        <v>5</v>
      </c>
      <c r="M81" s="5" t="str">
        <f t="shared" si="8"/>
        <v>OK</v>
      </c>
      <c r="N81" s="4">
        <f t="shared" si="9"/>
        <v>0</v>
      </c>
      <c r="O81" s="1" t="str">
        <f t="shared" si="10"/>
        <v>Healthy</v>
      </c>
    </row>
    <row r="82" spans="1:15" ht="15" customHeight="1" x14ac:dyDescent="0.2">
      <c r="A82" s="3" t="str">
        <f>'1. Master Data'!A82</f>
        <v>NT10078</v>
      </c>
      <c r="B82" s="1" t="str">
        <f>'1. Master Data'!B82</f>
        <v>CreatorPro 672 i9 16in</v>
      </c>
      <c r="C82" s="3" t="str">
        <f>'1. Master Data'!C82</f>
        <v>Laptops</v>
      </c>
      <c r="D82" s="3" t="str">
        <f>'1. Master Data'!D82</f>
        <v>East DC</v>
      </c>
      <c r="E82" s="3" t="str">
        <f>'1. Master Data'!H82</f>
        <v>Active</v>
      </c>
      <c r="F82" s="4">
        <f>'1. Master Data'!F82</f>
        <v>457</v>
      </c>
      <c r="G82" s="3">
        <f>'1. Master Data'!I82</f>
        <v>67</v>
      </c>
      <c r="H82" s="15">
        <f t="shared" si="6"/>
        <v>30619</v>
      </c>
      <c r="I82" s="3">
        <f>'1. Master Data'!J82</f>
        <v>31</v>
      </c>
      <c r="J82" s="5" t="str">
        <f t="shared" si="7"/>
        <v>Watch</v>
      </c>
      <c r="K82" s="3">
        <f>IF('3. Demand Forecast'!F82=0,99,ROUND(G82/'3. Demand Forecast'!F82,1))</f>
        <v>2.5</v>
      </c>
      <c r="L82" s="3">
        <f>IF(G82=0,0,ROUND('4. ABC XYZ Analysis'!F82/G82,1))</f>
        <v>38.9</v>
      </c>
      <c r="M82" s="5" t="str">
        <f t="shared" si="8"/>
        <v>OK</v>
      </c>
      <c r="N82" s="4">
        <f t="shared" si="9"/>
        <v>0</v>
      </c>
      <c r="O82" s="1" t="str">
        <f t="shared" si="10"/>
        <v>Healthy</v>
      </c>
    </row>
    <row r="83" spans="1:15" ht="15" customHeight="1" x14ac:dyDescent="0.2">
      <c r="A83" s="3" t="str">
        <f>'1. Master Data'!A83</f>
        <v>NT10079</v>
      </c>
      <c r="B83" s="1" t="str">
        <f>'1. Master Data'!B83</f>
        <v>CreatorPro 851 i9 16in</v>
      </c>
      <c r="C83" s="3" t="str">
        <f>'1. Master Data'!C83</f>
        <v>Laptops</v>
      </c>
      <c r="D83" s="3" t="str">
        <f>'1. Master Data'!D83</f>
        <v>Central DC</v>
      </c>
      <c r="E83" s="3" t="str">
        <f>'1. Master Data'!H83</f>
        <v>Active</v>
      </c>
      <c r="F83" s="4">
        <f>'1. Master Data'!F83</f>
        <v>1098</v>
      </c>
      <c r="G83" s="3">
        <f>'1. Master Data'!I83</f>
        <v>89</v>
      </c>
      <c r="H83" s="15">
        <f t="shared" si="6"/>
        <v>97722</v>
      </c>
      <c r="I83" s="3">
        <f>'1. Master Data'!J83</f>
        <v>5</v>
      </c>
      <c r="J83" s="5" t="str">
        <f t="shared" si="7"/>
        <v>Fresh</v>
      </c>
      <c r="K83" s="3">
        <f>IF('3. Demand Forecast'!F83=0,99,ROUND(G83/'3. Demand Forecast'!F83,1))</f>
        <v>2.8</v>
      </c>
      <c r="L83" s="3">
        <f>IF(G83=0,0,ROUND('4. ABC XYZ Analysis'!F83/G83,1))</f>
        <v>23.5</v>
      </c>
      <c r="M83" s="5" t="str">
        <f t="shared" si="8"/>
        <v>OK</v>
      </c>
      <c r="N83" s="4">
        <f t="shared" si="9"/>
        <v>0</v>
      </c>
      <c r="O83" s="1" t="str">
        <f t="shared" si="10"/>
        <v>Healthy</v>
      </c>
    </row>
    <row r="84" spans="1:15" ht="15" customHeight="1" x14ac:dyDescent="0.2">
      <c r="A84" s="3" t="str">
        <f>'1. Master Data'!A84</f>
        <v>NT10080</v>
      </c>
      <c r="B84" s="1" t="str">
        <f>'1. Master Data'!B84</f>
        <v>UltraSlim 600 Ryzen 5</v>
      </c>
      <c r="C84" s="3" t="str">
        <f>'1. Master Data'!C84</f>
        <v>Laptops</v>
      </c>
      <c r="D84" s="3" t="str">
        <f>'1. Master Data'!D84</f>
        <v>Central DC</v>
      </c>
      <c r="E84" s="3" t="str">
        <f>'1. Master Data'!H84</f>
        <v>Active</v>
      </c>
      <c r="F84" s="4">
        <f>'1. Master Data'!F84</f>
        <v>475</v>
      </c>
      <c r="G84" s="3">
        <f>'1. Master Data'!I84</f>
        <v>198</v>
      </c>
      <c r="H84" s="15">
        <f t="shared" si="6"/>
        <v>94050</v>
      </c>
      <c r="I84" s="3">
        <f>'1. Master Data'!J84</f>
        <v>21</v>
      </c>
      <c r="J84" s="5" t="str">
        <f t="shared" si="7"/>
        <v>Fresh</v>
      </c>
      <c r="K84" s="3">
        <f>IF('3. Demand Forecast'!F84=0,99,ROUND(G84/'3. Demand Forecast'!F84,1))</f>
        <v>1.7</v>
      </c>
      <c r="L84" s="3">
        <f>IF(G84=0,0,ROUND('4. ABC XYZ Analysis'!F84/G84,1))</f>
        <v>10</v>
      </c>
      <c r="M84" s="5" t="str">
        <f t="shared" si="8"/>
        <v>OK</v>
      </c>
      <c r="N84" s="4">
        <f t="shared" si="9"/>
        <v>0</v>
      </c>
      <c r="O84" s="1" t="str">
        <f t="shared" si="10"/>
        <v>Healthy</v>
      </c>
    </row>
    <row r="85" spans="1:15" ht="15" customHeight="1" x14ac:dyDescent="0.2">
      <c r="A85" s="3" t="str">
        <f>'1. Master Data'!A85</f>
        <v>NT10081</v>
      </c>
      <c r="B85" s="1" t="str">
        <f>'1. Master Data'!B85</f>
        <v>UltraSlim 956 Ryzen 5</v>
      </c>
      <c r="C85" s="3" t="str">
        <f>'1. Master Data'!C85</f>
        <v>Laptops</v>
      </c>
      <c r="D85" s="3" t="str">
        <f>'1. Master Data'!D85</f>
        <v>East DC</v>
      </c>
      <c r="E85" s="3" t="str">
        <f>'1. Master Data'!H85</f>
        <v>Active</v>
      </c>
      <c r="F85" s="4">
        <f>'1. Master Data'!F85</f>
        <v>1152</v>
      </c>
      <c r="G85" s="3">
        <f>'1. Master Data'!I85</f>
        <v>17</v>
      </c>
      <c r="H85" s="15">
        <f t="shared" si="6"/>
        <v>19584</v>
      </c>
      <c r="I85" s="3">
        <f>'1. Master Data'!J85</f>
        <v>4</v>
      </c>
      <c r="J85" s="5" t="str">
        <f t="shared" si="7"/>
        <v>Fresh</v>
      </c>
      <c r="K85" s="3">
        <f>IF('3. Demand Forecast'!F85=0,99,ROUND(G85/'3. Demand Forecast'!F85,1))</f>
        <v>1.8</v>
      </c>
      <c r="L85" s="3">
        <f>IF(G85=0,0,ROUND('4. ABC XYZ Analysis'!F85/G85,1))</f>
        <v>27.5</v>
      </c>
      <c r="M85" s="5" t="str">
        <f t="shared" si="8"/>
        <v>OK</v>
      </c>
      <c r="N85" s="4">
        <f t="shared" si="9"/>
        <v>0</v>
      </c>
      <c r="O85" s="1" t="str">
        <f t="shared" si="10"/>
        <v>Healthy</v>
      </c>
    </row>
    <row r="86" spans="1:15" ht="15" customHeight="1" x14ac:dyDescent="0.2">
      <c r="A86" s="3" t="str">
        <f>'1. Master Data'!A86</f>
        <v>NT10082</v>
      </c>
      <c r="B86" s="1" t="str">
        <f>'1. Master Data'!B86</f>
        <v>CreatorPro 155 i9 16in</v>
      </c>
      <c r="C86" s="3" t="str">
        <f>'1. Master Data'!C86</f>
        <v>Laptops</v>
      </c>
      <c r="D86" s="3" t="str">
        <f>'1. Master Data'!D86</f>
        <v>Central DC</v>
      </c>
      <c r="E86" s="3" t="str">
        <f>'1. Master Data'!H86</f>
        <v>Active</v>
      </c>
      <c r="F86" s="4">
        <f>'1. Master Data'!F86</f>
        <v>1442</v>
      </c>
      <c r="G86" s="3">
        <f>'1. Master Data'!I86</f>
        <v>24</v>
      </c>
      <c r="H86" s="15">
        <f t="shared" si="6"/>
        <v>34608</v>
      </c>
      <c r="I86" s="3">
        <f>'1. Master Data'!J86</f>
        <v>29</v>
      </c>
      <c r="J86" s="5" t="str">
        <f t="shared" si="7"/>
        <v>Fresh</v>
      </c>
      <c r="K86" s="3">
        <f>IF('3. Demand Forecast'!F86=0,99,ROUND(G86/'3. Demand Forecast'!F86,1))</f>
        <v>1.5</v>
      </c>
      <c r="L86" s="3">
        <f>IF(G86=0,0,ROUND('4. ABC XYZ Analysis'!F86/G86,1))</f>
        <v>54.8</v>
      </c>
      <c r="M86" s="5" t="str">
        <f t="shared" si="8"/>
        <v>OK</v>
      </c>
      <c r="N86" s="4">
        <f t="shared" si="9"/>
        <v>0</v>
      </c>
      <c r="O86" s="1" t="str">
        <f t="shared" si="10"/>
        <v>Healthy</v>
      </c>
    </row>
    <row r="87" spans="1:15" ht="15" customHeight="1" x14ac:dyDescent="0.2">
      <c r="A87" s="3" t="str">
        <f>'1. Master Data'!A87</f>
        <v>NT10083</v>
      </c>
      <c r="B87" s="1" t="str">
        <f>'1. Master Data'!B87</f>
        <v>CreatorPro 192 i9 16in</v>
      </c>
      <c r="C87" s="3" t="str">
        <f>'1. Master Data'!C87</f>
        <v>Laptops</v>
      </c>
      <c r="D87" s="3" t="str">
        <f>'1. Master Data'!D87</f>
        <v>East DC</v>
      </c>
      <c r="E87" s="3" t="str">
        <f>'1. Master Data'!H87</f>
        <v>Active</v>
      </c>
      <c r="F87" s="4">
        <f>'1. Master Data'!F87</f>
        <v>1051</v>
      </c>
      <c r="G87" s="3">
        <f>'1. Master Data'!I87</f>
        <v>26</v>
      </c>
      <c r="H87" s="15">
        <f t="shared" si="6"/>
        <v>27326</v>
      </c>
      <c r="I87" s="3">
        <f>'1. Master Data'!J87</f>
        <v>2</v>
      </c>
      <c r="J87" s="5" t="str">
        <f t="shared" si="7"/>
        <v>Fresh</v>
      </c>
      <c r="K87" s="3">
        <f>IF('3. Demand Forecast'!F87=0,99,ROUND(G87/'3. Demand Forecast'!F87,1))</f>
        <v>0.5</v>
      </c>
      <c r="L87" s="3">
        <f>IF(G87=0,0,ROUND('4. ABC XYZ Analysis'!F87/G87,1))</f>
        <v>26.2</v>
      </c>
      <c r="M87" s="5" t="str">
        <f t="shared" si="8"/>
        <v>OK</v>
      </c>
      <c r="N87" s="4">
        <f t="shared" si="9"/>
        <v>0</v>
      </c>
      <c r="O87" s="1" t="str">
        <f t="shared" si="10"/>
        <v>Healthy</v>
      </c>
    </row>
    <row r="88" spans="1:15" ht="15" customHeight="1" x14ac:dyDescent="0.2">
      <c r="A88" s="3" t="str">
        <f>'1. Master Data'!A88</f>
        <v>NT10084</v>
      </c>
      <c r="B88" s="1" t="str">
        <f>'1. Master Data'!B88</f>
        <v>CreatorPro 984 i9 16in</v>
      </c>
      <c r="C88" s="3" t="str">
        <f>'1. Master Data'!C88</f>
        <v>Laptops</v>
      </c>
      <c r="D88" s="3" t="str">
        <f>'1. Master Data'!D88</f>
        <v>East DC</v>
      </c>
      <c r="E88" s="3" t="str">
        <f>'1. Master Data'!H88</f>
        <v>Active</v>
      </c>
      <c r="F88" s="4">
        <f>'1. Master Data'!F88</f>
        <v>1481</v>
      </c>
      <c r="G88" s="3">
        <f>'1. Master Data'!I88</f>
        <v>116</v>
      </c>
      <c r="H88" s="15">
        <f t="shared" si="6"/>
        <v>171796</v>
      </c>
      <c r="I88" s="3">
        <f>'1. Master Data'!J88</f>
        <v>16</v>
      </c>
      <c r="J88" s="5" t="str">
        <f t="shared" si="7"/>
        <v>Fresh</v>
      </c>
      <c r="K88" s="3">
        <f>IF('3. Demand Forecast'!F88=0,99,ROUND(G88/'3. Demand Forecast'!F88,1))</f>
        <v>2.5</v>
      </c>
      <c r="L88" s="3">
        <f>IF(G88=0,0,ROUND('4. ABC XYZ Analysis'!F88/G88,1))</f>
        <v>25.1</v>
      </c>
      <c r="M88" s="5" t="str">
        <f t="shared" si="8"/>
        <v>OK</v>
      </c>
      <c r="N88" s="4">
        <f t="shared" si="9"/>
        <v>0</v>
      </c>
      <c r="O88" s="1" t="str">
        <f t="shared" si="10"/>
        <v>Healthy</v>
      </c>
    </row>
    <row r="89" spans="1:15" ht="15" customHeight="1" x14ac:dyDescent="0.2">
      <c r="A89" s="3" t="str">
        <f>'1. Master Data'!A89</f>
        <v>NT10085</v>
      </c>
      <c r="B89" s="1" t="str">
        <f>'1. Master Data'!B89</f>
        <v>CreatorPro 319 i9 16in</v>
      </c>
      <c r="C89" s="3" t="str">
        <f>'1. Master Data'!C89</f>
        <v>Laptops</v>
      </c>
      <c r="D89" s="3" t="str">
        <f>'1. Master Data'!D89</f>
        <v>West DC</v>
      </c>
      <c r="E89" s="3" t="str">
        <f>'1. Master Data'!H89</f>
        <v>Active</v>
      </c>
      <c r="F89" s="4">
        <f>'1. Master Data'!F89</f>
        <v>893</v>
      </c>
      <c r="G89" s="3">
        <f>'1. Master Data'!I89</f>
        <v>66</v>
      </c>
      <c r="H89" s="15">
        <f t="shared" si="6"/>
        <v>58938</v>
      </c>
      <c r="I89" s="3">
        <f>'1. Master Data'!J89</f>
        <v>45</v>
      </c>
      <c r="J89" s="5" t="str">
        <f t="shared" si="7"/>
        <v>Watch</v>
      </c>
      <c r="K89" s="3">
        <f>IF('3. Demand Forecast'!F89=0,99,ROUND(G89/'3. Demand Forecast'!F89,1))</f>
        <v>2.8</v>
      </c>
      <c r="L89" s="3">
        <f>IF(G89=0,0,ROUND('4. ABC XYZ Analysis'!F89/G89,1))</f>
        <v>8</v>
      </c>
      <c r="M89" s="5" t="str">
        <f t="shared" si="8"/>
        <v>OK</v>
      </c>
      <c r="N89" s="4">
        <f t="shared" si="9"/>
        <v>0</v>
      </c>
      <c r="O89" s="1" t="str">
        <f t="shared" si="10"/>
        <v>Healthy</v>
      </c>
    </row>
    <row r="90" spans="1:15" ht="15" customHeight="1" x14ac:dyDescent="0.2">
      <c r="A90" s="3" t="str">
        <f>'1. Master Data'!A90</f>
        <v>NT10086</v>
      </c>
      <c r="B90" s="1" t="str">
        <f>'1. Master Data'!B90</f>
        <v>ProBook 626 i7 15in</v>
      </c>
      <c r="C90" s="3" t="str">
        <f>'1. Master Data'!C90</f>
        <v>Laptops</v>
      </c>
      <c r="D90" s="3" t="str">
        <f>'1. Master Data'!D90</f>
        <v>Central DC</v>
      </c>
      <c r="E90" s="3" t="str">
        <f>'1. Master Data'!H90</f>
        <v>Active</v>
      </c>
      <c r="F90" s="4">
        <f>'1. Master Data'!F90</f>
        <v>1400</v>
      </c>
      <c r="G90" s="3">
        <f>'1. Master Data'!I90</f>
        <v>54</v>
      </c>
      <c r="H90" s="15">
        <f t="shared" si="6"/>
        <v>75600</v>
      </c>
      <c r="I90" s="3">
        <f>'1. Master Data'!J90</f>
        <v>15</v>
      </c>
      <c r="J90" s="5" t="str">
        <f t="shared" si="7"/>
        <v>Fresh</v>
      </c>
      <c r="K90" s="3">
        <f>IF('3. Demand Forecast'!F90=0,99,ROUND(G90/'3. Demand Forecast'!F90,1))</f>
        <v>2.7</v>
      </c>
      <c r="L90" s="3">
        <f>IF(G90=0,0,ROUND('4. ABC XYZ Analysis'!F90/G90,1))</f>
        <v>87</v>
      </c>
      <c r="M90" s="5" t="str">
        <f t="shared" si="8"/>
        <v>OK</v>
      </c>
      <c r="N90" s="4">
        <f t="shared" si="9"/>
        <v>0</v>
      </c>
      <c r="O90" s="1" t="str">
        <f t="shared" si="10"/>
        <v>Healthy</v>
      </c>
    </row>
    <row r="91" spans="1:15" ht="15" customHeight="1" x14ac:dyDescent="0.2">
      <c r="A91" s="3" t="str">
        <f>'1. Master Data'!A91</f>
        <v>NT10087</v>
      </c>
      <c r="B91" s="1" t="str">
        <f>'1. Master Data'!B91</f>
        <v>UltraSlim 766 Ryzen 5</v>
      </c>
      <c r="C91" s="3" t="str">
        <f>'1. Master Data'!C91</f>
        <v>Laptops</v>
      </c>
      <c r="D91" s="3" t="str">
        <f>'1. Master Data'!D91</f>
        <v>West DC</v>
      </c>
      <c r="E91" s="3" t="str">
        <f>'1. Master Data'!H91</f>
        <v>Active</v>
      </c>
      <c r="F91" s="4">
        <f>'1. Master Data'!F91</f>
        <v>1504</v>
      </c>
      <c r="G91" s="3">
        <f>'1. Master Data'!I91</f>
        <v>46</v>
      </c>
      <c r="H91" s="15">
        <f t="shared" si="6"/>
        <v>69184</v>
      </c>
      <c r="I91" s="3">
        <f>'1. Master Data'!J91</f>
        <v>42</v>
      </c>
      <c r="J91" s="5" t="str">
        <f t="shared" si="7"/>
        <v>Watch</v>
      </c>
      <c r="K91" s="3">
        <f>IF('3. Demand Forecast'!F91=0,99,ROUND(G91/'3. Demand Forecast'!F91,1))</f>
        <v>1.9</v>
      </c>
      <c r="L91" s="3">
        <f>IF(G91=0,0,ROUND('4. ABC XYZ Analysis'!F91/G91,1))</f>
        <v>23.8</v>
      </c>
      <c r="M91" s="5" t="str">
        <f t="shared" si="8"/>
        <v>OK</v>
      </c>
      <c r="N91" s="4">
        <f t="shared" si="9"/>
        <v>0</v>
      </c>
      <c r="O91" s="1" t="str">
        <f t="shared" si="10"/>
        <v>Healthy</v>
      </c>
    </row>
    <row r="92" spans="1:15" ht="15" customHeight="1" x14ac:dyDescent="0.2">
      <c r="A92" s="3" t="str">
        <f>'1. Master Data'!A92</f>
        <v>NT10088</v>
      </c>
      <c r="B92" s="1" t="str">
        <f>'1. Master Data'!B92</f>
        <v>ProBook 846 i7 15in</v>
      </c>
      <c r="C92" s="3" t="str">
        <f>'1. Master Data'!C92</f>
        <v>Laptops</v>
      </c>
      <c r="D92" s="3" t="str">
        <f>'1. Master Data'!D92</f>
        <v>East DC</v>
      </c>
      <c r="E92" s="3" t="str">
        <f>'1. Master Data'!H92</f>
        <v>Active</v>
      </c>
      <c r="F92" s="4">
        <f>'1. Master Data'!F92</f>
        <v>1573</v>
      </c>
      <c r="G92" s="3">
        <f>'1. Master Data'!I92</f>
        <v>24</v>
      </c>
      <c r="H92" s="15">
        <f t="shared" si="6"/>
        <v>37752</v>
      </c>
      <c r="I92" s="3">
        <f>'1. Master Data'!J92</f>
        <v>42</v>
      </c>
      <c r="J92" s="5" t="str">
        <f t="shared" si="7"/>
        <v>Watch</v>
      </c>
      <c r="K92" s="3">
        <f>IF('3. Demand Forecast'!F92=0,99,ROUND(G92/'3. Demand Forecast'!F92,1))</f>
        <v>4.4000000000000004</v>
      </c>
      <c r="L92" s="3">
        <f>IF(G92=0,0,ROUND('4. ABC XYZ Analysis'!F92/G92,1))</f>
        <v>21.9</v>
      </c>
      <c r="M92" s="5" t="str">
        <f t="shared" si="8"/>
        <v>OK</v>
      </c>
      <c r="N92" s="4">
        <f t="shared" si="9"/>
        <v>0</v>
      </c>
      <c r="O92" s="1" t="str">
        <f t="shared" si="10"/>
        <v>Healthy</v>
      </c>
    </row>
    <row r="93" spans="1:15" ht="15" customHeight="1" x14ac:dyDescent="0.2">
      <c r="A93" s="3" t="str">
        <f>'1. Master Data'!A93</f>
        <v>NT10089</v>
      </c>
      <c r="B93" s="1" t="str">
        <f>'1. Master Data'!B93</f>
        <v>UltraSlim 908 Ryzen 5</v>
      </c>
      <c r="C93" s="3" t="str">
        <f>'1. Master Data'!C93</f>
        <v>Laptops</v>
      </c>
      <c r="D93" s="3" t="str">
        <f>'1. Master Data'!D93</f>
        <v>Central DC</v>
      </c>
      <c r="E93" s="3" t="str">
        <f>'1. Master Data'!H93</f>
        <v>Active</v>
      </c>
      <c r="F93" s="4">
        <f>'1. Master Data'!F93</f>
        <v>685</v>
      </c>
      <c r="G93" s="3">
        <f>'1. Master Data'!I93</f>
        <v>116</v>
      </c>
      <c r="H93" s="15">
        <f t="shared" si="6"/>
        <v>79460</v>
      </c>
      <c r="I93" s="3">
        <f>'1. Master Data'!J93</f>
        <v>130</v>
      </c>
      <c r="J93" s="5" t="str">
        <f t="shared" si="7"/>
        <v>Aged</v>
      </c>
      <c r="K93" s="3">
        <f>IF('3. Demand Forecast'!F93=0,99,ROUND(G93/'3. Demand Forecast'!F93,1))</f>
        <v>4.2</v>
      </c>
      <c r="L93" s="3">
        <f>IF(G93=0,0,ROUND('4. ABC XYZ Analysis'!F93/G93,1))</f>
        <v>17.100000000000001</v>
      </c>
      <c r="M93" s="5" t="str">
        <f t="shared" si="8"/>
        <v>EXCESS</v>
      </c>
      <c r="N93" s="4">
        <f t="shared" si="9"/>
        <v>79460</v>
      </c>
      <c r="O93" s="1" t="str">
        <f t="shared" si="10"/>
        <v>Reduce orders and monitor</v>
      </c>
    </row>
    <row r="94" spans="1:15" ht="15" customHeight="1" x14ac:dyDescent="0.2">
      <c r="A94" s="3" t="str">
        <f>'1. Master Data'!A94</f>
        <v>NT10090</v>
      </c>
      <c r="B94" s="1" t="str">
        <f>'1. Master Data'!B94</f>
        <v>ProBook 568 i7 15in</v>
      </c>
      <c r="C94" s="3" t="str">
        <f>'1. Master Data'!C94</f>
        <v>Laptops</v>
      </c>
      <c r="D94" s="3" t="str">
        <f>'1. Master Data'!D94</f>
        <v>Central DC</v>
      </c>
      <c r="E94" s="3" t="str">
        <f>'1. Master Data'!H94</f>
        <v>Active</v>
      </c>
      <c r="F94" s="4">
        <f>'1. Master Data'!F94</f>
        <v>509</v>
      </c>
      <c r="G94" s="3">
        <f>'1. Master Data'!I94</f>
        <v>123</v>
      </c>
      <c r="H94" s="15">
        <f t="shared" si="6"/>
        <v>62607</v>
      </c>
      <c r="I94" s="3">
        <f>'1. Master Data'!J94</f>
        <v>57</v>
      </c>
      <c r="J94" s="5" t="str">
        <f t="shared" si="7"/>
        <v>Watch</v>
      </c>
      <c r="K94" s="3">
        <f>IF('3. Demand Forecast'!F94=0,99,ROUND(G94/'3. Demand Forecast'!F94,1))</f>
        <v>2.2000000000000002</v>
      </c>
      <c r="L94" s="3">
        <f>IF(G94=0,0,ROUND('4. ABC XYZ Analysis'!F94/G94,1))</f>
        <v>14</v>
      </c>
      <c r="M94" s="5" t="str">
        <f t="shared" si="8"/>
        <v>OK</v>
      </c>
      <c r="N94" s="4">
        <f t="shared" si="9"/>
        <v>0</v>
      </c>
      <c r="O94" s="1" t="str">
        <f t="shared" si="10"/>
        <v>Healthy</v>
      </c>
    </row>
    <row r="95" spans="1:15" ht="15" customHeight="1" x14ac:dyDescent="0.2">
      <c r="A95" s="3" t="str">
        <f>'1. Master Data'!A95</f>
        <v>NT10091</v>
      </c>
      <c r="B95" s="1" t="str">
        <f>'1. Master Data'!B95</f>
        <v>CreatorPro 601 i9 16in</v>
      </c>
      <c r="C95" s="3" t="str">
        <f>'1. Master Data'!C95</f>
        <v>Laptops</v>
      </c>
      <c r="D95" s="3" t="str">
        <f>'1. Master Data'!D95</f>
        <v>West DC</v>
      </c>
      <c r="E95" s="3" t="str">
        <f>'1. Master Data'!H95</f>
        <v>Active</v>
      </c>
      <c r="F95" s="4">
        <f>'1. Master Data'!F95</f>
        <v>852</v>
      </c>
      <c r="G95" s="3">
        <f>'1. Master Data'!I95</f>
        <v>28</v>
      </c>
      <c r="H95" s="15">
        <f t="shared" si="6"/>
        <v>23856</v>
      </c>
      <c r="I95" s="3">
        <f>'1. Master Data'!J95</f>
        <v>23</v>
      </c>
      <c r="J95" s="5" t="str">
        <f t="shared" si="7"/>
        <v>Fresh</v>
      </c>
      <c r="K95" s="3">
        <f>IF('3. Demand Forecast'!F95=0,99,ROUND(G95/'3. Demand Forecast'!F95,1))</f>
        <v>2.8</v>
      </c>
      <c r="L95" s="3">
        <f>IF(G95=0,0,ROUND('4. ABC XYZ Analysis'!F95/G95,1))</f>
        <v>94.5</v>
      </c>
      <c r="M95" s="5" t="str">
        <f t="shared" si="8"/>
        <v>OK</v>
      </c>
      <c r="N95" s="4">
        <f t="shared" si="9"/>
        <v>0</v>
      </c>
      <c r="O95" s="1" t="str">
        <f t="shared" si="10"/>
        <v>Healthy</v>
      </c>
    </row>
    <row r="96" spans="1:15" ht="15" customHeight="1" x14ac:dyDescent="0.2">
      <c r="A96" s="3" t="str">
        <f>'1. Master Data'!A96</f>
        <v>NT10092</v>
      </c>
      <c r="B96" s="1" t="str">
        <f>'1. Master Data'!B96</f>
        <v>WorkMate 258 i3 14in</v>
      </c>
      <c r="C96" s="3" t="str">
        <f>'1. Master Data'!C96</f>
        <v>Laptops</v>
      </c>
      <c r="D96" s="3" t="str">
        <f>'1. Master Data'!D96</f>
        <v>West DC</v>
      </c>
      <c r="E96" s="3" t="str">
        <f>'1. Master Data'!H96</f>
        <v>Active</v>
      </c>
      <c r="F96" s="4">
        <f>'1. Master Data'!F96</f>
        <v>1440</v>
      </c>
      <c r="G96" s="3">
        <f>'1. Master Data'!I96</f>
        <v>82</v>
      </c>
      <c r="H96" s="15">
        <f t="shared" si="6"/>
        <v>118080</v>
      </c>
      <c r="I96" s="3">
        <f>'1. Master Data'!J96</f>
        <v>9</v>
      </c>
      <c r="J96" s="5" t="str">
        <f t="shared" si="7"/>
        <v>Fresh</v>
      </c>
      <c r="K96" s="3">
        <f>IF('3. Demand Forecast'!F96=0,99,ROUND(G96/'3. Demand Forecast'!F96,1))</f>
        <v>1.4</v>
      </c>
      <c r="L96" s="3">
        <f>IF(G96=0,0,ROUND('4. ABC XYZ Analysis'!F96/G96,1))</f>
        <v>24.6</v>
      </c>
      <c r="M96" s="5" t="str">
        <f t="shared" si="8"/>
        <v>OK</v>
      </c>
      <c r="N96" s="4">
        <f t="shared" si="9"/>
        <v>0</v>
      </c>
      <c r="O96" s="1" t="str">
        <f t="shared" si="10"/>
        <v>Healthy</v>
      </c>
    </row>
    <row r="97" spans="1:15" ht="15" customHeight="1" x14ac:dyDescent="0.2">
      <c r="A97" s="3" t="str">
        <f>'1. Master Data'!A97</f>
        <v>NT10093</v>
      </c>
      <c r="B97" s="1" t="str">
        <f>'1. Master Data'!B97</f>
        <v>UltraSlim 436 Ryzen 5</v>
      </c>
      <c r="C97" s="3" t="str">
        <f>'1. Master Data'!C97</f>
        <v>Laptops</v>
      </c>
      <c r="D97" s="3" t="str">
        <f>'1. Master Data'!D97</f>
        <v>Central DC</v>
      </c>
      <c r="E97" s="3" t="str">
        <f>'1. Master Data'!H97</f>
        <v>Active</v>
      </c>
      <c r="F97" s="4">
        <f>'1. Master Data'!F97</f>
        <v>1430</v>
      </c>
      <c r="G97" s="3">
        <f>'1. Master Data'!I97</f>
        <v>22</v>
      </c>
      <c r="H97" s="15">
        <f t="shared" si="6"/>
        <v>31460</v>
      </c>
      <c r="I97" s="3">
        <f>'1. Master Data'!J97</f>
        <v>24</v>
      </c>
      <c r="J97" s="5" t="str">
        <f t="shared" si="7"/>
        <v>Fresh</v>
      </c>
      <c r="K97" s="3">
        <f>IF('3. Demand Forecast'!F97=0,99,ROUND(G97/'3. Demand Forecast'!F97,1))</f>
        <v>2.8</v>
      </c>
      <c r="L97" s="3">
        <f>IF(G97=0,0,ROUND('4. ABC XYZ Analysis'!F97/G97,1))</f>
        <v>48.9</v>
      </c>
      <c r="M97" s="5" t="str">
        <f t="shared" si="8"/>
        <v>OK</v>
      </c>
      <c r="N97" s="4">
        <f t="shared" si="9"/>
        <v>0</v>
      </c>
      <c r="O97" s="1" t="str">
        <f t="shared" si="10"/>
        <v>Healthy</v>
      </c>
    </row>
    <row r="98" spans="1:15" ht="15" customHeight="1" x14ac:dyDescent="0.2">
      <c r="A98" s="3" t="str">
        <f>'1. Master Data'!A98</f>
        <v>NT10094</v>
      </c>
      <c r="B98" s="1" t="str">
        <f>'1. Master Data'!B98</f>
        <v>ProBook 953 i7 15in</v>
      </c>
      <c r="C98" s="3" t="str">
        <f>'1. Master Data'!C98</f>
        <v>Laptops</v>
      </c>
      <c r="D98" s="3" t="str">
        <f>'1. Master Data'!D98</f>
        <v>Central DC</v>
      </c>
      <c r="E98" s="3" t="str">
        <f>'1. Master Data'!H98</f>
        <v>Active</v>
      </c>
      <c r="F98" s="4">
        <f>'1. Master Data'!F98</f>
        <v>860</v>
      </c>
      <c r="G98" s="3">
        <f>'1. Master Data'!I98</f>
        <v>122</v>
      </c>
      <c r="H98" s="15">
        <f t="shared" si="6"/>
        <v>104920</v>
      </c>
      <c r="I98" s="3">
        <f>'1. Master Data'!J98</f>
        <v>2</v>
      </c>
      <c r="J98" s="5" t="str">
        <f t="shared" si="7"/>
        <v>Fresh</v>
      </c>
      <c r="K98" s="3">
        <f>IF('3. Demand Forecast'!F98=0,99,ROUND(G98/'3. Demand Forecast'!F98,1))</f>
        <v>2.4</v>
      </c>
      <c r="L98" s="3">
        <f>IF(G98=0,0,ROUND('4. ABC XYZ Analysis'!F98/G98,1))</f>
        <v>5.0999999999999996</v>
      </c>
      <c r="M98" s="5" t="str">
        <f t="shared" si="8"/>
        <v>OK</v>
      </c>
      <c r="N98" s="4">
        <f t="shared" si="9"/>
        <v>0</v>
      </c>
      <c r="O98" s="1" t="str">
        <f t="shared" si="10"/>
        <v>Healthy</v>
      </c>
    </row>
    <row r="99" spans="1:15" ht="15" customHeight="1" x14ac:dyDescent="0.2">
      <c r="A99" s="3" t="str">
        <f>'1. Master Data'!A99</f>
        <v>NT10095</v>
      </c>
      <c r="B99" s="1" t="str">
        <f>'1. Master Data'!B99</f>
        <v>ProBook 648 i7 15in</v>
      </c>
      <c r="C99" s="3" t="str">
        <f>'1. Master Data'!C99</f>
        <v>Laptops</v>
      </c>
      <c r="D99" s="3" t="str">
        <f>'1. Master Data'!D99</f>
        <v>East DC</v>
      </c>
      <c r="E99" s="3" t="str">
        <f>'1. Master Data'!H99</f>
        <v>Active</v>
      </c>
      <c r="F99" s="4">
        <f>'1. Master Data'!F99</f>
        <v>1266</v>
      </c>
      <c r="G99" s="3">
        <f>'1. Master Data'!I99</f>
        <v>82</v>
      </c>
      <c r="H99" s="15">
        <f t="shared" si="6"/>
        <v>103812</v>
      </c>
      <c r="I99" s="3">
        <f>'1. Master Data'!J99</f>
        <v>19</v>
      </c>
      <c r="J99" s="5" t="str">
        <f t="shared" si="7"/>
        <v>Fresh</v>
      </c>
      <c r="K99" s="3">
        <f>IF('3. Demand Forecast'!F99=0,99,ROUND(G99/'3. Demand Forecast'!F99,1))</f>
        <v>2.1</v>
      </c>
      <c r="L99" s="3">
        <f>IF(G99=0,0,ROUND('4. ABC XYZ Analysis'!F99/G99,1))</f>
        <v>7.4</v>
      </c>
      <c r="M99" s="5" t="str">
        <f t="shared" si="8"/>
        <v>OK</v>
      </c>
      <c r="N99" s="4">
        <f t="shared" si="9"/>
        <v>0</v>
      </c>
      <c r="O99" s="1" t="str">
        <f t="shared" si="10"/>
        <v>Healthy</v>
      </c>
    </row>
    <row r="100" spans="1:15" ht="15" customHeight="1" x14ac:dyDescent="0.2">
      <c r="A100" s="3" t="str">
        <f>'1. Master Data'!A100</f>
        <v>NT10096</v>
      </c>
      <c r="B100" s="1" t="str">
        <f>'1. Master Data'!B100</f>
        <v>UltraSlim 744 Ryzen 5</v>
      </c>
      <c r="C100" s="3" t="str">
        <f>'1. Master Data'!C100</f>
        <v>Laptops</v>
      </c>
      <c r="D100" s="3" t="str">
        <f>'1. Master Data'!D100</f>
        <v>East DC</v>
      </c>
      <c r="E100" s="3" t="str">
        <f>'1. Master Data'!H100</f>
        <v>Active</v>
      </c>
      <c r="F100" s="4">
        <f>'1. Master Data'!F100</f>
        <v>1386</v>
      </c>
      <c r="G100" s="3">
        <f>'1. Master Data'!I100</f>
        <v>17</v>
      </c>
      <c r="H100" s="15">
        <f t="shared" si="6"/>
        <v>23562</v>
      </c>
      <c r="I100" s="3">
        <f>'1. Master Data'!J100</f>
        <v>64</v>
      </c>
      <c r="J100" s="5" t="str">
        <f t="shared" si="7"/>
        <v>Watch</v>
      </c>
      <c r="K100" s="3">
        <f>IF('3. Demand Forecast'!F100=0,99,ROUND(G100/'3. Demand Forecast'!F100,1))</f>
        <v>2.2000000000000002</v>
      </c>
      <c r="L100" s="3">
        <f>IF(G100=0,0,ROUND('4. ABC XYZ Analysis'!F100/G100,1))</f>
        <v>25.1</v>
      </c>
      <c r="M100" s="5" t="str">
        <f t="shared" si="8"/>
        <v>OK</v>
      </c>
      <c r="N100" s="4">
        <f t="shared" si="9"/>
        <v>0</v>
      </c>
      <c r="O100" s="1" t="str">
        <f t="shared" si="10"/>
        <v>Healthy</v>
      </c>
    </row>
    <row r="101" spans="1:15" ht="15" customHeight="1" x14ac:dyDescent="0.2">
      <c r="A101" s="3" t="str">
        <f>'1. Master Data'!A101</f>
        <v>NT10097</v>
      </c>
      <c r="B101" s="1" t="str">
        <f>'1. Master Data'!B101</f>
        <v>ProBook 462 i5 14in</v>
      </c>
      <c r="C101" s="3" t="str">
        <f>'1. Master Data'!C101</f>
        <v>Laptops</v>
      </c>
      <c r="D101" s="3" t="str">
        <f>'1. Master Data'!D101</f>
        <v>Central DC</v>
      </c>
      <c r="E101" s="3" t="str">
        <f>'1. Master Data'!H101</f>
        <v>Active</v>
      </c>
      <c r="F101" s="4">
        <f>'1. Master Data'!F101</f>
        <v>752</v>
      </c>
      <c r="G101" s="3">
        <f>'1. Master Data'!I101</f>
        <v>62</v>
      </c>
      <c r="H101" s="15">
        <f t="shared" si="6"/>
        <v>46624</v>
      </c>
      <c r="I101" s="3">
        <f>'1. Master Data'!J101</f>
        <v>1</v>
      </c>
      <c r="J101" s="5" t="str">
        <f t="shared" si="7"/>
        <v>Fresh</v>
      </c>
      <c r="K101" s="3">
        <f>IF('3. Demand Forecast'!F101=0,99,ROUND(G101/'3. Demand Forecast'!F101,1))</f>
        <v>2.6</v>
      </c>
      <c r="L101" s="3">
        <f>IF(G101=0,0,ROUND('4. ABC XYZ Analysis'!F101/G101,1))</f>
        <v>31.9</v>
      </c>
      <c r="M101" s="5" t="str">
        <f t="shared" si="8"/>
        <v>OK</v>
      </c>
      <c r="N101" s="4">
        <f t="shared" si="9"/>
        <v>0</v>
      </c>
      <c r="O101" s="1" t="str">
        <f t="shared" si="10"/>
        <v>Healthy</v>
      </c>
    </row>
    <row r="102" spans="1:15" ht="15" customHeight="1" x14ac:dyDescent="0.2">
      <c r="A102" s="3" t="str">
        <f>'1. Master Data'!A102</f>
        <v>NT10098</v>
      </c>
      <c r="B102" s="1" t="str">
        <f>'1. Master Data'!B102</f>
        <v>ProBook 660 i5 14in</v>
      </c>
      <c r="C102" s="3" t="str">
        <f>'1. Master Data'!C102</f>
        <v>Laptops</v>
      </c>
      <c r="D102" s="3" t="str">
        <f>'1. Master Data'!D102</f>
        <v>East DC</v>
      </c>
      <c r="E102" s="3" t="str">
        <f>'1. Master Data'!H102</f>
        <v>Active</v>
      </c>
      <c r="F102" s="4">
        <f>'1. Master Data'!F102</f>
        <v>950</v>
      </c>
      <c r="G102" s="3">
        <f>'1. Master Data'!I102</f>
        <v>87</v>
      </c>
      <c r="H102" s="15">
        <f t="shared" si="6"/>
        <v>82650</v>
      </c>
      <c r="I102" s="3">
        <f>'1. Master Data'!J102</f>
        <v>11</v>
      </c>
      <c r="J102" s="5" t="str">
        <f t="shared" si="7"/>
        <v>Fresh</v>
      </c>
      <c r="K102" s="3">
        <f>IF('3. Demand Forecast'!F102=0,99,ROUND(G102/'3. Demand Forecast'!F102,1))</f>
        <v>3</v>
      </c>
      <c r="L102" s="3">
        <f>IF(G102=0,0,ROUND('4. ABC XYZ Analysis'!F102/G102,1))</f>
        <v>13.8</v>
      </c>
      <c r="M102" s="5" t="str">
        <f t="shared" si="8"/>
        <v>OK</v>
      </c>
      <c r="N102" s="4">
        <f t="shared" si="9"/>
        <v>0</v>
      </c>
      <c r="O102" s="1" t="str">
        <f t="shared" si="10"/>
        <v>Healthy</v>
      </c>
    </row>
    <row r="103" spans="1:15" ht="15" customHeight="1" x14ac:dyDescent="0.2">
      <c r="A103" s="3" t="str">
        <f>'1. Master Data'!A103</f>
        <v>NT10099</v>
      </c>
      <c r="B103" s="1" t="str">
        <f>'1. Master Data'!B103</f>
        <v>WorkMate 633 i3 14in</v>
      </c>
      <c r="C103" s="3" t="str">
        <f>'1. Master Data'!C103</f>
        <v>Laptops</v>
      </c>
      <c r="D103" s="3" t="str">
        <f>'1. Master Data'!D103</f>
        <v>West DC</v>
      </c>
      <c r="E103" s="3" t="str">
        <f>'1. Master Data'!H103</f>
        <v>Active</v>
      </c>
      <c r="F103" s="4">
        <f>'1. Master Data'!F103</f>
        <v>1125</v>
      </c>
      <c r="G103" s="3">
        <f>'1. Master Data'!I103</f>
        <v>177</v>
      </c>
      <c r="H103" s="15">
        <f t="shared" si="6"/>
        <v>199125</v>
      </c>
      <c r="I103" s="3">
        <f>'1. Master Data'!J103</f>
        <v>37</v>
      </c>
      <c r="J103" s="5" t="str">
        <f t="shared" si="7"/>
        <v>Watch</v>
      </c>
      <c r="K103" s="3">
        <f>IF('3. Demand Forecast'!F103=0,99,ROUND(G103/'3. Demand Forecast'!F103,1))</f>
        <v>1.6</v>
      </c>
      <c r="L103" s="3">
        <f>IF(G103=0,0,ROUND('4. ABC XYZ Analysis'!F103/G103,1))</f>
        <v>2</v>
      </c>
      <c r="M103" s="5" t="str">
        <f t="shared" si="8"/>
        <v>OK</v>
      </c>
      <c r="N103" s="4">
        <f t="shared" si="9"/>
        <v>0</v>
      </c>
      <c r="O103" s="1" t="str">
        <f t="shared" si="10"/>
        <v>Healthy</v>
      </c>
    </row>
    <row r="104" spans="1:15" ht="15" customHeight="1" x14ac:dyDescent="0.2">
      <c r="A104" s="3" t="str">
        <f>'1. Master Data'!A104</f>
        <v>NT10100</v>
      </c>
      <c r="B104" s="1" t="str">
        <f>'1. Master Data'!B104</f>
        <v>ProBook 467 i7 15in</v>
      </c>
      <c r="C104" s="3" t="str">
        <f>'1. Master Data'!C104</f>
        <v>Laptops</v>
      </c>
      <c r="D104" s="3" t="str">
        <f>'1. Master Data'!D104</f>
        <v>Central DC</v>
      </c>
      <c r="E104" s="3" t="str">
        <f>'1. Master Data'!H104</f>
        <v>Active</v>
      </c>
      <c r="F104" s="4">
        <f>'1. Master Data'!F104</f>
        <v>498</v>
      </c>
      <c r="G104" s="3">
        <f>'1. Master Data'!I104</f>
        <v>94</v>
      </c>
      <c r="H104" s="15">
        <f t="shared" si="6"/>
        <v>46812</v>
      </c>
      <c r="I104" s="3">
        <f>'1. Master Data'!J104</f>
        <v>58</v>
      </c>
      <c r="J104" s="5" t="str">
        <f t="shared" si="7"/>
        <v>Watch</v>
      </c>
      <c r="K104" s="3">
        <f>IF('3. Demand Forecast'!F104=0,99,ROUND(G104/'3. Demand Forecast'!F104,1))</f>
        <v>2.9</v>
      </c>
      <c r="L104" s="3">
        <f>IF(G104=0,0,ROUND('4. ABC XYZ Analysis'!F104/G104,1))</f>
        <v>8.4</v>
      </c>
      <c r="M104" s="5" t="str">
        <f t="shared" si="8"/>
        <v>OK</v>
      </c>
      <c r="N104" s="4">
        <f t="shared" si="9"/>
        <v>0</v>
      </c>
      <c r="O104" s="1" t="str">
        <f t="shared" si="10"/>
        <v>Healthy</v>
      </c>
    </row>
    <row r="105" spans="1:15" ht="15" customHeight="1" x14ac:dyDescent="0.2">
      <c r="A105" s="3" t="str">
        <f>'1. Master Data'!A105</f>
        <v>NT10101</v>
      </c>
      <c r="B105" s="1" t="str">
        <f>'1. Master Data'!B105</f>
        <v>VisionQ 798in QLED</v>
      </c>
      <c r="C105" s="3" t="str">
        <f>'1. Master Data'!C105</f>
        <v>TVs</v>
      </c>
      <c r="D105" s="3" t="str">
        <f>'1. Master Data'!D105</f>
        <v>West DC</v>
      </c>
      <c r="E105" s="3" t="str">
        <f>'1. Master Data'!H105</f>
        <v>Active</v>
      </c>
      <c r="F105" s="4">
        <f>'1. Master Data'!F105</f>
        <v>1259</v>
      </c>
      <c r="G105" s="3">
        <f>'1. Master Data'!I105</f>
        <v>31</v>
      </c>
      <c r="H105" s="15">
        <f t="shared" si="6"/>
        <v>39029</v>
      </c>
      <c r="I105" s="3">
        <f>'1. Master Data'!J105</f>
        <v>69</v>
      </c>
      <c r="J105" s="5" t="str">
        <f t="shared" si="7"/>
        <v>Watch</v>
      </c>
      <c r="K105" s="3">
        <f>IF('3. Demand Forecast'!F105=0,99,ROUND(G105/'3. Demand Forecast'!F105,1))</f>
        <v>3</v>
      </c>
      <c r="L105" s="3">
        <f>IF(G105=0,0,ROUND('4. ABC XYZ Analysis'!F105/G105,1))</f>
        <v>591.5</v>
      </c>
      <c r="M105" s="5" t="str">
        <f t="shared" si="8"/>
        <v>OK</v>
      </c>
      <c r="N105" s="4">
        <f t="shared" si="9"/>
        <v>0</v>
      </c>
      <c r="O105" s="1" t="str">
        <f t="shared" si="10"/>
        <v>Healthy</v>
      </c>
    </row>
    <row r="106" spans="1:15" ht="15" customHeight="1" x14ac:dyDescent="0.2">
      <c r="A106" s="3" t="str">
        <f>'1. Master Data'!A106</f>
        <v>NT10102</v>
      </c>
      <c r="B106" s="1" t="str">
        <f>'1. Master Data'!B106</f>
        <v>VisionLED 933in 4K</v>
      </c>
      <c r="C106" s="3" t="str">
        <f>'1. Master Data'!C106</f>
        <v>TVs</v>
      </c>
      <c r="D106" s="3" t="str">
        <f>'1. Master Data'!D106</f>
        <v>Central DC</v>
      </c>
      <c r="E106" s="3" t="str">
        <f>'1. Master Data'!H106</f>
        <v>Active</v>
      </c>
      <c r="F106" s="4">
        <f>'1. Master Data'!F106</f>
        <v>376</v>
      </c>
      <c r="G106" s="3">
        <f>'1. Master Data'!I106</f>
        <v>113</v>
      </c>
      <c r="H106" s="15">
        <f t="shared" si="6"/>
        <v>42488</v>
      </c>
      <c r="I106" s="3">
        <f>'1. Master Data'!J106</f>
        <v>57</v>
      </c>
      <c r="J106" s="5" t="str">
        <f t="shared" si="7"/>
        <v>Watch</v>
      </c>
      <c r="K106" s="3">
        <f>IF('3. Demand Forecast'!F106=0,99,ROUND(G106/'3. Demand Forecast'!F106,1))</f>
        <v>3.5</v>
      </c>
      <c r="L106" s="3">
        <f>IF(G106=0,0,ROUND('4. ABC XYZ Analysis'!F106/G106,1))</f>
        <v>10.9</v>
      </c>
      <c r="M106" s="5" t="str">
        <f t="shared" si="8"/>
        <v>OK</v>
      </c>
      <c r="N106" s="4">
        <f t="shared" si="9"/>
        <v>0</v>
      </c>
      <c r="O106" s="1" t="str">
        <f t="shared" si="10"/>
        <v>Healthy</v>
      </c>
    </row>
    <row r="107" spans="1:15" ht="15" customHeight="1" x14ac:dyDescent="0.2">
      <c r="A107" s="3" t="str">
        <f>'1. Master Data'!A107</f>
        <v>NT10103</v>
      </c>
      <c r="B107" s="1" t="str">
        <f>'1. Master Data'!B107</f>
        <v>VisionLED 495in 4K</v>
      </c>
      <c r="C107" s="3" t="str">
        <f>'1. Master Data'!C107</f>
        <v>TVs</v>
      </c>
      <c r="D107" s="3" t="str">
        <f>'1. Master Data'!D107</f>
        <v>East DC</v>
      </c>
      <c r="E107" s="3" t="str">
        <f>'1. Master Data'!H107</f>
        <v>Active</v>
      </c>
      <c r="F107" s="4">
        <f>'1. Master Data'!F107</f>
        <v>1280</v>
      </c>
      <c r="G107" s="3">
        <f>'1. Master Data'!I107</f>
        <v>190</v>
      </c>
      <c r="H107" s="15">
        <f t="shared" si="6"/>
        <v>243200</v>
      </c>
      <c r="I107" s="3">
        <f>'1. Master Data'!J107</f>
        <v>8</v>
      </c>
      <c r="J107" s="5" t="str">
        <f t="shared" si="7"/>
        <v>Fresh</v>
      </c>
      <c r="K107" s="3">
        <f>IF('3. Demand Forecast'!F107=0,99,ROUND(G107/'3. Demand Forecast'!F107,1))</f>
        <v>2.7</v>
      </c>
      <c r="L107" s="3">
        <f>IF(G107=0,0,ROUND('4. ABC XYZ Analysis'!F107/G107,1))</f>
        <v>3</v>
      </c>
      <c r="M107" s="5" t="str">
        <f t="shared" si="8"/>
        <v>OK</v>
      </c>
      <c r="N107" s="4">
        <f t="shared" si="9"/>
        <v>0</v>
      </c>
      <c r="O107" s="1" t="str">
        <f t="shared" si="10"/>
        <v>Healthy</v>
      </c>
    </row>
    <row r="108" spans="1:15" ht="15" customHeight="1" x14ac:dyDescent="0.2">
      <c r="A108" s="3" t="str">
        <f>'1. Master Data'!A108</f>
        <v>NT10104</v>
      </c>
      <c r="B108" s="1" t="str">
        <f>'1. Master Data'!B108</f>
        <v>VisionLED 501in 4K</v>
      </c>
      <c r="C108" s="3" t="str">
        <f>'1. Master Data'!C108</f>
        <v>TVs</v>
      </c>
      <c r="D108" s="3" t="str">
        <f>'1. Master Data'!D108</f>
        <v>East DC</v>
      </c>
      <c r="E108" s="3" t="str">
        <f>'1. Master Data'!H108</f>
        <v>Active</v>
      </c>
      <c r="F108" s="4">
        <f>'1. Master Data'!F108</f>
        <v>1395</v>
      </c>
      <c r="G108" s="3">
        <f>'1. Master Data'!I108</f>
        <v>271</v>
      </c>
      <c r="H108" s="15">
        <f t="shared" si="6"/>
        <v>378045</v>
      </c>
      <c r="I108" s="3">
        <f>'1. Master Data'!J108</f>
        <v>15</v>
      </c>
      <c r="J108" s="5" t="str">
        <f t="shared" si="7"/>
        <v>Fresh</v>
      </c>
      <c r="K108" s="3">
        <f>IF('3. Demand Forecast'!F108=0,99,ROUND(G108/'3. Demand Forecast'!F108,1))</f>
        <v>1.4</v>
      </c>
      <c r="L108" s="3">
        <f>IF(G108=0,0,ROUND('4. ABC XYZ Analysis'!F108/G108,1))</f>
        <v>3</v>
      </c>
      <c r="M108" s="5" t="str">
        <f t="shared" si="8"/>
        <v>OK</v>
      </c>
      <c r="N108" s="4">
        <f t="shared" si="9"/>
        <v>0</v>
      </c>
      <c r="O108" s="1" t="str">
        <f t="shared" si="10"/>
        <v>Healthy</v>
      </c>
    </row>
    <row r="109" spans="1:15" ht="15" customHeight="1" x14ac:dyDescent="0.2">
      <c r="A109" s="3" t="str">
        <f>'1. Master Data'!A109</f>
        <v>NT10105</v>
      </c>
      <c r="B109" s="1" t="str">
        <f>'1. Master Data'!B109</f>
        <v>VisionLED 850in 4K</v>
      </c>
      <c r="C109" s="3" t="str">
        <f>'1. Master Data'!C109</f>
        <v>TVs</v>
      </c>
      <c r="D109" s="3" t="str">
        <f>'1. Master Data'!D109</f>
        <v>Central DC</v>
      </c>
      <c r="E109" s="3" t="str">
        <f>'1. Master Data'!H109</f>
        <v>Active</v>
      </c>
      <c r="F109" s="4">
        <f>'1. Master Data'!F109</f>
        <v>613</v>
      </c>
      <c r="G109" s="3">
        <f>'1. Master Data'!I109</f>
        <v>71</v>
      </c>
      <c r="H109" s="15">
        <f t="shared" si="6"/>
        <v>43523</v>
      </c>
      <c r="I109" s="3">
        <f>'1. Master Data'!J109</f>
        <v>52</v>
      </c>
      <c r="J109" s="5" t="str">
        <f t="shared" si="7"/>
        <v>Watch</v>
      </c>
      <c r="K109" s="3">
        <f>IF('3. Demand Forecast'!F109=0,99,ROUND(G109/'3. Demand Forecast'!F109,1))</f>
        <v>2.8</v>
      </c>
      <c r="L109" s="3">
        <f>IF(G109=0,0,ROUND('4. ABC XYZ Analysis'!F109/G109,1))</f>
        <v>29.2</v>
      </c>
      <c r="M109" s="5" t="str">
        <f t="shared" si="8"/>
        <v>OK</v>
      </c>
      <c r="N109" s="4">
        <f t="shared" si="9"/>
        <v>0</v>
      </c>
      <c r="O109" s="1" t="str">
        <f t="shared" si="10"/>
        <v>Healthy</v>
      </c>
    </row>
    <row r="110" spans="1:15" ht="15" customHeight="1" x14ac:dyDescent="0.2">
      <c r="A110" s="3" t="str">
        <f>'1. Master Data'!A110</f>
        <v>NT10106</v>
      </c>
      <c r="B110" s="1" t="str">
        <f>'1. Master Data'!B110</f>
        <v>CinemaMax 807in 8K</v>
      </c>
      <c r="C110" s="3" t="str">
        <f>'1. Master Data'!C110</f>
        <v>TVs</v>
      </c>
      <c r="D110" s="3" t="str">
        <f>'1. Master Data'!D110</f>
        <v>Central DC</v>
      </c>
      <c r="E110" s="3" t="str">
        <f>'1. Master Data'!H110</f>
        <v>Active</v>
      </c>
      <c r="F110" s="4">
        <f>'1. Master Data'!F110</f>
        <v>788</v>
      </c>
      <c r="G110" s="3">
        <f>'1. Master Data'!I110</f>
        <v>36</v>
      </c>
      <c r="H110" s="15">
        <f t="shared" si="6"/>
        <v>28368</v>
      </c>
      <c r="I110" s="3">
        <f>'1. Master Data'!J110</f>
        <v>50</v>
      </c>
      <c r="J110" s="5" t="str">
        <f t="shared" si="7"/>
        <v>Watch</v>
      </c>
      <c r="K110" s="3">
        <f>IF('3. Demand Forecast'!F110=0,99,ROUND(G110/'3. Demand Forecast'!F110,1))</f>
        <v>2.8</v>
      </c>
      <c r="L110" s="3">
        <f>IF(G110=0,0,ROUND('4. ABC XYZ Analysis'!F110/G110,1))</f>
        <v>14.8</v>
      </c>
      <c r="M110" s="5" t="str">
        <f t="shared" si="8"/>
        <v>OK</v>
      </c>
      <c r="N110" s="4">
        <f t="shared" si="9"/>
        <v>0</v>
      </c>
      <c r="O110" s="1" t="str">
        <f t="shared" si="10"/>
        <v>Healthy</v>
      </c>
    </row>
    <row r="111" spans="1:15" ht="15" customHeight="1" x14ac:dyDescent="0.2">
      <c r="A111" s="3" t="str">
        <f>'1. Master Data'!A111</f>
        <v>NT10107</v>
      </c>
      <c r="B111" s="1" t="str">
        <f>'1. Master Data'!B111</f>
        <v>VisionOLED 709in 4K</v>
      </c>
      <c r="C111" s="3" t="str">
        <f>'1. Master Data'!C111</f>
        <v>TVs</v>
      </c>
      <c r="D111" s="3" t="str">
        <f>'1. Master Data'!D111</f>
        <v>West DC</v>
      </c>
      <c r="E111" s="3" t="str">
        <f>'1. Master Data'!H111</f>
        <v>Active</v>
      </c>
      <c r="F111" s="4">
        <f>'1. Master Data'!F111</f>
        <v>686</v>
      </c>
      <c r="G111" s="3">
        <f>'1. Master Data'!I111</f>
        <v>119</v>
      </c>
      <c r="H111" s="15">
        <f t="shared" si="6"/>
        <v>81634</v>
      </c>
      <c r="I111" s="3">
        <f>'1. Master Data'!J111</f>
        <v>66</v>
      </c>
      <c r="J111" s="5" t="str">
        <f t="shared" si="7"/>
        <v>Watch</v>
      </c>
      <c r="K111" s="3">
        <f>IF('3. Demand Forecast'!F111=0,99,ROUND(G111/'3. Demand Forecast'!F111,1))</f>
        <v>2.5</v>
      </c>
      <c r="L111" s="3">
        <f>IF(G111=0,0,ROUND('4. ABC XYZ Analysis'!F111/G111,1))</f>
        <v>14.4</v>
      </c>
      <c r="M111" s="5" t="str">
        <f t="shared" si="8"/>
        <v>OK</v>
      </c>
      <c r="N111" s="4">
        <f t="shared" si="9"/>
        <v>0</v>
      </c>
      <c r="O111" s="1" t="str">
        <f t="shared" si="10"/>
        <v>Healthy</v>
      </c>
    </row>
    <row r="112" spans="1:15" ht="15" customHeight="1" x14ac:dyDescent="0.2">
      <c r="A112" s="3" t="str">
        <f>'1. Master Data'!A112</f>
        <v>NT10108</v>
      </c>
      <c r="B112" s="1" t="str">
        <f>'1. Master Data'!B112</f>
        <v>CinemaMax 594in 8K</v>
      </c>
      <c r="C112" s="3" t="str">
        <f>'1. Master Data'!C112</f>
        <v>TVs</v>
      </c>
      <c r="D112" s="3" t="str">
        <f>'1. Master Data'!D112</f>
        <v>East DC</v>
      </c>
      <c r="E112" s="3" t="str">
        <f>'1. Master Data'!H112</f>
        <v>Active</v>
      </c>
      <c r="F112" s="4">
        <f>'1. Master Data'!F112</f>
        <v>747</v>
      </c>
      <c r="G112" s="3">
        <f>'1. Master Data'!I112</f>
        <v>181</v>
      </c>
      <c r="H112" s="15">
        <f t="shared" si="6"/>
        <v>135207</v>
      </c>
      <c r="I112" s="3">
        <f>'1. Master Data'!J112</f>
        <v>59</v>
      </c>
      <c r="J112" s="5" t="str">
        <f t="shared" si="7"/>
        <v>Watch</v>
      </c>
      <c r="K112" s="3">
        <f>IF('3. Demand Forecast'!F112=0,99,ROUND(G112/'3. Demand Forecast'!F112,1))</f>
        <v>3.7</v>
      </c>
      <c r="L112" s="3">
        <f>IF(G112=0,0,ROUND('4. ABC XYZ Analysis'!F112/G112,1))</f>
        <v>2.4</v>
      </c>
      <c r="M112" s="5" t="str">
        <f t="shared" si="8"/>
        <v>OK</v>
      </c>
      <c r="N112" s="4">
        <f t="shared" si="9"/>
        <v>0</v>
      </c>
      <c r="O112" s="1" t="str">
        <f t="shared" si="10"/>
        <v>Healthy</v>
      </c>
    </row>
    <row r="113" spans="1:15" ht="15" customHeight="1" x14ac:dyDescent="0.2">
      <c r="A113" s="3" t="str">
        <f>'1. Master Data'!A113</f>
        <v>NT10109</v>
      </c>
      <c r="B113" s="1" t="str">
        <f>'1. Master Data'!B113</f>
        <v>VisionQ 346in QLED</v>
      </c>
      <c r="C113" s="3" t="str">
        <f>'1. Master Data'!C113</f>
        <v>TVs</v>
      </c>
      <c r="D113" s="3" t="str">
        <f>'1. Master Data'!D113</f>
        <v>Central DC</v>
      </c>
      <c r="E113" s="3" t="str">
        <f>'1. Master Data'!H113</f>
        <v>Active</v>
      </c>
      <c r="F113" s="4">
        <f>'1. Master Data'!F113</f>
        <v>1184</v>
      </c>
      <c r="G113" s="3">
        <f>'1. Master Data'!I113</f>
        <v>123</v>
      </c>
      <c r="H113" s="15">
        <f t="shared" si="6"/>
        <v>145632</v>
      </c>
      <c r="I113" s="3">
        <f>'1. Master Data'!J113</f>
        <v>56</v>
      </c>
      <c r="J113" s="5" t="str">
        <f t="shared" si="7"/>
        <v>Watch</v>
      </c>
      <c r="K113" s="3">
        <f>IF('3. Demand Forecast'!F113=0,99,ROUND(G113/'3. Demand Forecast'!F113,1))</f>
        <v>2.2999999999999998</v>
      </c>
      <c r="L113" s="3">
        <f>IF(G113=0,0,ROUND('4. ABC XYZ Analysis'!F113/G113,1))</f>
        <v>8.6999999999999993</v>
      </c>
      <c r="M113" s="5" t="str">
        <f t="shared" si="8"/>
        <v>OK</v>
      </c>
      <c r="N113" s="4">
        <f t="shared" si="9"/>
        <v>0</v>
      </c>
      <c r="O113" s="1" t="str">
        <f t="shared" si="10"/>
        <v>Healthy</v>
      </c>
    </row>
    <row r="114" spans="1:15" ht="15" customHeight="1" x14ac:dyDescent="0.2">
      <c r="A114" s="3" t="str">
        <f>'1. Master Data'!A114</f>
        <v>NT10110</v>
      </c>
      <c r="B114" s="1" t="str">
        <f>'1. Master Data'!B114</f>
        <v>VisionOLED 643in 4K</v>
      </c>
      <c r="C114" s="3" t="str">
        <f>'1. Master Data'!C114</f>
        <v>TVs</v>
      </c>
      <c r="D114" s="3" t="str">
        <f>'1. Master Data'!D114</f>
        <v>West DC</v>
      </c>
      <c r="E114" s="3" t="str">
        <f>'1. Master Data'!H114</f>
        <v>Active</v>
      </c>
      <c r="F114" s="4">
        <f>'1. Master Data'!F114</f>
        <v>1054</v>
      </c>
      <c r="G114" s="3">
        <f>'1. Master Data'!I114</f>
        <v>114</v>
      </c>
      <c r="H114" s="15">
        <f t="shared" si="6"/>
        <v>120156</v>
      </c>
      <c r="I114" s="3">
        <f>'1. Master Data'!J114</f>
        <v>29</v>
      </c>
      <c r="J114" s="5" t="str">
        <f t="shared" si="7"/>
        <v>Fresh</v>
      </c>
      <c r="K114" s="3">
        <f>IF('3. Demand Forecast'!F114=0,99,ROUND(G114/'3. Demand Forecast'!F114,1))</f>
        <v>3.7</v>
      </c>
      <c r="L114" s="3">
        <f>IF(G114=0,0,ROUND('4. ABC XYZ Analysis'!F114/G114,1))</f>
        <v>46.9</v>
      </c>
      <c r="M114" s="5" t="str">
        <f t="shared" si="8"/>
        <v>OK</v>
      </c>
      <c r="N114" s="4">
        <f t="shared" si="9"/>
        <v>0</v>
      </c>
      <c r="O114" s="1" t="str">
        <f t="shared" si="10"/>
        <v>Healthy</v>
      </c>
    </row>
    <row r="115" spans="1:15" ht="15" customHeight="1" x14ac:dyDescent="0.2">
      <c r="A115" s="3" t="str">
        <f>'1. Master Data'!A115</f>
        <v>NT10111</v>
      </c>
      <c r="B115" s="1" t="str">
        <f>'1. Master Data'!B115</f>
        <v>VisionOLED 568in 4K</v>
      </c>
      <c r="C115" s="3" t="str">
        <f>'1. Master Data'!C115</f>
        <v>TVs</v>
      </c>
      <c r="D115" s="3" t="str">
        <f>'1. Master Data'!D115</f>
        <v>East DC</v>
      </c>
      <c r="E115" s="3" t="str">
        <f>'1. Master Data'!H115</f>
        <v>Active</v>
      </c>
      <c r="F115" s="4">
        <f>'1. Master Data'!F115</f>
        <v>527</v>
      </c>
      <c r="G115" s="3">
        <f>'1. Master Data'!I115</f>
        <v>49</v>
      </c>
      <c r="H115" s="15">
        <f t="shared" si="6"/>
        <v>25823</v>
      </c>
      <c r="I115" s="3">
        <f>'1. Master Data'!J115</f>
        <v>64</v>
      </c>
      <c r="J115" s="5" t="str">
        <f t="shared" si="7"/>
        <v>Watch</v>
      </c>
      <c r="K115" s="3">
        <f>IF('3. Demand Forecast'!F115=0,99,ROUND(G115/'3. Demand Forecast'!F115,1))</f>
        <v>2.9</v>
      </c>
      <c r="L115" s="3">
        <f>IF(G115=0,0,ROUND('4. ABC XYZ Analysis'!F115/G115,1))</f>
        <v>107.5</v>
      </c>
      <c r="M115" s="5" t="str">
        <f t="shared" si="8"/>
        <v>OK</v>
      </c>
      <c r="N115" s="4">
        <f t="shared" si="9"/>
        <v>0</v>
      </c>
      <c r="O115" s="1" t="str">
        <f t="shared" si="10"/>
        <v>Healthy</v>
      </c>
    </row>
    <row r="116" spans="1:15" ht="15" customHeight="1" x14ac:dyDescent="0.2">
      <c r="A116" s="3" t="str">
        <f>'1. Master Data'!A116</f>
        <v>NT10112</v>
      </c>
      <c r="B116" s="1" t="str">
        <f>'1. Master Data'!B116</f>
        <v>VisionOLED 301in 4K</v>
      </c>
      <c r="C116" s="3" t="str">
        <f>'1. Master Data'!C116</f>
        <v>TVs</v>
      </c>
      <c r="D116" s="3" t="str">
        <f>'1. Master Data'!D116</f>
        <v>East DC</v>
      </c>
      <c r="E116" s="3" t="str">
        <f>'1. Master Data'!H116</f>
        <v>Active</v>
      </c>
      <c r="F116" s="4">
        <f>'1. Master Data'!F116</f>
        <v>646</v>
      </c>
      <c r="G116" s="3">
        <f>'1. Master Data'!I116</f>
        <v>26</v>
      </c>
      <c r="H116" s="15">
        <f t="shared" si="6"/>
        <v>16796</v>
      </c>
      <c r="I116" s="3">
        <f>'1. Master Data'!J116</f>
        <v>110</v>
      </c>
      <c r="J116" s="5" t="str">
        <f t="shared" si="7"/>
        <v>Aged</v>
      </c>
      <c r="K116" s="3">
        <f>IF('3. Demand Forecast'!F116=0,99,ROUND(G116/'3. Demand Forecast'!F116,1))</f>
        <v>3.2</v>
      </c>
      <c r="L116" s="3">
        <f>IF(G116=0,0,ROUND('4. ABC XYZ Analysis'!F116/G116,1))</f>
        <v>214.5</v>
      </c>
      <c r="M116" s="5" t="str">
        <f t="shared" si="8"/>
        <v>EXCESS</v>
      </c>
      <c r="N116" s="4">
        <f t="shared" si="9"/>
        <v>16796</v>
      </c>
      <c r="O116" s="1" t="str">
        <f t="shared" si="10"/>
        <v>Reduce orders and monitor</v>
      </c>
    </row>
    <row r="117" spans="1:15" ht="15" customHeight="1" x14ac:dyDescent="0.2">
      <c r="A117" s="3" t="str">
        <f>'1. Master Data'!A117</f>
        <v>NT10113</v>
      </c>
      <c r="B117" s="1" t="str">
        <f>'1. Master Data'!B117</f>
        <v>VisionLED 323in 4K</v>
      </c>
      <c r="C117" s="3" t="str">
        <f>'1. Master Data'!C117</f>
        <v>TVs</v>
      </c>
      <c r="D117" s="3" t="str">
        <f>'1. Master Data'!D117</f>
        <v>West DC</v>
      </c>
      <c r="E117" s="3" t="str">
        <f>'1. Master Data'!H117</f>
        <v>Active</v>
      </c>
      <c r="F117" s="4">
        <f>'1. Master Data'!F117</f>
        <v>1425</v>
      </c>
      <c r="G117" s="3">
        <f>'1. Master Data'!I117</f>
        <v>106</v>
      </c>
      <c r="H117" s="15">
        <f t="shared" si="6"/>
        <v>151050</v>
      </c>
      <c r="I117" s="3">
        <f>'1. Master Data'!J117</f>
        <v>49</v>
      </c>
      <c r="J117" s="5" t="str">
        <f t="shared" si="7"/>
        <v>Watch</v>
      </c>
      <c r="K117" s="3">
        <f>IF('3. Demand Forecast'!F117=0,99,ROUND(G117/'3. Demand Forecast'!F117,1))</f>
        <v>2.5</v>
      </c>
      <c r="L117" s="3">
        <f>IF(G117=0,0,ROUND('4. ABC XYZ Analysis'!F117/G117,1))</f>
        <v>5.6</v>
      </c>
      <c r="M117" s="5" t="str">
        <f t="shared" si="8"/>
        <v>OK</v>
      </c>
      <c r="N117" s="4">
        <f t="shared" si="9"/>
        <v>0</v>
      </c>
      <c r="O117" s="1" t="str">
        <f t="shared" si="10"/>
        <v>Healthy</v>
      </c>
    </row>
    <row r="118" spans="1:15" ht="15" customHeight="1" x14ac:dyDescent="0.2">
      <c r="A118" s="3" t="str">
        <f>'1. Master Data'!A118</f>
        <v>NT10114</v>
      </c>
      <c r="B118" s="1" t="str">
        <f>'1. Master Data'!B118</f>
        <v>CinemaMax 961in 8K</v>
      </c>
      <c r="C118" s="3" t="str">
        <f>'1. Master Data'!C118</f>
        <v>TVs</v>
      </c>
      <c r="D118" s="3" t="str">
        <f>'1. Master Data'!D118</f>
        <v>Central DC</v>
      </c>
      <c r="E118" s="3" t="str">
        <f>'1. Master Data'!H118</f>
        <v>Active</v>
      </c>
      <c r="F118" s="4">
        <f>'1. Master Data'!F118</f>
        <v>1632</v>
      </c>
      <c r="G118" s="3">
        <f>'1. Master Data'!I118</f>
        <v>49</v>
      </c>
      <c r="H118" s="15">
        <f t="shared" si="6"/>
        <v>79968</v>
      </c>
      <c r="I118" s="3">
        <f>'1. Master Data'!J118</f>
        <v>2</v>
      </c>
      <c r="J118" s="5" t="str">
        <f t="shared" si="7"/>
        <v>Fresh</v>
      </c>
      <c r="K118" s="3">
        <f>IF('3. Demand Forecast'!F118=0,99,ROUND(G118/'3. Demand Forecast'!F118,1))</f>
        <v>1.2</v>
      </c>
      <c r="L118" s="3">
        <f>IF(G118=0,0,ROUND('4. ABC XYZ Analysis'!F118/G118,1))</f>
        <v>38</v>
      </c>
      <c r="M118" s="5" t="str">
        <f t="shared" si="8"/>
        <v>OK</v>
      </c>
      <c r="N118" s="4">
        <f t="shared" si="9"/>
        <v>0</v>
      </c>
      <c r="O118" s="1" t="str">
        <f t="shared" si="10"/>
        <v>Healthy</v>
      </c>
    </row>
    <row r="119" spans="1:15" ht="15" customHeight="1" x14ac:dyDescent="0.2">
      <c r="A119" s="3" t="str">
        <f>'1. Master Data'!A119</f>
        <v>NT10115</v>
      </c>
      <c r="B119" s="1" t="str">
        <f>'1. Master Data'!B119</f>
        <v>VisionLED 272in 4K</v>
      </c>
      <c r="C119" s="3" t="str">
        <f>'1. Master Data'!C119</f>
        <v>TVs</v>
      </c>
      <c r="D119" s="3" t="str">
        <f>'1. Master Data'!D119</f>
        <v>East DC</v>
      </c>
      <c r="E119" s="3" t="str">
        <f>'1. Master Data'!H119</f>
        <v>Active</v>
      </c>
      <c r="F119" s="4">
        <f>'1. Master Data'!F119</f>
        <v>719</v>
      </c>
      <c r="G119" s="3">
        <f>'1. Master Data'!I119</f>
        <v>44</v>
      </c>
      <c r="H119" s="15">
        <f t="shared" si="6"/>
        <v>31636</v>
      </c>
      <c r="I119" s="3">
        <f>'1. Master Data'!J119</f>
        <v>163</v>
      </c>
      <c r="J119" s="5" t="str">
        <f t="shared" si="7"/>
        <v>Aged</v>
      </c>
      <c r="K119" s="3">
        <f>IF('3. Demand Forecast'!F119=0,99,ROUND(G119/'3. Demand Forecast'!F119,1))</f>
        <v>4.7</v>
      </c>
      <c r="L119" s="3">
        <f>IF(G119=0,0,ROUND('4. ABC XYZ Analysis'!F119/G119,1))</f>
        <v>65.5</v>
      </c>
      <c r="M119" s="5" t="str">
        <f t="shared" si="8"/>
        <v>EXCESS</v>
      </c>
      <c r="N119" s="4">
        <f t="shared" si="9"/>
        <v>31636</v>
      </c>
      <c r="O119" s="1" t="str">
        <f t="shared" si="10"/>
        <v>Reduce orders and monitor</v>
      </c>
    </row>
    <row r="120" spans="1:15" ht="15" customHeight="1" x14ac:dyDescent="0.2">
      <c r="A120" s="3" t="str">
        <f>'1. Master Data'!A120</f>
        <v>NT10116</v>
      </c>
      <c r="B120" s="1" t="str">
        <f>'1. Master Data'!B120</f>
        <v>CinemaMax 365in 8K</v>
      </c>
      <c r="C120" s="3" t="str">
        <f>'1. Master Data'!C120</f>
        <v>TVs</v>
      </c>
      <c r="D120" s="3" t="str">
        <f>'1. Master Data'!D120</f>
        <v>West DC</v>
      </c>
      <c r="E120" s="3" t="str">
        <f>'1. Master Data'!H120</f>
        <v>Active</v>
      </c>
      <c r="F120" s="4">
        <f>'1. Master Data'!F120</f>
        <v>1790</v>
      </c>
      <c r="G120" s="3">
        <f>'1. Master Data'!I120</f>
        <v>103</v>
      </c>
      <c r="H120" s="15">
        <f t="shared" si="6"/>
        <v>184370</v>
      </c>
      <c r="I120" s="3">
        <f>'1. Master Data'!J120</f>
        <v>29</v>
      </c>
      <c r="J120" s="5" t="str">
        <f t="shared" si="7"/>
        <v>Fresh</v>
      </c>
      <c r="K120" s="3">
        <f>IF('3. Demand Forecast'!F120=0,99,ROUND(G120/'3. Demand Forecast'!F120,1))</f>
        <v>2.7</v>
      </c>
      <c r="L120" s="3">
        <f>IF(G120=0,0,ROUND('4. ABC XYZ Analysis'!F120/G120,1))</f>
        <v>40.200000000000003</v>
      </c>
      <c r="M120" s="5" t="str">
        <f t="shared" si="8"/>
        <v>OK</v>
      </c>
      <c r="N120" s="4">
        <f t="shared" si="9"/>
        <v>0</v>
      </c>
      <c r="O120" s="1" t="str">
        <f t="shared" si="10"/>
        <v>Healthy</v>
      </c>
    </row>
    <row r="121" spans="1:15" ht="15" customHeight="1" x14ac:dyDescent="0.2">
      <c r="A121" s="3" t="str">
        <f>'1. Master Data'!A121</f>
        <v>NT10117</v>
      </c>
      <c r="B121" s="1" t="str">
        <f>'1. Master Data'!B121</f>
        <v>VisionOLED 607in 4K</v>
      </c>
      <c r="C121" s="3" t="str">
        <f>'1. Master Data'!C121</f>
        <v>TVs</v>
      </c>
      <c r="D121" s="3" t="str">
        <f>'1. Master Data'!D121</f>
        <v>East DC</v>
      </c>
      <c r="E121" s="3" t="str">
        <f>'1. Master Data'!H121</f>
        <v>Active</v>
      </c>
      <c r="F121" s="4">
        <f>'1. Master Data'!F121</f>
        <v>1020</v>
      </c>
      <c r="G121" s="3">
        <f>'1. Master Data'!I121</f>
        <v>51</v>
      </c>
      <c r="H121" s="15">
        <f t="shared" si="6"/>
        <v>52020</v>
      </c>
      <c r="I121" s="3">
        <f>'1. Master Data'!J121</f>
        <v>44</v>
      </c>
      <c r="J121" s="5" t="str">
        <f t="shared" si="7"/>
        <v>Watch</v>
      </c>
      <c r="K121" s="3">
        <f>IF('3. Demand Forecast'!F121=0,99,ROUND(G121/'3. Demand Forecast'!F121,1))</f>
        <v>4.5999999999999996</v>
      </c>
      <c r="L121" s="3">
        <f>IF(G121=0,0,ROUND('4. ABC XYZ Analysis'!F121/G121,1))</f>
        <v>224.2</v>
      </c>
      <c r="M121" s="5" t="str">
        <f t="shared" si="8"/>
        <v>OK</v>
      </c>
      <c r="N121" s="4">
        <f t="shared" si="9"/>
        <v>0</v>
      </c>
      <c r="O121" s="1" t="str">
        <f t="shared" si="10"/>
        <v>Healthy</v>
      </c>
    </row>
    <row r="122" spans="1:15" ht="15" customHeight="1" x14ac:dyDescent="0.2">
      <c r="A122" s="3" t="str">
        <f>'1. Master Data'!A122</f>
        <v>NT10118</v>
      </c>
      <c r="B122" s="1" t="str">
        <f>'1. Master Data'!B122</f>
        <v>VisionOLED 132in 4K</v>
      </c>
      <c r="C122" s="3" t="str">
        <f>'1. Master Data'!C122</f>
        <v>TVs</v>
      </c>
      <c r="D122" s="3" t="str">
        <f>'1. Master Data'!D122</f>
        <v>West DC</v>
      </c>
      <c r="E122" s="3" t="str">
        <f>'1. Master Data'!H122</f>
        <v>Active</v>
      </c>
      <c r="F122" s="4">
        <f>'1. Master Data'!F122</f>
        <v>1090</v>
      </c>
      <c r="G122" s="3">
        <f>'1. Master Data'!I122</f>
        <v>89</v>
      </c>
      <c r="H122" s="15">
        <f t="shared" si="6"/>
        <v>97010</v>
      </c>
      <c r="I122" s="3">
        <f>'1. Master Data'!J122</f>
        <v>8</v>
      </c>
      <c r="J122" s="5" t="str">
        <f t="shared" si="7"/>
        <v>Fresh</v>
      </c>
      <c r="K122" s="3">
        <f>IF('3. Demand Forecast'!F122=0,99,ROUND(G122/'3. Demand Forecast'!F122,1))</f>
        <v>2.5</v>
      </c>
      <c r="L122" s="3">
        <f>IF(G122=0,0,ROUND('4. ABC XYZ Analysis'!F122/G122,1))</f>
        <v>4.4000000000000004</v>
      </c>
      <c r="M122" s="5" t="str">
        <f t="shared" si="8"/>
        <v>OK</v>
      </c>
      <c r="N122" s="4">
        <f t="shared" si="9"/>
        <v>0</v>
      </c>
      <c r="O122" s="1" t="str">
        <f t="shared" si="10"/>
        <v>Healthy</v>
      </c>
    </row>
    <row r="123" spans="1:15" ht="15" customHeight="1" x14ac:dyDescent="0.2">
      <c r="A123" s="3" t="str">
        <f>'1. Master Data'!A123</f>
        <v>NT10119</v>
      </c>
      <c r="B123" s="1" t="str">
        <f>'1. Master Data'!B123</f>
        <v>VisionOLED 275in 4K</v>
      </c>
      <c r="C123" s="3" t="str">
        <f>'1. Master Data'!C123</f>
        <v>TVs</v>
      </c>
      <c r="D123" s="3" t="str">
        <f>'1. Master Data'!D123</f>
        <v>West DC</v>
      </c>
      <c r="E123" s="3" t="str">
        <f>'1. Master Data'!H123</f>
        <v>Active</v>
      </c>
      <c r="F123" s="4">
        <f>'1. Master Data'!F123</f>
        <v>1445</v>
      </c>
      <c r="G123" s="3">
        <f>'1. Master Data'!I123</f>
        <v>12</v>
      </c>
      <c r="H123" s="15">
        <f t="shared" si="6"/>
        <v>17340</v>
      </c>
      <c r="I123" s="3">
        <f>'1. Master Data'!J123</f>
        <v>21</v>
      </c>
      <c r="J123" s="5" t="str">
        <f t="shared" si="7"/>
        <v>Fresh</v>
      </c>
      <c r="K123" s="3">
        <f>IF('3. Demand Forecast'!F123=0,99,ROUND(G123/'3. Demand Forecast'!F123,1))</f>
        <v>5.2</v>
      </c>
      <c r="L123" s="3">
        <f>IF(G123=0,0,ROUND('4. ABC XYZ Analysis'!F123/G123,1))</f>
        <v>52.8</v>
      </c>
      <c r="M123" s="5" t="str">
        <f t="shared" si="8"/>
        <v>OK</v>
      </c>
      <c r="N123" s="4">
        <f t="shared" si="9"/>
        <v>0</v>
      </c>
      <c r="O123" s="1" t="str">
        <f t="shared" si="10"/>
        <v>Healthy</v>
      </c>
    </row>
    <row r="124" spans="1:15" ht="15" customHeight="1" x14ac:dyDescent="0.2">
      <c r="A124" s="3" t="str">
        <f>'1. Master Data'!A124</f>
        <v>NT10120</v>
      </c>
      <c r="B124" s="1" t="str">
        <f>'1. Master Data'!B124</f>
        <v>VisionOLED 579in 4K</v>
      </c>
      <c r="C124" s="3" t="str">
        <f>'1. Master Data'!C124</f>
        <v>TVs</v>
      </c>
      <c r="D124" s="3" t="str">
        <f>'1. Master Data'!D124</f>
        <v>West DC</v>
      </c>
      <c r="E124" s="3" t="str">
        <f>'1. Master Data'!H124</f>
        <v>Active</v>
      </c>
      <c r="F124" s="4">
        <f>'1. Master Data'!F124</f>
        <v>1005</v>
      </c>
      <c r="G124" s="3">
        <f>'1. Master Data'!I124</f>
        <v>24</v>
      </c>
      <c r="H124" s="15">
        <f t="shared" si="6"/>
        <v>24120</v>
      </c>
      <c r="I124" s="3">
        <f>'1. Master Data'!J124</f>
        <v>142</v>
      </c>
      <c r="J124" s="5" t="str">
        <f t="shared" si="7"/>
        <v>Aged</v>
      </c>
      <c r="K124" s="3">
        <f>IF('3. Demand Forecast'!F124=0,99,ROUND(G124/'3. Demand Forecast'!F124,1))</f>
        <v>3.3</v>
      </c>
      <c r="L124" s="3">
        <f>IF(G124=0,0,ROUND('4. ABC XYZ Analysis'!F124/G124,1))</f>
        <v>24.4</v>
      </c>
      <c r="M124" s="5" t="str">
        <f t="shared" si="8"/>
        <v>EXCESS</v>
      </c>
      <c r="N124" s="4">
        <f t="shared" si="9"/>
        <v>24120</v>
      </c>
      <c r="O124" s="1" t="str">
        <f t="shared" si="10"/>
        <v>Reduce orders and monitor</v>
      </c>
    </row>
    <row r="125" spans="1:15" ht="15" customHeight="1" x14ac:dyDescent="0.2">
      <c r="A125" s="3" t="str">
        <f>'1. Master Data'!A125</f>
        <v>NT10121</v>
      </c>
      <c r="B125" s="1" t="str">
        <f>'1. Master Data'!B125</f>
        <v>VisionOLED 942in 4K</v>
      </c>
      <c r="C125" s="3" t="str">
        <f>'1. Master Data'!C125</f>
        <v>TVs</v>
      </c>
      <c r="D125" s="3" t="str">
        <f>'1. Master Data'!D125</f>
        <v>Central DC</v>
      </c>
      <c r="E125" s="3" t="str">
        <f>'1. Master Data'!H125</f>
        <v>Active</v>
      </c>
      <c r="F125" s="4">
        <f>'1. Master Data'!F125</f>
        <v>605</v>
      </c>
      <c r="G125" s="3">
        <f>'1. Master Data'!I125</f>
        <v>123</v>
      </c>
      <c r="H125" s="15">
        <f t="shared" si="6"/>
        <v>74415</v>
      </c>
      <c r="I125" s="3">
        <f>'1. Master Data'!J125</f>
        <v>3</v>
      </c>
      <c r="J125" s="5" t="str">
        <f t="shared" si="7"/>
        <v>Fresh</v>
      </c>
      <c r="K125" s="3">
        <f>IF('3. Demand Forecast'!F125=0,99,ROUND(G125/'3. Demand Forecast'!F125,1))</f>
        <v>2.8</v>
      </c>
      <c r="L125" s="3">
        <f>IF(G125=0,0,ROUND('4. ABC XYZ Analysis'!F125/G125,1))</f>
        <v>42.7</v>
      </c>
      <c r="M125" s="5" t="str">
        <f t="shared" si="8"/>
        <v>OK</v>
      </c>
      <c r="N125" s="4">
        <f t="shared" si="9"/>
        <v>0</v>
      </c>
      <c r="O125" s="1" t="str">
        <f t="shared" si="10"/>
        <v>Healthy</v>
      </c>
    </row>
    <row r="126" spans="1:15" ht="15" customHeight="1" x14ac:dyDescent="0.2">
      <c r="A126" s="3" t="str">
        <f>'1. Master Data'!A126</f>
        <v>NT10122</v>
      </c>
      <c r="B126" s="1" t="str">
        <f>'1. Master Data'!B126</f>
        <v>VisionLED 242in 4K</v>
      </c>
      <c r="C126" s="3" t="str">
        <f>'1. Master Data'!C126</f>
        <v>TVs</v>
      </c>
      <c r="D126" s="3" t="str">
        <f>'1. Master Data'!D126</f>
        <v>Central DC</v>
      </c>
      <c r="E126" s="3" t="str">
        <f>'1. Master Data'!H126</f>
        <v>Active</v>
      </c>
      <c r="F126" s="4">
        <f>'1. Master Data'!F126</f>
        <v>483</v>
      </c>
      <c r="G126" s="3">
        <f>'1. Master Data'!I126</f>
        <v>145</v>
      </c>
      <c r="H126" s="15">
        <f t="shared" si="6"/>
        <v>70035</v>
      </c>
      <c r="I126" s="3">
        <f>'1. Master Data'!J126</f>
        <v>61</v>
      </c>
      <c r="J126" s="5" t="str">
        <f t="shared" si="7"/>
        <v>Watch</v>
      </c>
      <c r="K126" s="3">
        <f>IF('3. Demand Forecast'!F126=0,99,ROUND(G126/'3. Demand Forecast'!F126,1))</f>
        <v>2.4</v>
      </c>
      <c r="L126" s="3">
        <f>IF(G126=0,0,ROUND('4. ABC XYZ Analysis'!F126/G126,1))</f>
        <v>12.9</v>
      </c>
      <c r="M126" s="5" t="str">
        <f t="shared" si="8"/>
        <v>OK</v>
      </c>
      <c r="N126" s="4">
        <f t="shared" si="9"/>
        <v>0</v>
      </c>
      <c r="O126" s="1" t="str">
        <f t="shared" si="10"/>
        <v>Healthy</v>
      </c>
    </row>
    <row r="127" spans="1:15" ht="15" customHeight="1" x14ac:dyDescent="0.2">
      <c r="A127" s="3" t="str">
        <f>'1. Master Data'!A127</f>
        <v>NT10123</v>
      </c>
      <c r="B127" s="1" t="str">
        <f>'1. Master Data'!B127</f>
        <v>VisionQ 624in QLED</v>
      </c>
      <c r="C127" s="3" t="str">
        <f>'1. Master Data'!C127</f>
        <v>TVs</v>
      </c>
      <c r="D127" s="3" t="str">
        <f>'1. Master Data'!D127</f>
        <v>East DC</v>
      </c>
      <c r="E127" s="3" t="str">
        <f>'1. Master Data'!H127</f>
        <v>Active</v>
      </c>
      <c r="F127" s="4">
        <f>'1. Master Data'!F127</f>
        <v>1696</v>
      </c>
      <c r="G127" s="3">
        <f>'1. Master Data'!I127</f>
        <v>87</v>
      </c>
      <c r="H127" s="15">
        <f t="shared" si="6"/>
        <v>147552</v>
      </c>
      <c r="I127" s="3">
        <f>'1. Master Data'!J127</f>
        <v>38</v>
      </c>
      <c r="J127" s="5" t="str">
        <f t="shared" si="7"/>
        <v>Watch</v>
      </c>
      <c r="K127" s="3">
        <f>IF('3. Demand Forecast'!F127=0,99,ROUND(G127/'3. Demand Forecast'!F127,1))</f>
        <v>2.2999999999999998</v>
      </c>
      <c r="L127" s="3">
        <f>IF(G127=0,0,ROUND('4. ABC XYZ Analysis'!F127/G127,1))</f>
        <v>27.8</v>
      </c>
      <c r="M127" s="5" t="str">
        <f t="shared" si="8"/>
        <v>OK</v>
      </c>
      <c r="N127" s="4">
        <f t="shared" si="9"/>
        <v>0</v>
      </c>
      <c r="O127" s="1" t="str">
        <f t="shared" si="10"/>
        <v>Healthy</v>
      </c>
    </row>
    <row r="128" spans="1:15" ht="15" customHeight="1" x14ac:dyDescent="0.2">
      <c r="A128" s="3" t="str">
        <f>'1. Master Data'!A128</f>
        <v>NT10124</v>
      </c>
      <c r="B128" s="1" t="str">
        <f>'1. Master Data'!B128</f>
        <v>VisionLED 486in 4K</v>
      </c>
      <c r="C128" s="3" t="str">
        <f>'1. Master Data'!C128</f>
        <v>TVs</v>
      </c>
      <c r="D128" s="3" t="str">
        <f>'1. Master Data'!D128</f>
        <v>West DC</v>
      </c>
      <c r="E128" s="3" t="str">
        <f>'1. Master Data'!H128</f>
        <v>Active</v>
      </c>
      <c r="F128" s="4">
        <f>'1. Master Data'!F128</f>
        <v>1517</v>
      </c>
      <c r="G128" s="3">
        <f>'1. Master Data'!I128</f>
        <v>106</v>
      </c>
      <c r="H128" s="15">
        <f t="shared" si="6"/>
        <v>160802</v>
      </c>
      <c r="I128" s="3">
        <f>'1. Master Data'!J128</f>
        <v>42</v>
      </c>
      <c r="J128" s="5" t="str">
        <f t="shared" si="7"/>
        <v>Watch</v>
      </c>
      <c r="K128" s="3">
        <f>IF('3. Demand Forecast'!F128=0,99,ROUND(G128/'3. Demand Forecast'!F128,1))</f>
        <v>2.4</v>
      </c>
      <c r="L128" s="3">
        <f>IF(G128=0,0,ROUND('4. ABC XYZ Analysis'!F128/G128,1))</f>
        <v>10.8</v>
      </c>
      <c r="M128" s="5" t="str">
        <f t="shared" si="8"/>
        <v>OK</v>
      </c>
      <c r="N128" s="4">
        <f t="shared" si="9"/>
        <v>0</v>
      </c>
      <c r="O128" s="1" t="str">
        <f t="shared" si="10"/>
        <v>Healthy</v>
      </c>
    </row>
    <row r="129" spans="1:15" ht="15" customHeight="1" x14ac:dyDescent="0.2">
      <c r="A129" s="3" t="str">
        <f>'1. Master Data'!A129</f>
        <v>NT10125</v>
      </c>
      <c r="B129" s="1" t="str">
        <f>'1. Master Data'!B129</f>
        <v>VisionOLED 414in 4K</v>
      </c>
      <c r="C129" s="3" t="str">
        <f>'1. Master Data'!C129</f>
        <v>TVs</v>
      </c>
      <c r="D129" s="3" t="str">
        <f>'1. Master Data'!D129</f>
        <v>East DC</v>
      </c>
      <c r="E129" s="3" t="str">
        <f>'1. Master Data'!H129</f>
        <v>Active</v>
      </c>
      <c r="F129" s="4">
        <f>'1. Master Data'!F129</f>
        <v>1001</v>
      </c>
      <c r="G129" s="3">
        <f>'1. Master Data'!I129</f>
        <v>250</v>
      </c>
      <c r="H129" s="15">
        <f t="shared" si="6"/>
        <v>250250</v>
      </c>
      <c r="I129" s="3">
        <f>'1. Master Data'!J129</f>
        <v>22</v>
      </c>
      <c r="J129" s="5" t="str">
        <f t="shared" si="7"/>
        <v>Fresh</v>
      </c>
      <c r="K129" s="3">
        <f>IF('3. Demand Forecast'!F129=0,99,ROUND(G129/'3. Demand Forecast'!F129,1))</f>
        <v>2.1</v>
      </c>
      <c r="L129" s="3">
        <f>IF(G129=0,0,ROUND('4. ABC XYZ Analysis'!F129/G129,1))</f>
        <v>1.1000000000000001</v>
      </c>
      <c r="M129" s="5" t="str">
        <f t="shared" si="8"/>
        <v>OK</v>
      </c>
      <c r="N129" s="4">
        <f t="shared" si="9"/>
        <v>0</v>
      </c>
      <c r="O129" s="1" t="str">
        <f t="shared" si="10"/>
        <v>Healthy</v>
      </c>
    </row>
    <row r="130" spans="1:15" ht="15" customHeight="1" x14ac:dyDescent="0.2">
      <c r="A130" s="3" t="str">
        <f>'1. Master Data'!A130</f>
        <v>NT10126</v>
      </c>
      <c r="B130" s="1" t="str">
        <f>'1. Master Data'!B130</f>
        <v>VisionOLED 780in 4K</v>
      </c>
      <c r="C130" s="3" t="str">
        <f>'1. Master Data'!C130</f>
        <v>TVs</v>
      </c>
      <c r="D130" s="3" t="str">
        <f>'1. Master Data'!D130</f>
        <v>West DC</v>
      </c>
      <c r="E130" s="3" t="str">
        <f>'1. Master Data'!H130</f>
        <v>Active</v>
      </c>
      <c r="F130" s="4">
        <f>'1. Master Data'!F130</f>
        <v>625</v>
      </c>
      <c r="G130" s="3">
        <f>'1. Master Data'!I130</f>
        <v>110</v>
      </c>
      <c r="H130" s="15">
        <f t="shared" si="6"/>
        <v>68750</v>
      </c>
      <c r="I130" s="3">
        <f>'1. Master Data'!J130</f>
        <v>7</v>
      </c>
      <c r="J130" s="5" t="str">
        <f t="shared" si="7"/>
        <v>Fresh</v>
      </c>
      <c r="K130" s="3">
        <f>IF('3. Demand Forecast'!F130=0,99,ROUND(G130/'3. Demand Forecast'!F130,1))</f>
        <v>2.8</v>
      </c>
      <c r="L130" s="3">
        <f>IF(G130=0,0,ROUND('4. ABC XYZ Analysis'!F130/G130,1))</f>
        <v>75.8</v>
      </c>
      <c r="M130" s="5" t="str">
        <f t="shared" si="8"/>
        <v>OK</v>
      </c>
      <c r="N130" s="4">
        <f t="shared" si="9"/>
        <v>0</v>
      </c>
      <c r="O130" s="1" t="str">
        <f t="shared" si="10"/>
        <v>Healthy</v>
      </c>
    </row>
    <row r="131" spans="1:15" ht="15" customHeight="1" x14ac:dyDescent="0.2">
      <c r="A131" s="3" t="str">
        <f>'1. Master Data'!A131</f>
        <v>NT10127</v>
      </c>
      <c r="B131" s="1" t="str">
        <f>'1. Master Data'!B131</f>
        <v>CinemaMax 215in 8K</v>
      </c>
      <c r="C131" s="3" t="str">
        <f>'1. Master Data'!C131</f>
        <v>TVs</v>
      </c>
      <c r="D131" s="3" t="str">
        <f>'1. Master Data'!D131</f>
        <v>Central DC</v>
      </c>
      <c r="E131" s="3" t="str">
        <f>'1. Master Data'!H131</f>
        <v>Active</v>
      </c>
      <c r="F131" s="4">
        <f>'1. Master Data'!F131</f>
        <v>308</v>
      </c>
      <c r="G131" s="3">
        <f>'1. Master Data'!I131</f>
        <v>91</v>
      </c>
      <c r="H131" s="15">
        <f t="shared" si="6"/>
        <v>28028</v>
      </c>
      <c r="I131" s="3">
        <f>'1. Master Data'!J131</f>
        <v>1</v>
      </c>
      <c r="J131" s="5" t="str">
        <f t="shared" si="7"/>
        <v>Fresh</v>
      </c>
      <c r="K131" s="3">
        <f>IF('3. Demand Forecast'!F131=0,99,ROUND(G131/'3. Demand Forecast'!F131,1))</f>
        <v>2.2000000000000002</v>
      </c>
      <c r="L131" s="3">
        <f>IF(G131=0,0,ROUND('4. ABC XYZ Analysis'!F131/G131,1))</f>
        <v>4.2</v>
      </c>
      <c r="M131" s="5" t="str">
        <f t="shared" si="8"/>
        <v>OK</v>
      </c>
      <c r="N131" s="4">
        <f t="shared" si="9"/>
        <v>0</v>
      </c>
      <c r="O131" s="1" t="str">
        <f t="shared" si="10"/>
        <v>Healthy</v>
      </c>
    </row>
    <row r="132" spans="1:15" ht="15" customHeight="1" x14ac:dyDescent="0.2">
      <c r="A132" s="3" t="str">
        <f>'1. Master Data'!A132</f>
        <v>NT10128</v>
      </c>
      <c r="B132" s="1" t="str">
        <f>'1. Master Data'!B132</f>
        <v>VisionQ 120in QLED</v>
      </c>
      <c r="C132" s="3" t="str">
        <f>'1. Master Data'!C132</f>
        <v>TVs</v>
      </c>
      <c r="D132" s="3" t="str">
        <f>'1. Master Data'!D132</f>
        <v>West DC</v>
      </c>
      <c r="E132" s="3" t="str">
        <f>'1. Master Data'!H132</f>
        <v>Active</v>
      </c>
      <c r="F132" s="4">
        <f>'1. Master Data'!F132</f>
        <v>905</v>
      </c>
      <c r="G132" s="3">
        <f>'1. Master Data'!I132</f>
        <v>153</v>
      </c>
      <c r="H132" s="15">
        <f t="shared" si="6"/>
        <v>138465</v>
      </c>
      <c r="I132" s="3">
        <f>'1. Master Data'!J132</f>
        <v>9</v>
      </c>
      <c r="J132" s="5" t="str">
        <f t="shared" si="7"/>
        <v>Fresh</v>
      </c>
      <c r="K132" s="3">
        <f>IF('3. Demand Forecast'!F132=0,99,ROUND(G132/'3. Demand Forecast'!F132,1))</f>
        <v>2.6</v>
      </c>
      <c r="L132" s="3">
        <f>IF(G132=0,0,ROUND('4. ABC XYZ Analysis'!F132/G132,1))</f>
        <v>6.2</v>
      </c>
      <c r="M132" s="5" t="str">
        <f t="shared" si="8"/>
        <v>OK</v>
      </c>
      <c r="N132" s="4">
        <f t="shared" si="9"/>
        <v>0</v>
      </c>
      <c r="O132" s="1" t="str">
        <f t="shared" si="10"/>
        <v>Healthy</v>
      </c>
    </row>
    <row r="133" spans="1:15" ht="15" customHeight="1" x14ac:dyDescent="0.2">
      <c r="A133" s="3" t="str">
        <f>'1. Master Data'!A133</f>
        <v>NT10129</v>
      </c>
      <c r="B133" s="1" t="str">
        <f>'1. Master Data'!B133</f>
        <v>VisionLED 554in 4K</v>
      </c>
      <c r="C133" s="3" t="str">
        <f>'1. Master Data'!C133</f>
        <v>TVs</v>
      </c>
      <c r="D133" s="3" t="str">
        <f>'1. Master Data'!D133</f>
        <v>East DC</v>
      </c>
      <c r="E133" s="3" t="str">
        <f>'1. Master Data'!H133</f>
        <v>Active</v>
      </c>
      <c r="F133" s="4">
        <f>'1. Master Data'!F133</f>
        <v>765</v>
      </c>
      <c r="G133" s="3">
        <f>'1. Master Data'!I133</f>
        <v>106</v>
      </c>
      <c r="H133" s="15">
        <f t="shared" ref="H133:H196" si="11">F133*G133</f>
        <v>81090</v>
      </c>
      <c r="I133" s="3">
        <f>'1. Master Data'!J133</f>
        <v>61</v>
      </c>
      <c r="J133" s="5" t="str">
        <f t="shared" ref="J133:J196" si="12">IF(I133&lt;=30,"Fresh",IF(I133&lt;=90,"Watch",IF(I133&lt;=180,"Aged","Obsolete Risk")))</f>
        <v>Watch</v>
      </c>
      <c r="K133" s="3">
        <f>IF('3. Demand Forecast'!F133=0,99,ROUND(G133/'3. Demand Forecast'!F133,1))</f>
        <v>2.1</v>
      </c>
      <c r="L133" s="3">
        <f>IF(G133=0,0,ROUND('4. ABC XYZ Analysis'!F133/G133,1))</f>
        <v>4.5</v>
      </c>
      <c r="M133" s="5" t="str">
        <f t="shared" ref="M133:M196" si="13">IF(OR(E133="EOL",I133&gt;90,K133&gt;6),"EXCESS","OK")</f>
        <v>OK</v>
      </c>
      <c r="N133" s="4">
        <f t="shared" ref="N133:N196" si="14">IF(M133="EXCESS",H133,0)</f>
        <v>0</v>
      </c>
      <c r="O133" s="1" t="str">
        <f t="shared" ref="O133:O196" si="15">IF(E133="EOL","Scrap / Liquidate",IF(I133&gt;180,"Disposition Review",IF(M133="EXCESS","Reduce orders and monitor","Healthy")))</f>
        <v>Healthy</v>
      </c>
    </row>
    <row r="134" spans="1:15" ht="15" customHeight="1" x14ac:dyDescent="0.2">
      <c r="A134" s="3" t="str">
        <f>'1. Master Data'!A134</f>
        <v>NT10130</v>
      </c>
      <c r="B134" s="1" t="str">
        <f>'1. Master Data'!B134</f>
        <v>CinemaMax 380in 8K</v>
      </c>
      <c r="C134" s="3" t="str">
        <f>'1. Master Data'!C134</f>
        <v>TVs</v>
      </c>
      <c r="D134" s="3" t="str">
        <f>'1. Master Data'!D134</f>
        <v>West DC</v>
      </c>
      <c r="E134" s="3" t="str">
        <f>'1. Master Data'!H134</f>
        <v>Active</v>
      </c>
      <c r="F134" s="4">
        <f>'1. Master Data'!F134</f>
        <v>1209</v>
      </c>
      <c r="G134" s="3">
        <f>'1. Master Data'!I134</f>
        <v>44</v>
      </c>
      <c r="H134" s="15">
        <f t="shared" si="11"/>
        <v>53196</v>
      </c>
      <c r="I134" s="3">
        <f>'1. Master Data'!J134</f>
        <v>159</v>
      </c>
      <c r="J134" s="5" t="str">
        <f t="shared" si="12"/>
        <v>Aged</v>
      </c>
      <c r="K134" s="3">
        <f>IF('3. Demand Forecast'!F134=0,99,ROUND(G134/'3. Demand Forecast'!F134,1))</f>
        <v>3.5</v>
      </c>
      <c r="L134" s="3">
        <f>IF(G134=0,0,ROUND('4. ABC XYZ Analysis'!F134/G134,1))</f>
        <v>8.1999999999999993</v>
      </c>
      <c r="M134" s="5" t="str">
        <f t="shared" si="13"/>
        <v>EXCESS</v>
      </c>
      <c r="N134" s="4">
        <f t="shared" si="14"/>
        <v>53196</v>
      </c>
      <c r="O134" s="1" t="str">
        <f t="shared" si="15"/>
        <v>Reduce orders and monitor</v>
      </c>
    </row>
    <row r="135" spans="1:15" ht="15" customHeight="1" x14ac:dyDescent="0.2">
      <c r="A135" s="3" t="str">
        <f>'1. Master Data'!A135</f>
        <v>NT10131</v>
      </c>
      <c r="B135" s="1" t="str">
        <f>'1. Master Data'!B135</f>
        <v>CinemaMax 580in 8K</v>
      </c>
      <c r="C135" s="3" t="str">
        <f>'1. Master Data'!C135</f>
        <v>TVs</v>
      </c>
      <c r="D135" s="3" t="str">
        <f>'1. Master Data'!D135</f>
        <v>East DC</v>
      </c>
      <c r="E135" s="3" t="str">
        <f>'1. Master Data'!H135</f>
        <v>Active</v>
      </c>
      <c r="F135" s="4">
        <f>'1. Master Data'!F135</f>
        <v>644</v>
      </c>
      <c r="G135" s="3">
        <f>'1. Master Data'!I135</f>
        <v>38</v>
      </c>
      <c r="H135" s="15">
        <f t="shared" si="11"/>
        <v>24472</v>
      </c>
      <c r="I135" s="3">
        <f>'1. Master Data'!J135</f>
        <v>6</v>
      </c>
      <c r="J135" s="5" t="str">
        <f t="shared" si="12"/>
        <v>Fresh</v>
      </c>
      <c r="K135" s="3">
        <f>IF('3. Demand Forecast'!F135=0,99,ROUND(G135/'3. Demand Forecast'!F135,1))</f>
        <v>2.7</v>
      </c>
      <c r="L135" s="3">
        <f>IF(G135=0,0,ROUND('4. ABC XYZ Analysis'!F135/G135,1))</f>
        <v>249.8</v>
      </c>
      <c r="M135" s="5" t="str">
        <f t="shared" si="13"/>
        <v>OK</v>
      </c>
      <c r="N135" s="4">
        <f t="shared" si="14"/>
        <v>0</v>
      </c>
      <c r="O135" s="1" t="str">
        <f t="shared" si="15"/>
        <v>Healthy</v>
      </c>
    </row>
    <row r="136" spans="1:15" ht="15" customHeight="1" x14ac:dyDescent="0.2">
      <c r="A136" s="3" t="str">
        <f>'1. Master Data'!A136</f>
        <v>NT10132</v>
      </c>
      <c r="B136" s="1" t="str">
        <f>'1. Master Data'!B136</f>
        <v>VisionOLED 815in 4K</v>
      </c>
      <c r="C136" s="3" t="str">
        <f>'1. Master Data'!C136</f>
        <v>TVs</v>
      </c>
      <c r="D136" s="3" t="str">
        <f>'1. Master Data'!D136</f>
        <v>Central DC</v>
      </c>
      <c r="E136" s="3" t="str">
        <f>'1. Master Data'!H136</f>
        <v>Active</v>
      </c>
      <c r="F136" s="4">
        <f>'1. Master Data'!F136</f>
        <v>1126</v>
      </c>
      <c r="G136" s="3">
        <f>'1. Master Data'!I136</f>
        <v>61</v>
      </c>
      <c r="H136" s="15">
        <f t="shared" si="11"/>
        <v>68686</v>
      </c>
      <c r="I136" s="3">
        <f>'1. Master Data'!J136</f>
        <v>15</v>
      </c>
      <c r="J136" s="5" t="str">
        <f t="shared" si="12"/>
        <v>Fresh</v>
      </c>
      <c r="K136" s="3">
        <f>IF('3. Demand Forecast'!F136=0,99,ROUND(G136/'3. Demand Forecast'!F136,1))</f>
        <v>2.9</v>
      </c>
      <c r="L136" s="3">
        <f>IF(G136=0,0,ROUND('4. ABC XYZ Analysis'!F136/G136,1))</f>
        <v>60.2</v>
      </c>
      <c r="M136" s="5" t="str">
        <f t="shared" si="13"/>
        <v>OK</v>
      </c>
      <c r="N136" s="4">
        <f t="shared" si="14"/>
        <v>0</v>
      </c>
      <c r="O136" s="1" t="str">
        <f t="shared" si="15"/>
        <v>Healthy</v>
      </c>
    </row>
    <row r="137" spans="1:15" ht="15" customHeight="1" x14ac:dyDescent="0.2">
      <c r="A137" s="3" t="str">
        <f>'1. Master Data'!A137</f>
        <v>NT10133</v>
      </c>
      <c r="B137" s="1" t="str">
        <f>'1. Master Data'!B137</f>
        <v>VisionOLED 919in 4K</v>
      </c>
      <c r="C137" s="3" t="str">
        <f>'1. Master Data'!C137</f>
        <v>TVs</v>
      </c>
      <c r="D137" s="3" t="str">
        <f>'1. Master Data'!D137</f>
        <v>West DC</v>
      </c>
      <c r="E137" s="3" t="str">
        <f>'1. Master Data'!H137</f>
        <v>Active</v>
      </c>
      <c r="F137" s="4">
        <f>'1. Master Data'!F137</f>
        <v>1088</v>
      </c>
      <c r="G137" s="3">
        <f>'1. Master Data'!I137</f>
        <v>39</v>
      </c>
      <c r="H137" s="15">
        <f t="shared" si="11"/>
        <v>42432</v>
      </c>
      <c r="I137" s="3">
        <f>'1. Master Data'!J137</f>
        <v>8</v>
      </c>
      <c r="J137" s="5" t="str">
        <f t="shared" si="12"/>
        <v>Fresh</v>
      </c>
      <c r="K137" s="3">
        <f>IF('3. Demand Forecast'!F137=0,99,ROUND(G137/'3. Demand Forecast'!F137,1))</f>
        <v>2.5</v>
      </c>
      <c r="L137" s="3">
        <f>IF(G137=0,0,ROUND('4. ABC XYZ Analysis'!F137/G137,1))</f>
        <v>66.5</v>
      </c>
      <c r="M137" s="5" t="str">
        <f t="shared" si="13"/>
        <v>OK</v>
      </c>
      <c r="N137" s="4">
        <f t="shared" si="14"/>
        <v>0</v>
      </c>
      <c r="O137" s="1" t="str">
        <f t="shared" si="15"/>
        <v>Healthy</v>
      </c>
    </row>
    <row r="138" spans="1:15" ht="15" customHeight="1" x14ac:dyDescent="0.2">
      <c r="A138" s="3" t="str">
        <f>'1. Master Data'!A138</f>
        <v>NT10134</v>
      </c>
      <c r="B138" s="1" t="str">
        <f>'1. Master Data'!B138</f>
        <v>CinemaMax 312in 8K</v>
      </c>
      <c r="C138" s="3" t="str">
        <f>'1. Master Data'!C138</f>
        <v>TVs</v>
      </c>
      <c r="D138" s="3" t="str">
        <f>'1. Master Data'!D138</f>
        <v>Central DC</v>
      </c>
      <c r="E138" s="3" t="str">
        <f>'1. Master Data'!H138</f>
        <v>Active</v>
      </c>
      <c r="F138" s="4">
        <f>'1. Master Data'!F138</f>
        <v>1402</v>
      </c>
      <c r="G138" s="3">
        <f>'1. Master Data'!I138</f>
        <v>153</v>
      </c>
      <c r="H138" s="15">
        <f t="shared" si="11"/>
        <v>214506</v>
      </c>
      <c r="I138" s="3">
        <f>'1. Master Data'!J138</f>
        <v>37</v>
      </c>
      <c r="J138" s="5" t="str">
        <f t="shared" si="12"/>
        <v>Watch</v>
      </c>
      <c r="K138" s="3">
        <f>IF('3. Demand Forecast'!F138=0,99,ROUND(G138/'3. Demand Forecast'!F138,1))</f>
        <v>2.6</v>
      </c>
      <c r="L138" s="3">
        <f>IF(G138=0,0,ROUND('4. ABC XYZ Analysis'!F138/G138,1))</f>
        <v>2</v>
      </c>
      <c r="M138" s="5" t="str">
        <f t="shared" si="13"/>
        <v>OK</v>
      </c>
      <c r="N138" s="4">
        <f t="shared" si="14"/>
        <v>0</v>
      </c>
      <c r="O138" s="1" t="str">
        <f t="shared" si="15"/>
        <v>Healthy</v>
      </c>
    </row>
    <row r="139" spans="1:15" ht="15" customHeight="1" x14ac:dyDescent="0.2">
      <c r="A139" s="3" t="str">
        <f>'1. Master Data'!A139</f>
        <v>NT10135</v>
      </c>
      <c r="B139" s="1" t="str">
        <f>'1. Master Data'!B139</f>
        <v>CinemaMax 348in 8K</v>
      </c>
      <c r="C139" s="3" t="str">
        <f>'1. Master Data'!C139</f>
        <v>TVs</v>
      </c>
      <c r="D139" s="3" t="str">
        <f>'1. Master Data'!D139</f>
        <v>East DC</v>
      </c>
      <c r="E139" s="3" t="str">
        <f>'1. Master Data'!H139</f>
        <v>Active</v>
      </c>
      <c r="F139" s="4">
        <f>'1. Master Data'!F139</f>
        <v>918</v>
      </c>
      <c r="G139" s="3">
        <f>'1. Master Data'!I139</f>
        <v>30</v>
      </c>
      <c r="H139" s="15">
        <f t="shared" si="11"/>
        <v>27540</v>
      </c>
      <c r="I139" s="3">
        <f>'1. Master Data'!J139</f>
        <v>65</v>
      </c>
      <c r="J139" s="5" t="str">
        <f t="shared" si="12"/>
        <v>Watch</v>
      </c>
      <c r="K139" s="3">
        <f>IF('3. Demand Forecast'!F139=0,99,ROUND(G139/'3. Demand Forecast'!F139,1))</f>
        <v>2.6</v>
      </c>
      <c r="L139" s="3">
        <f>IF(G139=0,0,ROUND('4. ABC XYZ Analysis'!F139/G139,1))</f>
        <v>76.8</v>
      </c>
      <c r="M139" s="5" t="str">
        <f t="shared" si="13"/>
        <v>OK</v>
      </c>
      <c r="N139" s="4">
        <f t="shared" si="14"/>
        <v>0</v>
      </c>
      <c r="O139" s="1" t="str">
        <f t="shared" si="15"/>
        <v>Healthy</v>
      </c>
    </row>
    <row r="140" spans="1:15" ht="15" customHeight="1" x14ac:dyDescent="0.2">
      <c r="A140" s="3" t="str">
        <f>'1. Master Data'!A140</f>
        <v>NT10136</v>
      </c>
      <c r="B140" s="1" t="str">
        <f>'1. Master Data'!B140</f>
        <v>VisionQ 273in QLED</v>
      </c>
      <c r="C140" s="3" t="str">
        <f>'1. Master Data'!C140</f>
        <v>TVs</v>
      </c>
      <c r="D140" s="3" t="str">
        <f>'1. Master Data'!D140</f>
        <v>West DC</v>
      </c>
      <c r="E140" s="3" t="str">
        <f>'1. Master Data'!H140</f>
        <v>Active</v>
      </c>
      <c r="F140" s="4">
        <f>'1. Master Data'!F140</f>
        <v>1488</v>
      </c>
      <c r="G140" s="3">
        <f>'1. Master Data'!I140</f>
        <v>23</v>
      </c>
      <c r="H140" s="15">
        <f t="shared" si="11"/>
        <v>34224</v>
      </c>
      <c r="I140" s="3">
        <f>'1. Master Data'!J140</f>
        <v>63</v>
      </c>
      <c r="J140" s="5" t="str">
        <f t="shared" si="12"/>
        <v>Watch</v>
      </c>
      <c r="K140" s="3">
        <f>IF('3. Demand Forecast'!F140=0,99,ROUND(G140/'3. Demand Forecast'!F140,1))</f>
        <v>3.4</v>
      </c>
      <c r="L140" s="3">
        <f>IF(G140=0,0,ROUND('4. ABC XYZ Analysis'!F140/G140,1))</f>
        <v>20.5</v>
      </c>
      <c r="M140" s="5" t="str">
        <f t="shared" si="13"/>
        <v>OK</v>
      </c>
      <c r="N140" s="4">
        <f t="shared" si="14"/>
        <v>0</v>
      </c>
      <c r="O140" s="1" t="str">
        <f t="shared" si="15"/>
        <v>Healthy</v>
      </c>
    </row>
    <row r="141" spans="1:15" ht="15" customHeight="1" x14ac:dyDescent="0.2">
      <c r="A141" s="3" t="str">
        <f>'1. Master Data'!A141</f>
        <v>NT10137</v>
      </c>
      <c r="B141" s="1" t="str">
        <f>'1. Master Data'!B141</f>
        <v>VisionLED 726in 4K</v>
      </c>
      <c r="C141" s="3" t="str">
        <f>'1. Master Data'!C141</f>
        <v>TVs</v>
      </c>
      <c r="D141" s="3" t="str">
        <f>'1. Master Data'!D141</f>
        <v>West DC</v>
      </c>
      <c r="E141" s="3" t="str">
        <f>'1. Master Data'!H141</f>
        <v>Active</v>
      </c>
      <c r="F141" s="4">
        <f>'1. Master Data'!F141</f>
        <v>374</v>
      </c>
      <c r="G141" s="3">
        <f>'1. Master Data'!I141</f>
        <v>137</v>
      </c>
      <c r="H141" s="15">
        <f t="shared" si="11"/>
        <v>51238</v>
      </c>
      <c r="I141" s="3">
        <f>'1. Master Data'!J141</f>
        <v>52</v>
      </c>
      <c r="J141" s="5" t="str">
        <f t="shared" si="12"/>
        <v>Watch</v>
      </c>
      <c r="K141" s="3">
        <f>IF('3. Demand Forecast'!F141=0,99,ROUND(G141/'3. Demand Forecast'!F141,1))</f>
        <v>2.8</v>
      </c>
      <c r="L141" s="3">
        <f>IF(G141=0,0,ROUND('4. ABC XYZ Analysis'!F141/G141,1))</f>
        <v>7.5</v>
      </c>
      <c r="M141" s="5" t="str">
        <f t="shared" si="13"/>
        <v>OK</v>
      </c>
      <c r="N141" s="4">
        <f t="shared" si="14"/>
        <v>0</v>
      </c>
      <c r="O141" s="1" t="str">
        <f t="shared" si="15"/>
        <v>Healthy</v>
      </c>
    </row>
    <row r="142" spans="1:15" ht="15" customHeight="1" x14ac:dyDescent="0.2">
      <c r="A142" s="3" t="str">
        <f>'1. Master Data'!A142</f>
        <v>NT10138</v>
      </c>
      <c r="B142" s="1" t="str">
        <f>'1. Master Data'!B142</f>
        <v>VisionQ 956in QLED</v>
      </c>
      <c r="C142" s="3" t="str">
        <f>'1. Master Data'!C142</f>
        <v>TVs</v>
      </c>
      <c r="D142" s="3" t="str">
        <f>'1. Master Data'!D142</f>
        <v>West DC</v>
      </c>
      <c r="E142" s="3" t="str">
        <f>'1. Master Data'!H142</f>
        <v>Active</v>
      </c>
      <c r="F142" s="4">
        <f>'1. Master Data'!F142</f>
        <v>1715</v>
      </c>
      <c r="G142" s="3">
        <f>'1. Master Data'!I142</f>
        <v>72</v>
      </c>
      <c r="H142" s="15">
        <f t="shared" si="11"/>
        <v>123480</v>
      </c>
      <c r="I142" s="3">
        <f>'1. Master Data'!J142</f>
        <v>6</v>
      </c>
      <c r="J142" s="5" t="str">
        <f t="shared" si="12"/>
        <v>Fresh</v>
      </c>
      <c r="K142" s="3">
        <f>IF('3. Demand Forecast'!F142=0,99,ROUND(G142/'3. Demand Forecast'!F142,1))</f>
        <v>1.8</v>
      </c>
      <c r="L142" s="3">
        <f>IF(G142=0,0,ROUND('4. ABC XYZ Analysis'!F142/G142,1))</f>
        <v>11.9</v>
      </c>
      <c r="M142" s="5" t="str">
        <f t="shared" si="13"/>
        <v>OK</v>
      </c>
      <c r="N142" s="4">
        <f t="shared" si="14"/>
        <v>0</v>
      </c>
      <c r="O142" s="1" t="str">
        <f t="shared" si="15"/>
        <v>Healthy</v>
      </c>
    </row>
    <row r="143" spans="1:15" ht="15" customHeight="1" x14ac:dyDescent="0.2">
      <c r="A143" s="3" t="str">
        <f>'1. Master Data'!A143</f>
        <v>NT10139</v>
      </c>
      <c r="B143" s="1" t="str">
        <f>'1. Master Data'!B143</f>
        <v>VisionQ 920in QLED</v>
      </c>
      <c r="C143" s="3" t="str">
        <f>'1. Master Data'!C143</f>
        <v>TVs</v>
      </c>
      <c r="D143" s="3" t="str">
        <f>'1. Master Data'!D143</f>
        <v>Central DC</v>
      </c>
      <c r="E143" s="3" t="str">
        <f>'1. Master Data'!H143</f>
        <v>Active</v>
      </c>
      <c r="F143" s="4">
        <f>'1. Master Data'!F143</f>
        <v>1097</v>
      </c>
      <c r="G143" s="3">
        <f>'1. Master Data'!I143</f>
        <v>390</v>
      </c>
      <c r="H143" s="15">
        <f t="shared" si="11"/>
        <v>427830</v>
      </c>
      <c r="I143" s="3">
        <f>'1. Master Data'!J143</f>
        <v>1</v>
      </c>
      <c r="J143" s="5" t="str">
        <f t="shared" si="12"/>
        <v>Fresh</v>
      </c>
      <c r="K143" s="3">
        <f>IF('3. Demand Forecast'!F143=0,99,ROUND(G143/'3. Demand Forecast'!F143,1))</f>
        <v>1.8</v>
      </c>
      <c r="L143" s="3">
        <f>IF(G143=0,0,ROUND('4. ABC XYZ Analysis'!F143/G143,1))</f>
        <v>5.9</v>
      </c>
      <c r="M143" s="5" t="str">
        <f t="shared" si="13"/>
        <v>OK</v>
      </c>
      <c r="N143" s="4">
        <f t="shared" si="14"/>
        <v>0</v>
      </c>
      <c r="O143" s="1" t="str">
        <f t="shared" si="15"/>
        <v>Healthy</v>
      </c>
    </row>
    <row r="144" spans="1:15" ht="15" customHeight="1" x14ac:dyDescent="0.2">
      <c r="A144" s="3" t="str">
        <f>'1. Master Data'!A144</f>
        <v>NT10140</v>
      </c>
      <c r="B144" s="1" t="str">
        <f>'1. Master Data'!B144</f>
        <v>VisionQ 974in QLED</v>
      </c>
      <c r="C144" s="3" t="str">
        <f>'1. Master Data'!C144</f>
        <v>TVs</v>
      </c>
      <c r="D144" s="3" t="str">
        <f>'1. Master Data'!D144</f>
        <v>East DC</v>
      </c>
      <c r="E144" s="3" t="str">
        <f>'1. Master Data'!H144</f>
        <v>Active</v>
      </c>
      <c r="F144" s="4">
        <f>'1. Master Data'!F144</f>
        <v>1497</v>
      </c>
      <c r="G144" s="3">
        <f>'1. Master Data'!I144</f>
        <v>40</v>
      </c>
      <c r="H144" s="15">
        <f t="shared" si="11"/>
        <v>59880</v>
      </c>
      <c r="I144" s="3">
        <f>'1. Master Data'!J144</f>
        <v>31</v>
      </c>
      <c r="J144" s="5" t="str">
        <f t="shared" si="12"/>
        <v>Watch</v>
      </c>
      <c r="K144" s="3">
        <f>IF('3. Demand Forecast'!F144=0,99,ROUND(G144/'3. Demand Forecast'!F144,1))</f>
        <v>2.8</v>
      </c>
      <c r="L144" s="3">
        <f>IF(G144=0,0,ROUND('4. ABC XYZ Analysis'!F144/G144,1))</f>
        <v>79.8</v>
      </c>
      <c r="M144" s="5" t="str">
        <f t="shared" si="13"/>
        <v>OK</v>
      </c>
      <c r="N144" s="4">
        <f t="shared" si="14"/>
        <v>0</v>
      </c>
      <c r="O144" s="1" t="str">
        <f t="shared" si="15"/>
        <v>Healthy</v>
      </c>
    </row>
    <row r="145" spans="1:15" ht="15" customHeight="1" x14ac:dyDescent="0.2">
      <c r="A145" s="3" t="str">
        <f>'1. Master Data'!A145</f>
        <v>NT10141</v>
      </c>
      <c r="B145" s="1" t="str">
        <f>'1. Master Data'!B145</f>
        <v>VisionLED 341in 4K</v>
      </c>
      <c r="C145" s="3" t="str">
        <f>'1. Master Data'!C145</f>
        <v>TVs</v>
      </c>
      <c r="D145" s="3" t="str">
        <f>'1. Master Data'!D145</f>
        <v>East DC</v>
      </c>
      <c r="E145" s="3" t="str">
        <f>'1. Master Data'!H145</f>
        <v>Active</v>
      </c>
      <c r="F145" s="4">
        <f>'1. Master Data'!F145</f>
        <v>1304</v>
      </c>
      <c r="G145" s="3">
        <f>'1. Master Data'!I145</f>
        <v>98</v>
      </c>
      <c r="H145" s="15">
        <f t="shared" si="11"/>
        <v>127792</v>
      </c>
      <c r="I145" s="3">
        <f>'1. Master Data'!J145</f>
        <v>10</v>
      </c>
      <c r="J145" s="5" t="str">
        <f t="shared" si="12"/>
        <v>Fresh</v>
      </c>
      <c r="K145" s="3">
        <f>IF('3. Demand Forecast'!F145=0,99,ROUND(G145/'3. Demand Forecast'!F145,1))</f>
        <v>2.4</v>
      </c>
      <c r="L145" s="3">
        <f>IF(G145=0,0,ROUND('4. ABC XYZ Analysis'!F145/G145,1))</f>
        <v>5.8</v>
      </c>
      <c r="M145" s="5" t="str">
        <f t="shared" si="13"/>
        <v>OK</v>
      </c>
      <c r="N145" s="4">
        <f t="shared" si="14"/>
        <v>0</v>
      </c>
      <c r="O145" s="1" t="str">
        <f t="shared" si="15"/>
        <v>Healthy</v>
      </c>
    </row>
    <row r="146" spans="1:15" ht="15" customHeight="1" x14ac:dyDescent="0.2">
      <c r="A146" s="3" t="str">
        <f>'1. Master Data'!A146</f>
        <v>NT10142</v>
      </c>
      <c r="B146" s="1" t="str">
        <f>'1. Master Data'!B146</f>
        <v>CinemaMax 625in 8K</v>
      </c>
      <c r="C146" s="3" t="str">
        <f>'1. Master Data'!C146</f>
        <v>TVs</v>
      </c>
      <c r="D146" s="3" t="str">
        <f>'1. Master Data'!D146</f>
        <v>Central DC</v>
      </c>
      <c r="E146" s="3" t="str">
        <f>'1. Master Data'!H146</f>
        <v>Active</v>
      </c>
      <c r="F146" s="4">
        <f>'1. Master Data'!F146</f>
        <v>363</v>
      </c>
      <c r="G146" s="3">
        <f>'1. Master Data'!I146</f>
        <v>25</v>
      </c>
      <c r="H146" s="15">
        <f t="shared" si="11"/>
        <v>9075</v>
      </c>
      <c r="I146" s="3">
        <f>'1. Master Data'!J146</f>
        <v>45</v>
      </c>
      <c r="J146" s="5" t="str">
        <f t="shared" si="12"/>
        <v>Watch</v>
      </c>
      <c r="K146" s="3">
        <f>IF('3. Demand Forecast'!F146=0,99,ROUND(G146/'3. Demand Forecast'!F146,1))</f>
        <v>2.7</v>
      </c>
      <c r="L146" s="3">
        <f>IF(G146=0,0,ROUND('4. ABC XYZ Analysis'!F146/G146,1))</f>
        <v>14.7</v>
      </c>
      <c r="M146" s="5" t="str">
        <f t="shared" si="13"/>
        <v>OK</v>
      </c>
      <c r="N146" s="4">
        <f t="shared" si="14"/>
        <v>0</v>
      </c>
      <c r="O146" s="1" t="str">
        <f t="shared" si="15"/>
        <v>Healthy</v>
      </c>
    </row>
    <row r="147" spans="1:15" ht="15" customHeight="1" x14ac:dyDescent="0.2">
      <c r="A147" s="3" t="str">
        <f>'1. Master Data'!A147</f>
        <v>NT10143</v>
      </c>
      <c r="B147" s="1" t="str">
        <f>'1. Master Data'!B147</f>
        <v>VisionLED 568in 4K</v>
      </c>
      <c r="C147" s="3" t="str">
        <f>'1. Master Data'!C147</f>
        <v>TVs</v>
      </c>
      <c r="D147" s="3" t="str">
        <f>'1. Master Data'!D147</f>
        <v>Central DC</v>
      </c>
      <c r="E147" s="3" t="str">
        <f>'1. Master Data'!H147</f>
        <v>Active</v>
      </c>
      <c r="F147" s="4">
        <f>'1. Master Data'!F147</f>
        <v>1356</v>
      </c>
      <c r="G147" s="3">
        <f>'1. Master Data'!I147</f>
        <v>159</v>
      </c>
      <c r="H147" s="15">
        <f t="shared" si="11"/>
        <v>215604</v>
      </c>
      <c r="I147" s="3">
        <f>'1. Master Data'!J147</f>
        <v>57</v>
      </c>
      <c r="J147" s="5" t="str">
        <f t="shared" si="12"/>
        <v>Watch</v>
      </c>
      <c r="K147" s="3">
        <f>IF('3. Demand Forecast'!F147=0,99,ROUND(G147/'3. Demand Forecast'!F147,1))</f>
        <v>2.7</v>
      </c>
      <c r="L147" s="3">
        <f>IF(G147=0,0,ROUND('4. ABC XYZ Analysis'!F147/G147,1))</f>
        <v>6.5</v>
      </c>
      <c r="M147" s="5" t="str">
        <f t="shared" si="13"/>
        <v>OK</v>
      </c>
      <c r="N147" s="4">
        <f t="shared" si="14"/>
        <v>0</v>
      </c>
      <c r="O147" s="1" t="str">
        <f t="shared" si="15"/>
        <v>Healthy</v>
      </c>
    </row>
    <row r="148" spans="1:15" ht="15" customHeight="1" x14ac:dyDescent="0.2">
      <c r="A148" s="3" t="str">
        <f>'1. Master Data'!A148</f>
        <v>NT10144</v>
      </c>
      <c r="B148" s="1" t="str">
        <f>'1. Master Data'!B148</f>
        <v>VisionOLED 428in 4K</v>
      </c>
      <c r="C148" s="3" t="str">
        <f>'1. Master Data'!C148</f>
        <v>TVs</v>
      </c>
      <c r="D148" s="3" t="str">
        <f>'1. Master Data'!D148</f>
        <v>Central DC</v>
      </c>
      <c r="E148" s="3" t="str">
        <f>'1. Master Data'!H148</f>
        <v>Active</v>
      </c>
      <c r="F148" s="4">
        <f>'1. Master Data'!F148</f>
        <v>498</v>
      </c>
      <c r="G148" s="3">
        <f>'1. Master Data'!I148</f>
        <v>70</v>
      </c>
      <c r="H148" s="15">
        <f t="shared" si="11"/>
        <v>34860</v>
      </c>
      <c r="I148" s="3">
        <f>'1. Master Data'!J148</f>
        <v>163</v>
      </c>
      <c r="J148" s="5" t="str">
        <f t="shared" si="12"/>
        <v>Aged</v>
      </c>
      <c r="K148" s="3">
        <f>IF('3. Demand Forecast'!F148=0,99,ROUND(G148/'3. Demand Forecast'!F148,1))</f>
        <v>3.2</v>
      </c>
      <c r="L148" s="3">
        <f>IF(G148=0,0,ROUND('4. ABC XYZ Analysis'!F148/G148,1))</f>
        <v>20.7</v>
      </c>
      <c r="M148" s="5" t="str">
        <f t="shared" si="13"/>
        <v>EXCESS</v>
      </c>
      <c r="N148" s="4">
        <f t="shared" si="14"/>
        <v>34860</v>
      </c>
      <c r="O148" s="1" t="str">
        <f t="shared" si="15"/>
        <v>Reduce orders and monitor</v>
      </c>
    </row>
    <row r="149" spans="1:15" ht="15" customHeight="1" x14ac:dyDescent="0.2">
      <c r="A149" s="3" t="str">
        <f>'1. Master Data'!A149</f>
        <v>NT10145</v>
      </c>
      <c r="B149" s="1" t="str">
        <f>'1. Master Data'!B149</f>
        <v>CinemaMax 201in 8K</v>
      </c>
      <c r="C149" s="3" t="str">
        <f>'1. Master Data'!C149</f>
        <v>TVs</v>
      </c>
      <c r="D149" s="3" t="str">
        <f>'1. Master Data'!D149</f>
        <v>East DC</v>
      </c>
      <c r="E149" s="3" t="str">
        <f>'1. Master Data'!H149</f>
        <v>Active</v>
      </c>
      <c r="F149" s="4">
        <f>'1. Master Data'!F149</f>
        <v>1435</v>
      </c>
      <c r="G149" s="3">
        <f>'1. Master Data'!I149</f>
        <v>127</v>
      </c>
      <c r="H149" s="15">
        <f t="shared" si="11"/>
        <v>182245</v>
      </c>
      <c r="I149" s="3">
        <f>'1. Master Data'!J149</f>
        <v>13</v>
      </c>
      <c r="J149" s="5" t="str">
        <f t="shared" si="12"/>
        <v>Fresh</v>
      </c>
      <c r="K149" s="3">
        <f>IF('3. Demand Forecast'!F149=0,99,ROUND(G149/'3. Demand Forecast'!F149,1))</f>
        <v>2.2999999999999998</v>
      </c>
      <c r="L149" s="3">
        <f>IF(G149=0,0,ROUND('4. ABC XYZ Analysis'!F149/G149,1))</f>
        <v>20.7</v>
      </c>
      <c r="M149" s="5" t="str">
        <f t="shared" si="13"/>
        <v>OK</v>
      </c>
      <c r="N149" s="4">
        <f t="shared" si="14"/>
        <v>0</v>
      </c>
      <c r="O149" s="1" t="str">
        <f t="shared" si="15"/>
        <v>Healthy</v>
      </c>
    </row>
    <row r="150" spans="1:15" ht="15" customHeight="1" x14ac:dyDescent="0.2">
      <c r="A150" s="3" t="str">
        <f>'1. Master Data'!A150</f>
        <v>NT10146</v>
      </c>
      <c r="B150" s="1" t="str">
        <f>'1. Master Data'!B150</f>
        <v>VisionLED 188in 4K</v>
      </c>
      <c r="C150" s="3" t="str">
        <f>'1. Master Data'!C150</f>
        <v>TVs</v>
      </c>
      <c r="D150" s="3" t="str">
        <f>'1. Master Data'!D150</f>
        <v>West DC</v>
      </c>
      <c r="E150" s="3" t="str">
        <f>'1. Master Data'!H150</f>
        <v>Active</v>
      </c>
      <c r="F150" s="4">
        <f>'1. Master Data'!F150</f>
        <v>605</v>
      </c>
      <c r="G150" s="3">
        <f>'1. Master Data'!I150</f>
        <v>41</v>
      </c>
      <c r="H150" s="15">
        <f t="shared" si="11"/>
        <v>24805</v>
      </c>
      <c r="I150" s="3">
        <f>'1. Master Data'!J150</f>
        <v>59</v>
      </c>
      <c r="J150" s="5" t="str">
        <f t="shared" si="12"/>
        <v>Watch</v>
      </c>
      <c r="K150" s="3">
        <f>IF('3. Demand Forecast'!F150=0,99,ROUND(G150/'3. Demand Forecast'!F150,1))</f>
        <v>2.5</v>
      </c>
      <c r="L150" s="3">
        <f>IF(G150=0,0,ROUND('4. ABC XYZ Analysis'!F150/G150,1))</f>
        <v>10.5</v>
      </c>
      <c r="M150" s="5" t="str">
        <f t="shared" si="13"/>
        <v>OK</v>
      </c>
      <c r="N150" s="4">
        <f t="shared" si="14"/>
        <v>0</v>
      </c>
      <c r="O150" s="1" t="str">
        <f t="shared" si="15"/>
        <v>Healthy</v>
      </c>
    </row>
    <row r="151" spans="1:15" ht="15" customHeight="1" x14ac:dyDescent="0.2">
      <c r="A151" s="3" t="str">
        <f>'1. Master Data'!A151</f>
        <v>NT10147</v>
      </c>
      <c r="B151" s="1" t="str">
        <f>'1. Master Data'!B151</f>
        <v>CinemaMax 871in 8K</v>
      </c>
      <c r="C151" s="3" t="str">
        <f>'1. Master Data'!C151</f>
        <v>TVs</v>
      </c>
      <c r="D151" s="3" t="str">
        <f>'1. Master Data'!D151</f>
        <v>East DC</v>
      </c>
      <c r="E151" s="3" t="str">
        <f>'1. Master Data'!H151</f>
        <v>Active</v>
      </c>
      <c r="F151" s="4">
        <f>'1. Master Data'!F151</f>
        <v>342</v>
      </c>
      <c r="G151" s="3">
        <f>'1. Master Data'!I151</f>
        <v>95</v>
      </c>
      <c r="H151" s="15">
        <f t="shared" si="11"/>
        <v>32490</v>
      </c>
      <c r="I151" s="3">
        <f>'1. Master Data'!J151</f>
        <v>28</v>
      </c>
      <c r="J151" s="5" t="str">
        <f t="shared" si="12"/>
        <v>Fresh</v>
      </c>
      <c r="K151" s="3">
        <f>IF('3. Demand Forecast'!F151=0,99,ROUND(G151/'3. Demand Forecast'!F151,1))</f>
        <v>3.8</v>
      </c>
      <c r="L151" s="3">
        <f>IF(G151=0,0,ROUND('4. ABC XYZ Analysis'!F151/G151,1))</f>
        <v>3.8</v>
      </c>
      <c r="M151" s="5" t="str">
        <f t="shared" si="13"/>
        <v>OK</v>
      </c>
      <c r="N151" s="4">
        <f t="shared" si="14"/>
        <v>0</v>
      </c>
      <c r="O151" s="1" t="str">
        <f t="shared" si="15"/>
        <v>Healthy</v>
      </c>
    </row>
    <row r="152" spans="1:15" ht="15" customHeight="1" x14ac:dyDescent="0.2">
      <c r="A152" s="3" t="str">
        <f>'1. Master Data'!A152</f>
        <v>NT10148</v>
      </c>
      <c r="B152" s="1" t="str">
        <f>'1. Master Data'!B152</f>
        <v>CinemaMax 609in 8K</v>
      </c>
      <c r="C152" s="3" t="str">
        <f>'1. Master Data'!C152</f>
        <v>TVs</v>
      </c>
      <c r="D152" s="3" t="str">
        <f>'1. Master Data'!D152</f>
        <v>East DC</v>
      </c>
      <c r="E152" s="3" t="str">
        <f>'1. Master Data'!H152</f>
        <v>Active</v>
      </c>
      <c r="F152" s="4">
        <f>'1. Master Data'!F152</f>
        <v>1273</v>
      </c>
      <c r="G152" s="3">
        <f>'1. Master Data'!I152</f>
        <v>97</v>
      </c>
      <c r="H152" s="15">
        <f t="shared" si="11"/>
        <v>123481</v>
      </c>
      <c r="I152" s="3">
        <f>'1. Master Data'!J152</f>
        <v>36</v>
      </c>
      <c r="J152" s="5" t="str">
        <f t="shared" si="12"/>
        <v>Watch</v>
      </c>
      <c r="K152" s="3">
        <f>IF('3. Demand Forecast'!F152=0,99,ROUND(G152/'3. Demand Forecast'!F152,1))</f>
        <v>2.4</v>
      </c>
      <c r="L152" s="3">
        <f>IF(G152=0,0,ROUND('4. ABC XYZ Analysis'!F152/G152,1))</f>
        <v>31.6</v>
      </c>
      <c r="M152" s="5" t="str">
        <f t="shared" si="13"/>
        <v>OK</v>
      </c>
      <c r="N152" s="4">
        <f t="shared" si="14"/>
        <v>0</v>
      </c>
      <c r="O152" s="1" t="str">
        <f t="shared" si="15"/>
        <v>Healthy</v>
      </c>
    </row>
    <row r="153" spans="1:15" ht="15" customHeight="1" x14ac:dyDescent="0.2">
      <c r="A153" s="3" t="str">
        <f>'1. Master Data'!A153</f>
        <v>NT10149</v>
      </c>
      <c r="B153" s="1" t="str">
        <f>'1. Master Data'!B153</f>
        <v>CinemaMax 755in 8K</v>
      </c>
      <c r="C153" s="3" t="str">
        <f>'1. Master Data'!C153</f>
        <v>TVs</v>
      </c>
      <c r="D153" s="3" t="str">
        <f>'1. Master Data'!D153</f>
        <v>East DC</v>
      </c>
      <c r="E153" s="3" t="str">
        <f>'1. Master Data'!H153</f>
        <v>Active</v>
      </c>
      <c r="F153" s="4">
        <f>'1. Master Data'!F153</f>
        <v>1759</v>
      </c>
      <c r="G153" s="3">
        <f>'1. Master Data'!I153</f>
        <v>145</v>
      </c>
      <c r="H153" s="15">
        <f t="shared" si="11"/>
        <v>255055</v>
      </c>
      <c r="I153" s="3">
        <f>'1. Master Data'!J153</f>
        <v>34</v>
      </c>
      <c r="J153" s="5" t="str">
        <f t="shared" si="12"/>
        <v>Watch</v>
      </c>
      <c r="K153" s="3">
        <f>IF('3. Demand Forecast'!F153=0,99,ROUND(G153/'3. Demand Forecast'!F153,1))</f>
        <v>2.2999999999999998</v>
      </c>
      <c r="L153" s="3">
        <f>IF(G153=0,0,ROUND('4. ABC XYZ Analysis'!F153/G153,1))</f>
        <v>11.4</v>
      </c>
      <c r="M153" s="5" t="str">
        <f t="shared" si="13"/>
        <v>OK</v>
      </c>
      <c r="N153" s="4">
        <f t="shared" si="14"/>
        <v>0</v>
      </c>
      <c r="O153" s="1" t="str">
        <f t="shared" si="15"/>
        <v>Healthy</v>
      </c>
    </row>
    <row r="154" spans="1:15" ht="15" customHeight="1" x14ac:dyDescent="0.2">
      <c r="A154" s="3" t="str">
        <f>'1. Master Data'!A154</f>
        <v>NT10150</v>
      </c>
      <c r="B154" s="1" t="str">
        <f>'1. Master Data'!B154</f>
        <v>VisionLED 977in 4K</v>
      </c>
      <c r="C154" s="3" t="str">
        <f>'1. Master Data'!C154</f>
        <v>TVs</v>
      </c>
      <c r="D154" s="3" t="str">
        <f>'1. Master Data'!D154</f>
        <v>Central DC</v>
      </c>
      <c r="E154" s="3" t="str">
        <f>'1. Master Data'!H154</f>
        <v>Active</v>
      </c>
      <c r="F154" s="4">
        <f>'1. Master Data'!F154</f>
        <v>1541</v>
      </c>
      <c r="G154" s="3">
        <f>'1. Master Data'!I154</f>
        <v>124</v>
      </c>
      <c r="H154" s="15">
        <f t="shared" si="11"/>
        <v>191084</v>
      </c>
      <c r="I154" s="3">
        <f>'1. Master Data'!J154</f>
        <v>39</v>
      </c>
      <c r="J154" s="5" t="str">
        <f t="shared" si="12"/>
        <v>Watch</v>
      </c>
      <c r="K154" s="3">
        <f>IF('3. Demand Forecast'!F154=0,99,ROUND(G154/'3. Demand Forecast'!F154,1))</f>
        <v>2.6</v>
      </c>
      <c r="L154" s="3">
        <f>IF(G154=0,0,ROUND('4. ABC XYZ Analysis'!F154/G154,1))</f>
        <v>2.4</v>
      </c>
      <c r="M154" s="5" t="str">
        <f t="shared" si="13"/>
        <v>OK</v>
      </c>
      <c r="N154" s="4">
        <f t="shared" si="14"/>
        <v>0</v>
      </c>
      <c r="O154" s="1" t="str">
        <f t="shared" si="15"/>
        <v>Healthy</v>
      </c>
    </row>
    <row r="155" spans="1:15" ht="15" customHeight="1" x14ac:dyDescent="0.2">
      <c r="A155" s="3" t="str">
        <f>'1. Master Data'!A155</f>
        <v>NT10151</v>
      </c>
      <c r="B155" s="1" t="str">
        <f>'1. Master Data'!B155</f>
        <v>SoundCore Buds 811</v>
      </c>
      <c r="C155" s="3" t="str">
        <f>'1. Master Data'!C155</f>
        <v>Audio</v>
      </c>
      <c r="D155" s="3" t="str">
        <f>'1. Master Data'!D155</f>
        <v>West DC</v>
      </c>
      <c r="E155" s="3" t="str">
        <f>'1. Master Data'!H155</f>
        <v>EOL</v>
      </c>
      <c r="F155" s="4">
        <f>'1. Master Data'!F155</f>
        <v>207</v>
      </c>
      <c r="G155" s="3">
        <f>'1. Master Data'!I155</f>
        <v>16</v>
      </c>
      <c r="H155" s="15">
        <f t="shared" si="11"/>
        <v>3312</v>
      </c>
      <c r="I155" s="3">
        <f>'1. Master Data'!J155</f>
        <v>145</v>
      </c>
      <c r="J155" s="5" t="str">
        <f t="shared" si="12"/>
        <v>Aged</v>
      </c>
      <c r="K155" s="3">
        <f>IF('3. Demand Forecast'!F155=0,99,ROUND(G155/'3. Demand Forecast'!F155,1))</f>
        <v>11.4</v>
      </c>
      <c r="L155" s="3">
        <f>IF(G155=0,0,ROUND('4. ABC XYZ Analysis'!F155/G155,1))</f>
        <v>44.6</v>
      </c>
      <c r="M155" s="5" t="str">
        <f t="shared" si="13"/>
        <v>EXCESS</v>
      </c>
      <c r="N155" s="4">
        <f t="shared" si="14"/>
        <v>3312</v>
      </c>
      <c r="O155" s="1" t="str">
        <f t="shared" si="15"/>
        <v>Scrap / Liquidate</v>
      </c>
    </row>
    <row r="156" spans="1:15" ht="15" customHeight="1" x14ac:dyDescent="0.2">
      <c r="A156" s="3" t="str">
        <f>'1. Master Data'!A156</f>
        <v>NT10152</v>
      </c>
      <c r="B156" s="1" t="str">
        <f>'1. Master Data'!B156</f>
        <v>StudioPods 426 ANC</v>
      </c>
      <c r="C156" s="3" t="str">
        <f>'1. Master Data'!C156</f>
        <v>Audio</v>
      </c>
      <c r="D156" s="3" t="str">
        <f>'1. Master Data'!D156</f>
        <v>West DC</v>
      </c>
      <c r="E156" s="3" t="str">
        <f>'1. Master Data'!H156</f>
        <v>Active</v>
      </c>
      <c r="F156" s="4">
        <f>'1. Master Data'!F156</f>
        <v>236</v>
      </c>
      <c r="G156" s="3">
        <f>'1. Master Data'!I156</f>
        <v>826</v>
      </c>
      <c r="H156" s="15">
        <f t="shared" si="11"/>
        <v>194936</v>
      </c>
      <c r="I156" s="3">
        <f>'1. Master Data'!J156</f>
        <v>70</v>
      </c>
      <c r="J156" s="5" t="str">
        <f t="shared" si="12"/>
        <v>Watch</v>
      </c>
      <c r="K156" s="3">
        <f>IF('3. Demand Forecast'!F156=0,99,ROUND(G156/'3. Demand Forecast'!F156,1))</f>
        <v>1.6</v>
      </c>
      <c r="L156" s="3">
        <f>IF(G156=0,0,ROUND('4. ABC XYZ Analysis'!F156/G156,1))</f>
        <v>14.3</v>
      </c>
      <c r="M156" s="5" t="str">
        <f t="shared" si="13"/>
        <v>OK</v>
      </c>
      <c r="N156" s="4">
        <f t="shared" si="14"/>
        <v>0</v>
      </c>
      <c r="O156" s="1" t="str">
        <f t="shared" si="15"/>
        <v>Healthy</v>
      </c>
    </row>
    <row r="157" spans="1:15" ht="15" customHeight="1" x14ac:dyDescent="0.2">
      <c r="A157" s="3" t="str">
        <f>'1. Master Data'!A157</f>
        <v>NT10153</v>
      </c>
      <c r="B157" s="1" t="str">
        <f>'1. Master Data'!B157</f>
        <v>BassMax Speaker 640</v>
      </c>
      <c r="C157" s="3" t="str">
        <f>'1. Master Data'!C157</f>
        <v>Audio</v>
      </c>
      <c r="D157" s="3" t="str">
        <f>'1. Master Data'!D157</f>
        <v>Central DC</v>
      </c>
      <c r="E157" s="3" t="str">
        <f>'1. Master Data'!H157</f>
        <v>Active</v>
      </c>
      <c r="F157" s="4">
        <f>'1. Master Data'!F157</f>
        <v>23</v>
      </c>
      <c r="G157" s="3">
        <f>'1. Master Data'!I157</f>
        <v>291</v>
      </c>
      <c r="H157" s="15">
        <f t="shared" si="11"/>
        <v>6693</v>
      </c>
      <c r="I157" s="3">
        <f>'1. Master Data'!J157</f>
        <v>50</v>
      </c>
      <c r="J157" s="5" t="str">
        <f t="shared" si="12"/>
        <v>Watch</v>
      </c>
      <c r="K157" s="3">
        <f>IF('3. Demand Forecast'!F157=0,99,ROUND(G157/'3. Demand Forecast'!F157,1))</f>
        <v>1.5</v>
      </c>
      <c r="L157" s="3">
        <f>IF(G157=0,0,ROUND('4. ABC XYZ Analysis'!F157/G157,1))</f>
        <v>2.2999999999999998</v>
      </c>
      <c r="M157" s="5" t="str">
        <f t="shared" si="13"/>
        <v>OK</v>
      </c>
      <c r="N157" s="4">
        <f t="shared" si="14"/>
        <v>0</v>
      </c>
      <c r="O157" s="1" t="str">
        <f t="shared" si="15"/>
        <v>Healthy</v>
      </c>
    </row>
    <row r="158" spans="1:15" ht="15" customHeight="1" x14ac:dyDescent="0.2">
      <c r="A158" s="3" t="str">
        <f>'1. Master Data'!A158</f>
        <v>NT10154</v>
      </c>
      <c r="B158" s="1" t="str">
        <f>'1. Master Data'!B158</f>
        <v>StudioPods 523 ANC</v>
      </c>
      <c r="C158" s="3" t="str">
        <f>'1. Master Data'!C158</f>
        <v>Audio</v>
      </c>
      <c r="D158" s="3" t="str">
        <f>'1. Master Data'!D158</f>
        <v>Central DC</v>
      </c>
      <c r="E158" s="3" t="str">
        <f>'1. Master Data'!H158</f>
        <v>Active</v>
      </c>
      <c r="F158" s="4">
        <f>'1. Master Data'!F158</f>
        <v>196</v>
      </c>
      <c r="G158" s="3">
        <f>'1. Master Data'!I158</f>
        <v>398</v>
      </c>
      <c r="H158" s="15">
        <f t="shared" si="11"/>
        <v>78008</v>
      </c>
      <c r="I158" s="3">
        <f>'1. Master Data'!J158</f>
        <v>198</v>
      </c>
      <c r="J158" s="5" t="str">
        <f t="shared" si="12"/>
        <v>Obsolete Risk</v>
      </c>
      <c r="K158" s="3">
        <f>IF('3. Demand Forecast'!F158=0,99,ROUND(G158/'3. Demand Forecast'!F158,1))</f>
        <v>3.7</v>
      </c>
      <c r="L158" s="3">
        <f>IF(G158=0,0,ROUND('4. ABC XYZ Analysis'!F158/G158,1))</f>
        <v>0.8</v>
      </c>
      <c r="M158" s="5" t="str">
        <f t="shared" si="13"/>
        <v>EXCESS</v>
      </c>
      <c r="N158" s="4">
        <f t="shared" si="14"/>
        <v>78008</v>
      </c>
      <c r="O158" s="1" t="str">
        <f t="shared" si="15"/>
        <v>Disposition Review</v>
      </c>
    </row>
    <row r="159" spans="1:15" ht="15" customHeight="1" x14ac:dyDescent="0.2">
      <c r="A159" s="3" t="str">
        <f>'1. Master Data'!A159</f>
        <v>NT10155</v>
      </c>
      <c r="B159" s="1" t="str">
        <f>'1. Master Data'!B159</f>
        <v>ClipMic 416 Wireless</v>
      </c>
      <c r="C159" s="3" t="str">
        <f>'1. Master Data'!C159</f>
        <v>Audio</v>
      </c>
      <c r="D159" s="3" t="str">
        <f>'1. Master Data'!D159</f>
        <v>West DC</v>
      </c>
      <c r="E159" s="3" t="str">
        <f>'1. Master Data'!H159</f>
        <v>Active</v>
      </c>
      <c r="F159" s="4">
        <f>'1. Master Data'!F159</f>
        <v>43</v>
      </c>
      <c r="G159" s="3">
        <f>'1. Master Data'!I159</f>
        <v>1099</v>
      </c>
      <c r="H159" s="15">
        <f t="shared" si="11"/>
        <v>47257</v>
      </c>
      <c r="I159" s="3">
        <f>'1. Master Data'!J159</f>
        <v>2</v>
      </c>
      <c r="J159" s="5" t="str">
        <f t="shared" si="12"/>
        <v>Fresh</v>
      </c>
      <c r="K159" s="3">
        <f>IF('3. Demand Forecast'!F159=0,99,ROUND(G159/'3. Demand Forecast'!F159,1))</f>
        <v>1.4</v>
      </c>
      <c r="L159" s="3">
        <f>IF(G159=0,0,ROUND('4. ABC XYZ Analysis'!F159/G159,1))</f>
        <v>1.5</v>
      </c>
      <c r="M159" s="5" t="str">
        <f t="shared" si="13"/>
        <v>OK</v>
      </c>
      <c r="N159" s="4">
        <f t="shared" si="14"/>
        <v>0</v>
      </c>
      <c r="O159" s="1" t="str">
        <f t="shared" si="15"/>
        <v>Healthy</v>
      </c>
    </row>
    <row r="160" spans="1:15" ht="15" customHeight="1" x14ac:dyDescent="0.2">
      <c r="A160" s="3" t="str">
        <f>'1. Master Data'!A160</f>
        <v>NT10156</v>
      </c>
      <c r="B160" s="1" t="str">
        <f>'1. Master Data'!B160</f>
        <v>ClipMic 445 Wireless</v>
      </c>
      <c r="C160" s="3" t="str">
        <f>'1. Master Data'!C160</f>
        <v>Audio</v>
      </c>
      <c r="D160" s="3" t="str">
        <f>'1. Master Data'!D160</f>
        <v>West DC</v>
      </c>
      <c r="E160" s="3" t="str">
        <f>'1. Master Data'!H160</f>
        <v>Active</v>
      </c>
      <c r="F160" s="4">
        <f>'1. Master Data'!F160</f>
        <v>250</v>
      </c>
      <c r="G160" s="3">
        <f>'1. Master Data'!I160</f>
        <v>1034</v>
      </c>
      <c r="H160" s="15">
        <f t="shared" si="11"/>
        <v>258500</v>
      </c>
      <c r="I160" s="3">
        <f>'1. Master Data'!J160</f>
        <v>9</v>
      </c>
      <c r="J160" s="5" t="str">
        <f t="shared" si="12"/>
        <v>Fresh</v>
      </c>
      <c r="K160" s="3">
        <f>IF('3. Demand Forecast'!F160=0,99,ROUND(G160/'3. Demand Forecast'!F160,1))</f>
        <v>1.7</v>
      </c>
      <c r="L160" s="3">
        <f>IF(G160=0,0,ROUND('4. ABC XYZ Analysis'!F160/G160,1))</f>
        <v>0.2</v>
      </c>
      <c r="M160" s="5" t="str">
        <f t="shared" si="13"/>
        <v>OK</v>
      </c>
      <c r="N160" s="4">
        <f t="shared" si="14"/>
        <v>0</v>
      </c>
      <c r="O160" s="1" t="str">
        <f t="shared" si="15"/>
        <v>Healthy</v>
      </c>
    </row>
    <row r="161" spans="1:15" ht="15" customHeight="1" x14ac:dyDescent="0.2">
      <c r="A161" s="3" t="str">
        <f>'1. Master Data'!A161</f>
        <v>NT10157</v>
      </c>
      <c r="B161" s="1" t="str">
        <f>'1. Master Data'!B161</f>
        <v>WaveBar 726 Soundbar</v>
      </c>
      <c r="C161" s="3" t="str">
        <f>'1. Master Data'!C161</f>
        <v>Audio</v>
      </c>
      <c r="D161" s="3" t="str">
        <f>'1. Master Data'!D161</f>
        <v>Central DC</v>
      </c>
      <c r="E161" s="3" t="str">
        <f>'1. Master Data'!H161</f>
        <v>Active</v>
      </c>
      <c r="F161" s="4">
        <f>'1. Master Data'!F161</f>
        <v>111</v>
      </c>
      <c r="G161" s="3">
        <f>'1. Master Data'!I161</f>
        <v>205</v>
      </c>
      <c r="H161" s="15">
        <f t="shared" si="11"/>
        <v>22755</v>
      </c>
      <c r="I161" s="3">
        <f>'1. Master Data'!J161</f>
        <v>46</v>
      </c>
      <c r="J161" s="5" t="str">
        <f t="shared" si="12"/>
        <v>Watch</v>
      </c>
      <c r="K161" s="3">
        <f>IF('3. Demand Forecast'!F161=0,99,ROUND(G161/'3. Demand Forecast'!F161,1))</f>
        <v>1.8</v>
      </c>
      <c r="L161" s="3">
        <f>IF(G161=0,0,ROUND('4. ABC XYZ Analysis'!F161/G161,1))</f>
        <v>4</v>
      </c>
      <c r="M161" s="5" t="str">
        <f t="shared" si="13"/>
        <v>OK</v>
      </c>
      <c r="N161" s="4">
        <f t="shared" si="14"/>
        <v>0</v>
      </c>
      <c r="O161" s="1" t="str">
        <f t="shared" si="15"/>
        <v>Healthy</v>
      </c>
    </row>
    <row r="162" spans="1:15" ht="15" customHeight="1" x14ac:dyDescent="0.2">
      <c r="A162" s="3" t="str">
        <f>'1. Master Data'!A162</f>
        <v>NT10158</v>
      </c>
      <c r="B162" s="1" t="str">
        <f>'1. Master Data'!B162</f>
        <v>WaveBar 698 Soundbar</v>
      </c>
      <c r="C162" s="3" t="str">
        <f>'1. Master Data'!C162</f>
        <v>Audio</v>
      </c>
      <c r="D162" s="3" t="str">
        <f>'1. Master Data'!D162</f>
        <v>Central DC</v>
      </c>
      <c r="E162" s="3" t="str">
        <f>'1. Master Data'!H162</f>
        <v>Active</v>
      </c>
      <c r="F162" s="4">
        <f>'1. Master Data'!F162</f>
        <v>111</v>
      </c>
      <c r="G162" s="3">
        <f>'1. Master Data'!I162</f>
        <v>167</v>
      </c>
      <c r="H162" s="15">
        <f t="shared" si="11"/>
        <v>18537</v>
      </c>
      <c r="I162" s="3">
        <f>'1. Master Data'!J162</f>
        <v>153</v>
      </c>
      <c r="J162" s="5" t="str">
        <f t="shared" si="12"/>
        <v>Aged</v>
      </c>
      <c r="K162" s="3">
        <f>IF('3. Demand Forecast'!F162=0,99,ROUND(G162/'3. Demand Forecast'!F162,1))</f>
        <v>3.5</v>
      </c>
      <c r="L162" s="3">
        <f>IF(G162=0,0,ROUND('4. ABC XYZ Analysis'!F162/G162,1))</f>
        <v>19.3</v>
      </c>
      <c r="M162" s="5" t="str">
        <f t="shared" si="13"/>
        <v>EXCESS</v>
      </c>
      <c r="N162" s="4">
        <f t="shared" si="14"/>
        <v>18537</v>
      </c>
      <c r="O162" s="1" t="str">
        <f t="shared" si="15"/>
        <v>Reduce orders and monitor</v>
      </c>
    </row>
    <row r="163" spans="1:15" ht="15" customHeight="1" x14ac:dyDescent="0.2">
      <c r="A163" s="3" t="str">
        <f>'1. Master Data'!A163</f>
        <v>NT10159</v>
      </c>
      <c r="B163" s="1" t="str">
        <f>'1. Master Data'!B163</f>
        <v>StudioPods 901 ANC</v>
      </c>
      <c r="C163" s="3" t="str">
        <f>'1. Master Data'!C163</f>
        <v>Audio</v>
      </c>
      <c r="D163" s="3" t="str">
        <f>'1. Master Data'!D163</f>
        <v>West DC</v>
      </c>
      <c r="E163" s="3" t="str">
        <f>'1. Master Data'!H163</f>
        <v>Active</v>
      </c>
      <c r="F163" s="4">
        <f>'1. Master Data'!F163</f>
        <v>107</v>
      </c>
      <c r="G163" s="3">
        <f>'1. Master Data'!I163</f>
        <v>584</v>
      </c>
      <c r="H163" s="15">
        <f t="shared" si="11"/>
        <v>62488</v>
      </c>
      <c r="I163" s="3">
        <f>'1. Master Data'!J163</f>
        <v>1</v>
      </c>
      <c r="J163" s="5" t="str">
        <f t="shared" si="12"/>
        <v>Fresh</v>
      </c>
      <c r="K163" s="3">
        <f>IF('3. Demand Forecast'!F163=0,99,ROUND(G163/'3. Demand Forecast'!F163,1))</f>
        <v>1</v>
      </c>
      <c r="L163" s="3">
        <f>IF(G163=0,0,ROUND('4. ABC XYZ Analysis'!F163/G163,1))</f>
        <v>0.6</v>
      </c>
      <c r="M163" s="5" t="str">
        <f t="shared" si="13"/>
        <v>OK</v>
      </c>
      <c r="N163" s="4">
        <f t="shared" si="14"/>
        <v>0</v>
      </c>
      <c r="O163" s="1" t="str">
        <f t="shared" si="15"/>
        <v>Healthy</v>
      </c>
    </row>
    <row r="164" spans="1:15" ht="15" customHeight="1" x14ac:dyDescent="0.2">
      <c r="A164" s="3" t="str">
        <f>'1. Master Data'!A164</f>
        <v>NT10160</v>
      </c>
      <c r="B164" s="1" t="str">
        <f>'1. Master Data'!B164</f>
        <v>StudioPods 653 ANC</v>
      </c>
      <c r="C164" s="3" t="str">
        <f>'1. Master Data'!C164</f>
        <v>Audio</v>
      </c>
      <c r="D164" s="3" t="str">
        <f>'1. Master Data'!D164</f>
        <v>Central DC</v>
      </c>
      <c r="E164" s="3" t="str">
        <f>'1. Master Data'!H164</f>
        <v>Active</v>
      </c>
      <c r="F164" s="4">
        <f>'1. Master Data'!F164</f>
        <v>212</v>
      </c>
      <c r="G164" s="3">
        <f>'1. Master Data'!I164</f>
        <v>162</v>
      </c>
      <c r="H164" s="15">
        <f t="shared" si="11"/>
        <v>34344</v>
      </c>
      <c r="I164" s="3">
        <f>'1. Master Data'!J164</f>
        <v>61</v>
      </c>
      <c r="J164" s="5" t="str">
        <f t="shared" si="12"/>
        <v>Watch</v>
      </c>
      <c r="K164" s="3">
        <f>IF('3. Demand Forecast'!F164=0,99,ROUND(G164/'3. Demand Forecast'!F164,1))</f>
        <v>1.2</v>
      </c>
      <c r="L164" s="3">
        <f>IF(G164=0,0,ROUND('4. ABC XYZ Analysis'!F164/G164,1))</f>
        <v>2.9</v>
      </c>
      <c r="M164" s="5" t="str">
        <f t="shared" si="13"/>
        <v>OK</v>
      </c>
      <c r="N164" s="4">
        <f t="shared" si="14"/>
        <v>0</v>
      </c>
      <c r="O164" s="1" t="str">
        <f t="shared" si="15"/>
        <v>Healthy</v>
      </c>
    </row>
    <row r="165" spans="1:15" ht="15" customHeight="1" x14ac:dyDescent="0.2">
      <c r="A165" s="3" t="str">
        <f>'1. Master Data'!A165</f>
        <v>NT10161</v>
      </c>
      <c r="B165" s="1" t="str">
        <f>'1. Master Data'!B165</f>
        <v>StudioPods 102 ANC</v>
      </c>
      <c r="C165" s="3" t="str">
        <f>'1. Master Data'!C165</f>
        <v>Audio</v>
      </c>
      <c r="D165" s="3" t="str">
        <f>'1. Master Data'!D165</f>
        <v>West DC</v>
      </c>
      <c r="E165" s="3" t="str">
        <f>'1. Master Data'!H165</f>
        <v>Active</v>
      </c>
      <c r="F165" s="4">
        <f>'1. Master Data'!F165</f>
        <v>29</v>
      </c>
      <c r="G165" s="3">
        <f>'1. Master Data'!I165</f>
        <v>765</v>
      </c>
      <c r="H165" s="15">
        <f t="shared" si="11"/>
        <v>22185</v>
      </c>
      <c r="I165" s="3">
        <f>'1. Master Data'!J165</f>
        <v>166</v>
      </c>
      <c r="J165" s="5" t="str">
        <f t="shared" si="12"/>
        <v>Aged</v>
      </c>
      <c r="K165" s="3">
        <f>IF('3. Demand Forecast'!F165=0,99,ROUND(G165/'3. Demand Forecast'!F165,1))</f>
        <v>4</v>
      </c>
      <c r="L165" s="3">
        <f>IF(G165=0,0,ROUND('4. ABC XYZ Analysis'!F165/G165,1))</f>
        <v>0.7</v>
      </c>
      <c r="M165" s="5" t="str">
        <f t="shared" si="13"/>
        <v>EXCESS</v>
      </c>
      <c r="N165" s="4">
        <f t="shared" si="14"/>
        <v>22185</v>
      </c>
      <c r="O165" s="1" t="str">
        <f t="shared" si="15"/>
        <v>Reduce orders and monitor</v>
      </c>
    </row>
    <row r="166" spans="1:15" ht="15" customHeight="1" x14ac:dyDescent="0.2">
      <c r="A166" s="3" t="str">
        <f>'1. Master Data'!A166</f>
        <v>NT10162</v>
      </c>
      <c r="B166" s="1" t="str">
        <f>'1. Master Data'!B166</f>
        <v>ClipMic 567 Wireless</v>
      </c>
      <c r="C166" s="3" t="str">
        <f>'1. Master Data'!C166</f>
        <v>Audio</v>
      </c>
      <c r="D166" s="3" t="str">
        <f>'1. Master Data'!D166</f>
        <v>East DC</v>
      </c>
      <c r="E166" s="3" t="str">
        <f>'1. Master Data'!H166</f>
        <v>Active</v>
      </c>
      <c r="F166" s="4">
        <f>'1. Master Data'!F166</f>
        <v>171</v>
      </c>
      <c r="G166" s="3">
        <f>'1. Master Data'!I166</f>
        <v>326</v>
      </c>
      <c r="H166" s="15">
        <f t="shared" si="11"/>
        <v>55746</v>
      </c>
      <c r="I166" s="3">
        <f>'1. Master Data'!J166</f>
        <v>51</v>
      </c>
      <c r="J166" s="5" t="str">
        <f t="shared" si="12"/>
        <v>Watch</v>
      </c>
      <c r="K166" s="3">
        <f>IF('3. Demand Forecast'!F166=0,99,ROUND(G166/'3. Demand Forecast'!F166,1))</f>
        <v>1.7</v>
      </c>
      <c r="L166" s="3">
        <f>IF(G166=0,0,ROUND('4. ABC XYZ Analysis'!F166/G166,1))</f>
        <v>1.7</v>
      </c>
      <c r="M166" s="5" t="str">
        <f t="shared" si="13"/>
        <v>OK</v>
      </c>
      <c r="N166" s="4">
        <f t="shared" si="14"/>
        <v>0</v>
      </c>
      <c r="O166" s="1" t="str">
        <f t="shared" si="15"/>
        <v>Healthy</v>
      </c>
    </row>
    <row r="167" spans="1:15" ht="15" customHeight="1" x14ac:dyDescent="0.2">
      <c r="A167" s="3" t="str">
        <f>'1. Master Data'!A167</f>
        <v>NT10163</v>
      </c>
      <c r="B167" s="1" t="str">
        <f>'1. Master Data'!B167</f>
        <v>StudioPods 229 ANC</v>
      </c>
      <c r="C167" s="3" t="str">
        <f>'1. Master Data'!C167</f>
        <v>Audio</v>
      </c>
      <c r="D167" s="3" t="str">
        <f>'1. Master Data'!D167</f>
        <v>East DC</v>
      </c>
      <c r="E167" s="3" t="str">
        <f>'1. Master Data'!H167</f>
        <v>Active</v>
      </c>
      <c r="F167" s="4">
        <f>'1. Master Data'!F167</f>
        <v>73</v>
      </c>
      <c r="G167" s="3">
        <f>'1. Master Data'!I167</f>
        <v>65</v>
      </c>
      <c r="H167" s="15">
        <f t="shared" si="11"/>
        <v>4745</v>
      </c>
      <c r="I167" s="3">
        <f>'1. Master Data'!J167</f>
        <v>22</v>
      </c>
      <c r="J167" s="5" t="str">
        <f t="shared" si="12"/>
        <v>Fresh</v>
      </c>
      <c r="K167" s="3">
        <f>IF('3. Demand Forecast'!F167=0,99,ROUND(G167/'3. Demand Forecast'!F167,1))</f>
        <v>1.6</v>
      </c>
      <c r="L167" s="3">
        <f>IF(G167=0,0,ROUND('4. ABC XYZ Analysis'!F167/G167,1))</f>
        <v>54.1</v>
      </c>
      <c r="M167" s="5" t="str">
        <f t="shared" si="13"/>
        <v>OK</v>
      </c>
      <c r="N167" s="4">
        <f t="shared" si="14"/>
        <v>0</v>
      </c>
      <c r="O167" s="1" t="str">
        <f t="shared" si="15"/>
        <v>Healthy</v>
      </c>
    </row>
    <row r="168" spans="1:15" ht="15" customHeight="1" x14ac:dyDescent="0.2">
      <c r="A168" s="3" t="str">
        <f>'1. Master Data'!A168</f>
        <v>NT10164</v>
      </c>
      <c r="B168" s="1" t="str">
        <f>'1. Master Data'!B168</f>
        <v>ClipMic 995 Wireless</v>
      </c>
      <c r="C168" s="3" t="str">
        <f>'1. Master Data'!C168</f>
        <v>Audio</v>
      </c>
      <c r="D168" s="3" t="str">
        <f>'1. Master Data'!D168</f>
        <v>Central DC</v>
      </c>
      <c r="E168" s="3" t="str">
        <f>'1. Master Data'!H168</f>
        <v>Active</v>
      </c>
      <c r="F168" s="4">
        <f>'1. Master Data'!F168</f>
        <v>50</v>
      </c>
      <c r="G168" s="3">
        <f>'1. Master Data'!I168</f>
        <v>98</v>
      </c>
      <c r="H168" s="15">
        <f t="shared" si="11"/>
        <v>4900</v>
      </c>
      <c r="I168" s="3">
        <f>'1. Master Data'!J168</f>
        <v>19</v>
      </c>
      <c r="J168" s="5" t="str">
        <f t="shared" si="12"/>
        <v>Fresh</v>
      </c>
      <c r="K168" s="3">
        <f>IF('3. Demand Forecast'!F168=0,99,ROUND(G168/'3. Demand Forecast'!F168,1))</f>
        <v>1.3</v>
      </c>
      <c r="L168" s="3">
        <f>IF(G168=0,0,ROUND('4. ABC XYZ Analysis'!F168/G168,1))</f>
        <v>8.4</v>
      </c>
      <c r="M168" s="5" t="str">
        <f t="shared" si="13"/>
        <v>OK</v>
      </c>
      <c r="N168" s="4">
        <f t="shared" si="14"/>
        <v>0</v>
      </c>
      <c r="O168" s="1" t="str">
        <f t="shared" si="15"/>
        <v>Healthy</v>
      </c>
    </row>
    <row r="169" spans="1:15" ht="15" customHeight="1" x14ac:dyDescent="0.2">
      <c r="A169" s="3" t="str">
        <f>'1. Master Data'!A169</f>
        <v>NT10165</v>
      </c>
      <c r="B169" s="1" t="str">
        <f>'1. Master Data'!B169</f>
        <v>WaveBar 479 Soundbar</v>
      </c>
      <c r="C169" s="3" t="str">
        <f>'1. Master Data'!C169</f>
        <v>Audio</v>
      </c>
      <c r="D169" s="3" t="str">
        <f>'1. Master Data'!D169</f>
        <v>West DC</v>
      </c>
      <c r="E169" s="3" t="str">
        <f>'1. Master Data'!H169</f>
        <v>Active</v>
      </c>
      <c r="F169" s="4">
        <f>'1. Master Data'!F169</f>
        <v>28</v>
      </c>
      <c r="G169" s="3">
        <f>'1. Master Data'!I169</f>
        <v>470</v>
      </c>
      <c r="H169" s="15">
        <f t="shared" si="11"/>
        <v>13160</v>
      </c>
      <c r="I169" s="3">
        <f>'1. Master Data'!J169</f>
        <v>9</v>
      </c>
      <c r="J169" s="5" t="str">
        <f t="shared" si="12"/>
        <v>Fresh</v>
      </c>
      <c r="K169" s="3">
        <f>IF('3. Demand Forecast'!F169=0,99,ROUND(G169/'3. Demand Forecast'!F169,1))</f>
        <v>1.3</v>
      </c>
      <c r="L169" s="3">
        <f>IF(G169=0,0,ROUND('4. ABC XYZ Analysis'!F169/G169,1))</f>
        <v>6.6</v>
      </c>
      <c r="M169" s="5" t="str">
        <f t="shared" si="13"/>
        <v>OK</v>
      </c>
      <c r="N169" s="4">
        <f t="shared" si="14"/>
        <v>0</v>
      </c>
      <c r="O169" s="1" t="str">
        <f t="shared" si="15"/>
        <v>Healthy</v>
      </c>
    </row>
    <row r="170" spans="1:15" ht="15" customHeight="1" x14ac:dyDescent="0.2">
      <c r="A170" s="3" t="str">
        <f>'1. Master Data'!A170</f>
        <v>NT10166</v>
      </c>
      <c r="B170" s="1" t="str">
        <f>'1. Master Data'!B170</f>
        <v>BassMax Speaker 721</v>
      </c>
      <c r="C170" s="3" t="str">
        <f>'1. Master Data'!C170</f>
        <v>Audio</v>
      </c>
      <c r="D170" s="3" t="str">
        <f>'1. Master Data'!D170</f>
        <v>Central DC</v>
      </c>
      <c r="E170" s="3" t="str">
        <f>'1. Master Data'!H170</f>
        <v>Active</v>
      </c>
      <c r="F170" s="4">
        <f>'1. Master Data'!F170</f>
        <v>27</v>
      </c>
      <c r="G170" s="3">
        <f>'1. Master Data'!I170</f>
        <v>47</v>
      </c>
      <c r="H170" s="15">
        <f t="shared" si="11"/>
        <v>1269</v>
      </c>
      <c r="I170" s="3">
        <f>'1. Master Data'!J170</f>
        <v>60</v>
      </c>
      <c r="J170" s="5" t="str">
        <f t="shared" si="12"/>
        <v>Watch</v>
      </c>
      <c r="K170" s="3">
        <f>IF('3. Demand Forecast'!F170=0,99,ROUND(G170/'3. Demand Forecast'!F170,1))</f>
        <v>2</v>
      </c>
      <c r="L170" s="3">
        <f>IF(G170=0,0,ROUND('4. ABC XYZ Analysis'!F170/G170,1))</f>
        <v>5.8</v>
      </c>
      <c r="M170" s="5" t="str">
        <f t="shared" si="13"/>
        <v>OK</v>
      </c>
      <c r="N170" s="4">
        <f t="shared" si="14"/>
        <v>0</v>
      </c>
      <c r="O170" s="1" t="str">
        <f t="shared" si="15"/>
        <v>Healthy</v>
      </c>
    </row>
    <row r="171" spans="1:15" ht="15" customHeight="1" x14ac:dyDescent="0.2">
      <c r="A171" s="3" t="str">
        <f>'1. Master Data'!A171</f>
        <v>NT10167</v>
      </c>
      <c r="B171" s="1" t="str">
        <f>'1. Master Data'!B171</f>
        <v>WaveBar 750 Soundbar</v>
      </c>
      <c r="C171" s="3" t="str">
        <f>'1. Master Data'!C171</f>
        <v>Audio</v>
      </c>
      <c r="D171" s="3" t="str">
        <f>'1. Master Data'!D171</f>
        <v>East DC</v>
      </c>
      <c r="E171" s="3" t="str">
        <f>'1. Master Data'!H171</f>
        <v>Active</v>
      </c>
      <c r="F171" s="4">
        <f>'1. Master Data'!F171</f>
        <v>88</v>
      </c>
      <c r="G171" s="3">
        <f>'1. Master Data'!I171</f>
        <v>465</v>
      </c>
      <c r="H171" s="15">
        <f t="shared" si="11"/>
        <v>40920</v>
      </c>
      <c r="I171" s="3">
        <f>'1. Master Data'!J171</f>
        <v>26</v>
      </c>
      <c r="J171" s="5" t="str">
        <f t="shared" si="12"/>
        <v>Fresh</v>
      </c>
      <c r="K171" s="3">
        <f>IF('3. Demand Forecast'!F171=0,99,ROUND(G171/'3. Demand Forecast'!F171,1))</f>
        <v>1.1000000000000001</v>
      </c>
      <c r="L171" s="3">
        <f>IF(G171=0,0,ROUND('4. ABC XYZ Analysis'!F171/G171,1))</f>
        <v>3.8</v>
      </c>
      <c r="M171" s="5" t="str">
        <f t="shared" si="13"/>
        <v>OK</v>
      </c>
      <c r="N171" s="4">
        <f t="shared" si="14"/>
        <v>0</v>
      </c>
      <c r="O171" s="1" t="str">
        <f t="shared" si="15"/>
        <v>Healthy</v>
      </c>
    </row>
    <row r="172" spans="1:15" ht="15" customHeight="1" x14ac:dyDescent="0.2">
      <c r="A172" s="3" t="str">
        <f>'1. Master Data'!A172</f>
        <v>NT10168</v>
      </c>
      <c r="B172" s="1" t="str">
        <f>'1. Master Data'!B172</f>
        <v>StudioPods 858 ANC</v>
      </c>
      <c r="C172" s="3" t="str">
        <f>'1. Master Data'!C172</f>
        <v>Audio</v>
      </c>
      <c r="D172" s="3" t="str">
        <f>'1. Master Data'!D172</f>
        <v>West DC</v>
      </c>
      <c r="E172" s="3" t="str">
        <f>'1. Master Data'!H172</f>
        <v>Active</v>
      </c>
      <c r="F172" s="4">
        <f>'1. Master Data'!F172</f>
        <v>174</v>
      </c>
      <c r="G172" s="3">
        <f>'1. Master Data'!I172</f>
        <v>137</v>
      </c>
      <c r="H172" s="15">
        <f t="shared" si="11"/>
        <v>23838</v>
      </c>
      <c r="I172" s="3">
        <f>'1. Master Data'!J172</f>
        <v>20</v>
      </c>
      <c r="J172" s="5" t="str">
        <f t="shared" si="12"/>
        <v>Fresh</v>
      </c>
      <c r="K172" s="3">
        <f>IF('3. Demand Forecast'!F172=0,99,ROUND(G172/'3. Demand Forecast'!F172,1))</f>
        <v>1.7</v>
      </c>
      <c r="L172" s="3">
        <f>IF(G172=0,0,ROUND('4. ABC XYZ Analysis'!F172/G172,1))</f>
        <v>9</v>
      </c>
      <c r="M172" s="5" t="str">
        <f t="shared" si="13"/>
        <v>OK</v>
      </c>
      <c r="N172" s="4">
        <f t="shared" si="14"/>
        <v>0</v>
      </c>
      <c r="O172" s="1" t="str">
        <f t="shared" si="15"/>
        <v>Healthy</v>
      </c>
    </row>
    <row r="173" spans="1:15" ht="15" customHeight="1" x14ac:dyDescent="0.2">
      <c r="A173" s="3" t="str">
        <f>'1. Master Data'!A173</f>
        <v>NT10169</v>
      </c>
      <c r="B173" s="1" t="str">
        <f>'1. Master Data'!B173</f>
        <v>StudioPods 131 ANC</v>
      </c>
      <c r="C173" s="3" t="str">
        <f>'1. Master Data'!C173</f>
        <v>Audio</v>
      </c>
      <c r="D173" s="3" t="str">
        <f>'1. Master Data'!D173</f>
        <v>East DC</v>
      </c>
      <c r="E173" s="3" t="str">
        <f>'1. Master Data'!H173</f>
        <v>Active</v>
      </c>
      <c r="F173" s="4">
        <f>'1. Master Data'!F173</f>
        <v>134</v>
      </c>
      <c r="G173" s="3">
        <f>'1. Master Data'!I173</f>
        <v>188</v>
      </c>
      <c r="H173" s="15">
        <f t="shared" si="11"/>
        <v>25192</v>
      </c>
      <c r="I173" s="3">
        <f>'1. Master Data'!J173</f>
        <v>2</v>
      </c>
      <c r="J173" s="5" t="str">
        <f t="shared" si="12"/>
        <v>Fresh</v>
      </c>
      <c r="K173" s="3">
        <f>IF('3. Demand Forecast'!F173=0,99,ROUND(G173/'3. Demand Forecast'!F173,1))</f>
        <v>1.3</v>
      </c>
      <c r="L173" s="3">
        <f>IF(G173=0,0,ROUND('4. ABC XYZ Analysis'!F173/G173,1))</f>
        <v>2.5</v>
      </c>
      <c r="M173" s="5" t="str">
        <f t="shared" si="13"/>
        <v>OK</v>
      </c>
      <c r="N173" s="4">
        <f t="shared" si="14"/>
        <v>0</v>
      </c>
      <c r="O173" s="1" t="str">
        <f t="shared" si="15"/>
        <v>Healthy</v>
      </c>
    </row>
    <row r="174" spans="1:15" ht="15" customHeight="1" x14ac:dyDescent="0.2">
      <c r="A174" s="3" t="str">
        <f>'1. Master Data'!A174</f>
        <v>NT10170</v>
      </c>
      <c r="B174" s="1" t="str">
        <f>'1. Master Data'!B174</f>
        <v>SoundCore Buds 475</v>
      </c>
      <c r="C174" s="3" t="str">
        <f>'1. Master Data'!C174</f>
        <v>Audio</v>
      </c>
      <c r="D174" s="3" t="str">
        <f>'1. Master Data'!D174</f>
        <v>East DC</v>
      </c>
      <c r="E174" s="3" t="str">
        <f>'1. Master Data'!H174</f>
        <v>Active</v>
      </c>
      <c r="F174" s="4">
        <f>'1. Master Data'!F174</f>
        <v>156</v>
      </c>
      <c r="G174" s="3">
        <f>'1. Master Data'!I174</f>
        <v>150</v>
      </c>
      <c r="H174" s="15">
        <f t="shared" si="11"/>
        <v>23400</v>
      </c>
      <c r="I174" s="3">
        <f>'1. Master Data'!J174</f>
        <v>21</v>
      </c>
      <c r="J174" s="5" t="str">
        <f t="shared" si="12"/>
        <v>Fresh</v>
      </c>
      <c r="K174" s="3">
        <f>IF('3. Demand Forecast'!F174=0,99,ROUND(G174/'3. Demand Forecast'!F174,1))</f>
        <v>1.5</v>
      </c>
      <c r="L174" s="3">
        <f>IF(G174=0,0,ROUND('4. ABC XYZ Analysis'!F174/G174,1))</f>
        <v>2.8</v>
      </c>
      <c r="M174" s="5" t="str">
        <f t="shared" si="13"/>
        <v>OK</v>
      </c>
      <c r="N174" s="4">
        <f t="shared" si="14"/>
        <v>0</v>
      </c>
      <c r="O174" s="1" t="str">
        <f t="shared" si="15"/>
        <v>Healthy</v>
      </c>
    </row>
    <row r="175" spans="1:15" ht="15" customHeight="1" x14ac:dyDescent="0.2">
      <c r="A175" s="3" t="str">
        <f>'1. Master Data'!A175</f>
        <v>NT10171</v>
      </c>
      <c r="B175" s="1" t="str">
        <f>'1. Master Data'!B175</f>
        <v>StudioPods 651 ANC</v>
      </c>
      <c r="C175" s="3" t="str">
        <f>'1. Master Data'!C175</f>
        <v>Audio</v>
      </c>
      <c r="D175" s="3" t="str">
        <f>'1. Master Data'!D175</f>
        <v>Central DC</v>
      </c>
      <c r="E175" s="3" t="str">
        <f>'1. Master Data'!H175</f>
        <v>Active</v>
      </c>
      <c r="F175" s="4">
        <f>'1. Master Data'!F175</f>
        <v>33</v>
      </c>
      <c r="G175" s="3">
        <f>'1. Master Data'!I175</f>
        <v>336</v>
      </c>
      <c r="H175" s="15">
        <f t="shared" si="11"/>
        <v>11088</v>
      </c>
      <c r="I175" s="3">
        <f>'1. Master Data'!J175</f>
        <v>59</v>
      </c>
      <c r="J175" s="5" t="str">
        <f t="shared" si="12"/>
        <v>Watch</v>
      </c>
      <c r="K175" s="3">
        <f>IF('3. Demand Forecast'!F175=0,99,ROUND(G175/'3. Demand Forecast'!F175,1))</f>
        <v>1.5</v>
      </c>
      <c r="L175" s="3">
        <f>IF(G175=0,0,ROUND('4. ABC XYZ Analysis'!F175/G175,1))</f>
        <v>5.5</v>
      </c>
      <c r="M175" s="5" t="str">
        <f t="shared" si="13"/>
        <v>OK</v>
      </c>
      <c r="N175" s="4">
        <f t="shared" si="14"/>
        <v>0</v>
      </c>
      <c r="O175" s="1" t="str">
        <f t="shared" si="15"/>
        <v>Healthy</v>
      </c>
    </row>
    <row r="176" spans="1:15" ht="15" customHeight="1" x14ac:dyDescent="0.2">
      <c r="A176" s="3" t="str">
        <f>'1. Master Data'!A176</f>
        <v>NT10172</v>
      </c>
      <c r="B176" s="1" t="str">
        <f>'1. Master Data'!B176</f>
        <v>BassMax Speaker 274</v>
      </c>
      <c r="C176" s="3" t="str">
        <f>'1. Master Data'!C176</f>
        <v>Audio</v>
      </c>
      <c r="D176" s="3" t="str">
        <f>'1. Master Data'!D176</f>
        <v>West DC</v>
      </c>
      <c r="E176" s="3" t="str">
        <f>'1. Master Data'!H176</f>
        <v>Active</v>
      </c>
      <c r="F176" s="4">
        <f>'1. Master Data'!F176</f>
        <v>156</v>
      </c>
      <c r="G176" s="3">
        <f>'1. Master Data'!I176</f>
        <v>255</v>
      </c>
      <c r="H176" s="15">
        <f t="shared" si="11"/>
        <v>39780</v>
      </c>
      <c r="I176" s="3">
        <f>'1. Master Data'!J176</f>
        <v>68</v>
      </c>
      <c r="J176" s="5" t="str">
        <f t="shared" si="12"/>
        <v>Watch</v>
      </c>
      <c r="K176" s="3">
        <f>IF('3. Demand Forecast'!F176=0,99,ROUND(G176/'3. Demand Forecast'!F176,1))</f>
        <v>2.5</v>
      </c>
      <c r="L176" s="3">
        <f>IF(G176=0,0,ROUND('4. ABC XYZ Analysis'!F176/G176,1))</f>
        <v>1</v>
      </c>
      <c r="M176" s="5" t="str">
        <f t="shared" si="13"/>
        <v>OK</v>
      </c>
      <c r="N176" s="4">
        <f t="shared" si="14"/>
        <v>0</v>
      </c>
      <c r="O176" s="1" t="str">
        <f t="shared" si="15"/>
        <v>Healthy</v>
      </c>
    </row>
    <row r="177" spans="1:15" ht="15" customHeight="1" x14ac:dyDescent="0.2">
      <c r="A177" s="3" t="str">
        <f>'1. Master Data'!A177</f>
        <v>NT10173</v>
      </c>
      <c r="B177" s="1" t="str">
        <f>'1. Master Data'!B177</f>
        <v>WaveBar 471 Soundbar</v>
      </c>
      <c r="C177" s="3" t="str">
        <f>'1. Master Data'!C177</f>
        <v>Audio</v>
      </c>
      <c r="D177" s="3" t="str">
        <f>'1. Master Data'!D177</f>
        <v>East DC</v>
      </c>
      <c r="E177" s="3" t="str">
        <f>'1. Master Data'!H177</f>
        <v>Active</v>
      </c>
      <c r="F177" s="4">
        <f>'1. Master Data'!F177</f>
        <v>209</v>
      </c>
      <c r="G177" s="3">
        <f>'1. Master Data'!I177</f>
        <v>87</v>
      </c>
      <c r="H177" s="15">
        <f t="shared" si="11"/>
        <v>18183</v>
      </c>
      <c r="I177" s="3">
        <f>'1. Master Data'!J177</f>
        <v>57</v>
      </c>
      <c r="J177" s="5" t="str">
        <f t="shared" si="12"/>
        <v>Watch</v>
      </c>
      <c r="K177" s="3">
        <f>IF('3. Demand Forecast'!F177=0,99,ROUND(G177/'3. Demand Forecast'!F177,1))</f>
        <v>2.2000000000000002</v>
      </c>
      <c r="L177" s="3">
        <f>IF(G177=0,0,ROUND('4. ABC XYZ Analysis'!F177/G177,1))</f>
        <v>55</v>
      </c>
      <c r="M177" s="5" t="str">
        <f t="shared" si="13"/>
        <v>OK</v>
      </c>
      <c r="N177" s="4">
        <f t="shared" si="14"/>
        <v>0</v>
      </c>
      <c r="O177" s="1" t="str">
        <f t="shared" si="15"/>
        <v>Healthy</v>
      </c>
    </row>
    <row r="178" spans="1:15" ht="15" customHeight="1" x14ac:dyDescent="0.2">
      <c r="A178" s="3" t="str">
        <f>'1. Master Data'!A178</f>
        <v>NT10174</v>
      </c>
      <c r="B178" s="1" t="str">
        <f>'1. Master Data'!B178</f>
        <v>ClipMic 238 Wireless</v>
      </c>
      <c r="C178" s="3" t="str">
        <f>'1. Master Data'!C178</f>
        <v>Audio</v>
      </c>
      <c r="D178" s="3" t="str">
        <f>'1. Master Data'!D178</f>
        <v>East DC</v>
      </c>
      <c r="E178" s="3" t="str">
        <f>'1. Master Data'!H178</f>
        <v>Active</v>
      </c>
      <c r="F178" s="4">
        <f>'1. Master Data'!F178</f>
        <v>219</v>
      </c>
      <c r="G178" s="3">
        <f>'1. Master Data'!I178</f>
        <v>113</v>
      </c>
      <c r="H178" s="15">
        <f t="shared" si="11"/>
        <v>24747</v>
      </c>
      <c r="I178" s="3">
        <f>'1. Master Data'!J178</f>
        <v>1</v>
      </c>
      <c r="J178" s="5" t="str">
        <f t="shared" si="12"/>
        <v>Fresh</v>
      </c>
      <c r="K178" s="3">
        <f>IF('3. Demand Forecast'!F178=0,99,ROUND(G178/'3. Demand Forecast'!F178,1))</f>
        <v>1.9</v>
      </c>
      <c r="L178" s="3">
        <f>IF(G178=0,0,ROUND('4. ABC XYZ Analysis'!F178/G178,1))</f>
        <v>3.3</v>
      </c>
      <c r="M178" s="5" t="str">
        <f t="shared" si="13"/>
        <v>OK</v>
      </c>
      <c r="N178" s="4">
        <f t="shared" si="14"/>
        <v>0</v>
      </c>
      <c r="O178" s="1" t="str">
        <f t="shared" si="15"/>
        <v>Healthy</v>
      </c>
    </row>
    <row r="179" spans="1:15" ht="15" customHeight="1" x14ac:dyDescent="0.2">
      <c r="A179" s="3" t="str">
        <f>'1. Master Data'!A179</f>
        <v>NT10175</v>
      </c>
      <c r="B179" s="1" t="str">
        <f>'1. Master Data'!B179</f>
        <v>StudioPods 585 ANC</v>
      </c>
      <c r="C179" s="3" t="str">
        <f>'1. Master Data'!C179</f>
        <v>Audio</v>
      </c>
      <c r="D179" s="3" t="str">
        <f>'1. Master Data'!D179</f>
        <v>West DC</v>
      </c>
      <c r="E179" s="3" t="str">
        <f>'1. Master Data'!H179</f>
        <v>Active</v>
      </c>
      <c r="F179" s="4">
        <f>'1. Master Data'!F179</f>
        <v>53</v>
      </c>
      <c r="G179" s="3">
        <f>'1. Master Data'!I179</f>
        <v>208</v>
      </c>
      <c r="H179" s="15">
        <f t="shared" si="11"/>
        <v>11024</v>
      </c>
      <c r="I179" s="3">
        <f>'1. Master Data'!J179</f>
        <v>145</v>
      </c>
      <c r="J179" s="5" t="str">
        <f t="shared" si="12"/>
        <v>Aged</v>
      </c>
      <c r="K179" s="3">
        <f>IF('3. Demand Forecast'!F179=0,99,ROUND(G179/'3. Demand Forecast'!F179,1))</f>
        <v>3.4</v>
      </c>
      <c r="L179" s="3">
        <f>IF(G179=0,0,ROUND('4. ABC XYZ Analysis'!F179/G179,1))</f>
        <v>18.2</v>
      </c>
      <c r="M179" s="5" t="str">
        <f t="shared" si="13"/>
        <v>EXCESS</v>
      </c>
      <c r="N179" s="4">
        <f t="shared" si="14"/>
        <v>11024</v>
      </c>
      <c r="O179" s="1" t="str">
        <f t="shared" si="15"/>
        <v>Reduce orders and monitor</v>
      </c>
    </row>
    <row r="180" spans="1:15" ht="15" customHeight="1" x14ac:dyDescent="0.2">
      <c r="A180" s="3" t="str">
        <f>'1. Master Data'!A180</f>
        <v>NT10176</v>
      </c>
      <c r="B180" s="1" t="str">
        <f>'1. Master Data'!B180</f>
        <v>SoundCore Buds 312</v>
      </c>
      <c r="C180" s="3" t="str">
        <f>'1. Master Data'!C180</f>
        <v>Audio</v>
      </c>
      <c r="D180" s="3" t="str">
        <f>'1. Master Data'!D180</f>
        <v>Central DC</v>
      </c>
      <c r="E180" s="3" t="str">
        <f>'1. Master Data'!H180</f>
        <v>Active</v>
      </c>
      <c r="F180" s="4">
        <f>'1. Master Data'!F180</f>
        <v>81</v>
      </c>
      <c r="G180" s="3">
        <f>'1. Master Data'!I180</f>
        <v>84</v>
      </c>
      <c r="H180" s="15">
        <f t="shared" si="11"/>
        <v>6804</v>
      </c>
      <c r="I180" s="3">
        <f>'1. Master Data'!J180</f>
        <v>22</v>
      </c>
      <c r="J180" s="5" t="str">
        <f t="shared" si="12"/>
        <v>Fresh</v>
      </c>
      <c r="K180" s="3">
        <f>IF('3. Demand Forecast'!F180=0,99,ROUND(G180/'3. Demand Forecast'!F180,1))</f>
        <v>1.3</v>
      </c>
      <c r="L180" s="3">
        <f>IF(G180=0,0,ROUND('4. ABC XYZ Analysis'!F180/G180,1))</f>
        <v>22.3</v>
      </c>
      <c r="M180" s="5" t="str">
        <f t="shared" si="13"/>
        <v>OK</v>
      </c>
      <c r="N180" s="4">
        <f t="shared" si="14"/>
        <v>0</v>
      </c>
      <c r="O180" s="1" t="str">
        <f t="shared" si="15"/>
        <v>Healthy</v>
      </c>
    </row>
    <row r="181" spans="1:15" ht="15" customHeight="1" x14ac:dyDescent="0.2">
      <c r="A181" s="3" t="str">
        <f>'1. Master Data'!A181</f>
        <v>NT10177</v>
      </c>
      <c r="B181" s="1" t="str">
        <f>'1. Master Data'!B181</f>
        <v>StudioPods 405 ANC</v>
      </c>
      <c r="C181" s="3" t="str">
        <f>'1. Master Data'!C181</f>
        <v>Audio</v>
      </c>
      <c r="D181" s="3" t="str">
        <f>'1. Master Data'!D181</f>
        <v>East DC</v>
      </c>
      <c r="E181" s="3" t="str">
        <f>'1. Master Data'!H181</f>
        <v>Active</v>
      </c>
      <c r="F181" s="4">
        <f>'1. Master Data'!F181</f>
        <v>32</v>
      </c>
      <c r="G181" s="3">
        <f>'1. Master Data'!I181</f>
        <v>474</v>
      </c>
      <c r="H181" s="15">
        <f t="shared" si="11"/>
        <v>15168</v>
      </c>
      <c r="I181" s="3">
        <f>'1. Master Data'!J181</f>
        <v>98</v>
      </c>
      <c r="J181" s="5" t="str">
        <f t="shared" si="12"/>
        <v>Aged</v>
      </c>
      <c r="K181" s="3">
        <f>IF('3. Demand Forecast'!F181=0,99,ROUND(G181/'3. Demand Forecast'!F181,1))</f>
        <v>3.7</v>
      </c>
      <c r="L181" s="3">
        <f>IF(G181=0,0,ROUND('4. ABC XYZ Analysis'!F181/G181,1))</f>
        <v>0.4</v>
      </c>
      <c r="M181" s="5" t="str">
        <f t="shared" si="13"/>
        <v>EXCESS</v>
      </c>
      <c r="N181" s="4">
        <f t="shared" si="14"/>
        <v>15168</v>
      </c>
      <c r="O181" s="1" t="str">
        <f t="shared" si="15"/>
        <v>Reduce orders and monitor</v>
      </c>
    </row>
    <row r="182" spans="1:15" ht="15" customHeight="1" x14ac:dyDescent="0.2">
      <c r="A182" s="3" t="str">
        <f>'1. Master Data'!A182</f>
        <v>NT10178</v>
      </c>
      <c r="B182" s="1" t="str">
        <f>'1. Master Data'!B182</f>
        <v>BassMax Speaker 653</v>
      </c>
      <c r="C182" s="3" t="str">
        <f>'1. Master Data'!C182</f>
        <v>Audio</v>
      </c>
      <c r="D182" s="3" t="str">
        <f>'1. Master Data'!D182</f>
        <v>Central DC</v>
      </c>
      <c r="E182" s="3" t="str">
        <f>'1. Master Data'!H182</f>
        <v>Active</v>
      </c>
      <c r="F182" s="4">
        <f>'1. Master Data'!F182</f>
        <v>95</v>
      </c>
      <c r="G182" s="3">
        <f>'1. Master Data'!I182</f>
        <v>121</v>
      </c>
      <c r="H182" s="15">
        <f t="shared" si="11"/>
        <v>11495</v>
      </c>
      <c r="I182" s="3">
        <f>'1. Master Data'!J182</f>
        <v>49</v>
      </c>
      <c r="J182" s="5" t="str">
        <f t="shared" si="12"/>
        <v>Watch</v>
      </c>
      <c r="K182" s="3">
        <f>IF('3. Demand Forecast'!F182=0,99,ROUND(G182/'3. Demand Forecast'!F182,1))</f>
        <v>1.2</v>
      </c>
      <c r="L182" s="3">
        <f>IF(G182=0,0,ROUND('4. ABC XYZ Analysis'!F182/G182,1))</f>
        <v>16.7</v>
      </c>
      <c r="M182" s="5" t="str">
        <f t="shared" si="13"/>
        <v>OK</v>
      </c>
      <c r="N182" s="4">
        <f t="shared" si="14"/>
        <v>0</v>
      </c>
      <c r="O182" s="1" t="str">
        <f t="shared" si="15"/>
        <v>Healthy</v>
      </c>
    </row>
    <row r="183" spans="1:15" ht="15" customHeight="1" x14ac:dyDescent="0.2">
      <c r="A183" s="3" t="str">
        <f>'1. Master Data'!A183</f>
        <v>NT10179</v>
      </c>
      <c r="B183" s="1" t="str">
        <f>'1. Master Data'!B183</f>
        <v>SoundCore Buds 359</v>
      </c>
      <c r="C183" s="3" t="str">
        <f>'1. Master Data'!C183</f>
        <v>Audio</v>
      </c>
      <c r="D183" s="3" t="str">
        <f>'1. Master Data'!D183</f>
        <v>West DC</v>
      </c>
      <c r="E183" s="3" t="str">
        <f>'1. Master Data'!H183</f>
        <v>Active</v>
      </c>
      <c r="F183" s="4">
        <f>'1. Master Data'!F183</f>
        <v>229</v>
      </c>
      <c r="G183" s="3">
        <f>'1. Master Data'!I183</f>
        <v>111</v>
      </c>
      <c r="H183" s="15">
        <f t="shared" si="11"/>
        <v>25419</v>
      </c>
      <c r="I183" s="3">
        <f>'1. Master Data'!J183</f>
        <v>42</v>
      </c>
      <c r="J183" s="5" t="str">
        <f t="shared" si="12"/>
        <v>Watch</v>
      </c>
      <c r="K183" s="3">
        <f>IF('3. Demand Forecast'!F183=0,99,ROUND(G183/'3. Demand Forecast'!F183,1))</f>
        <v>2.2999999999999998</v>
      </c>
      <c r="L183" s="3">
        <f>IF(G183=0,0,ROUND('4. ABC XYZ Analysis'!F183/G183,1))</f>
        <v>99.5</v>
      </c>
      <c r="M183" s="5" t="str">
        <f t="shared" si="13"/>
        <v>OK</v>
      </c>
      <c r="N183" s="4">
        <f t="shared" si="14"/>
        <v>0</v>
      </c>
      <c r="O183" s="1" t="str">
        <f t="shared" si="15"/>
        <v>Healthy</v>
      </c>
    </row>
    <row r="184" spans="1:15" ht="15" customHeight="1" x14ac:dyDescent="0.2">
      <c r="A184" s="3" t="str">
        <f>'1. Master Data'!A184</f>
        <v>NT10180</v>
      </c>
      <c r="B184" s="1" t="str">
        <f>'1. Master Data'!B184</f>
        <v>ClipMic 324 Wireless</v>
      </c>
      <c r="C184" s="3" t="str">
        <f>'1. Master Data'!C184</f>
        <v>Audio</v>
      </c>
      <c r="D184" s="3" t="str">
        <f>'1. Master Data'!D184</f>
        <v>West DC</v>
      </c>
      <c r="E184" s="3" t="str">
        <f>'1. Master Data'!H184</f>
        <v>Active</v>
      </c>
      <c r="F184" s="4">
        <f>'1. Master Data'!F184</f>
        <v>230</v>
      </c>
      <c r="G184" s="3">
        <f>'1. Master Data'!I184</f>
        <v>309</v>
      </c>
      <c r="H184" s="15">
        <f t="shared" si="11"/>
        <v>71070</v>
      </c>
      <c r="I184" s="3">
        <f>'1. Master Data'!J184</f>
        <v>30</v>
      </c>
      <c r="J184" s="5" t="str">
        <f t="shared" si="12"/>
        <v>Fresh</v>
      </c>
      <c r="K184" s="3">
        <f>IF('3. Demand Forecast'!F184=0,99,ROUND(G184/'3. Demand Forecast'!F184,1))</f>
        <v>1.4</v>
      </c>
      <c r="L184" s="3">
        <f>IF(G184=0,0,ROUND('4. ABC XYZ Analysis'!F184/G184,1))</f>
        <v>3.3</v>
      </c>
      <c r="M184" s="5" t="str">
        <f t="shared" si="13"/>
        <v>OK</v>
      </c>
      <c r="N184" s="4">
        <f t="shared" si="14"/>
        <v>0</v>
      </c>
      <c r="O184" s="1" t="str">
        <f t="shared" si="15"/>
        <v>Healthy</v>
      </c>
    </row>
    <row r="185" spans="1:15" ht="15" customHeight="1" x14ac:dyDescent="0.2">
      <c r="A185" s="3" t="str">
        <f>'1. Master Data'!A185</f>
        <v>NT10181</v>
      </c>
      <c r="B185" s="1" t="str">
        <f>'1. Master Data'!B185</f>
        <v>WaveBar 806 Soundbar</v>
      </c>
      <c r="C185" s="3" t="str">
        <f>'1. Master Data'!C185</f>
        <v>Audio</v>
      </c>
      <c r="D185" s="3" t="str">
        <f>'1. Master Data'!D185</f>
        <v>Central DC</v>
      </c>
      <c r="E185" s="3" t="str">
        <f>'1. Master Data'!H185</f>
        <v>Active</v>
      </c>
      <c r="F185" s="4">
        <f>'1. Master Data'!F185</f>
        <v>175</v>
      </c>
      <c r="G185" s="3">
        <f>'1. Master Data'!I185</f>
        <v>70</v>
      </c>
      <c r="H185" s="15">
        <f t="shared" si="11"/>
        <v>12250</v>
      </c>
      <c r="I185" s="3">
        <f>'1. Master Data'!J185</f>
        <v>45</v>
      </c>
      <c r="J185" s="5" t="str">
        <f t="shared" si="12"/>
        <v>Watch</v>
      </c>
      <c r="K185" s="3">
        <f>IF('3. Demand Forecast'!F185=0,99,ROUND(G185/'3. Demand Forecast'!F185,1))</f>
        <v>1.2</v>
      </c>
      <c r="L185" s="3">
        <f>IF(G185=0,0,ROUND('4. ABC XYZ Analysis'!F185/G185,1))</f>
        <v>98.6</v>
      </c>
      <c r="M185" s="5" t="str">
        <f t="shared" si="13"/>
        <v>OK</v>
      </c>
      <c r="N185" s="4">
        <f t="shared" si="14"/>
        <v>0</v>
      </c>
      <c r="O185" s="1" t="str">
        <f t="shared" si="15"/>
        <v>Healthy</v>
      </c>
    </row>
    <row r="186" spans="1:15" ht="15" customHeight="1" x14ac:dyDescent="0.2">
      <c r="A186" s="3" t="str">
        <f>'1. Master Data'!A186</f>
        <v>NT10182</v>
      </c>
      <c r="B186" s="1" t="str">
        <f>'1. Master Data'!B186</f>
        <v>ClipMic 749 Wireless</v>
      </c>
      <c r="C186" s="3" t="str">
        <f>'1. Master Data'!C186</f>
        <v>Audio</v>
      </c>
      <c r="D186" s="3" t="str">
        <f>'1. Master Data'!D186</f>
        <v>East DC</v>
      </c>
      <c r="E186" s="3" t="str">
        <f>'1. Master Data'!H186</f>
        <v>Active</v>
      </c>
      <c r="F186" s="4">
        <f>'1. Master Data'!F186</f>
        <v>118</v>
      </c>
      <c r="G186" s="3">
        <f>'1. Master Data'!I186</f>
        <v>289</v>
      </c>
      <c r="H186" s="15">
        <f t="shared" si="11"/>
        <v>34102</v>
      </c>
      <c r="I186" s="3">
        <f>'1. Master Data'!J186</f>
        <v>138</v>
      </c>
      <c r="J186" s="5" t="str">
        <f t="shared" si="12"/>
        <v>Aged</v>
      </c>
      <c r="K186" s="3">
        <f>IF('3. Demand Forecast'!F186=0,99,ROUND(G186/'3. Demand Forecast'!F186,1))</f>
        <v>3.6</v>
      </c>
      <c r="L186" s="3">
        <f>IF(G186=0,0,ROUND('4. ABC XYZ Analysis'!F186/G186,1))</f>
        <v>2.1</v>
      </c>
      <c r="M186" s="5" t="str">
        <f t="shared" si="13"/>
        <v>EXCESS</v>
      </c>
      <c r="N186" s="4">
        <f t="shared" si="14"/>
        <v>34102</v>
      </c>
      <c r="O186" s="1" t="str">
        <f t="shared" si="15"/>
        <v>Reduce orders and monitor</v>
      </c>
    </row>
    <row r="187" spans="1:15" ht="15" customHeight="1" x14ac:dyDescent="0.2">
      <c r="A187" s="3" t="str">
        <f>'1. Master Data'!A187</f>
        <v>NT10183</v>
      </c>
      <c r="B187" s="1" t="str">
        <f>'1. Master Data'!B187</f>
        <v>WaveBar 576 Soundbar</v>
      </c>
      <c r="C187" s="3" t="str">
        <f>'1. Master Data'!C187</f>
        <v>Audio</v>
      </c>
      <c r="D187" s="3" t="str">
        <f>'1. Master Data'!D187</f>
        <v>Central DC</v>
      </c>
      <c r="E187" s="3" t="str">
        <f>'1. Master Data'!H187</f>
        <v>Active</v>
      </c>
      <c r="F187" s="4">
        <f>'1. Master Data'!F187</f>
        <v>168</v>
      </c>
      <c r="G187" s="3">
        <f>'1. Master Data'!I187</f>
        <v>226</v>
      </c>
      <c r="H187" s="15">
        <f t="shared" si="11"/>
        <v>37968</v>
      </c>
      <c r="I187" s="3">
        <f>'1. Master Data'!J187</f>
        <v>7</v>
      </c>
      <c r="J187" s="5" t="str">
        <f t="shared" si="12"/>
        <v>Fresh</v>
      </c>
      <c r="K187" s="3">
        <f>IF('3. Demand Forecast'!F187=0,99,ROUND(G187/'3. Demand Forecast'!F187,1))</f>
        <v>1.5</v>
      </c>
      <c r="L187" s="3">
        <f>IF(G187=0,0,ROUND('4. ABC XYZ Analysis'!F187/G187,1))</f>
        <v>15.8</v>
      </c>
      <c r="M187" s="5" t="str">
        <f t="shared" si="13"/>
        <v>OK</v>
      </c>
      <c r="N187" s="4">
        <f t="shared" si="14"/>
        <v>0</v>
      </c>
      <c r="O187" s="1" t="str">
        <f t="shared" si="15"/>
        <v>Healthy</v>
      </c>
    </row>
    <row r="188" spans="1:15" ht="15" customHeight="1" x14ac:dyDescent="0.2">
      <c r="A188" s="3" t="str">
        <f>'1. Master Data'!A188</f>
        <v>NT10184</v>
      </c>
      <c r="B188" s="1" t="str">
        <f>'1. Master Data'!B188</f>
        <v>SoundCore Buds 830</v>
      </c>
      <c r="C188" s="3" t="str">
        <f>'1. Master Data'!C188</f>
        <v>Audio</v>
      </c>
      <c r="D188" s="3" t="str">
        <f>'1. Master Data'!D188</f>
        <v>West DC</v>
      </c>
      <c r="E188" s="3" t="str">
        <f>'1. Master Data'!H188</f>
        <v>Active</v>
      </c>
      <c r="F188" s="4">
        <f>'1. Master Data'!F188</f>
        <v>82</v>
      </c>
      <c r="G188" s="3">
        <f>'1. Master Data'!I188</f>
        <v>100</v>
      </c>
      <c r="H188" s="15">
        <f t="shared" si="11"/>
        <v>8200</v>
      </c>
      <c r="I188" s="3">
        <f>'1. Master Data'!J188</f>
        <v>57</v>
      </c>
      <c r="J188" s="5" t="str">
        <f t="shared" si="12"/>
        <v>Watch</v>
      </c>
      <c r="K188" s="3">
        <f>IF('3. Demand Forecast'!F188=0,99,ROUND(G188/'3. Demand Forecast'!F188,1))</f>
        <v>1.3</v>
      </c>
      <c r="L188" s="3">
        <f>IF(G188=0,0,ROUND('4. ABC XYZ Analysis'!F188/G188,1))</f>
        <v>1.7</v>
      </c>
      <c r="M188" s="5" t="str">
        <f t="shared" si="13"/>
        <v>OK</v>
      </c>
      <c r="N188" s="4">
        <f t="shared" si="14"/>
        <v>0</v>
      </c>
      <c r="O188" s="1" t="str">
        <f t="shared" si="15"/>
        <v>Healthy</v>
      </c>
    </row>
    <row r="189" spans="1:15" ht="15" customHeight="1" x14ac:dyDescent="0.2">
      <c r="A189" s="3" t="str">
        <f>'1. Master Data'!A189</f>
        <v>NT10185</v>
      </c>
      <c r="B189" s="1" t="str">
        <f>'1. Master Data'!B189</f>
        <v>BassMax Speaker 384</v>
      </c>
      <c r="C189" s="3" t="str">
        <f>'1. Master Data'!C189</f>
        <v>Audio</v>
      </c>
      <c r="D189" s="3" t="str">
        <f>'1. Master Data'!D189</f>
        <v>Central DC</v>
      </c>
      <c r="E189" s="3" t="str">
        <f>'1. Master Data'!H189</f>
        <v>Active</v>
      </c>
      <c r="F189" s="4">
        <f>'1. Master Data'!F189</f>
        <v>190</v>
      </c>
      <c r="G189" s="3">
        <f>'1. Master Data'!I189</f>
        <v>321</v>
      </c>
      <c r="H189" s="15">
        <f t="shared" si="11"/>
        <v>60990</v>
      </c>
      <c r="I189" s="3">
        <f>'1. Master Data'!J189</f>
        <v>8</v>
      </c>
      <c r="J189" s="5" t="str">
        <f t="shared" si="12"/>
        <v>Fresh</v>
      </c>
      <c r="K189" s="3">
        <f>IF('3. Demand Forecast'!F189=0,99,ROUND(G189/'3. Demand Forecast'!F189,1))</f>
        <v>0.8</v>
      </c>
      <c r="L189" s="3">
        <f>IF(G189=0,0,ROUND('4. ABC XYZ Analysis'!F189/G189,1))</f>
        <v>1.5</v>
      </c>
      <c r="M189" s="5" t="str">
        <f t="shared" si="13"/>
        <v>OK</v>
      </c>
      <c r="N189" s="4">
        <f t="shared" si="14"/>
        <v>0</v>
      </c>
      <c r="O189" s="1" t="str">
        <f t="shared" si="15"/>
        <v>Healthy</v>
      </c>
    </row>
    <row r="190" spans="1:15" ht="15" customHeight="1" x14ac:dyDescent="0.2">
      <c r="A190" s="3" t="str">
        <f>'1. Master Data'!A190</f>
        <v>NT10186</v>
      </c>
      <c r="B190" s="1" t="str">
        <f>'1. Master Data'!B190</f>
        <v>StudioPods 276 ANC</v>
      </c>
      <c r="C190" s="3" t="str">
        <f>'1. Master Data'!C190</f>
        <v>Audio</v>
      </c>
      <c r="D190" s="3" t="str">
        <f>'1. Master Data'!D190</f>
        <v>East DC</v>
      </c>
      <c r="E190" s="3" t="str">
        <f>'1. Master Data'!H190</f>
        <v>Active</v>
      </c>
      <c r="F190" s="4">
        <f>'1. Master Data'!F190</f>
        <v>179</v>
      </c>
      <c r="G190" s="3">
        <f>'1. Master Data'!I190</f>
        <v>371</v>
      </c>
      <c r="H190" s="15">
        <f t="shared" si="11"/>
        <v>66409</v>
      </c>
      <c r="I190" s="3">
        <f>'1. Master Data'!J190</f>
        <v>10</v>
      </c>
      <c r="J190" s="5" t="str">
        <f t="shared" si="12"/>
        <v>Fresh</v>
      </c>
      <c r="K190" s="3">
        <f>IF('3. Demand Forecast'!F190=0,99,ROUND(G190/'3. Demand Forecast'!F190,1))</f>
        <v>1.8</v>
      </c>
      <c r="L190" s="3">
        <f>IF(G190=0,0,ROUND('4. ABC XYZ Analysis'!F190/G190,1))</f>
        <v>1.1000000000000001</v>
      </c>
      <c r="M190" s="5" t="str">
        <f t="shared" si="13"/>
        <v>OK</v>
      </c>
      <c r="N190" s="4">
        <f t="shared" si="14"/>
        <v>0</v>
      </c>
      <c r="O190" s="1" t="str">
        <f t="shared" si="15"/>
        <v>Healthy</v>
      </c>
    </row>
    <row r="191" spans="1:15" ht="15" customHeight="1" x14ac:dyDescent="0.2">
      <c r="A191" s="3" t="str">
        <f>'1. Master Data'!A191</f>
        <v>NT10187</v>
      </c>
      <c r="B191" s="1" t="str">
        <f>'1. Master Data'!B191</f>
        <v>StudioPods 868 ANC</v>
      </c>
      <c r="C191" s="3" t="str">
        <f>'1. Master Data'!C191</f>
        <v>Audio</v>
      </c>
      <c r="D191" s="3" t="str">
        <f>'1. Master Data'!D191</f>
        <v>East DC</v>
      </c>
      <c r="E191" s="3" t="str">
        <f>'1. Master Data'!H191</f>
        <v>Active</v>
      </c>
      <c r="F191" s="4">
        <f>'1. Master Data'!F191</f>
        <v>123</v>
      </c>
      <c r="G191" s="3">
        <f>'1. Master Data'!I191</f>
        <v>359</v>
      </c>
      <c r="H191" s="15">
        <f t="shared" si="11"/>
        <v>44157</v>
      </c>
      <c r="I191" s="3">
        <f>'1. Master Data'!J191</f>
        <v>65</v>
      </c>
      <c r="J191" s="5" t="str">
        <f t="shared" si="12"/>
        <v>Watch</v>
      </c>
      <c r="K191" s="3">
        <f>IF('3. Demand Forecast'!F191=0,99,ROUND(G191/'3. Demand Forecast'!F191,1))</f>
        <v>1.4</v>
      </c>
      <c r="L191" s="3">
        <f>IF(G191=0,0,ROUND('4. ABC XYZ Analysis'!F191/G191,1))</f>
        <v>0.8</v>
      </c>
      <c r="M191" s="5" t="str">
        <f t="shared" si="13"/>
        <v>OK</v>
      </c>
      <c r="N191" s="4">
        <f t="shared" si="14"/>
        <v>0</v>
      </c>
      <c r="O191" s="1" t="str">
        <f t="shared" si="15"/>
        <v>Healthy</v>
      </c>
    </row>
    <row r="192" spans="1:15" ht="15" customHeight="1" x14ac:dyDescent="0.2">
      <c r="A192" s="3" t="str">
        <f>'1. Master Data'!A192</f>
        <v>NT10188</v>
      </c>
      <c r="B192" s="1" t="str">
        <f>'1. Master Data'!B192</f>
        <v>SoundCore Buds 506</v>
      </c>
      <c r="C192" s="3" t="str">
        <f>'1. Master Data'!C192</f>
        <v>Audio</v>
      </c>
      <c r="D192" s="3" t="str">
        <f>'1. Master Data'!D192</f>
        <v>West DC</v>
      </c>
      <c r="E192" s="3" t="str">
        <f>'1. Master Data'!H192</f>
        <v>Active</v>
      </c>
      <c r="F192" s="4">
        <f>'1. Master Data'!F192</f>
        <v>238</v>
      </c>
      <c r="G192" s="3">
        <f>'1. Master Data'!I192</f>
        <v>142</v>
      </c>
      <c r="H192" s="15">
        <f t="shared" si="11"/>
        <v>33796</v>
      </c>
      <c r="I192" s="3">
        <f>'1. Master Data'!J192</f>
        <v>18</v>
      </c>
      <c r="J192" s="5" t="str">
        <f t="shared" si="12"/>
        <v>Fresh</v>
      </c>
      <c r="K192" s="3">
        <f>IF('3. Demand Forecast'!F192=0,99,ROUND(G192/'3. Demand Forecast'!F192,1))</f>
        <v>1.4</v>
      </c>
      <c r="L192" s="3">
        <f>IF(G192=0,0,ROUND('4. ABC XYZ Analysis'!F192/G192,1))</f>
        <v>9</v>
      </c>
      <c r="M192" s="5" t="str">
        <f t="shared" si="13"/>
        <v>OK</v>
      </c>
      <c r="N192" s="4">
        <f t="shared" si="14"/>
        <v>0</v>
      </c>
      <c r="O192" s="1" t="str">
        <f t="shared" si="15"/>
        <v>Healthy</v>
      </c>
    </row>
    <row r="193" spans="1:15" ht="15" customHeight="1" x14ac:dyDescent="0.2">
      <c r="A193" s="3" t="str">
        <f>'1. Master Data'!A193</f>
        <v>NT10189</v>
      </c>
      <c r="B193" s="1" t="str">
        <f>'1. Master Data'!B193</f>
        <v>ClipMic 886 Wireless</v>
      </c>
      <c r="C193" s="3" t="str">
        <f>'1. Master Data'!C193</f>
        <v>Audio</v>
      </c>
      <c r="D193" s="3" t="str">
        <f>'1. Master Data'!D193</f>
        <v>West DC</v>
      </c>
      <c r="E193" s="3" t="str">
        <f>'1. Master Data'!H193</f>
        <v>Active</v>
      </c>
      <c r="F193" s="4">
        <f>'1. Master Data'!F193</f>
        <v>212</v>
      </c>
      <c r="G193" s="3">
        <f>'1. Master Data'!I193</f>
        <v>188</v>
      </c>
      <c r="H193" s="15">
        <f t="shared" si="11"/>
        <v>39856</v>
      </c>
      <c r="I193" s="3">
        <f>'1. Master Data'!J193</f>
        <v>52</v>
      </c>
      <c r="J193" s="5" t="str">
        <f t="shared" si="12"/>
        <v>Watch</v>
      </c>
      <c r="K193" s="3">
        <f>IF('3. Demand Forecast'!F193=0,99,ROUND(G193/'3. Demand Forecast'!F193,1))</f>
        <v>1.4</v>
      </c>
      <c r="L193" s="3">
        <f>IF(G193=0,0,ROUND('4. ABC XYZ Analysis'!F193/G193,1))</f>
        <v>20</v>
      </c>
      <c r="M193" s="5" t="str">
        <f t="shared" si="13"/>
        <v>OK</v>
      </c>
      <c r="N193" s="4">
        <f t="shared" si="14"/>
        <v>0</v>
      </c>
      <c r="O193" s="1" t="str">
        <f t="shared" si="15"/>
        <v>Healthy</v>
      </c>
    </row>
    <row r="194" spans="1:15" ht="15" customHeight="1" x14ac:dyDescent="0.2">
      <c r="A194" s="3" t="str">
        <f>'1. Master Data'!A194</f>
        <v>NT10190</v>
      </c>
      <c r="B194" s="1" t="str">
        <f>'1. Master Data'!B194</f>
        <v>StudioPods 663 ANC</v>
      </c>
      <c r="C194" s="3" t="str">
        <f>'1. Master Data'!C194</f>
        <v>Audio</v>
      </c>
      <c r="D194" s="3" t="str">
        <f>'1. Master Data'!D194</f>
        <v>West DC</v>
      </c>
      <c r="E194" s="3" t="str">
        <f>'1. Master Data'!H194</f>
        <v>Active</v>
      </c>
      <c r="F194" s="4">
        <f>'1. Master Data'!F194</f>
        <v>204</v>
      </c>
      <c r="G194" s="3">
        <f>'1. Master Data'!I194</f>
        <v>233</v>
      </c>
      <c r="H194" s="15">
        <f t="shared" si="11"/>
        <v>47532</v>
      </c>
      <c r="I194" s="3">
        <f>'1. Master Data'!J194</f>
        <v>13</v>
      </c>
      <c r="J194" s="5" t="str">
        <f t="shared" si="12"/>
        <v>Fresh</v>
      </c>
      <c r="K194" s="3">
        <f>IF('3. Demand Forecast'!F194=0,99,ROUND(G194/'3. Demand Forecast'!F194,1))</f>
        <v>1.1000000000000001</v>
      </c>
      <c r="L194" s="3">
        <f>IF(G194=0,0,ROUND('4. ABC XYZ Analysis'!F194/G194,1))</f>
        <v>7.6</v>
      </c>
      <c r="M194" s="5" t="str">
        <f t="shared" si="13"/>
        <v>OK</v>
      </c>
      <c r="N194" s="4">
        <f t="shared" si="14"/>
        <v>0</v>
      </c>
      <c r="O194" s="1" t="str">
        <f t="shared" si="15"/>
        <v>Healthy</v>
      </c>
    </row>
    <row r="195" spans="1:15" ht="15" customHeight="1" x14ac:dyDescent="0.2">
      <c r="A195" s="3" t="str">
        <f>'1. Master Data'!A195</f>
        <v>NT10191</v>
      </c>
      <c r="B195" s="1" t="str">
        <f>'1. Master Data'!B195</f>
        <v>BassMax Speaker 416</v>
      </c>
      <c r="C195" s="3" t="str">
        <f>'1. Master Data'!C195</f>
        <v>Audio</v>
      </c>
      <c r="D195" s="3" t="str">
        <f>'1. Master Data'!D195</f>
        <v>West DC</v>
      </c>
      <c r="E195" s="3" t="str">
        <f>'1. Master Data'!H195</f>
        <v>Active</v>
      </c>
      <c r="F195" s="4">
        <f>'1. Master Data'!F195</f>
        <v>230</v>
      </c>
      <c r="G195" s="3">
        <f>'1. Master Data'!I195</f>
        <v>130</v>
      </c>
      <c r="H195" s="15">
        <f t="shared" si="11"/>
        <v>29900</v>
      </c>
      <c r="I195" s="3">
        <f>'1. Master Data'!J195</f>
        <v>19</v>
      </c>
      <c r="J195" s="5" t="str">
        <f t="shared" si="12"/>
        <v>Fresh</v>
      </c>
      <c r="K195" s="3">
        <f>IF('3. Demand Forecast'!F195=0,99,ROUND(G195/'3. Demand Forecast'!F195,1))</f>
        <v>1.6</v>
      </c>
      <c r="L195" s="3">
        <f>IF(G195=0,0,ROUND('4. ABC XYZ Analysis'!F195/G195,1))</f>
        <v>8.3000000000000007</v>
      </c>
      <c r="M195" s="5" t="str">
        <f t="shared" si="13"/>
        <v>OK</v>
      </c>
      <c r="N195" s="4">
        <f t="shared" si="14"/>
        <v>0</v>
      </c>
      <c r="O195" s="1" t="str">
        <f t="shared" si="15"/>
        <v>Healthy</v>
      </c>
    </row>
    <row r="196" spans="1:15" ht="15" customHeight="1" x14ac:dyDescent="0.2">
      <c r="A196" s="3" t="str">
        <f>'1. Master Data'!A196</f>
        <v>NT10192</v>
      </c>
      <c r="B196" s="1" t="str">
        <f>'1. Master Data'!B196</f>
        <v>StudioPods 810 ANC</v>
      </c>
      <c r="C196" s="3" t="str">
        <f>'1. Master Data'!C196</f>
        <v>Audio</v>
      </c>
      <c r="D196" s="3" t="str">
        <f>'1. Master Data'!D196</f>
        <v>West DC</v>
      </c>
      <c r="E196" s="3" t="str">
        <f>'1. Master Data'!H196</f>
        <v>Active</v>
      </c>
      <c r="F196" s="4">
        <f>'1. Master Data'!F196</f>
        <v>26</v>
      </c>
      <c r="G196" s="3">
        <f>'1. Master Data'!I196</f>
        <v>70</v>
      </c>
      <c r="H196" s="15">
        <f t="shared" si="11"/>
        <v>1820</v>
      </c>
      <c r="I196" s="3">
        <f>'1. Master Data'!J196</f>
        <v>52</v>
      </c>
      <c r="J196" s="5" t="str">
        <f t="shared" si="12"/>
        <v>Watch</v>
      </c>
      <c r="K196" s="3">
        <f>IF('3. Demand Forecast'!F196=0,99,ROUND(G196/'3. Demand Forecast'!F196,1))</f>
        <v>1.6</v>
      </c>
      <c r="L196" s="3">
        <f>IF(G196=0,0,ROUND('4. ABC XYZ Analysis'!F196/G196,1))</f>
        <v>3.2</v>
      </c>
      <c r="M196" s="5" t="str">
        <f t="shared" si="13"/>
        <v>OK</v>
      </c>
      <c r="N196" s="4">
        <f t="shared" si="14"/>
        <v>0</v>
      </c>
      <c r="O196" s="1" t="str">
        <f t="shared" si="15"/>
        <v>Healthy</v>
      </c>
    </row>
    <row r="197" spans="1:15" ht="15" customHeight="1" x14ac:dyDescent="0.2">
      <c r="A197" s="3" t="str">
        <f>'1. Master Data'!A197</f>
        <v>NT10193</v>
      </c>
      <c r="B197" s="1" t="str">
        <f>'1. Master Data'!B197</f>
        <v>SoundCore Buds 879</v>
      </c>
      <c r="C197" s="3" t="str">
        <f>'1. Master Data'!C197</f>
        <v>Audio</v>
      </c>
      <c r="D197" s="3" t="str">
        <f>'1. Master Data'!D197</f>
        <v>East DC</v>
      </c>
      <c r="E197" s="3" t="str">
        <f>'1. Master Data'!H197</f>
        <v>Active</v>
      </c>
      <c r="F197" s="4">
        <f>'1. Master Data'!F197</f>
        <v>145</v>
      </c>
      <c r="G197" s="3">
        <f>'1. Master Data'!I197</f>
        <v>254</v>
      </c>
      <c r="H197" s="15">
        <f t="shared" ref="H197:H260" si="16">F197*G197</f>
        <v>36830</v>
      </c>
      <c r="I197" s="3">
        <f>'1. Master Data'!J197</f>
        <v>38</v>
      </c>
      <c r="J197" s="5" t="str">
        <f t="shared" ref="J197:J260" si="17">IF(I197&lt;=30,"Fresh",IF(I197&lt;=90,"Watch",IF(I197&lt;=180,"Aged","Obsolete Risk")))</f>
        <v>Watch</v>
      </c>
      <c r="K197" s="3">
        <f>IF('3. Demand Forecast'!F197=0,99,ROUND(G197/'3. Demand Forecast'!F197,1))</f>
        <v>1.6</v>
      </c>
      <c r="L197" s="3">
        <f>IF(G197=0,0,ROUND('4. ABC XYZ Analysis'!F197/G197,1))</f>
        <v>12</v>
      </c>
      <c r="M197" s="5" t="str">
        <f t="shared" ref="M197:M260" si="18">IF(OR(E197="EOL",I197&gt;90,K197&gt;6),"EXCESS","OK")</f>
        <v>OK</v>
      </c>
      <c r="N197" s="4">
        <f t="shared" ref="N197:N260" si="19">IF(M197="EXCESS",H197,0)</f>
        <v>0</v>
      </c>
      <c r="O197" s="1" t="str">
        <f t="shared" ref="O197:O260" si="20">IF(E197="EOL","Scrap / Liquidate",IF(I197&gt;180,"Disposition Review",IF(M197="EXCESS","Reduce orders and monitor","Healthy")))</f>
        <v>Healthy</v>
      </c>
    </row>
    <row r="198" spans="1:15" ht="15" customHeight="1" x14ac:dyDescent="0.2">
      <c r="A198" s="3" t="str">
        <f>'1. Master Data'!A198</f>
        <v>NT10194</v>
      </c>
      <c r="B198" s="1" t="str">
        <f>'1. Master Data'!B198</f>
        <v>SoundCore Buds 815</v>
      </c>
      <c r="C198" s="3" t="str">
        <f>'1. Master Data'!C198</f>
        <v>Audio</v>
      </c>
      <c r="D198" s="3" t="str">
        <f>'1. Master Data'!D198</f>
        <v>Central DC</v>
      </c>
      <c r="E198" s="3" t="str">
        <f>'1. Master Data'!H198</f>
        <v>Active</v>
      </c>
      <c r="F198" s="4">
        <f>'1. Master Data'!F198</f>
        <v>195</v>
      </c>
      <c r="G198" s="3">
        <f>'1. Master Data'!I198</f>
        <v>26</v>
      </c>
      <c r="H198" s="15">
        <f t="shared" si="16"/>
        <v>5070</v>
      </c>
      <c r="I198" s="3">
        <f>'1. Master Data'!J198</f>
        <v>18</v>
      </c>
      <c r="J198" s="5" t="str">
        <f t="shared" si="17"/>
        <v>Fresh</v>
      </c>
      <c r="K198" s="3">
        <f>IF('3. Demand Forecast'!F198=0,99,ROUND(G198/'3. Demand Forecast'!F198,1))</f>
        <v>1.5</v>
      </c>
      <c r="L198" s="3">
        <f>IF(G198=0,0,ROUND('4. ABC XYZ Analysis'!F198/G198,1))</f>
        <v>67.2</v>
      </c>
      <c r="M198" s="5" t="str">
        <f t="shared" si="18"/>
        <v>OK</v>
      </c>
      <c r="N198" s="4">
        <f t="shared" si="19"/>
        <v>0</v>
      </c>
      <c r="O198" s="1" t="str">
        <f t="shared" si="20"/>
        <v>Healthy</v>
      </c>
    </row>
    <row r="199" spans="1:15" ht="15" customHeight="1" x14ac:dyDescent="0.2">
      <c r="A199" s="3" t="str">
        <f>'1. Master Data'!A199</f>
        <v>NT10195</v>
      </c>
      <c r="B199" s="1" t="str">
        <f>'1. Master Data'!B199</f>
        <v>ClipMic 425 Wireless</v>
      </c>
      <c r="C199" s="3" t="str">
        <f>'1. Master Data'!C199</f>
        <v>Audio</v>
      </c>
      <c r="D199" s="3" t="str">
        <f>'1. Master Data'!D199</f>
        <v>East DC</v>
      </c>
      <c r="E199" s="3" t="str">
        <f>'1. Master Data'!H199</f>
        <v>EOL</v>
      </c>
      <c r="F199" s="4">
        <f>'1. Master Data'!F199</f>
        <v>172</v>
      </c>
      <c r="G199" s="3">
        <f>'1. Master Data'!I199</f>
        <v>166</v>
      </c>
      <c r="H199" s="15">
        <f t="shared" si="16"/>
        <v>28552</v>
      </c>
      <c r="I199" s="3">
        <f>'1. Master Data'!J199</f>
        <v>189</v>
      </c>
      <c r="J199" s="5" t="str">
        <f t="shared" si="17"/>
        <v>Obsolete Risk</v>
      </c>
      <c r="K199" s="3">
        <f>IF('3. Demand Forecast'!F199=0,99,ROUND(G199/'3. Demand Forecast'!F199,1))</f>
        <v>2</v>
      </c>
      <c r="L199" s="3">
        <f>IF(G199=0,0,ROUND('4. ABC XYZ Analysis'!F199/G199,1))</f>
        <v>15</v>
      </c>
      <c r="M199" s="5" t="str">
        <f t="shared" si="18"/>
        <v>EXCESS</v>
      </c>
      <c r="N199" s="4">
        <f t="shared" si="19"/>
        <v>28552</v>
      </c>
      <c r="O199" s="1" t="str">
        <f t="shared" si="20"/>
        <v>Scrap / Liquidate</v>
      </c>
    </row>
    <row r="200" spans="1:15" ht="15" customHeight="1" x14ac:dyDescent="0.2">
      <c r="A200" s="3" t="str">
        <f>'1. Master Data'!A200</f>
        <v>NT10196</v>
      </c>
      <c r="B200" s="1" t="str">
        <f>'1. Master Data'!B200</f>
        <v>ClipMic 380 Wireless</v>
      </c>
      <c r="C200" s="3" t="str">
        <f>'1. Master Data'!C200</f>
        <v>Audio</v>
      </c>
      <c r="D200" s="3" t="str">
        <f>'1. Master Data'!D200</f>
        <v>East DC</v>
      </c>
      <c r="E200" s="3" t="str">
        <f>'1. Master Data'!H200</f>
        <v>Active</v>
      </c>
      <c r="F200" s="4">
        <f>'1. Master Data'!F200</f>
        <v>132</v>
      </c>
      <c r="G200" s="3">
        <f>'1. Master Data'!I200</f>
        <v>233</v>
      </c>
      <c r="H200" s="15">
        <f t="shared" si="16"/>
        <v>30756</v>
      </c>
      <c r="I200" s="3">
        <f>'1. Master Data'!J200</f>
        <v>55</v>
      </c>
      <c r="J200" s="5" t="str">
        <f t="shared" si="17"/>
        <v>Watch</v>
      </c>
      <c r="K200" s="3">
        <f>IF('3. Demand Forecast'!F200=0,99,ROUND(G200/'3. Demand Forecast'!F200,1))</f>
        <v>1.4</v>
      </c>
      <c r="L200" s="3">
        <f>IF(G200=0,0,ROUND('4. ABC XYZ Analysis'!F200/G200,1))</f>
        <v>1.7</v>
      </c>
      <c r="M200" s="5" t="str">
        <f t="shared" si="18"/>
        <v>OK</v>
      </c>
      <c r="N200" s="4">
        <f t="shared" si="19"/>
        <v>0</v>
      </c>
      <c r="O200" s="1" t="str">
        <f t="shared" si="20"/>
        <v>Healthy</v>
      </c>
    </row>
    <row r="201" spans="1:15" ht="15" customHeight="1" x14ac:dyDescent="0.2">
      <c r="A201" s="3" t="str">
        <f>'1. Master Data'!A201</f>
        <v>NT10197</v>
      </c>
      <c r="B201" s="1" t="str">
        <f>'1. Master Data'!B201</f>
        <v>ClipMic 231 Wireless</v>
      </c>
      <c r="C201" s="3" t="str">
        <f>'1. Master Data'!C201</f>
        <v>Audio</v>
      </c>
      <c r="D201" s="3" t="str">
        <f>'1. Master Data'!D201</f>
        <v>West DC</v>
      </c>
      <c r="E201" s="3" t="str">
        <f>'1. Master Data'!H201</f>
        <v>Active</v>
      </c>
      <c r="F201" s="4">
        <f>'1. Master Data'!F201</f>
        <v>83</v>
      </c>
      <c r="G201" s="3">
        <f>'1. Master Data'!I201</f>
        <v>875</v>
      </c>
      <c r="H201" s="15">
        <f t="shared" si="16"/>
        <v>72625</v>
      </c>
      <c r="I201" s="3">
        <f>'1. Master Data'!J201</f>
        <v>5</v>
      </c>
      <c r="J201" s="5" t="str">
        <f t="shared" si="17"/>
        <v>Fresh</v>
      </c>
      <c r="K201" s="3">
        <f>IF('3. Demand Forecast'!F201=0,99,ROUND(G201/'3. Demand Forecast'!F201,1))</f>
        <v>2</v>
      </c>
      <c r="L201" s="3">
        <f>IF(G201=0,0,ROUND('4. ABC XYZ Analysis'!F201/G201,1))</f>
        <v>4.3</v>
      </c>
      <c r="M201" s="5" t="str">
        <f t="shared" si="18"/>
        <v>OK</v>
      </c>
      <c r="N201" s="4">
        <f t="shared" si="19"/>
        <v>0</v>
      </c>
      <c r="O201" s="1" t="str">
        <f t="shared" si="20"/>
        <v>Healthy</v>
      </c>
    </row>
    <row r="202" spans="1:15" ht="15" customHeight="1" x14ac:dyDescent="0.2">
      <c r="A202" s="3" t="str">
        <f>'1. Master Data'!A202</f>
        <v>NT10198</v>
      </c>
      <c r="B202" s="1" t="str">
        <f>'1. Master Data'!B202</f>
        <v>StudioPods 513 ANC</v>
      </c>
      <c r="C202" s="3" t="str">
        <f>'1. Master Data'!C202</f>
        <v>Audio</v>
      </c>
      <c r="D202" s="3" t="str">
        <f>'1. Master Data'!D202</f>
        <v>East DC</v>
      </c>
      <c r="E202" s="3" t="str">
        <f>'1. Master Data'!H202</f>
        <v>Active</v>
      </c>
      <c r="F202" s="4">
        <f>'1. Master Data'!F202</f>
        <v>15</v>
      </c>
      <c r="G202" s="3">
        <f>'1. Master Data'!I202</f>
        <v>125</v>
      </c>
      <c r="H202" s="15">
        <f t="shared" si="16"/>
        <v>1875</v>
      </c>
      <c r="I202" s="3">
        <f>'1. Master Data'!J202</f>
        <v>143</v>
      </c>
      <c r="J202" s="5" t="str">
        <f t="shared" si="17"/>
        <v>Aged</v>
      </c>
      <c r="K202" s="3">
        <f>IF('3. Demand Forecast'!F202=0,99,ROUND(G202/'3. Demand Forecast'!F202,1))</f>
        <v>3.4</v>
      </c>
      <c r="L202" s="3">
        <f>IF(G202=0,0,ROUND('4. ABC XYZ Analysis'!F202/G202,1))</f>
        <v>9.1</v>
      </c>
      <c r="M202" s="5" t="str">
        <f t="shared" si="18"/>
        <v>EXCESS</v>
      </c>
      <c r="N202" s="4">
        <f t="shared" si="19"/>
        <v>1875</v>
      </c>
      <c r="O202" s="1" t="str">
        <f t="shared" si="20"/>
        <v>Reduce orders and monitor</v>
      </c>
    </row>
    <row r="203" spans="1:15" ht="15" customHeight="1" x14ac:dyDescent="0.2">
      <c r="A203" s="3" t="str">
        <f>'1. Master Data'!A203</f>
        <v>NT10199</v>
      </c>
      <c r="B203" s="1" t="str">
        <f>'1. Master Data'!B203</f>
        <v>StudioPods 749 ANC</v>
      </c>
      <c r="C203" s="3" t="str">
        <f>'1. Master Data'!C203</f>
        <v>Audio</v>
      </c>
      <c r="D203" s="3" t="str">
        <f>'1. Master Data'!D203</f>
        <v>East DC</v>
      </c>
      <c r="E203" s="3" t="str">
        <f>'1. Master Data'!H203</f>
        <v>EOL</v>
      </c>
      <c r="F203" s="4">
        <f>'1. Master Data'!F203</f>
        <v>20</v>
      </c>
      <c r="G203" s="3">
        <f>'1. Master Data'!I203</f>
        <v>12</v>
      </c>
      <c r="H203" s="15">
        <f t="shared" si="16"/>
        <v>240</v>
      </c>
      <c r="I203" s="3">
        <f>'1. Master Data'!J203</f>
        <v>167</v>
      </c>
      <c r="J203" s="5" t="str">
        <f t="shared" si="17"/>
        <v>Aged</v>
      </c>
      <c r="K203" s="3">
        <f>IF('3. Demand Forecast'!F203=0,99,ROUND(G203/'3. Demand Forecast'!F203,1))</f>
        <v>2.1</v>
      </c>
      <c r="L203" s="3">
        <f>IF(G203=0,0,ROUND('4. ABC XYZ Analysis'!F203/G203,1))</f>
        <v>82.7</v>
      </c>
      <c r="M203" s="5" t="str">
        <f t="shared" si="18"/>
        <v>EXCESS</v>
      </c>
      <c r="N203" s="4">
        <f t="shared" si="19"/>
        <v>240</v>
      </c>
      <c r="O203" s="1" t="str">
        <f t="shared" si="20"/>
        <v>Scrap / Liquidate</v>
      </c>
    </row>
    <row r="204" spans="1:15" ht="15" customHeight="1" x14ac:dyDescent="0.2">
      <c r="A204" s="3" t="str">
        <f>'1. Master Data'!A204</f>
        <v>NT10200</v>
      </c>
      <c r="B204" s="1" t="str">
        <f>'1. Master Data'!B204</f>
        <v>WaveBar 886 Soundbar</v>
      </c>
      <c r="C204" s="3" t="str">
        <f>'1. Master Data'!C204</f>
        <v>Audio</v>
      </c>
      <c r="D204" s="3" t="str">
        <f>'1. Master Data'!D204</f>
        <v>East DC</v>
      </c>
      <c r="E204" s="3" t="str">
        <f>'1. Master Data'!H204</f>
        <v>Active</v>
      </c>
      <c r="F204" s="4">
        <f>'1. Master Data'!F204</f>
        <v>207</v>
      </c>
      <c r="G204" s="3">
        <f>'1. Master Data'!I204</f>
        <v>547</v>
      </c>
      <c r="H204" s="15">
        <f t="shared" si="16"/>
        <v>113229</v>
      </c>
      <c r="I204" s="3">
        <f>'1. Master Data'!J204</f>
        <v>42</v>
      </c>
      <c r="J204" s="5" t="str">
        <f t="shared" si="17"/>
        <v>Watch</v>
      </c>
      <c r="K204" s="3">
        <f>IF('3. Demand Forecast'!F204=0,99,ROUND(G204/'3. Demand Forecast'!F204,1))</f>
        <v>1.2</v>
      </c>
      <c r="L204" s="3">
        <f>IF(G204=0,0,ROUND('4. ABC XYZ Analysis'!F204/G204,1))</f>
        <v>0.5</v>
      </c>
      <c r="M204" s="5" t="str">
        <f t="shared" si="18"/>
        <v>OK</v>
      </c>
      <c r="N204" s="4">
        <f t="shared" si="19"/>
        <v>0</v>
      </c>
      <c r="O204" s="1" t="str">
        <f t="shared" si="20"/>
        <v>Healthy</v>
      </c>
    </row>
    <row r="205" spans="1:15" ht="15" customHeight="1" x14ac:dyDescent="0.2">
      <c r="A205" s="3" t="str">
        <f>'1. Master Data'!A205</f>
        <v>NT10201</v>
      </c>
      <c r="B205" s="1" t="str">
        <f>'1. Master Data'!B205</f>
        <v>FitTrack Band 482</v>
      </c>
      <c r="C205" s="3" t="str">
        <f>'1. Master Data'!C205</f>
        <v>Wearables</v>
      </c>
      <c r="D205" s="3" t="str">
        <f>'1. Master Data'!D205</f>
        <v>West DC</v>
      </c>
      <c r="E205" s="3" t="str">
        <f>'1. Master Data'!H205</f>
        <v>Active</v>
      </c>
      <c r="F205" s="4">
        <f>'1. Master Data'!F205</f>
        <v>76</v>
      </c>
      <c r="G205" s="3">
        <f>'1. Master Data'!I205</f>
        <v>30</v>
      </c>
      <c r="H205" s="15">
        <f t="shared" si="16"/>
        <v>2280</v>
      </c>
      <c r="I205" s="3">
        <f>'1. Master Data'!J205</f>
        <v>53</v>
      </c>
      <c r="J205" s="5" t="str">
        <f t="shared" si="17"/>
        <v>Watch</v>
      </c>
      <c r="K205" s="3">
        <f>IF('3. Demand Forecast'!F205=0,99,ROUND(G205/'3. Demand Forecast'!F205,1))</f>
        <v>2.1</v>
      </c>
      <c r="L205" s="3">
        <f>IF(G205=0,0,ROUND('4. ABC XYZ Analysis'!F205/G205,1))</f>
        <v>47.3</v>
      </c>
      <c r="M205" s="5" t="str">
        <f t="shared" si="18"/>
        <v>OK</v>
      </c>
      <c r="N205" s="4">
        <f t="shared" si="19"/>
        <v>0</v>
      </c>
      <c r="O205" s="1" t="str">
        <f t="shared" si="20"/>
        <v>Healthy</v>
      </c>
    </row>
    <row r="206" spans="1:15" ht="15" customHeight="1" x14ac:dyDescent="0.2">
      <c r="A206" s="3" t="str">
        <f>'1. Master Data'!A206</f>
        <v>NT10202</v>
      </c>
      <c r="B206" s="1" t="str">
        <f>'1. Master Data'!B206</f>
        <v>StepOne Tracker 559</v>
      </c>
      <c r="C206" s="3" t="str">
        <f>'1. Master Data'!C206</f>
        <v>Wearables</v>
      </c>
      <c r="D206" s="3" t="str">
        <f>'1. Master Data'!D206</f>
        <v>East DC</v>
      </c>
      <c r="E206" s="3" t="str">
        <f>'1. Master Data'!H206</f>
        <v>Active</v>
      </c>
      <c r="F206" s="4">
        <f>'1. Master Data'!F206</f>
        <v>127</v>
      </c>
      <c r="G206" s="3">
        <f>'1. Master Data'!I206</f>
        <v>91</v>
      </c>
      <c r="H206" s="15">
        <f t="shared" si="16"/>
        <v>11557</v>
      </c>
      <c r="I206" s="3">
        <f>'1. Master Data'!J206</f>
        <v>69</v>
      </c>
      <c r="J206" s="5" t="str">
        <f t="shared" si="17"/>
        <v>Watch</v>
      </c>
      <c r="K206" s="3">
        <f>IF('3. Demand Forecast'!F206=0,99,ROUND(G206/'3. Demand Forecast'!F206,1))</f>
        <v>1.4</v>
      </c>
      <c r="L206" s="3">
        <f>IF(G206=0,0,ROUND('4. ABC XYZ Analysis'!F206/G206,1))</f>
        <v>3.6</v>
      </c>
      <c r="M206" s="5" t="str">
        <f t="shared" si="18"/>
        <v>OK</v>
      </c>
      <c r="N206" s="4">
        <f t="shared" si="19"/>
        <v>0</v>
      </c>
      <c r="O206" s="1" t="str">
        <f t="shared" si="20"/>
        <v>Healthy</v>
      </c>
    </row>
    <row r="207" spans="1:15" ht="15" customHeight="1" x14ac:dyDescent="0.2">
      <c r="A207" s="3" t="str">
        <f>'1. Master Data'!A207</f>
        <v>NT10203</v>
      </c>
      <c r="B207" s="1" t="str">
        <f>'1. Master Data'!B207</f>
        <v>PulseRing 185</v>
      </c>
      <c r="C207" s="3" t="str">
        <f>'1. Master Data'!C207</f>
        <v>Wearables</v>
      </c>
      <c r="D207" s="3" t="str">
        <f>'1. Master Data'!D207</f>
        <v>East DC</v>
      </c>
      <c r="E207" s="3" t="str">
        <f>'1. Master Data'!H207</f>
        <v>Active</v>
      </c>
      <c r="F207" s="4">
        <f>'1. Master Data'!F207</f>
        <v>72</v>
      </c>
      <c r="G207" s="3">
        <f>'1. Master Data'!I207</f>
        <v>48</v>
      </c>
      <c r="H207" s="15">
        <f t="shared" si="16"/>
        <v>3456</v>
      </c>
      <c r="I207" s="3">
        <f>'1. Master Data'!J207</f>
        <v>4</v>
      </c>
      <c r="J207" s="5" t="str">
        <f t="shared" si="17"/>
        <v>Fresh</v>
      </c>
      <c r="K207" s="3">
        <f>IF('3. Demand Forecast'!F207=0,99,ROUND(G207/'3. Demand Forecast'!F207,1))</f>
        <v>1.1000000000000001</v>
      </c>
      <c r="L207" s="3">
        <f>IF(G207=0,0,ROUND('4. ABC XYZ Analysis'!F207/G207,1))</f>
        <v>12.4</v>
      </c>
      <c r="M207" s="5" t="str">
        <f t="shared" si="18"/>
        <v>OK</v>
      </c>
      <c r="N207" s="4">
        <f t="shared" si="19"/>
        <v>0</v>
      </c>
      <c r="O207" s="1" t="str">
        <f t="shared" si="20"/>
        <v>Healthy</v>
      </c>
    </row>
    <row r="208" spans="1:15" ht="15" customHeight="1" x14ac:dyDescent="0.2">
      <c r="A208" s="3" t="str">
        <f>'1. Master Data'!A208</f>
        <v>NT10204</v>
      </c>
      <c r="B208" s="1" t="str">
        <f>'1. Master Data'!B208</f>
        <v>FitTrack Band 970</v>
      </c>
      <c r="C208" s="3" t="str">
        <f>'1. Master Data'!C208</f>
        <v>Wearables</v>
      </c>
      <c r="D208" s="3" t="str">
        <f>'1. Master Data'!D208</f>
        <v>East DC</v>
      </c>
      <c r="E208" s="3" t="str">
        <f>'1. Master Data'!H208</f>
        <v>Active</v>
      </c>
      <c r="F208" s="4">
        <f>'1. Master Data'!F208</f>
        <v>77</v>
      </c>
      <c r="G208" s="3">
        <f>'1. Master Data'!I208</f>
        <v>182</v>
      </c>
      <c r="H208" s="15">
        <f t="shared" si="16"/>
        <v>14014</v>
      </c>
      <c r="I208" s="3">
        <f>'1. Master Data'!J208</f>
        <v>46</v>
      </c>
      <c r="J208" s="5" t="str">
        <f t="shared" si="17"/>
        <v>Watch</v>
      </c>
      <c r="K208" s="3">
        <f>IF('3. Demand Forecast'!F208=0,99,ROUND(G208/'3. Demand Forecast'!F208,1))</f>
        <v>1.2</v>
      </c>
      <c r="L208" s="3">
        <f>IF(G208=0,0,ROUND('4. ABC XYZ Analysis'!F208/G208,1))</f>
        <v>4.2</v>
      </c>
      <c r="M208" s="5" t="str">
        <f t="shared" si="18"/>
        <v>OK</v>
      </c>
      <c r="N208" s="4">
        <f t="shared" si="19"/>
        <v>0</v>
      </c>
      <c r="O208" s="1" t="str">
        <f t="shared" si="20"/>
        <v>Healthy</v>
      </c>
    </row>
    <row r="209" spans="1:15" ht="15" customHeight="1" x14ac:dyDescent="0.2">
      <c r="A209" s="3" t="str">
        <f>'1. Master Data'!A209</f>
        <v>NT10205</v>
      </c>
      <c r="B209" s="1" t="str">
        <f>'1. Master Data'!B209</f>
        <v>StepOne Tracker 188</v>
      </c>
      <c r="C209" s="3" t="str">
        <f>'1. Master Data'!C209</f>
        <v>Wearables</v>
      </c>
      <c r="D209" s="3" t="str">
        <f>'1. Master Data'!D209</f>
        <v>West DC</v>
      </c>
      <c r="E209" s="3" t="str">
        <f>'1. Master Data'!H209</f>
        <v>Active</v>
      </c>
      <c r="F209" s="4">
        <f>'1. Master Data'!F209</f>
        <v>50</v>
      </c>
      <c r="G209" s="3">
        <f>'1. Master Data'!I209</f>
        <v>163</v>
      </c>
      <c r="H209" s="15">
        <f t="shared" si="16"/>
        <v>8150</v>
      </c>
      <c r="I209" s="3">
        <f>'1. Master Data'!J209</f>
        <v>3</v>
      </c>
      <c r="J209" s="5" t="str">
        <f t="shared" si="17"/>
        <v>Fresh</v>
      </c>
      <c r="K209" s="3">
        <f>IF('3. Demand Forecast'!F209=0,99,ROUND(G209/'3. Demand Forecast'!F209,1))</f>
        <v>1.6</v>
      </c>
      <c r="L209" s="3">
        <f>IF(G209=0,0,ROUND('4. ABC XYZ Analysis'!F209/G209,1))</f>
        <v>3.7</v>
      </c>
      <c r="M209" s="5" t="str">
        <f t="shared" si="18"/>
        <v>OK</v>
      </c>
      <c r="N209" s="4">
        <f t="shared" si="19"/>
        <v>0</v>
      </c>
      <c r="O209" s="1" t="str">
        <f t="shared" si="20"/>
        <v>Healthy</v>
      </c>
    </row>
    <row r="210" spans="1:15" ht="15" customHeight="1" x14ac:dyDescent="0.2">
      <c r="A210" s="3" t="str">
        <f>'1. Master Data'!A210</f>
        <v>NT10206</v>
      </c>
      <c r="B210" s="1" t="str">
        <f>'1. Master Data'!B210</f>
        <v>NovaWatch 145 GPS</v>
      </c>
      <c r="C210" s="3" t="str">
        <f>'1. Master Data'!C210</f>
        <v>Wearables</v>
      </c>
      <c r="D210" s="3" t="str">
        <f>'1. Master Data'!D210</f>
        <v>East DC</v>
      </c>
      <c r="E210" s="3" t="str">
        <f>'1. Master Data'!H210</f>
        <v>Active</v>
      </c>
      <c r="F210" s="4">
        <f>'1. Master Data'!F210</f>
        <v>132</v>
      </c>
      <c r="G210" s="3">
        <f>'1. Master Data'!I210</f>
        <v>136</v>
      </c>
      <c r="H210" s="15">
        <f t="shared" si="16"/>
        <v>17952</v>
      </c>
      <c r="I210" s="3">
        <f>'1. Master Data'!J210</f>
        <v>64</v>
      </c>
      <c r="J210" s="5" t="str">
        <f t="shared" si="17"/>
        <v>Watch</v>
      </c>
      <c r="K210" s="3">
        <f>IF('3. Demand Forecast'!F210=0,99,ROUND(G210/'3. Demand Forecast'!F210,1))</f>
        <v>1.1000000000000001</v>
      </c>
      <c r="L210" s="3">
        <f>IF(G210=0,0,ROUND('4. ABC XYZ Analysis'!F210/G210,1))</f>
        <v>7.2</v>
      </c>
      <c r="M210" s="5" t="str">
        <f t="shared" si="18"/>
        <v>OK</v>
      </c>
      <c r="N210" s="4">
        <f t="shared" si="19"/>
        <v>0</v>
      </c>
      <c r="O210" s="1" t="str">
        <f t="shared" si="20"/>
        <v>Healthy</v>
      </c>
    </row>
    <row r="211" spans="1:15" ht="15" customHeight="1" x14ac:dyDescent="0.2">
      <c r="A211" s="3" t="str">
        <f>'1. Master Data'!A211</f>
        <v>NT10207</v>
      </c>
      <c r="B211" s="1" t="str">
        <f>'1. Master Data'!B211</f>
        <v>NovaWatch 894 GPS</v>
      </c>
      <c r="C211" s="3" t="str">
        <f>'1. Master Data'!C211</f>
        <v>Wearables</v>
      </c>
      <c r="D211" s="3" t="str">
        <f>'1. Master Data'!D211</f>
        <v>East DC</v>
      </c>
      <c r="E211" s="3" t="str">
        <f>'1. Master Data'!H211</f>
        <v>Active</v>
      </c>
      <c r="F211" s="4">
        <f>'1. Master Data'!F211</f>
        <v>30</v>
      </c>
      <c r="G211" s="3">
        <f>'1. Master Data'!I211</f>
        <v>134</v>
      </c>
      <c r="H211" s="15">
        <f t="shared" si="16"/>
        <v>4020</v>
      </c>
      <c r="I211" s="3">
        <f>'1. Master Data'!J211</f>
        <v>58</v>
      </c>
      <c r="J211" s="5" t="str">
        <f t="shared" si="17"/>
        <v>Watch</v>
      </c>
      <c r="K211" s="3">
        <f>IF('3. Demand Forecast'!F211=0,99,ROUND(G211/'3. Demand Forecast'!F211,1))</f>
        <v>1.5</v>
      </c>
      <c r="L211" s="3">
        <f>IF(G211=0,0,ROUND('4. ABC XYZ Analysis'!F211/G211,1))</f>
        <v>2.5</v>
      </c>
      <c r="M211" s="5" t="str">
        <f t="shared" si="18"/>
        <v>OK</v>
      </c>
      <c r="N211" s="4">
        <f t="shared" si="19"/>
        <v>0</v>
      </c>
      <c r="O211" s="1" t="str">
        <f t="shared" si="20"/>
        <v>Healthy</v>
      </c>
    </row>
    <row r="212" spans="1:15" ht="15" customHeight="1" x14ac:dyDescent="0.2">
      <c r="A212" s="3" t="str">
        <f>'1. Master Data'!A212</f>
        <v>NT10208</v>
      </c>
      <c r="B212" s="1" t="str">
        <f>'1. Master Data'!B212</f>
        <v>NovaWatch 308 GPS</v>
      </c>
      <c r="C212" s="3" t="str">
        <f>'1. Master Data'!C212</f>
        <v>Wearables</v>
      </c>
      <c r="D212" s="3" t="str">
        <f>'1. Master Data'!D212</f>
        <v>Central DC</v>
      </c>
      <c r="E212" s="3" t="str">
        <f>'1. Master Data'!H212</f>
        <v>Active</v>
      </c>
      <c r="F212" s="4">
        <f>'1. Master Data'!F212</f>
        <v>73</v>
      </c>
      <c r="G212" s="3">
        <f>'1. Master Data'!I212</f>
        <v>494</v>
      </c>
      <c r="H212" s="15">
        <f t="shared" si="16"/>
        <v>36062</v>
      </c>
      <c r="I212" s="3">
        <f>'1. Master Data'!J212</f>
        <v>41</v>
      </c>
      <c r="J212" s="5" t="str">
        <f t="shared" si="17"/>
        <v>Watch</v>
      </c>
      <c r="K212" s="3">
        <f>IF('3. Demand Forecast'!F212=0,99,ROUND(G212/'3. Demand Forecast'!F212,1))</f>
        <v>1.7</v>
      </c>
      <c r="L212" s="3">
        <f>IF(G212=0,0,ROUND('4. ABC XYZ Analysis'!F212/G212,1))</f>
        <v>6.5</v>
      </c>
      <c r="M212" s="5" t="str">
        <f t="shared" si="18"/>
        <v>OK</v>
      </c>
      <c r="N212" s="4">
        <f t="shared" si="19"/>
        <v>0</v>
      </c>
      <c r="O212" s="1" t="str">
        <f t="shared" si="20"/>
        <v>Healthy</v>
      </c>
    </row>
    <row r="213" spans="1:15" ht="15" customHeight="1" x14ac:dyDescent="0.2">
      <c r="A213" s="3" t="str">
        <f>'1. Master Data'!A213</f>
        <v>NT10209</v>
      </c>
      <c r="B213" s="1" t="str">
        <f>'1. Master Data'!B213</f>
        <v>FitTrack Band 624</v>
      </c>
      <c r="C213" s="3" t="str">
        <f>'1. Master Data'!C213</f>
        <v>Wearables</v>
      </c>
      <c r="D213" s="3" t="str">
        <f>'1. Master Data'!D213</f>
        <v>West DC</v>
      </c>
      <c r="E213" s="3" t="str">
        <f>'1. Master Data'!H213</f>
        <v>Active</v>
      </c>
      <c r="F213" s="4">
        <f>'1. Master Data'!F213</f>
        <v>119</v>
      </c>
      <c r="G213" s="3">
        <f>'1. Master Data'!I213</f>
        <v>370</v>
      </c>
      <c r="H213" s="15">
        <f t="shared" si="16"/>
        <v>44030</v>
      </c>
      <c r="I213" s="3">
        <f>'1. Master Data'!J213</f>
        <v>15</v>
      </c>
      <c r="J213" s="5" t="str">
        <f t="shared" si="17"/>
        <v>Fresh</v>
      </c>
      <c r="K213" s="3">
        <f>IF('3. Demand Forecast'!F213=0,99,ROUND(G213/'3. Demand Forecast'!F213,1))</f>
        <v>0.9</v>
      </c>
      <c r="L213" s="3">
        <f>IF(G213=0,0,ROUND('4. ABC XYZ Analysis'!F213/G213,1))</f>
        <v>5.7</v>
      </c>
      <c r="M213" s="5" t="str">
        <f t="shared" si="18"/>
        <v>OK</v>
      </c>
      <c r="N213" s="4">
        <f t="shared" si="19"/>
        <v>0</v>
      </c>
      <c r="O213" s="1" t="str">
        <f t="shared" si="20"/>
        <v>Healthy</v>
      </c>
    </row>
    <row r="214" spans="1:15" ht="15" customHeight="1" x14ac:dyDescent="0.2">
      <c r="A214" s="3" t="str">
        <f>'1. Master Data'!A214</f>
        <v>NT10210</v>
      </c>
      <c r="B214" s="1" t="str">
        <f>'1. Master Data'!B214</f>
        <v>FitTrack Band 399</v>
      </c>
      <c r="C214" s="3" t="str">
        <f>'1. Master Data'!C214</f>
        <v>Wearables</v>
      </c>
      <c r="D214" s="3" t="str">
        <f>'1. Master Data'!D214</f>
        <v>Central DC</v>
      </c>
      <c r="E214" s="3" t="str">
        <f>'1. Master Data'!H214</f>
        <v>Active</v>
      </c>
      <c r="F214" s="4">
        <f>'1. Master Data'!F214</f>
        <v>128</v>
      </c>
      <c r="G214" s="3">
        <f>'1. Master Data'!I214</f>
        <v>463</v>
      </c>
      <c r="H214" s="15">
        <f t="shared" si="16"/>
        <v>59264</v>
      </c>
      <c r="I214" s="3">
        <f>'1. Master Data'!J214</f>
        <v>154</v>
      </c>
      <c r="J214" s="5" t="str">
        <f t="shared" si="17"/>
        <v>Aged</v>
      </c>
      <c r="K214" s="3">
        <f>IF('3. Demand Forecast'!F214=0,99,ROUND(G214/'3. Demand Forecast'!F214,1))</f>
        <v>3.6</v>
      </c>
      <c r="L214" s="3">
        <f>IF(G214=0,0,ROUND('4. ABC XYZ Analysis'!F214/G214,1))</f>
        <v>0.7</v>
      </c>
      <c r="M214" s="5" t="str">
        <f t="shared" si="18"/>
        <v>EXCESS</v>
      </c>
      <c r="N214" s="4">
        <f t="shared" si="19"/>
        <v>59264</v>
      </c>
      <c r="O214" s="1" t="str">
        <f t="shared" si="20"/>
        <v>Reduce orders and monitor</v>
      </c>
    </row>
    <row r="215" spans="1:15" ht="15" customHeight="1" x14ac:dyDescent="0.2">
      <c r="A215" s="3" t="str">
        <f>'1. Master Data'!A215</f>
        <v>NT10211</v>
      </c>
      <c r="B215" s="1" t="str">
        <f>'1. Master Data'!B215</f>
        <v>PulseRing 157</v>
      </c>
      <c r="C215" s="3" t="str">
        <f>'1. Master Data'!C215</f>
        <v>Wearables</v>
      </c>
      <c r="D215" s="3" t="str">
        <f>'1. Master Data'!D215</f>
        <v>West DC</v>
      </c>
      <c r="E215" s="3" t="str">
        <f>'1. Master Data'!H215</f>
        <v>Active</v>
      </c>
      <c r="F215" s="4">
        <f>'1. Master Data'!F215</f>
        <v>83</v>
      </c>
      <c r="G215" s="3">
        <f>'1. Master Data'!I215</f>
        <v>732</v>
      </c>
      <c r="H215" s="15">
        <f t="shared" si="16"/>
        <v>60756</v>
      </c>
      <c r="I215" s="3">
        <f>'1. Master Data'!J215</f>
        <v>6</v>
      </c>
      <c r="J215" s="5" t="str">
        <f t="shared" si="17"/>
        <v>Fresh</v>
      </c>
      <c r="K215" s="3">
        <f>IF('3. Demand Forecast'!F215=0,99,ROUND(G215/'3. Demand Forecast'!F215,1))</f>
        <v>1.6</v>
      </c>
      <c r="L215" s="3">
        <f>IF(G215=0,0,ROUND('4. ABC XYZ Analysis'!F215/G215,1))</f>
        <v>0.6</v>
      </c>
      <c r="M215" s="5" t="str">
        <f t="shared" si="18"/>
        <v>OK</v>
      </c>
      <c r="N215" s="4">
        <f t="shared" si="19"/>
        <v>0</v>
      </c>
      <c r="O215" s="1" t="str">
        <f t="shared" si="20"/>
        <v>Healthy</v>
      </c>
    </row>
    <row r="216" spans="1:15" ht="15" customHeight="1" x14ac:dyDescent="0.2">
      <c r="A216" s="3" t="str">
        <f>'1. Master Data'!A216</f>
        <v>NT10212</v>
      </c>
      <c r="B216" s="1" t="str">
        <f>'1. Master Data'!B216</f>
        <v>NovaWatch 933 GPS</v>
      </c>
      <c r="C216" s="3" t="str">
        <f>'1. Master Data'!C216</f>
        <v>Wearables</v>
      </c>
      <c r="D216" s="3" t="str">
        <f>'1. Master Data'!D216</f>
        <v>East DC</v>
      </c>
      <c r="E216" s="3" t="str">
        <f>'1. Master Data'!H216</f>
        <v>Active</v>
      </c>
      <c r="F216" s="4">
        <f>'1. Master Data'!F216</f>
        <v>143</v>
      </c>
      <c r="G216" s="3">
        <f>'1. Master Data'!I216</f>
        <v>126</v>
      </c>
      <c r="H216" s="15">
        <f t="shared" si="16"/>
        <v>18018</v>
      </c>
      <c r="I216" s="3">
        <f>'1. Master Data'!J216</f>
        <v>30</v>
      </c>
      <c r="J216" s="5" t="str">
        <f t="shared" si="17"/>
        <v>Fresh</v>
      </c>
      <c r="K216" s="3">
        <f>IF('3. Demand Forecast'!F216=0,99,ROUND(G216/'3. Demand Forecast'!F216,1))</f>
        <v>1.7</v>
      </c>
      <c r="L216" s="3">
        <f>IF(G216=0,0,ROUND('4. ABC XYZ Analysis'!F216/G216,1))</f>
        <v>2.2999999999999998</v>
      </c>
      <c r="M216" s="5" t="str">
        <f t="shared" si="18"/>
        <v>OK</v>
      </c>
      <c r="N216" s="4">
        <f t="shared" si="19"/>
        <v>0</v>
      </c>
      <c r="O216" s="1" t="str">
        <f t="shared" si="20"/>
        <v>Healthy</v>
      </c>
    </row>
    <row r="217" spans="1:15" ht="15" customHeight="1" x14ac:dyDescent="0.2">
      <c r="A217" s="3" t="str">
        <f>'1. Master Data'!A217</f>
        <v>NT10213</v>
      </c>
      <c r="B217" s="1" t="str">
        <f>'1. Master Data'!B217</f>
        <v>NovaWatch 372 GPS</v>
      </c>
      <c r="C217" s="3" t="str">
        <f>'1. Master Data'!C217</f>
        <v>Wearables</v>
      </c>
      <c r="D217" s="3" t="str">
        <f>'1. Master Data'!D217</f>
        <v>Central DC</v>
      </c>
      <c r="E217" s="3" t="str">
        <f>'1. Master Data'!H217</f>
        <v>Active</v>
      </c>
      <c r="F217" s="4">
        <f>'1. Master Data'!F217</f>
        <v>66</v>
      </c>
      <c r="G217" s="3">
        <f>'1. Master Data'!I217</f>
        <v>467</v>
      </c>
      <c r="H217" s="15">
        <f t="shared" si="16"/>
        <v>30822</v>
      </c>
      <c r="I217" s="3">
        <f>'1. Master Data'!J217</f>
        <v>16</v>
      </c>
      <c r="J217" s="5" t="str">
        <f t="shared" si="17"/>
        <v>Fresh</v>
      </c>
      <c r="K217" s="3">
        <f>IF('3. Demand Forecast'!F217=0,99,ROUND(G217/'3. Demand Forecast'!F217,1))</f>
        <v>1.5</v>
      </c>
      <c r="L217" s="3">
        <f>IF(G217=0,0,ROUND('4. ABC XYZ Analysis'!F217/G217,1))</f>
        <v>5.8</v>
      </c>
      <c r="M217" s="5" t="str">
        <f t="shared" si="18"/>
        <v>OK</v>
      </c>
      <c r="N217" s="4">
        <f t="shared" si="19"/>
        <v>0</v>
      </c>
      <c r="O217" s="1" t="str">
        <f t="shared" si="20"/>
        <v>Healthy</v>
      </c>
    </row>
    <row r="218" spans="1:15" ht="15" customHeight="1" x14ac:dyDescent="0.2">
      <c r="A218" s="3" t="str">
        <f>'1. Master Data'!A218</f>
        <v>NT10214</v>
      </c>
      <c r="B218" s="1" t="str">
        <f>'1. Master Data'!B218</f>
        <v>StepOne Tracker 927</v>
      </c>
      <c r="C218" s="3" t="str">
        <f>'1. Master Data'!C218</f>
        <v>Wearables</v>
      </c>
      <c r="D218" s="3" t="str">
        <f>'1. Master Data'!D218</f>
        <v>East DC</v>
      </c>
      <c r="E218" s="3" t="str">
        <f>'1. Master Data'!H218</f>
        <v>Active</v>
      </c>
      <c r="F218" s="4">
        <f>'1. Master Data'!F218</f>
        <v>68</v>
      </c>
      <c r="G218" s="3">
        <f>'1. Master Data'!I218</f>
        <v>121</v>
      </c>
      <c r="H218" s="15">
        <f t="shared" si="16"/>
        <v>8228</v>
      </c>
      <c r="I218" s="3">
        <f>'1. Master Data'!J218</f>
        <v>70</v>
      </c>
      <c r="J218" s="5" t="str">
        <f t="shared" si="17"/>
        <v>Watch</v>
      </c>
      <c r="K218" s="3">
        <f>IF('3. Demand Forecast'!F218=0,99,ROUND(G218/'3. Demand Forecast'!F218,1))</f>
        <v>1.6</v>
      </c>
      <c r="L218" s="3">
        <f>IF(G218=0,0,ROUND('4. ABC XYZ Analysis'!F218/G218,1))</f>
        <v>2.9</v>
      </c>
      <c r="M218" s="5" t="str">
        <f t="shared" si="18"/>
        <v>OK</v>
      </c>
      <c r="N218" s="4">
        <f t="shared" si="19"/>
        <v>0</v>
      </c>
      <c r="O218" s="1" t="str">
        <f t="shared" si="20"/>
        <v>Healthy</v>
      </c>
    </row>
    <row r="219" spans="1:15" ht="15" customHeight="1" x14ac:dyDescent="0.2">
      <c r="A219" s="3" t="str">
        <f>'1. Master Data'!A219</f>
        <v>NT10215</v>
      </c>
      <c r="B219" s="1" t="str">
        <f>'1. Master Data'!B219</f>
        <v>FitTrack Band 640</v>
      </c>
      <c r="C219" s="3" t="str">
        <f>'1. Master Data'!C219</f>
        <v>Wearables</v>
      </c>
      <c r="D219" s="3" t="str">
        <f>'1. Master Data'!D219</f>
        <v>East DC</v>
      </c>
      <c r="E219" s="3" t="str">
        <f>'1. Master Data'!H219</f>
        <v>Active</v>
      </c>
      <c r="F219" s="4">
        <f>'1. Master Data'!F219</f>
        <v>104</v>
      </c>
      <c r="G219" s="3">
        <f>'1. Master Data'!I219</f>
        <v>299</v>
      </c>
      <c r="H219" s="15">
        <f t="shared" si="16"/>
        <v>31096</v>
      </c>
      <c r="I219" s="3">
        <f>'1. Master Data'!J219</f>
        <v>4</v>
      </c>
      <c r="J219" s="5" t="str">
        <f t="shared" si="17"/>
        <v>Fresh</v>
      </c>
      <c r="K219" s="3">
        <f>IF('3. Demand Forecast'!F219=0,99,ROUND(G219/'3. Demand Forecast'!F219,1))</f>
        <v>1.7</v>
      </c>
      <c r="L219" s="3">
        <f>IF(G219=0,0,ROUND('4. ABC XYZ Analysis'!F219/G219,1))</f>
        <v>3.5</v>
      </c>
      <c r="M219" s="5" t="str">
        <f t="shared" si="18"/>
        <v>OK</v>
      </c>
      <c r="N219" s="4">
        <f t="shared" si="19"/>
        <v>0</v>
      </c>
      <c r="O219" s="1" t="str">
        <f t="shared" si="20"/>
        <v>Healthy</v>
      </c>
    </row>
    <row r="220" spans="1:15" ht="15" customHeight="1" x14ac:dyDescent="0.2">
      <c r="A220" s="3" t="str">
        <f>'1. Master Data'!A220</f>
        <v>NT10216</v>
      </c>
      <c r="B220" s="1" t="str">
        <f>'1. Master Data'!B220</f>
        <v>StepOne Tracker 267</v>
      </c>
      <c r="C220" s="3" t="str">
        <f>'1. Master Data'!C220</f>
        <v>Wearables</v>
      </c>
      <c r="D220" s="3" t="str">
        <f>'1. Master Data'!D220</f>
        <v>West DC</v>
      </c>
      <c r="E220" s="3" t="str">
        <f>'1. Master Data'!H220</f>
        <v>Active</v>
      </c>
      <c r="F220" s="4">
        <f>'1. Master Data'!F220</f>
        <v>31</v>
      </c>
      <c r="G220" s="3">
        <f>'1. Master Data'!I220</f>
        <v>706</v>
      </c>
      <c r="H220" s="15">
        <f t="shared" si="16"/>
        <v>21886</v>
      </c>
      <c r="I220" s="3">
        <f>'1. Master Data'!J220</f>
        <v>162</v>
      </c>
      <c r="J220" s="5" t="str">
        <f t="shared" si="17"/>
        <v>Aged</v>
      </c>
      <c r="K220" s="3">
        <f>IF('3. Demand Forecast'!F220=0,99,ROUND(G220/'3. Demand Forecast'!F220,1))</f>
        <v>3.7</v>
      </c>
      <c r="L220" s="3">
        <f>IF(G220=0,0,ROUND('4. ABC XYZ Analysis'!F220/G220,1))</f>
        <v>0.3</v>
      </c>
      <c r="M220" s="5" t="str">
        <f t="shared" si="18"/>
        <v>EXCESS</v>
      </c>
      <c r="N220" s="4">
        <f t="shared" si="19"/>
        <v>21886</v>
      </c>
      <c r="O220" s="1" t="str">
        <f t="shared" si="20"/>
        <v>Reduce orders and monitor</v>
      </c>
    </row>
    <row r="221" spans="1:15" ht="15" customHeight="1" x14ac:dyDescent="0.2">
      <c r="A221" s="3" t="str">
        <f>'1. Master Data'!A221</f>
        <v>NT10217</v>
      </c>
      <c r="B221" s="1" t="str">
        <f>'1. Master Data'!B221</f>
        <v>PulseRing 145</v>
      </c>
      <c r="C221" s="3" t="str">
        <f>'1. Master Data'!C221</f>
        <v>Wearables</v>
      </c>
      <c r="D221" s="3" t="str">
        <f>'1. Master Data'!D221</f>
        <v>West DC</v>
      </c>
      <c r="E221" s="3" t="str">
        <f>'1. Master Data'!H221</f>
        <v>Active</v>
      </c>
      <c r="F221" s="4">
        <f>'1. Master Data'!F221</f>
        <v>55</v>
      </c>
      <c r="G221" s="3">
        <f>'1. Master Data'!I221</f>
        <v>505</v>
      </c>
      <c r="H221" s="15">
        <f t="shared" si="16"/>
        <v>27775</v>
      </c>
      <c r="I221" s="3">
        <f>'1. Master Data'!J221</f>
        <v>164</v>
      </c>
      <c r="J221" s="5" t="str">
        <f t="shared" si="17"/>
        <v>Aged</v>
      </c>
      <c r="K221" s="3">
        <f>IF('3. Demand Forecast'!F221=0,99,ROUND(G221/'3. Demand Forecast'!F221,1))</f>
        <v>3.4</v>
      </c>
      <c r="L221" s="3">
        <f>IF(G221=0,0,ROUND('4. ABC XYZ Analysis'!F221/G221,1))</f>
        <v>0.4</v>
      </c>
      <c r="M221" s="5" t="str">
        <f t="shared" si="18"/>
        <v>EXCESS</v>
      </c>
      <c r="N221" s="4">
        <f t="shared" si="19"/>
        <v>27775</v>
      </c>
      <c r="O221" s="1" t="str">
        <f t="shared" si="20"/>
        <v>Reduce orders and monitor</v>
      </c>
    </row>
    <row r="222" spans="1:15" ht="15" customHeight="1" x14ac:dyDescent="0.2">
      <c r="A222" s="3" t="str">
        <f>'1. Master Data'!A222</f>
        <v>NT10218</v>
      </c>
      <c r="B222" s="1" t="str">
        <f>'1. Master Data'!B222</f>
        <v>StepOne Tracker 111</v>
      </c>
      <c r="C222" s="3" t="str">
        <f>'1. Master Data'!C222</f>
        <v>Wearables</v>
      </c>
      <c r="D222" s="3" t="str">
        <f>'1. Master Data'!D222</f>
        <v>East DC</v>
      </c>
      <c r="E222" s="3" t="str">
        <f>'1. Master Data'!H222</f>
        <v>Active</v>
      </c>
      <c r="F222" s="4">
        <f>'1. Master Data'!F222</f>
        <v>105</v>
      </c>
      <c r="G222" s="3">
        <f>'1. Master Data'!I222</f>
        <v>42</v>
      </c>
      <c r="H222" s="15">
        <f t="shared" si="16"/>
        <v>4410</v>
      </c>
      <c r="I222" s="3">
        <f>'1. Master Data'!J222</f>
        <v>149</v>
      </c>
      <c r="J222" s="5" t="str">
        <f t="shared" si="17"/>
        <v>Aged</v>
      </c>
      <c r="K222" s="3">
        <f>IF('3. Demand Forecast'!F222=0,99,ROUND(G222/'3. Demand Forecast'!F222,1))</f>
        <v>3.2</v>
      </c>
      <c r="L222" s="3">
        <f>IF(G222=0,0,ROUND('4. ABC XYZ Analysis'!F222/G222,1))</f>
        <v>132.5</v>
      </c>
      <c r="M222" s="5" t="str">
        <f t="shared" si="18"/>
        <v>EXCESS</v>
      </c>
      <c r="N222" s="4">
        <f t="shared" si="19"/>
        <v>4410</v>
      </c>
      <c r="O222" s="1" t="str">
        <f t="shared" si="20"/>
        <v>Reduce orders and monitor</v>
      </c>
    </row>
    <row r="223" spans="1:15" ht="15" customHeight="1" x14ac:dyDescent="0.2">
      <c r="A223" s="3" t="str">
        <f>'1. Master Data'!A223</f>
        <v>NT10219</v>
      </c>
      <c r="B223" s="1" t="str">
        <f>'1. Master Data'!B223</f>
        <v>NovaWatch 336 GPS</v>
      </c>
      <c r="C223" s="3" t="str">
        <f>'1. Master Data'!C223</f>
        <v>Wearables</v>
      </c>
      <c r="D223" s="3" t="str">
        <f>'1. Master Data'!D223</f>
        <v>West DC</v>
      </c>
      <c r="E223" s="3" t="str">
        <f>'1. Master Data'!H223</f>
        <v>Active</v>
      </c>
      <c r="F223" s="4">
        <f>'1. Master Data'!F223</f>
        <v>70</v>
      </c>
      <c r="G223" s="3">
        <f>'1. Master Data'!I223</f>
        <v>152</v>
      </c>
      <c r="H223" s="15">
        <f t="shared" si="16"/>
        <v>10640</v>
      </c>
      <c r="I223" s="3">
        <f>'1. Master Data'!J223</f>
        <v>31</v>
      </c>
      <c r="J223" s="5" t="str">
        <f t="shared" si="17"/>
        <v>Watch</v>
      </c>
      <c r="K223" s="3">
        <f>IF('3. Demand Forecast'!F223=0,99,ROUND(G223/'3. Demand Forecast'!F223,1))</f>
        <v>1.3</v>
      </c>
      <c r="L223" s="3">
        <f>IF(G223=0,0,ROUND('4. ABC XYZ Analysis'!F223/G223,1))</f>
        <v>32.799999999999997</v>
      </c>
      <c r="M223" s="5" t="str">
        <f t="shared" si="18"/>
        <v>OK</v>
      </c>
      <c r="N223" s="4">
        <f t="shared" si="19"/>
        <v>0</v>
      </c>
      <c r="O223" s="1" t="str">
        <f t="shared" si="20"/>
        <v>Healthy</v>
      </c>
    </row>
    <row r="224" spans="1:15" ht="15" customHeight="1" x14ac:dyDescent="0.2">
      <c r="A224" s="3" t="str">
        <f>'1. Master Data'!A224</f>
        <v>NT10220</v>
      </c>
      <c r="B224" s="1" t="str">
        <f>'1. Master Data'!B224</f>
        <v>StepOne Tracker 846</v>
      </c>
      <c r="C224" s="3" t="str">
        <f>'1. Master Data'!C224</f>
        <v>Wearables</v>
      </c>
      <c r="D224" s="3" t="str">
        <f>'1. Master Data'!D224</f>
        <v>Central DC</v>
      </c>
      <c r="E224" s="3" t="str">
        <f>'1. Master Data'!H224</f>
        <v>Active</v>
      </c>
      <c r="F224" s="4">
        <f>'1. Master Data'!F224</f>
        <v>145</v>
      </c>
      <c r="G224" s="3">
        <f>'1. Master Data'!I224</f>
        <v>65</v>
      </c>
      <c r="H224" s="15">
        <f t="shared" si="16"/>
        <v>9425</v>
      </c>
      <c r="I224" s="3">
        <f>'1. Master Data'!J224</f>
        <v>44</v>
      </c>
      <c r="J224" s="5" t="str">
        <f t="shared" si="17"/>
        <v>Watch</v>
      </c>
      <c r="K224" s="3">
        <f>IF('3. Demand Forecast'!F224=0,99,ROUND(G224/'3. Demand Forecast'!F224,1))</f>
        <v>1.8</v>
      </c>
      <c r="L224" s="3">
        <f>IF(G224=0,0,ROUND('4. ABC XYZ Analysis'!F224/G224,1))</f>
        <v>5.2</v>
      </c>
      <c r="M224" s="5" t="str">
        <f t="shared" si="18"/>
        <v>OK</v>
      </c>
      <c r="N224" s="4">
        <f t="shared" si="19"/>
        <v>0</v>
      </c>
      <c r="O224" s="1" t="str">
        <f t="shared" si="20"/>
        <v>Healthy</v>
      </c>
    </row>
    <row r="225" spans="1:15" ht="15" customHeight="1" x14ac:dyDescent="0.2">
      <c r="A225" s="3" t="str">
        <f>'1. Master Data'!A225</f>
        <v>NT10221</v>
      </c>
      <c r="B225" s="1" t="str">
        <f>'1. Master Data'!B225</f>
        <v>StepOne Tracker 811</v>
      </c>
      <c r="C225" s="3" t="str">
        <f>'1. Master Data'!C225</f>
        <v>Wearables</v>
      </c>
      <c r="D225" s="3" t="str">
        <f>'1. Master Data'!D225</f>
        <v>West DC</v>
      </c>
      <c r="E225" s="3" t="str">
        <f>'1. Master Data'!H225</f>
        <v>Active</v>
      </c>
      <c r="F225" s="4">
        <f>'1. Master Data'!F225</f>
        <v>155</v>
      </c>
      <c r="G225" s="3">
        <f>'1. Master Data'!I225</f>
        <v>107</v>
      </c>
      <c r="H225" s="15">
        <f t="shared" si="16"/>
        <v>16585</v>
      </c>
      <c r="I225" s="3">
        <f>'1. Master Data'!J225</f>
        <v>39</v>
      </c>
      <c r="J225" s="5" t="str">
        <f t="shared" si="17"/>
        <v>Watch</v>
      </c>
      <c r="K225" s="3">
        <f>IF('3. Demand Forecast'!F225=0,99,ROUND(G225/'3. Demand Forecast'!F225,1))</f>
        <v>1.8</v>
      </c>
      <c r="L225" s="3">
        <f>IF(G225=0,0,ROUND('4. ABC XYZ Analysis'!F225/G225,1))</f>
        <v>20.5</v>
      </c>
      <c r="M225" s="5" t="str">
        <f t="shared" si="18"/>
        <v>OK</v>
      </c>
      <c r="N225" s="4">
        <f t="shared" si="19"/>
        <v>0</v>
      </c>
      <c r="O225" s="1" t="str">
        <f t="shared" si="20"/>
        <v>Healthy</v>
      </c>
    </row>
    <row r="226" spans="1:15" ht="15" customHeight="1" x14ac:dyDescent="0.2">
      <c r="A226" s="3" t="str">
        <f>'1. Master Data'!A226</f>
        <v>NT10222</v>
      </c>
      <c r="B226" s="1" t="str">
        <f>'1. Master Data'!B226</f>
        <v>StepOne Tracker 743</v>
      </c>
      <c r="C226" s="3" t="str">
        <f>'1. Master Data'!C226</f>
        <v>Wearables</v>
      </c>
      <c r="D226" s="3" t="str">
        <f>'1. Master Data'!D226</f>
        <v>Central DC</v>
      </c>
      <c r="E226" s="3" t="str">
        <f>'1. Master Data'!H226</f>
        <v>Active</v>
      </c>
      <c r="F226" s="4">
        <f>'1. Master Data'!F226</f>
        <v>49</v>
      </c>
      <c r="G226" s="3">
        <f>'1. Master Data'!I226</f>
        <v>35</v>
      </c>
      <c r="H226" s="15">
        <f t="shared" si="16"/>
        <v>1715</v>
      </c>
      <c r="I226" s="3">
        <f>'1. Master Data'!J226</f>
        <v>70</v>
      </c>
      <c r="J226" s="5" t="str">
        <f t="shared" si="17"/>
        <v>Watch</v>
      </c>
      <c r="K226" s="3">
        <f>IF('3. Demand Forecast'!F226=0,99,ROUND(G226/'3. Demand Forecast'!F226,1))</f>
        <v>1.4</v>
      </c>
      <c r="L226" s="3">
        <f>IF(G226=0,0,ROUND('4. ABC XYZ Analysis'!F226/G226,1))</f>
        <v>11.2</v>
      </c>
      <c r="M226" s="5" t="str">
        <f t="shared" si="18"/>
        <v>OK</v>
      </c>
      <c r="N226" s="4">
        <f t="shared" si="19"/>
        <v>0</v>
      </c>
      <c r="O226" s="1" t="str">
        <f t="shared" si="20"/>
        <v>Healthy</v>
      </c>
    </row>
    <row r="227" spans="1:15" ht="15" customHeight="1" x14ac:dyDescent="0.2">
      <c r="A227" s="3" t="str">
        <f>'1. Master Data'!A227</f>
        <v>NT10223</v>
      </c>
      <c r="B227" s="1" t="str">
        <f>'1. Master Data'!B227</f>
        <v>FitTrack Band 120</v>
      </c>
      <c r="C227" s="3" t="str">
        <f>'1. Master Data'!C227</f>
        <v>Wearables</v>
      </c>
      <c r="D227" s="3" t="str">
        <f>'1. Master Data'!D227</f>
        <v>Central DC</v>
      </c>
      <c r="E227" s="3" t="str">
        <f>'1. Master Data'!H227</f>
        <v>Active</v>
      </c>
      <c r="F227" s="4">
        <f>'1. Master Data'!F227</f>
        <v>79</v>
      </c>
      <c r="G227" s="3">
        <f>'1. Master Data'!I227</f>
        <v>71</v>
      </c>
      <c r="H227" s="15">
        <f t="shared" si="16"/>
        <v>5609</v>
      </c>
      <c r="I227" s="3">
        <f>'1. Master Data'!J227</f>
        <v>19</v>
      </c>
      <c r="J227" s="5" t="str">
        <f t="shared" si="17"/>
        <v>Fresh</v>
      </c>
      <c r="K227" s="3">
        <f>IF('3. Demand Forecast'!F227=0,99,ROUND(G227/'3. Demand Forecast'!F227,1))</f>
        <v>1.1000000000000001</v>
      </c>
      <c r="L227" s="3">
        <f>IF(G227=0,0,ROUND('4. ABC XYZ Analysis'!F227/G227,1))</f>
        <v>21.5</v>
      </c>
      <c r="M227" s="5" t="str">
        <f t="shared" si="18"/>
        <v>OK</v>
      </c>
      <c r="N227" s="4">
        <f t="shared" si="19"/>
        <v>0</v>
      </c>
      <c r="O227" s="1" t="str">
        <f t="shared" si="20"/>
        <v>Healthy</v>
      </c>
    </row>
    <row r="228" spans="1:15" ht="15" customHeight="1" x14ac:dyDescent="0.2">
      <c r="A228" s="3" t="str">
        <f>'1. Master Data'!A228</f>
        <v>NT10224</v>
      </c>
      <c r="B228" s="1" t="str">
        <f>'1. Master Data'!B228</f>
        <v>PulseRing 309</v>
      </c>
      <c r="C228" s="3" t="str">
        <f>'1. Master Data'!C228</f>
        <v>Wearables</v>
      </c>
      <c r="D228" s="3" t="str">
        <f>'1. Master Data'!D228</f>
        <v>Central DC</v>
      </c>
      <c r="E228" s="3" t="str">
        <f>'1. Master Data'!H228</f>
        <v>Active</v>
      </c>
      <c r="F228" s="4">
        <f>'1. Master Data'!F228</f>
        <v>57</v>
      </c>
      <c r="G228" s="3">
        <f>'1. Master Data'!I228</f>
        <v>247</v>
      </c>
      <c r="H228" s="15">
        <f t="shared" si="16"/>
        <v>14079</v>
      </c>
      <c r="I228" s="3">
        <f>'1. Master Data'!J228</f>
        <v>193</v>
      </c>
      <c r="J228" s="5" t="str">
        <f t="shared" si="17"/>
        <v>Obsolete Risk</v>
      </c>
      <c r="K228" s="3">
        <f>IF('3. Demand Forecast'!F228=0,99,ROUND(G228/'3. Demand Forecast'!F228,1))</f>
        <v>3.7</v>
      </c>
      <c r="L228" s="3">
        <f>IF(G228=0,0,ROUND('4. ABC XYZ Analysis'!F228/G228,1))</f>
        <v>3.1</v>
      </c>
      <c r="M228" s="5" t="str">
        <f t="shared" si="18"/>
        <v>EXCESS</v>
      </c>
      <c r="N228" s="4">
        <f t="shared" si="19"/>
        <v>14079</v>
      </c>
      <c r="O228" s="1" t="str">
        <f t="shared" si="20"/>
        <v>Disposition Review</v>
      </c>
    </row>
    <row r="229" spans="1:15" ht="15" customHeight="1" x14ac:dyDescent="0.2">
      <c r="A229" s="3" t="str">
        <f>'1. Master Data'!A229</f>
        <v>NT10225</v>
      </c>
      <c r="B229" s="1" t="str">
        <f>'1. Master Data'!B229</f>
        <v>FitTrack Band 167</v>
      </c>
      <c r="C229" s="3" t="str">
        <f>'1. Master Data'!C229</f>
        <v>Wearables</v>
      </c>
      <c r="D229" s="3" t="str">
        <f>'1. Master Data'!D229</f>
        <v>East DC</v>
      </c>
      <c r="E229" s="3" t="str">
        <f>'1. Master Data'!H229</f>
        <v>Active</v>
      </c>
      <c r="F229" s="4">
        <f>'1. Master Data'!F229</f>
        <v>117</v>
      </c>
      <c r="G229" s="3">
        <f>'1. Master Data'!I229</f>
        <v>59</v>
      </c>
      <c r="H229" s="15">
        <f t="shared" si="16"/>
        <v>6903</v>
      </c>
      <c r="I229" s="3">
        <f>'1. Master Data'!J229</f>
        <v>14</v>
      </c>
      <c r="J229" s="5" t="str">
        <f t="shared" si="17"/>
        <v>Fresh</v>
      </c>
      <c r="K229" s="3">
        <f>IF('3. Demand Forecast'!F229=0,99,ROUND(G229/'3. Demand Forecast'!F229,1))</f>
        <v>1.8</v>
      </c>
      <c r="L229" s="3">
        <f>IF(G229=0,0,ROUND('4. ABC XYZ Analysis'!F229/G229,1))</f>
        <v>24.9</v>
      </c>
      <c r="M229" s="5" t="str">
        <f t="shared" si="18"/>
        <v>OK</v>
      </c>
      <c r="N229" s="4">
        <f t="shared" si="19"/>
        <v>0</v>
      </c>
      <c r="O229" s="1" t="str">
        <f t="shared" si="20"/>
        <v>Healthy</v>
      </c>
    </row>
    <row r="230" spans="1:15" ht="15" customHeight="1" x14ac:dyDescent="0.2">
      <c r="A230" s="3" t="str">
        <f>'1. Master Data'!A230</f>
        <v>NT10226</v>
      </c>
      <c r="B230" s="1" t="str">
        <f>'1. Master Data'!B230</f>
        <v>StepOne Tracker 298</v>
      </c>
      <c r="C230" s="3" t="str">
        <f>'1. Master Data'!C230</f>
        <v>Wearables</v>
      </c>
      <c r="D230" s="3" t="str">
        <f>'1. Master Data'!D230</f>
        <v>East DC</v>
      </c>
      <c r="E230" s="3" t="str">
        <f>'1. Master Data'!H230</f>
        <v>Active</v>
      </c>
      <c r="F230" s="4">
        <f>'1. Master Data'!F230</f>
        <v>146</v>
      </c>
      <c r="G230" s="3">
        <f>'1. Master Data'!I230</f>
        <v>67</v>
      </c>
      <c r="H230" s="15">
        <f t="shared" si="16"/>
        <v>9782</v>
      </c>
      <c r="I230" s="3">
        <f>'1. Master Data'!J230</f>
        <v>35</v>
      </c>
      <c r="J230" s="5" t="str">
        <f t="shared" si="17"/>
        <v>Watch</v>
      </c>
      <c r="K230" s="3">
        <f>IF('3. Demand Forecast'!F230=0,99,ROUND(G230/'3. Demand Forecast'!F230,1))</f>
        <v>1.3</v>
      </c>
      <c r="L230" s="3">
        <f>IF(G230=0,0,ROUND('4. ABC XYZ Analysis'!F230/G230,1))</f>
        <v>120.3</v>
      </c>
      <c r="M230" s="5" t="str">
        <f t="shared" si="18"/>
        <v>OK</v>
      </c>
      <c r="N230" s="4">
        <f t="shared" si="19"/>
        <v>0</v>
      </c>
      <c r="O230" s="1" t="str">
        <f t="shared" si="20"/>
        <v>Healthy</v>
      </c>
    </row>
    <row r="231" spans="1:15" ht="15" customHeight="1" x14ac:dyDescent="0.2">
      <c r="A231" s="3" t="str">
        <f>'1. Master Data'!A231</f>
        <v>NT10227</v>
      </c>
      <c r="B231" s="1" t="str">
        <f>'1. Master Data'!B231</f>
        <v>PulseRing 331</v>
      </c>
      <c r="C231" s="3" t="str">
        <f>'1. Master Data'!C231</f>
        <v>Wearables</v>
      </c>
      <c r="D231" s="3" t="str">
        <f>'1. Master Data'!D231</f>
        <v>Central DC</v>
      </c>
      <c r="E231" s="3" t="str">
        <f>'1. Master Data'!H231</f>
        <v>Active</v>
      </c>
      <c r="F231" s="4">
        <f>'1. Master Data'!F231</f>
        <v>118</v>
      </c>
      <c r="G231" s="3">
        <f>'1. Master Data'!I231</f>
        <v>83</v>
      </c>
      <c r="H231" s="15">
        <f t="shared" si="16"/>
        <v>9794</v>
      </c>
      <c r="I231" s="3">
        <f>'1. Master Data'!J231</f>
        <v>8</v>
      </c>
      <c r="J231" s="5" t="str">
        <f t="shared" si="17"/>
        <v>Fresh</v>
      </c>
      <c r="K231" s="3">
        <f>IF('3. Demand Forecast'!F231=0,99,ROUND(G231/'3. Demand Forecast'!F231,1))</f>
        <v>1.7</v>
      </c>
      <c r="L231" s="3">
        <f>IF(G231=0,0,ROUND('4. ABC XYZ Analysis'!F231/G231,1))</f>
        <v>14.7</v>
      </c>
      <c r="M231" s="5" t="str">
        <f t="shared" si="18"/>
        <v>OK</v>
      </c>
      <c r="N231" s="4">
        <f t="shared" si="19"/>
        <v>0</v>
      </c>
      <c r="O231" s="1" t="str">
        <f t="shared" si="20"/>
        <v>Healthy</v>
      </c>
    </row>
    <row r="232" spans="1:15" ht="15" customHeight="1" x14ac:dyDescent="0.2">
      <c r="A232" s="3" t="str">
        <f>'1. Master Data'!A232</f>
        <v>NT10228</v>
      </c>
      <c r="B232" s="1" t="str">
        <f>'1. Master Data'!B232</f>
        <v>FitTrack Band 708</v>
      </c>
      <c r="C232" s="3" t="str">
        <f>'1. Master Data'!C232</f>
        <v>Wearables</v>
      </c>
      <c r="D232" s="3" t="str">
        <f>'1. Master Data'!D232</f>
        <v>East DC</v>
      </c>
      <c r="E232" s="3" t="str">
        <f>'1. Master Data'!H232</f>
        <v>Active</v>
      </c>
      <c r="F232" s="4">
        <f>'1. Master Data'!F232</f>
        <v>29</v>
      </c>
      <c r="G232" s="3">
        <f>'1. Master Data'!I232</f>
        <v>778</v>
      </c>
      <c r="H232" s="15">
        <f t="shared" si="16"/>
        <v>22562</v>
      </c>
      <c r="I232" s="3">
        <f>'1. Master Data'!J232</f>
        <v>193</v>
      </c>
      <c r="J232" s="5" t="str">
        <f t="shared" si="17"/>
        <v>Obsolete Risk</v>
      </c>
      <c r="K232" s="3">
        <f>IF('3. Demand Forecast'!F232=0,99,ROUND(G232/'3. Demand Forecast'!F232,1))</f>
        <v>4.0999999999999996</v>
      </c>
      <c r="L232" s="3">
        <f>IF(G232=0,0,ROUND('4. ABC XYZ Analysis'!F232/G232,1))</f>
        <v>2.4</v>
      </c>
      <c r="M232" s="5" t="str">
        <f t="shared" si="18"/>
        <v>EXCESS</v>
      </c>
      <c r="N232" s="4">
        <f t="shared" si="19"/>
        <v>22562</v>
      </c>
      <c r="O232" s="1" t="str">
        <f t="shared" si="20"/>
        <v>Disposition Review</v>
      </c>
    </row>
    <row r="233" spans="1:15" ht="15" customHeight="1" x14ac:dyDescent="0.2">
      <c r="A233" s="3" t="str">
        <f>'1. Master Data'!A233</f>
        <v>NT10229</v>
      </c>
      <c r="B233" s="1" t="str">
        <f>'1. Master Data'!B233</f>
        <v>FitTrack Band 496</v>
      </c>
      <c r="C233" s="3" t="str">
        <f>'1. Master Data'!C233</f>
        <v>Wearables</v>
      </c>
      <c r="D233" s="3" t="str">
        <f>'1. Master Data'!D233</f>
        <v>Central DC</v>
      </c>
      <c r="E233" s="3" t="str">
        <f>'1. Master Data'!H233</f>
        <v>Active</v>
      </c>
      <c r="F233" s="4">
        <f>'1. Master Data'!F233</f>
        <v>74</v>
      </c>
      <c r="G233" s="3">
        <f>'1. Master Data'!I233</f>
        <v>236</v>
      </c>
      <c r="H233" s="15">
        <f t="shared" si="16"/>
        <v>17464</v>
      </c>
      <c r="I233" s="3">
        <f>'1. Master Data'!J233</f>
        <v>101</v>
      </c>
      <c r="J233" s="5" t="str">
        <f t="shared" si="17"/>
        <v>Aged</v>
      </c>
      <c r="K233" s="3">
        <f>IF('3. Demand Forecast'!F233=0,99,ROUND(G233/'3. Demand Forecast'!F233,1))</f>
        <v>4.3</v>
      </c>
      <c r="L233" s="3">
        <f>IF(G233=0,0,ROUND('4. ABC XYZ Analysis'!F233/G233,1))</f>
        <v>50.2</v>
      </c>
      <c r="M233" s="5" t="str">
        <f t="shared" si="18"/>
        <v>EXCESS</v>
      </c>
      <c r="N233" s="4">
        <f t="shared" si="19"/>
        <v>17464</v>
      </c>
      <c r="O233" s="1" t="str">
        <f t="shared" si="20"/>
        <v>Reduce orders and monitor</v>
      </c>
    </row>
    <row r="234" spans="1:15" ht="15" customHeight="1" x14ac:dyDescent="0.2">
      <c r="A234" s="3" t="str">
        <f>'1. Master Data'!A234</f>
        <v>NT10230</v>
      </c>
      <c r="B234" s="1" t="str">
        <f>'1. Master Data'!B234</f>
        <v>FitTrack Band 260</v>
      </c>
      <c r="C234" s="3" t="str">
        <f>'1. Master Data'!C234</f>
        <v>Wearables</v>
      </c>
      <c r="D234" s="3" t="str">
        <f>'1. Master Data'!D234</f>
        <v>Central DC</v>
      </c>
      <c r="E234" s="3" t="str">
        <f>'1. Master Data'!H234</f>
        <v>Active</v>
      </c>
      <c r="F234" s="4">
        <f>'1. Master Data'!F234</f>
        <v>65</v>
      </c>
      <c r="G234" s="3">
        <f>'1. Master Data'!I234</f>
        <v>16</v>
      </c>
      <c r="H234" s="15">
        <f t="shared" si="16"/>
        <v>1040</v>
      </c>
      <c r="I234" s="3">
        <f>'1. Master Data'!J234</f>
        <v>34</v>
      </c>
      <c r="J234" s="5" t="str">
        <f t="shared" si="17"/>
        <v>Watch</v>
      </c>
      <c r="K234" s="3">
        <f>IF('3. Demand Forecast'!F234=0,99,ROUND(G234/'3. Demand Forecast'!F234,1))</f>
        <v>1.9</v>
      </c>
      <c r="L234" s="3">
        <f>IF(G234=0,0,ROUND('4. ABC XYZ Analysis'!F234/G234,1))</f>
        <v>19.3</v>
      </c>
      <c r="M234" s="5" t="str">
        <f t="shared" si="18"/>
        <v>OK</v>
      </c>
      <c r="N234" s="4">
        <f t="shared" si="19"/>
        <v>0</v>
      </c>
      <c r="O234" s="1" t="str">
        <f t="shared" si="20"/>
        <v>Healthy</v>
      </c>
    </row>
    <row r="235" spans="1:15" ht="15" customHeight="1" x14ac:dyDescent="0.2">
      <c r="A235" s="3" t="str">
        <f>'1. Master Data'!A235</f>
        <v>NT10231</v>
      </c>
      <c r="B235" s="1" t="str">
        <f>'1. Master Data'!B235</f>
        <v>NovaWatch 715 GPS</v>
      </c>
      <c r="C235" s="3" t="str">
        <f>'1. Master Data'!C235</f>
        <v>Wearables</v>
      </c>
      <c r="D235" s="3" t="str">
        <f>'1. Master Data'!D235</f>
        <v>West DC</v>
      </c>
      <c r="E235" s="3" t="str">
        <f>'1. Master Data'!H235</f>
        <v>Active</v>
      </c>
      <c r="F235" s="4">
        <f>'1. Master Data'!F235</f>
        <v>155</v>
      </c>
      <c r="G235" s="3">
        <f>'1. Master Data'!I235</f>
        <v>280</v>
      </c>
      <c r="H235" s="15">
        <f t="shared" si="16"/>
        <v>43400</v>
      </c>
      <c r="I235" s="3">
        <f>'1. Master Data'!J235</f>
        <v>21</v>
      </c>
      <c r="J235" s="5" t="str">
        <f t="shared" si="17"/>
        <v>Fresh</v>
      </c>
      <c r="K235" s="3">
        <f>IF('3. Demand Forecast'!F235=0,99,ROUND(G235/'3. Demand Forecast'!F235,1))</f>
        <v>1.2</v>
      </c>
      <c r="L235" s="3">
        <f>IF(G235=0,0,ROUND('4. ABC XYZ Analysis'!F235/G235,1))</f>
        <v>5.8</v>
      </c>
      <c r="M235" s="5" t="str">
        <f t="shared" si="18"/>
        <v>OK</v>
      </c>
      <c r="N235" s="4">
        <f t="shared" si="19"/>
        <v>0</v>
      </c>
      <c r="O235" s="1" t="str">
        <f t="shared" si="20"/>
        <v>Healthy</v>
      </c>
    </row>
    <row r="236" spans="1:15" ht="15" customHeight="1" x14ac:dyDescent="0.2">
      <c r="A236" s="3" t="str">
        <f>'1. Master Data'!A236</f>
        <v>NT10232</v>
      </c>
      <c r="B236" s="1" t="str">
        <f>'1. Master Data'!B236</f>
        <v>FitTrack Band 981</v>
      </c>
      <c r="C236" s="3" t="str">
        <f>'1. Master Data'!C236</f>
        <v>Wearables</v>
      </c>
      <c r="D236" s="3" t="str">
        <f>'1. Master Data'!D236</f>
        <v>West DC</v>
      </c>
      <c r="E236" s="3" t="str">
        <f>'1. Master Data'!H236</f>
        <v>Active</v>
      </c>
      <c r="F236" s="4">
        <f>'1. Master Data'!F236</f>
        <v>79</v>
      </c>
      <c r="G236" s="3">
        <f>'1. Master Data'!I236</f>
        <v>1054</v>
      </c>
      <c r="H236" s="15">
        <f t="shared" si="16"/>
        <v>83266</v>
      </c>
      <c r="I236" s="3">
        <f>'1. Master Data'!J236</f>
        <v>200</v>
      </c>
      <c r="J236" s="5" t="str">
        <f t="shared" si="17"/>
        <v>Obsolete Risk</v>
      </c>
      <c r="K236" s="3">
        <f>IF('3. Demand Forecast'!F236=0,99,ROUND(G236/'3. Demand Forecast'!F236,1))</f>
        <v>4.7</v>
      </c>
      <c r="L236" s="3">
        <f>IF(G236=0,0,ROUND('4. ABC XYZ Analysis'!F236/G236,1))</f>
        <v>1.1000000000000001</v>
      </c>
      <c r="M236" s="5" t="str">
        <f t="shared" si="18"/>
        <v>EXCESS</v>
      </c>
      <c r="N236" s="4">
        <f t="shared" si="19"/>
        <v>83266</v>
      </c>
      <c r="O236" s="1" t="str">
        <f t="shared" si="20"/>
        <v>Disposition Review</v>
      </c>
    </row>
    <row r="237" spans="1:15" ht="15" customHeight="1" x14ac:dyDescent="0.2">
      <c r="A237" s="3" t="str">
        <f>'1. Master Data'!A237</f>
        <v>NT10233</v>
      </c>
      <c r="B237" s="1" t="str">
        <f>'1. Master Data'!B237</f>
        <v>FitTrack Band 945</v>
      </c>
      <c r="C237" s="3" t="str">
        <f>'1. Master Data'!C237</f>
        <v>Wearables</v>
      </c>
      <c r="D237" s="3" t="str">
        <f>'1. Master Data'!D237</f>
        <v>East DC</v>
      </c>
      <c r="E237" s="3" t="str">
        <f>'1. Master Data'!H237</f>
        <v>Active</v>
      </c>
      <c r="F237" s="4">
        <f>'1. Master Data'!F237</f>
        <v>58</v>
      </c>
      <c r="G237" s="3">
        <f>'1. Master Data'!I237</f>
        <v>60</v>
      </c>
      <c r="H237" s="15">
        <f t="shared" si="16"/>
        <v>3480</v>
      </c>
      <c r="I237" s="3">
        <f>'1. Master Data'!J237</f>
        <v>7</v>
      </c>
      <c r="J237" s="5" t="str">
        <f t="shared" si="17"/>
        <v>Fresh</v>
      </c>
      <c r="K237" s="3">
        <f>IF('3. Demand Forecast'!F237=0,99,ROUND(G237/'3. Demand Forecast'!F237,1))</f>
        <v>1.4</v>
      </c>
      <c r="L237" s="3">
        <f>IF(G237=0,0,ROUND('4. ABC XYZ Analysis'!F237/G237,1))</f>
        <v>13.5</v>
      </c>
      <c r="M237" s="5" t="str">
        <f t="shared" si="18"/>
        <v>OK</v>
      </c>
      <c r="N237" s="4">
        <f t="shared" si="19"/>
        <v>0</v>
      </c>
      <c r="O237" s="1" t="str">
        <f t="shared" si="20"/>
        <v>Healthy</v>
      </c>
    </row>
    <row r="238" spans="1:15" ht="15" customHeight="1" x14ac:dyDescent="0.2">
      <c r="A238" s="3" t="str">
        <f>'1. Master Data'!A238</f>
        <v>NT10234</v>
      </c>
      <c r="B238" s="1" t="str">
        <f>'1. Master Data'!B238</f>
        <v>NovaWatch 818 GPS</v>
      </c>
      <c r="C238" s="3" t="str">
        <f>'1. Master Data'!C238</f>
        <v>Wearables</v>
      </c>
      <c r="D238" s="3" t="str">
        <f>'1. Master Data'!D238</f>
        <v>Central DC</v>
      </c>
      <c r="E238" s="3" t="str">
        <f>'1. Master Data'!H238</f>
        <v>Active</v>
      </c>
      <c r="F238" s="4">
        <f>'1. Master Data'!F238</f>
        <v>150</v>
      </c>
      <c r="G238" s="3">
        <f>'1. Master Data'!I238</f>
        <v>104</v>
      </c>
      <c r="H238" s="15">
        <f t="shared" si="16"/>
        <v>15600</v>
      </c>
      <c r="I238" s="3">
        <f>'1. Master Data'!J238</f>
        <v>5</v>
      </c>
      <c r="J238" s="5" t="str">
        <f t="shared" si="17"/>
        <v>Fresh</v>
      </c>
      <c r="K238" s="3">
        <f>IF('3. Demand Forecast'!F238=0,99,ROUND(G238/'3. Demand Forecast'!F238,1))</f>
        <v>1.3</v>
      </c>
      <c r="L238" s="3">
        <f>IF(G238=0,0,ROUND('4. ABC XYZ Analysis'!F238/G238,1))</f>
        <v>11.2</v>
      </c>
      <c r="M238" s="5" t="str">
        <f t="shared" si="18"/>
        <v>OK</v>
      </c>
      <c r="N238" s="4">
        <f t="shared" si="19"/>
        <v>0</v>
      </c>
      <c r="O238" s="1" t="str">
        <f t="shared" si="20"/>
        <v>Healthy</v>
      </c>
    </row>
    <row r="239" spans="1:15" ht="15" customHeight="1" x14ac:dyDescent="0.2">
      <c r="A239" s="3" t="str">
        <f>'1. Master Data'!A239</f>
        <v>NT10235</v>
      </c>
      <c r="B239" s="1" t="str">
        <f>'1. Master Data'!B239</f>
        <v>StepOne Tracker 147</v>
      </c>
      <c r="C239" s="3" t="str">
        <f>'1. Master Data'!C239</f>
        <v>Wearables</v>
      </c>
      <c r="D239" s="3" t="str">
        <f>'1. Master Data'!D239</f>
        <v>Central DC</v>
      </c>
      <c r="E239" s="3" t="str">
        <f>'1. Master Data'!H239</f>
        <v>Active</v>
      </c>
      <c r="F239" s="4">
        <f>'1. Master Data'!F239</f>
        <v>28</v>
      </c>
      <c r="G239" s="3">
        <f>'1. Master Data'!I239</f>
        <v>63</v>
      </c>
      <c r="H239" s="15">
        <f t="shared" si="16"/>
        <v>1764</v>
      </c>
      <c r="I239" s="3">
        <f>'1. Master Data'!J239</f>
        <v>30</v>
      </c>
      <c r="J239" s="5" t="str">
        <f t="shared" si="17"/>
        <v>Fresh</v>
      </c>
      <c r="K239" s="3">
        <f>IF('3. Demand Forecast'!F239=0,99,ROUND(G239/'3. Demand Forecast'!F239,1))</f>
        <v>1.9</v>
      </c>
      <c r="L239" s="3">
        <f>IF(G239=0,0,ROUND('4. ABC XYZ Analysis'!F239/G239,1))</f>
        <v>173.1</v>
      </c>
      <c r="M239" s="5" t="str">
        <f t="shared" si="18"/>
        <v>OK</v>
      </c>
      <c r="N239" s="4">
        <f t="shared" si="19"/>
        <v>0</v>
      </c>
      <c r="O239" s="1" t="str">
        <f t="shared" si="20"/>
        <v>Healthy</v>
      </c>
    </row>
    <row r="240" spans="1:15" ht="15" customHeight="1" x14ac:dyDescent="0.2">
      <c r="A240" s="3" t="str">
        <f>'1. Master Data'!A240</f>
        <v>NT10236</v>
      </c>
      <c r="B240" s="1" t="str">
        <f>'1. Master Data'!B240</f>
        <v>PulseRing 393</v>
      </c>
      <c r="C240" s="3" t="str">
        <f>'1. Master Data'!C240</f>
        <v>Wearables</v>
      </c>
      <c r="D240" s="3" t="str">
        <f>'1. Master Data'!D240</f>
        <v>East DC</v>
      </c>
      <c r="E240" s="3" t="str">
        <f>'1. Master Data'!H240</f>
        <v>Active</v>
      </c>
      <c r="F240" s="4">
        <f>'1. Master Data'!F240</f>
        <v>60</v>
      </c>
      <c r="G240" s="3">
        <f>'1. Master Data'!I240</f>
        <v>447</v>
      </c>
      <c r="H240" s="15">
        <f t="shared" si="16"/>
        <v>26820</v>
      </c>
      <c r="I240" s="3">
        <f>'1. Master Data'!J240</f>
        <v>187</v>
      </c>
      <c r="J240" s="5" t="str">
        <f t="shared" si="17"/>
        <v>Obsolete Risk</v>
      </c>
      <c r="K240" s="3">
        <f>IF('3. Demand Forecast'!F240=0,99,ROUND(G240/'3. Demand Forecast'!F240,1))</f>
        <v>4.5</v>
      </c>
      <c r="L240" s="3">
        <f>IF(G240=0,0,ROUND('4. ABC XYZ Analysis'!F240/G240,1))</f>
        <v>7.8</v>
      </c>
      <c r="M240" s="5" t="str">
        <f t="shared" si="18"/>
        <v>EXCESS</v>
      </c>
      <c r="N240" s="4">
        <f t="shared" si="19"/>
        <v>26820</v>
      </c>
      <c r="O240" s="1" t="str">
        <f t="shared" si="20"/>
        <v>Disposition Review</v>
      </c>
    </row>
    <row r="241" spans="1:15" ht="15" customHeight="1" x14ac:dyDescent="0.2">
      <c r="A241" s="3" t="str">
        <f>'1. Master Data'!A241</f>
        <v>NT10237</v>
      </c>
      <c r="B241" s="1" t="str">
        <f>'1. Master Data'!B241</f>
        <v>NovaWatch 728 GPS</v>
      </c>
      <c r="C241" s="3" t="str">
        <f>'1. Master Data'!C241</f>
        <v>Wearables</v>
      </c>
      <c r="D241" s="3" t="str">
        <f>'1. Master Data'!D241</f>
        <v>Central DC</v>
      </c>
      <c r="E241" s="3" t="str">
        <f>'1. Master Data'!H241</f>
        <v>Active</v>
      </c>
      <c r="F241" s="4">
        <f>'1. Master Data'!F241</f>
        <v>90</v>
      </c>
      <c r="G241" s="3">
        <f>'1. Master Data'!I241</f>
        <v>842</v>
      </c>
      <c r="H241" s="15">
        <f t="shared" si="16"/>
        <v>75780</v>
      </c>
      <c r="I241" s="3">
        <f>'1. Master Data'!J241</f>
        <v>125</v>
      </c>
      <c r="J241" s="5" t="str">
        <f t="shared" si="17"/>
        <v>Aged</v>
      </c>
      <c r="K241" s="3">
        <f>IF('3. Demand Forecast'!F241=0,99,ROUND(G241/'3. Demand Forecast'!F241,1))</f>
        <v>4.5999999999999996</v>
      </c>
      <c r="L241" s="3">
        <f>IF(G241=0,0,ROUND('4. ABC XYZ Analysis'!F241/G241,1))</f>
        <v>0.2</v>
      </c>
      <c r="M241" s="5" t="str">
        <f t="shared" si="18"/>
        <v>EXCESS</v>
      </c>
      <c r="N241" s="4">
        <f t="shared" si="19"/>
        <v>75780</v>
      </c>
      <c r="O241" s="1" t="str">
        <f t="shared" si="20"/>
        <v>Reduce orders and monitor</v>
      </c>
    </row>
    <row r="242" spans="1:15" ht="15" customHeight="1" x14ac:dyDescent="0.2">
      <c r="A242" s="3" t="str">
        <f>'1. Master Data'!A242</f>
        <v>NT10238</v>
      </c>
      <c r="B242" s="1" t="str">
        <f>'1. Master Data'!B242</f>
        <v>FitTrack Band 382</v>
      </c>
      <c r="C242" s="3" t="str">
        <f>'1. Master Data'!C242</f>
        <v>Wearables</v>
      </c>
      <c r="D242" s="3" t="str">
        <f>'1. Master Data'!D242</f>
        <v>East DC</v>
      </c>
      <c r="E242" s="3" t="str">
        <f>'1. Master Data'!H242</f>
        <v>Active</v>
      </c>
      <c r="F242" s="4">
        <f>'1. Master Data'!F242</f>
        <v>82</v>
      </c>
      <c r="G242" s="3">
        <f>'1. Master Data'!I242</f>
        <v>177</v>
      </c>
      <c r="H242" s="15">
        <f t="shared" si="16"/>
        <v>14514</v>
      </c>
      <c r="I242" s="3">
        <f>'1. Master Data'!J242</f>
        <v>66</v>
      </c>
      <c r="J242" s="5" t="str">
        <f t="shared" si="17"/>
        <v>Watch</v>
      </c>
      <c r="K242" s="3">
        <f>IF('3. Demand Forecast'!F242=0,99,ROUND(G242/'3. Demand Forecast'!F242,1))</f>
        <v>1.2</v>
      </c>
      <c r="L242" s="3">
        <f>IF(G242=0,0,ROUND('4. ABC XYZ Analysis'!F242/G242,1))</f>
        <v>3.7</v>
      </c>
      <c r="M242" s="5" t="str">
        <f t="shared" si="18"/>
        <v>OK</v>
      </c>
      <c r="N242" s="4">
        <f t="shared" si="19"/>
        <v>0</v>
      </c>
      <c r="O242" s="1" t="str">
        <f t="shared" si="20"/>
        <v>Healthy</v>
      </c>
    </row>
    <row r="243" spans="1:15" ht="15" customHeight="1" x14ac:dyDescent="0.2">
      <c r="A243" s="3" t="str">
        <f>'1. Master Data'!A243</f>
        <v>NT10239</v>
      </c>
      <c r="B243" s="1" t="str">
        <f>'1. Master Data'!B243</f>
        <v>PulseRing 448</v>
      </c>
      <c r="C243" s="3" t="str">
        <f>'1. Master Data'!C243</f>
        <v>Wearables</v>
      </c>
      <c r="D243" s="3" t="str">
        <f>'1. Master Data'!D243</f>
        <v>Central DC</v>
      </c>
      <c r="E243" s="3" t="str">
        <f>'1. Master Data'!H243</f>
        <v>Active</v>
      </c>
      <c r="F243" s="4">
        <f>'1. Master Data'!F243</f>
        <v>172</v>
      </c>
      <c r="G243" s="3">
        <f>'1. Master Data'!I243</f>
        <v>36</v>
      </c>
      <c r="H243" s="15">
        <f t="shared" si="16"/>
        <v>6192</v>
      </c>
      <c r="I243" s="3">
        <f>'1. Master Data'!J243</f>
        <v>66</v>
      </c>
      <c r="J243" s="5" t="str">
        <f t="shared" si="17"/>
        <v>Watch</v>
      </c>
      <c r="K243" s="3">
        <f>IF('3. Demand Forecast'!F243=0,99,ROUND(G243/'3. Demand Forecast'!F243,1))</f>
        <v>1.4</v>
      </c>
      <c r="L243" s="3">
        <f>IF(G243=0,0,ROUND('4. ABC XYZ Analysis'!F243/G243,1))</f>
        <v>14.3</v>
      </c>
      <c r="M243" s="5" t="str">
        <f t="shared" si="18"/>
        <v>OK</v>
      </c>
      <c r="N243" s="4">
        <f t="shared" si="19"/>
        <v>0</v>
      </c>
      <c r="O243" s="1" t="str">
        <f t="shared" si="20"/>
        <v>Healthy</v>
      </c>
    </row>
    <row r="244" spans="1:15" ht="15" customHeight="1" x14ac:dyDescent="0.2">
      <c r="A244" s="3" t="str">
        <f>'1. Master Data'!A244</f>
        <v>NT10240</v>
      </c>
      <c r="B244" s="1" t="str">
        <f>'1. Master Data'!B244</f>
        <v>FitTrack Band 445</v>
      </c>
      <c r="C244" s="3" t="str">
        <f>'1. Master Data'!C244</f>
        <v>Wearables</v>
      </c>
      <c r="D244" s="3" t="str">
        <f>'1. Master Data'!D244</f>
        <v>West DC</v>
      </c>
      <c r="E244" s="3" t="str">
        <f>'1. Master Data'!H244</f>
        <v>Active</v>
      </c>
      <c r="F244" s="4">
        <f>'1. Master Data'!F244</f>
        <v>81</v>
      </c>
      <c r="G244" s="3">
        <f>'1. Master Data'!I244</f>
        <v>111</v>
      </c>
      <c r="H244" s="15">
        <f t="shared" si="16"/>
        <v>8991</v>
      </c>
      <c r="I244" s="3">
        <f>'1. Master Data'!J244</f>
        <v>56</v>
      </c>
      <c r="J244" s="5" t="str">
        <f t="shared" si="17"/>
        <v>Watch</v>
      </c>
      <c r="K244" s="3">
        <f>IF('3. Demand Forecast'!F244=0,99,ROUND(G244/'3. Demand Forecast'!F244,1))</f>
        <v>1.3</v>
      </c>
      <c r="L244" s="3">
        <f>IF(G244=0,0,ROUND('4. ABC XYZ Analysis'!F244/G244,1))</f>
        <v>29</v>
      </c>
      <c r="M244" s="5" t="str">
        <f t="shared" si="18"/>
        <v>OK</v>
      </c>
      <c r="N244" s="4">
        <f t="shared" si="19"/>
        <v>0</v>
      </c>
      <c r="O244" s="1" t="str">
        <f t="shared" si="20"/>
        <v>Healthy</v>
      </c>
    </row>
    <row r="245" spans="1:15" ht="15" customHeight="1" x14ac:dyDescent="0.2">
      <c r="A245" s="3" t="str">
        <f>'1. Master Data'!A245</f>
        <v>NT10241</v>
      </c>
      <c r="B245" s="1" t="str">
        <f>'1. Master Data'!B245</f>
        <v>NovaWatch 498 GPS</v>
      </c>
      <c r="C245" s="3" t="str">
        <f>'1. Master Data'!C245</f>
        <v>Wearables</v>
      </c>
      <c r="D245" s="3" t="str">
        <f>'1. Master Data'!D245</f>
        <v>Central DC</v>
      </c>
      <c r="E245" s="3" t="str">
        <f>'1. Master Data'!H245</f>
        <v>Active</v>
      </c>
      <c r="F245" s="4">
        <f>'1. Master Data'!F245</f>
        <v>52</v>
      </c>
      <c r="G245" s="3">
        <f>'1. Master Data'!I245</f>
        <v>30</v>
      </c>
      <c r="H245" s="15">
        <f t="shared" si="16"/>
        <v>1560</v>
      </c>
      <c r="I245" s="3">
        <f>'1. Master Data'!J245</f>
        <v>27</v>
      </c>
      <c r="J245" s="5" t="str">
        <f t="shared" si="17"/>
        <v>Fresh</v>
      </c>
      <c r="K245" s="3">
        <f>IF('3. Demand Forecast'!F245=0,99,ROUND(G245/'3. Demand Forecast'!F245,1))</f>
        <v>2</v>
      </c>
      <c r="L245" s="3">
        <f>IF(G245=0,0,ROUND('4. ABC XYZ Analysis'!F245/G245,1))</f>
        <v>4.7</v>
      </c>
      <c r="M245" s="5" t="str">
        <f t="shared" si="18"/>
        <v>OK</v>
      </c>
      <c r="N245" s="4">
        <f t="shared" si="19"/>
        <v>0</v>
      </c>
      <c r="O245" s="1" t="str">
        <f t="shared" si="20"/>
        <v>Healthy</v>
      </c>
    </row>
    <row r="246" spans="1:15" ht="15" customHeight="1" x14ac:dyDescent="0.2">
      <c r="A246" s="3" t="str">
        <f>'1. Master Data'!A246</f>
        <v>NT10242</v>
      </c>
      <c r="B246" s="1" t="str">
        <f>'1. Master Data'!B246</f>
        <v>PulseRing 393</v>
      </c>
      <c r="C246" s="3" t="str">
        <f>'1. Master Data'!C246</f>
        <v>Wearables</v>
      </c>
      <c r="D246" s="3" t="str">
        <f>'1. Master Data'!D246</f>
        <v>East DC</v>
      </c>
      <c r="E246" s="3" t="str">
        <f>'1. Master Data'!H246</f>
        <v>Active</v>
      </c>
      <c r="F246" s="4">
        <f>'1. Master Data'!F246</f>
        <v>103</v>
      </c>
      <c r="G246" s="3">
        <f>'1. Master Data'!I246</f>
        <v>1552</v>
      </c>
      <c r="H246" s="15">
        <f t="shared" si="16"/>
        <v>159856</v>
      </c>
      <c r="I246" s="3">
        <f>'1. Master Data'!J246</f>
        <v>15</v>
      </c>
      <c r="J246" s="5" t="str">
        <f t="shared" si="17"/>
        <v>Fresh</v>
      </c>
      <c r="K246" s="3">
        <f>IF('3. Demand Forecast'!F246=0,99,ROUND(G246/'3. Demand Forecast'!F246,1))</f>
        <v>1.7</v>
      </c>
      <c r="L246" s="3">
        <f>IF(G246=0,0,ROUND('4. ABC XYZ Analysis'!F246/G246,1))</f>
        <v>0.6</v>
      </c>
      <c r="M246" s="5" t="str">
        <f t="shared" si="18"/>
        <v>OK</v>
      </c>
      <c r="N246" s="4">
        <f t="shared" si="19"/>
        <v>0</v>
      </c>
      <c r="O246" s="1" t="str">
        <f t="shared" si="20"/>
        <v>Healthy</v>
      </c>
    </row>
    <row r="247" spans="1:15" ht="15" customHeight="1" x14ac:dyDescent="0.2">
      <c r="A247" s="3" t="str">
        <f>'1. Master Data'!A247</f>
        <v>NT10243</v>
      </c>
      <c r="B247" s="1" t="str">
        <f>'1. Master Data'!B247</f>
        <v>FitTrack Band 420</v>
      </c>
      <c r="C247" s="3" t="str">
        <f>'1. Master Data'!C247</f>
        <v>Wearables</v>
      </c>
      <c r="D247" s="3" t="str">
        <f>'1. Master Data'!D247</f>
        <v>Central DC</v>
      </c>
      <c r="E247" s="3" t="str">
        <f>'1. Master Data'!H247</f>
        <v>Active</v>
      </c>
      <c r="F247" s="4">
        <f>'1. Master Data'!F247</f>
        <v>87</v>
      </c>
      <c r="G247" s="3">
        <f>'1. Master Data'!I247</f>
        <v>156</v>
      </c>
      <c r="H247" s="15">
        <f t="shared" si="16"/>
        <v>13572</v>
      </c>
      <c r="I247" s="3">
        <f>'1. Master Data'!J247</f>
        <v>48</v>
      </c>
      <c r="J247" s="5" t="str">
        <f t="shared" si="17"/>
        <v>Watch</v>
      </c>
      <c r="K247" s="3">
        <f>IF('3. Demand Forecast'!F247=0,99,ROUND(G247/'3. Demand Forecast'!F247,1))</f>
        <v>1.6</v>
      </c>
      <c r="L247" s="3">
        <f>IF(G247=0,0,ROUND('4. ABC XYZ Analysis'!F247/G247,1))</f>
        <v>0.7</v>
      </c>
      <c r="M247" s="5" t="str">
        <f t="shared" si="18"/>
        <v>OK</v>
      </c>
      <c r="N247" s="4">
        <f t="shared" si="19"/>
        <v>0</v>
      </c>
      <c r="O247" s="1" t="str">
        <f t="shared" si="20"/>
        <v>Healthy</v>
      </c>
    </row>
    <row r="248" spans="1:15" ht="15" customHeight="1" x14ac:dyDescent="0.2">
      <c r="A248" s="3" t="str">
        <f>'1. Master Data'!A248</f>
        <v>NT10244</v>
      </c>
      <c r="B248" s="1" t="str">
        <f>'1. Master Data'!B248</f>
        <v>FitTrack Band 588</v>
      </c>
      <c r="C248" s="3" t="str">
        <f>'1. Master Data'!C248</f>
        <v>Wearables</v>
      </c>
      <c r="D248" s="3" t="str">
        <f>'1. Master Data'!D248</f>
        <v>East DC</v>
      </c>
      <c r="E248" s="3" t="str">
        <f>'1. Master Data'!H248</f>
        <v>Active</v>
      </c>
      <c r="F248" s="4">
        <f>'1. Master Data'!F248</f>
        <v>153</v>
      </c>
      <c r="G248" s="3">
        <f>'1. Master Data'!I248</f>
        <v>234</v>
      </c>
      <c r="H248" s="15">
        <f t="shared" si="16"/>
        <v>35802</v>
      </c>
      <c r="I248" s="3">
        <f>'1. Master Data'!J248</f>
        <v>38</v>
      </c>
      <c r="J248" s="5" t="str">
        <f t="shared" si="17"/>
        <v>Watch</v>
      </c>
      <c r="K248" s="3">
        <f>IF('3. Demand Forecast'!F248=0,99,ROUND(G248/'3. Demand Forecast'!F248,1))</f>
        <v>1.5</v>
      </c>
      <c r="L248" s="3">
        <f>IF(G248=0,0,ROUND('4. ABC XYZ Analysis'!F248/G248,1))</f>
        <v>4.0999999999999996</v>
      </c>
      <c r="M248" s="5" t="str">
        <f t="shared" si="18"/>
        <v>OK</v>
      </c>
      <c r="N248" s="4">
        <f t="shared" si="19"/>
        <v>0</v>
      </c>
      <c r="O248" s="1" t="str">
        <f t="shared" si="20"/>
        <v>Healthy</v>
      </c>
    </row>
    <row r="249" spans="1:15" ht="15" customHeight="1" x14ac:dyDescent="0.2">
      <c r="A249" s="3" t="str">
        <f>'1. Master Data'!A249</f>
        <v>NT10245</v>
      </c>
      <c r="B249" s="1" t="str">
        <f>'1. Master Data'!B249</f>
        <v>StepOne Tracker 844</v>
      </c>
      <c r="C249" s="3" t="str">
        <f>'1. Master Data'!C249</f>
        <v>Wearables</v>
      </c>
      <c r="D249" s="3" t="str">
        <f>'1. Master Data'!D249</f>
        <v>East DC</v>
      </c>
      <c r="E249" s="3" t="str">
        <f>'1. Master Data'!H249</f>
        <v>Active</v>
      </c>
      <c r="F249" s="4">
        <f>'1. Master Data'!F249</f>
        <v>39</v>
      </c>
      <c r="G249" s="3">
        <f>'1. Master Data'!I249</f>
        <v>230</v>
      </c>
      <c r="H249" s="15">
        <f t="shared" si="16"/>
        <v>8970</v>
      </c>
      <c r="I249" s="3">
        <f>'1. Master Data'!J249</f>
        <v>55</v>
      </c>
      <c r="J249" s="5" t="str">
        <f t="shared" si="17"/>
        <v>Watch</v>
      </c>
      <c r="K249" s="3">
        <f>IF('3. Demand Forecast'!F249=0,99,ROUND(G249/'3. Demand Forecast'!F249,1))</f>
        <v>1.7</v>
      </c>
      <c r="L249" s="3">
        <f>IF(G249=0,0,ROUND('4. ABC XYZ Analysis'!F249/G249,1))</f>
        <v>2.9</v>
      </c>
      <c r="M249" s="5" t="str">
        <f t="shared" si="18"/>
        <v>OK</v>
      </c>
      <c r="N249" s="4">
        <f t="shared" si="19"/>
        <v>0</v>
      </c>
      <c r="O249" s="1" t="str">
        <f t="shared" si="20"/>
        <v>Healthy</v>
      </c>
    </row>
    <row r="250" spans="1:15" ht="15" customHeight="1" x14ac:dyDescent="0.2">
      <c r="A250" s="3" t="str">
        <f>'1. Master Data'!A250</f>
        <v>NT10246</v>
      </c>
      <c r="B250" s="1" t="str">
        <f>'1. Master Data'!B250</f>
        <v>NovaWatch 686 GPS</v>
      </c>
      <c r="C250" s="3" t="str">
        <f>'1. Master Data'!C250</f>
        <v>Wearables</v>
      </c>
      <c r="D250" s="3" t="str">
        <f>'1. Master Data'!D250</f>
        <v>Central DC</v>
      </c>
      <c r="E250" s="3" t="str">
        <f>'1. Master Data'!H250</f>
        <v>Active</v>
      </c>
      <c r="F250" s="4">
        <f>'1. Master Data'!F250</f>
        <v>71</v>
      </c>
      <c r="G250" s="3">
        <f>'1. Master Data'!I250</f>
        <v>54</v>
      </c>
      <c r="H250" s="15">
        <f t="shared" si="16"/>
        <v>3834</v>
      </c>
      <c r="I250" s="3">
        <f>'1. Master Data'!J250</f>
        <v>12</v>
      </c>
      <c r="J250" s="5" t="str">
        <f t="shared" si="17"/>
        <v>Fresh</v>
      </c>
      <c r="K250" s="3">
        <f>IF('3. Demand Forecast'!F250=0,99,ROUND(G250/'3. Demand Forecast'!F250,1))</f>
        <v>1.3</v>
      </c>
      <c r="L250" s="3">
        <f>IF(G250=0,0,ROUND('4. ABC XYZ Analysis'!F250/G250,1))</f>
        <v>2.9</v>
      </c>
      <c r="M250" s="5" t="str">
        <f t="shared" si="18"/>
        <v>OK</v>
      </c>
      <c r="N250" s="4">
        <f t="shared" si="19"/>
        <v>0</v>
      </c>
      <c r="O250" s="1" t="str">
        <f t="shared" si="20"/>
        <v>Healthy</v>
      </c>
    </row>
    <row r="251" spans="1:15" ht="15" customHeight="1" x14ac:dyDescent="0.2">
      <c r="A251" s="3" t="str">
        <f>'1. Master Data'!A251</f>
        <v>NT10247</v>
      </c>
      <c r="B251" s="1" t="str">
        <f>'1. Master Data'!B251</f>
        <v>StepOne Tracker 687</v>
      </c>
      <c r="C251" s="3" t="str">
        <f>'1. Master Data'!C251</f>
        <v>Wearables</v>
      </c>
      <c r="D251" s="3" t="str">
        <f>'1. Master Data'!D251</f>
        <v>West DC</v>
      </c>
      <c r="E251" s="3" t="str">
        <f>'1. Master Data'!H251</f>
        <v>Active</v>
      </c>
      <c r="F251" s="4">
        <f>'1. Master Data'!F251</f>
        <v>152</v>
      </c>
      <c r="G251" s="3">
        <f>'1. Master Data'!I251</f>
        <v>471</v>
      </c>
      <c r="H251" s="15">
        <f t="shared" si="16"/>
        <v>71592</v>
      </c>
      <c r="I251" s="3">
        <f>'1. Master Data'!J251</f>
        <v>5</v>
      </c>
      <c r="J251" s="5" t="str">
        <f t="shared" si="17"/>
        <v>Fresh</v>
      </c>
      <c r="K251" s="3">
        <f>IF('3. Demand Forecast'!F251=0,99,ROUND(G251/'3. Demand Forecast'!F251,1))</f>
        <v>1.2</v>
      </c>
      <c r="L251" s="3">
        <f>IF(G251=0,0,ROUND('4. ABC XYZ Analysis'!F251/G251,1))</f>
        <v>1.7</v>
      </c>
      <c r="M251" s="5" t="str">
        <f t="shared" si="18"/>
        <v>OK</v>
      </c>
      <c r="N251" s="4">
        <f t="shared" si="19"/>
        <v>0</v>
      </c>
      <c r="O251" s="1" t="str">
        <f t="shared" si="20"/>
        <v>Healthy</v>
      </c>
    </row>
    <row r="252" spans="1:15" ht="15" customHeight="1" x14ac:dyDescent="0.2">
      <c r="A252" s="3" t="str">
        <f>'1. Master Data'!A252</f>
        <v>NT10248</v>
      </c>
      <c r="B252" s="1" t="str">
        <f>'1. Master Data'!B252</f>
        <v>StepOne Tracker 517</v>
      </c>
      <c r="C252" s="3" t="str">
        <f>'1. Master Data'!C252</f>
        <v>Wearables</v>
      </c>
      <c r="D252" s="3" t="str">
        <f>'1. Master Data'!D252</f>
        <v>East DC</v>
      </c>
      <c r="E252" s="3" t="str">
        <f>'1. Master Data'!H252</f>
        <v>Active</v>
      </c>
      <c r="F252" s="4">
        <f>'1. Master Data'!F252</f>
        <v>70</v>
      </c>
      <c r="G252" s="3">
        <f>'1. Master Data'!I252</f>
        <v>57</v>
      </c>
      <c r="H252" s="15">
        <f t="shared" si="16"/>
        <v>3990</v>
      </c>
      <c r="I252" s="3">
        <f>'1. Master Data'!J252</f>
        <v>24</v>
      </c>
      <c r="J252" s="5" t="str">
        <f t="shared" si="17"/>
        <v>Fresh</v>
      </c>
      <c r="K252" s="3">
        <f>IF('3. Demand Forecast'!F252=0,99,ROUND(G252/'3. Demand Forecast'!F252,1))</f>
        <v>1.2</v>
      </c>
      <c r="L252" s="3">
        <f>IF(G252=0,0,ROUND('4. ABC XYZ Analysis'!F252/G252,1))</f>
        <v>17.100000000000001</v>
      </c>
      <c r="M252" s="5" t="str">
        <f t="shared" si="18"/>
        <v>OK</v>
      </c>
      <c r="N252" s="4">
        <f t="shared" si="19"/>
        <v>0</v>
      </c>
      <c r="O252" s="1" t="str">
        <f t="shared" si="20"/>
        <v>Healthy</v>
      </c>
    </row>
    <row r="253" spans="1:15" ht="15" customHeight="1" x14ac:dyDescent="0.2">
      <c r="A253" s="3" t="str">
        <f>'1. Master Data'!A253</f>
        <v>NT10249</v>
      </c>
      <c r="B253" s="1" t="str">
        <f>'1. Master Data'!B253</f>
        <v>StepOne Tracker 117</v>
      </c>
      <c r="C253" s="3" t="str">
        <f>'1. Master Data'!C253</f>
        <v>Wearables</v>
      </c>
      <c r="D253" s="3" t="str">
        <f>'1. Master Data'!D253</f>
        <v>Central DC</v>
      </c>
      <c r="E253" s="3" t="str">
        <f>'1. Master Data'!H253</f>
        <v>Active</v>
      </c>
      <c r="F253" s="4">
        <f>'1. Master Data'!F253</f>
        <v>133</v>
      </c>
      <c r="G253" s="3">
        <f>'1. Master Data'!I253</f>
        <v>907</v>
      </c>
      <c r="H253" s="15">
        <f t="shared" si="16"/>
        <v>120631</v>
      </c>
      <c r="I253" s="3">
        <f>'1. Master Data'!J253</f>
        <v>64</v>
      </c>
      <c r="J253" s="5" t="str">
        <f t="shared" si="17"/>
        <v>Watch</v>
      </c>
      <c r="K253" s="3">
        <f>IF('3. Demand Forecast'!F253=0,99,ROUND(G253/'3. Demand Forecast'!F253,1))</f>
        <v>1.5</v>
      </c>
      <c r="L253" s="3">
        <f>IF(G253=0,0,ROUND('4. ABC XYZ Analysis'!F253/G253,1))</f>
        <v>8.1</v>
      </c>
      <c r="M253" s="5" t="str">
        <f t="shared" si="18"/>
        <v>OK</v>
      </c>
      <c r="N253" s="4">
        <f t="shared" si="19"/>
        <v>0</v>
      </c>
      <c r="O253" s="1" t="str">
        <f t="shared" si="20"/>
        <v>Healthy</v>
      </c>
    </row>
    <row r="254" spans="1:15" ht="15" customHeight="1" x14ac:dyDescent="0.2">
      <c r="A254" s="3" t="str">
        <f>'1. Master Data'!A254</f>
        <v>NT10250</v>
      </c>
      <c r="B254" s="1" t="str">
        <f>'1. Master Data'!B254</f>
        <v>PulseRing 290</v>
      </c>
      <c r="C254" s="3" t="str">
        <f>'1. Master Data'!C254</f>
        <v>Wearables</v>
      </c>
      <c r="D254" s="3" t="str">
        <f>'1. Master Data'!D254</f>
        <v>East DC</v>
      </c>
      <c r="E254" s="3" t="str">
        <f>'1. Master Data'!H254</f>
        <v>Active</v>
      </c>
      <c r="F254" s="4">
        <f>'1. Master Data'!F254</f>
        <v>61</v>
      </c>
      <c r="G254" s="3">
        <f>'1. Master Data'!I254</f>
        <v>81</v>
      </c>
      <c r="H254" s="15">
        <f t="shared" si="16"/>
        <v>4941</v>
      </c>
      <c r="I254" s="3">
        <f>'1. Master Data'!J254</f>
        <v>67</v>
      </c>
      <c r="J254" s="5" t="str">
        <f t="shared" si="17"/>
        <v>Watch</v>
      </c>
      <c r="K254" s="3">
        <f>IF('3. Demand Forecast'!F254=0,99,ROUND(G254/'3. Demand Forecast'!F254,1))</f>
        <v>1.7</v>
      </c>
      <c r="L254" s="3">
        <f>IF(G254=0,0,ROUND('4. ABC XYZ Analysis'!F254/G254,1))</f>
        <v>2.5</v>
      </c>
      <c r="M254" s="5" t="str">
        <f t="shared" si="18"/>
        <v>OK</v>
      </c>
      <c r="N254" s="4">
        <f t="shared" si="19"/>
        <v>0</v>
      </c>
      <c r="O254" s="1" t="str">
        <f t="shared" si="20"/>
        <v>Healthy</v>
      </c>
    </row>
    <row r="255" spans="1:15" ht="15" customHeight="1" x14ac:dyDescent="0.2">
      <c r="A255" s="3" t="str">
        <f>'1. Master Data'!A255</f>
        <v>NT10251</v>
      </c>
      <c r="B255" s="1" t="str">
        <f>'1. Master Data'!B255</f>
        <v>ProMouse G975</v>
      </c>
      <c r="C255" s="3" t="str">
        <f>'1. Master Data'!C255</f>
        <v>Gaming</v>
      </c>
      <c r="D255" s="3" t="str">
        <f>'1. Master Data'!D255</f>
        <v>Central DC</v>
      </c>
      <c r="E255" s="3" t="str">
        <f>'1. Master Data'!H255</f>
        <v>Active</v>
      </c>
      <c r="F255" s="4">
        <f>'1. Master Data'!F255</f>
        <v>52</v>
      </c>
      <c r="G255" s="3">
        <f>'1. Master Data'!I255</f>
        <v>257</v>
      </c>
      <c r="H255" s="15">
        <f t="shared" si="16"/>
        <v>13364</v>
      </c>
      <c r="I255" s="3">
        <f>'1. Master Data'!J255</f>
        <v>180</v>
      </c>
      <c r="J255" s="5" t="str">
        <f t="shared" si="17"/>
        <v>Aged</v>
      </c>
      <c r="K255" s="3">
        <f>IF('3. Demand Forecast'!F255=0,99,ROUND(G255/'3. Demand Forecast'!F255,1))</f>
        <v>4.7</v>
      </c>
      <c r="L255" s="3">
        <f>IF(G255=0,0,ROUND('4. ABC XYZ Analysis'!F255/G255,1))</f>
        <v>2.8</v>
      </c>
      <c r="M255" s="5" t="str">
        <f t="shared" si="18"/>
        <v>EXCESS</v>
      </c>
      <c r="N255" s="4">
        <f t="shared" si="19"/>
        <v>13364</v>
      </c>
      <c r="O255" s="1" t="str">
        <f t="shared" si="20"/>
        <v>Reduce orders and monitor</v>
      </c>
    </row>
    <row r="256" spans="1:15" ht="15" customHeight="1" x14ac:dyDescent="0.2">
      <c r="A256" s="3" t="str">
        <f>'1. Master Data'!A256</f>
        <v>NT10252</v>
      </c>
      <c r="B256" s="1" t="str">
        <f>'1. Master Data'!B256</f>
        <v>ProMouse G315</v>
      </c>
      <c r="C256" s="3" t="str">
        <f>'1. Master Data'!C256</f>
        <v>Gaming</v>
      </c>
      <c r="D256" s="3" t="str">
        <f>'1. Master Data'!D256</f>
        <v>Central DC</v>
      </c>
      <c r="E256" s="3" t="str">
        <f>'1. Master Data'!H256</f>
        <v>Active</v>
      </c>
      <c r="F256" s="4">
        <f>'1. Master Data'!F256</f>
        <v>126</v>
      </c>
      <c r="G256" s="3">
        <f>'1. Master Data'!I256</f>
        <v>239</v>
      </c>
      <c r="H256" s="15">
        <f t="shared" si="16"/>
        <v>30114</v>
      </c>
      <c r="I256" s="3">
        <f>'1. Master Data'!J256</f>
        <v>172</v>
      </c>
      <c r="J256" s="5" t="str">
        <f t="shared" si="17"/>
        <v>Aged</v>
      </c>
      <c r="K256" s="3">
        <f>IF('3. Demand Forecast'!F256=0,99,ROUND(G256/'3. Demand Forecast'!F256,1))</f>
        <v>4.8</v>
      </c>
      <c r="L256" s="3">
        <f>IF(G256=0,0,ROUND('4. ABC XYZ Analysis'!F256/G256,1))</f>
        <v>12.9</v>
      </c>
      <c r="M256" s="5" t="str">
        <f t="shared" si="18"/>
        <v>EXCESS</v>
      </c>
      <c r="N256" s="4">
        <f t="shared" si="19"/>
        <v>30114</v>
      </c>
      <c r="O256" s="1" t="str">
        <f t="shared" si="20"/>
        <v>Reduce orders and monitor</v>
      </c>
    </row>
    <row r="257" spans="1:15" ht="15" customHeight="1" x14ac:dyDescent="0.2">
      <c r="A257" s="3" t="str">
        <f>'1. Master Data'!A257</f>
        <v>NT10253</v>
      </c>
      <c r="B257" s="1" t="str">
        <f>'1. Master Data'!B257</f>
        <v>ArenaHeadset H710</v>
      </c>
      <c r="C257" s="3" t="str">
        <f>'1. Master Data'!C257</f>
        <v>Gaming</v>
      </c>
      <c r="D257" s="3" t="str">
        <f>'1. Master Data'!D257</f>
        <v>East DC</v>
      </c>
      <c r="E257" s="3" t="str">
        <f>'1. Master Data'!H257</f>
        <v>Active</v>
      </c>
      <c r="F257" s="4">
        <f>'1. Master Data'!F257</f>
        <v>166</v>
      </c>
      <c r="G257" s="3">
        <f>'1. Master Data'!I257</f>
        <v>56</v>
      </c>
      <c r="H257" s="15">
        <f t="shared" si="16"/>
        <v>9296</v>
      </c>
      <c r="I257" s="3">
        <f>'1. Master Data'!J257</f>
        <v>4</v>
      </c>
      <c r="J257" s="5" t="str">
        <f t="shared" si="17"/>
        <v>Fresh</v>
      </c>
      <c r="K257" s="3">
        <f>IF('3. Demand Forecast'!F257=0,99,ROUND(G257/'3. Demand Forecast'!F257,1))</f>
        <v>1.2</v>
      </c>
      <c r="L257" s="3">
        <f>IF(G257=0,0,ROUND('4. ABC XYZ Analysis'!F257/G257,1))</f>
        <v>12.8</v>
      </c>
      <c r="M257" s="5" t="str">
        <f t="shared" si="18"/>
        <v>OK</v>
      </c>
      <c r="N257" s="4">
        <f t="shared" si="19"/>
        <v>0</v>
      </c>
      <c r="O257" s="1" t="str">
        <f t="shared" si="20"/>
        <v>Healthy</v>
      </c>
    </row>
    <row r="258" spans="1:15" ht="15" customHeight="1" x14ac:dyDescent="0.2">
      <c r="A258" s="3" t="str">
        <f>'1. Master Data'!A258</f>
        <v>NT10254</v>
      </c>
      <c r="B258" s="1" t="str">
        <f>'1. Master Data'!B258</f>
        <v>ProMouse G406</v>
      </c>
      <c r="C258" s="3" t="str">
        <f>'1. Master Data'!C258</f>
        <v>Gaming</v>
      </c>
      <c r="D258" s="3" t="str">
        <f>'1. Master Data'!D258</f>
        <v>East DC</v>
      </c>
      <c r="E258" s="3" t="str">
        <f>'1. Master Data'!H258</f>
        <v>Active</v>
      </c>
      <c r="F258" s="4">
        <f>'1. Master Data'!F258</f>
        <v>329</v>
      </c>
      <c r="G258" s="3">
        <f>'1. Master Data'!I258</f>
        <v>300</v>
      </c>
      <c r="H258" s="15">
        <f t="shared" si="16"/>
        <v>98700</v>
      </c>
      <c r="I258" s="3">
        <f>'1. Master Data'!J258</f>
        <v>68</v>
      </c>
      <c r="J258" s="5" t="str">
        <f t="shared" si="17"/>
        <v>Watch</v>
      </c>
      <c r="K258" s="3">
        <f>IF('3. Demand Forecast'!F258=0,99,ROUND(G258/'3. Demand Forecast'!F258,1))</f>
        <v>1.4</v>
      </c>
      <c r="L258" s="3">
        <f>IF(G258=0,0,ROUND('4. ABC XYZ Analysis'!F258/G258,1))</f>
        <v>2.4</v>
      </c>
      <c r="M258" s="5" t="str">
        <f t="shared" si="18"/>
        <v>OK</v>
      </c>
      <c r="N258" s="4">
        <f t="shared" si="19"/>
        <v>0</v>
      </c>
      <c r="O258" s="1" t="str">
        <f t="shared" si="20"/>
        <v>Healthy</v>
      </c>
    </row>
    <row r="259" spans="1:15" ht="15" customHeight="1" x14ac:dyDescent="0.2">
      <c r="A259" s="3" t="str">
        <f>'1. Master Data'!A259</f>
        <v>NT10255</v>
      </c>
      <c r="B259" s="1" t="str">
        <f>'1. Master Data'!B259</f>
        <v>ProMouse G982</v>
      </c>
      <c r="C259" s="3" t="str">
        <f>'1. Master Data'!C259</f>
        <v>Gaming</v>
      </c>
      <c r="D259" s="3" t="str">
        <f>'1. Master Data'!D259</f>
        <v>East DC</v>
      </c>
      <c r="E259" s="3" t="str">
        <f>'1. Master Data'!H259</f>
        <v>Active</v>
      </c>
      <c r="F259" s="4">
        <f>'1. Master Data'!F259</f>
        <v>292</v>
      </c>
      <c r="G259" s="3">
        <f>'1. Master Data'!I259</f>
        <v>246</v>
      </c>
      <c r="H259" s="15">
        <f t="shared" si="16"/>
        <v>71832</v>
      </c>
      <c r="I259" s="3">
        <f>'1. Master Data'!J259</f>
        <v>9</v>
      </c>
      <c r="J259" s="5" t="str">
        <f t="shared" si="17"/>
        <v>Fresh</v>
      </c>
      <c r="K259" s="3">
        <f>IF('3. Demand Forecast'!F259=0,99,ROUND(G259/'3. Demand Forecast'!F259,1))</f>
        <v>1.3</v>
      </c>
      <c r="L259" s="3">
        <f>IF(G259=0,0,ROUND('4. ABC XYZ Analysis'!F259/G259,1))</f>
        <v>12</v>
      </c>
      <c r="M259" s="5" t="str">
        <f t="shared" si="18"/>
        <v>OK</v>
      </c>
      <c r="N259" s="4">
        <f t="shared" si="19"/>
        <v>0</v>
      </c>
      <c r="O259" s="1" t="str">
        <f t="shared" si="20"/>
        <v>Healthy</v>
      </c>
    </row>
    <row r="260" spans="1:15" ht="15" customHeight="1" x14ac:dyDescent="0.2">
      <c r="A260" s="3" t="str">
        <f>'1. Master Data'!A260</f>
        <v>NT10256</v>
      </c>
      <c r="B260" s="1" t="str">
        <f>'1. Master Data'!B260</f>
        <v>RGB Keyboard K272</v>
      </c>
      <c r="C260" s="3" t="str">
        <f>'1. Master Data'!C260</f>
        <v>Gaming</v>
      </c>
      <c r="D260" s="3" t="str">
        <f>'1. Master Data'!D260</f>
        <v>West DC</v>
      </c>
      <c r="E260" s="3" t="str">
        <f>'1. Master Data'!H260</f>
        <v>Active</v>
      </c>
      <c r="F260" s="4">
        <f>'1. Master Data'!F260</f>
        <v>241</v>
      </c>
      <c r="G260" s="3">
        <f>'1. Master Data'!I260</f>
        <v>204</v>
      </c>
      <c r="H260" s="15">
        <f t="shared" si="16"/>
        <v>49164</v>
      </c>
      <c r="I260" s="3">
        <f>'1. Master Data'!J260</f>
        <v>45</v>
      </c>
      <c r="J260" s="5" t="str">
        <f t="shared" si="17"/>
        <v>Watch</v>
      </c>
      <c r="K260" s="3">
        <f>IF('3. Demand Forecast'!F260=0,99,ROUND(G260/'3. Demand Forecast'!F260,1))</f>
        <v>1.3</v>
      </c>
      <c r="L260" s="3">
        <f>IF(G260=0,0,ROUND('4. ABC XYZ Analysis'!F260/G260,1))</f>
        <v>6.8</v>
      </c>
      <c r="M260" s="5" t="str">
        <f t="shared" si="18"/>
        <v>OK</v>
      </c>
      <c r="N260" s="4">
        <f t="shared" si="19"/>
        <v>0</v>
      </c>
      <c r="O260" s="1" t="str">
        <f t="shared" si="20"/>
        <v>Healthy</v>
      </c>
    </row>
    <row r="261" spans="1:15" ht="15" customHeight="1" x14ac:dyDescent="0.2">
      <c r="A261" s="3" t="str">
        <f>'1. Master Data'!A261</f>
        <v>NT10257</v>
      </c>
      <c r="B261" s="1" t="str">
        <f>'1. Master Data'!B261</f>
        <v>RGB Keyboard K999</v>
      </c>
      <c r="C261" s="3" t="str">
        <f>'1. Master Data'!C261</f>
        <v>Gaming</v>
      </c>
      <c r="D261" s="3" t="str">
        <f>'1. Master Data'!D261</f>
        <v>East DC</v>
      </c>
      <c r="E261" s="3" t="str">
        <f>'1. Master Data'!H261</f>
        <v>Active</v>
      </c>
      <c r="F261" s="4">
        <f>'1. Master Data'!F261</f>
        <v>65</v>
      </c>
      <c r="G261" s="3">
        <f>'1. Master Data'!I261</f>
        <v>944</v>
      </c>
      <c r="H261" s="15">
        <f t="shared" ref="H261:H324" si="21">F261*G261</f>
        <v>61360</v>
      </c>
      <c r="I261" s="3">
        <f>'1. Master Data'!J261</f>
        <v>145</v>
      </c>
      <c r="J261" s="5" t="str">
        <f t="shared" ref="J261:J324" si="22">IF(I261&lt;=30,"Fresh",IF(I261&lt;=90,"Watch",IF(I261&lt;=180,"Aged","Obsolete Risk")))</f>
        <v>Aged</v>
      </c>
      <c r="K261" s="3">
        <f>IF('3. Demand Forecast'!F261=0,99,ROUND(G261/'3. Demand Forecast'!F261,1))</f>
        <v>4.8</v>
      </c>
      <c r="L261" s="3">
        <f>IF(G261=0,0,ROUND('4. ABC XYZ Analysis'!F261/G261,1))</f>
        <v>0.1</v>
      </c>
      <c r="M261" s="5" t="str">
        <f t="shared" ref="M261:M324" si="23">IF(OR(E261="EOL",I261&gt;90,K261&gt;6),"EXCESS","OK")</f>
        <v>EXCESS</v>
      </c>
      <c r="N261" s="4">
        <f t="shared" ref="N261:N324" si="24">IF(M261="EXCESS",H261,0)</f>
        <v>61360</v>
      </c>
      <c r="O261" s="1" t="str">
        <f t="shared" ref="O261:O324" si="25">IF(E261="EOL","Scrap / Liquidate",IF(I261&gt;180,"Disposition Review",IF(M261="EXCESS","Reduce orders and monitor","Healthy")))</f>
        <v>Reduce orders and monitor</v>
      </c>
    </row>
    <row r="262" spans="1:15" ht="15" customHeight="1" x14ac:dyDescent="0.2">
      <c r="A262" s="3" t="str">
        <f>'1. Master Data'!A262</f>
        <v>NT10258</v>
      </c>
      <c r="B262" s="1" t="str">
        <f>'1. Master Data'!B262</f>
        <v>StreamCam S379</v>
      </c>
      <c r="C262" s="3" t="str">
        <f>'1. Master Data'!C262</f>
        <v>Gaming</v>
      </c>
      <c r="D262" s="3" t="str">
        <f>'1. Master Data'!D262</f>
        <v>West DC</v>
      </c>
      <c r="E262" s="3" t="str">
        <f>'1. Master Data'!H262</f>
        <v>Active</v>
      </c>
      <c r="F262" s="4">
        <f>'1. Master Data'!F262</f>
        <v>210</v>
      </c>
      <c r="G262" s="3">
        <f>'1. Master Data'!I262</f>
        <v>58</v>
      </c>
      <c r="H262" s="15">
        <f t="shared" si="21"/>
        <v>12180</v>
      </c>
      <c r="I262" s="3">
        <f>'1. Master Data'!J262</f>
        <v>11</v>
      </c>
      <c r="J262" s="5" t="str">
        <f t="shared" si="22"/>
        <v>Fresh</v>
      </c>
      <c r="K262" s="3">
        <f>IF('3. Demand Forecast'!F262=0,99,ROUND(G262/'3. Demand Forecast'!F262,1))</f>
        <v>0.9</v>
      </c>
      <c r="L262" s="3">
        <f>IF(G262=0,0,ROUND('4. ABC XYZ Analysis'!F262/G262,1))</f>
        <v>40.6</v>
      </c>
      <c r="M262" s="5" t="str">
        <f t="shared" si="23"/>
        <v>OK</v>
      </c>
      <c r="N262" s="4">
        <f t="shared" si="24"/>
        <v>0</v>
      </c>
      <c r="O262" s="1" t="str">
        <f t="shared" si="25"/>
        <v>Healthy</v>
      </c>
    </row>
    <row r="263" spans="1:15" ht="15" customHeight="1" x14ac:dyDescent="0.2">
      <c r="A263" s="3" t="str">
        <f>'1. Master Data'!A263</f>
        <v>NT10259</v>
      </c>
      <c r="B263" s="1" t="str">
        <f>'1. Master Data'!B263</f>
        <v>StreamCam S482</v>
      </c>
      <c r="C263" s="3" t="str">
        <f>'1. Master Data'!C263</f>
        <v>Gaming</v>
      </c>
      <c r="D263" s="3" t="str">
        <f>'1. Master Data'!D263</f>
        <v>Central DC</v>
      </c>
      <c r="E263" s="3" t="str">
        <f>'1. Master Data'!H263</f>
        <v>Active</v>
      </c>
      <c r="F263" s="4">
        <f>'1. Master Data'!F263</f>
        <v>112</v>
      </c>
      <c r="G263" s="3">
        <f>'1. Master Data'!I263</f>
        <v>67</v>
      </c>
      <c r="H263" s="15">
        <f t="shared" si="21"/>
        <v>7504</v>
      </c>
      <c r="I263" s="3">
        <f>'1. Master Data'!J263</f>
        <v>22</v>
      </c>
      <c r="J263" s="5" t="str">
        <f t="shared" si="22"/>
        <v>Fresh</v>
      </c>
      <c r="K263" s="3">
        <f>IF('3. Demand Forecast'!F263=0,99,ROUND(G263/'3. Demand Forecast'!F263,1))</f>
        <v>1.9</v>
      </c>
      <c r="L263" s="3">
        <f>IF(G263=0,0,ROUND('4. ABC XYZ Analysis'!F263/G263,1))</f>
        <v>19.399999999999999</v>
      </c>
      <c r="M263" s="5" t="str">
        <f t="shared" si="23"/>
        <v>OK</v>
      </c>
      <c r="N263" s="4">
        <f t="shared" si="24"/>
        <v>0</v>
      </c>
      <c r="O263" s="1" t="str">
        <f t="shared" si="25"/>
        <v>Healthy</v>
      </c>
    </row>
    <row r="264" spans="1:15" ht="15" customHeight="1" x14ac:dyDescent="0.2">
      <c r="A264" s="3" t="str">
        <f>'1. Master Data'!A264</f>
        <v>NT10260</v>
      </c>
      <c r="B264" s="1" t="str">
        <f>'1. Master Data'!B264</f>
        <v>ArenaHeadset H428</v>
      </c>
      <c r="C264" s="3" t="str">
        <f>'1. Master Data'!C264</f>
        <v>Gaming</v>
      </c>
      <c r="D264" s="3" t="str">
        <f>'1. Master Data'!D264</f>
        <v>East DC</v>
      </c>
      <c r="E264" s="3" t="str">
        <f>'1. Master Data'!H264</f>
        <v>Active</v>
      </c>
      <c r="F264" s="4">
        <f>'1. Master Data'!F264</f>
        <v>276</v>
      </c>
      <c r="G264" s="3">
        <f>'1. Master Data'!I264</f>
        <v>146</v>
      </c>
      <c r="H264" s="15">
        <f t="shared" si="21"/>
        <v>40296</v>
      </c>
      <c r="I264" s="3">
        <f>'1. Master Data'!J264</f>
        <v>5</v>
      </c>
      <c r="J264" s="5" t="str">
        <f t="shared" si="22"/>
        <v>Fresh</v>
      </c>
      <c r="K264" s="3">
        <f>IF('3. Demand Forecast'!F264=0,99,ROUND(G264/'3. Demand Forecast'!F264,1))</f>
        <v>0.9</v>
      </c>
      <c r="L264" s="3">
        <f>IF(G264=0,0,ROUND('4. ABC XYZ Analysis'!F264/G264,1))</f>
        <v>28.2</v>
      </c>
      <c r="M264" s="5" t="str">
        <f t="shared" si="23"/>
        <v>OK</v>
      </c>
      <c r="N264" s="4">
        <f t="shared" si="24"/>
        <v>0</v>
      </c>
      <c r="O264" s="1" t="str">
        <f t="shared" si="25"/>
        <v>Healthy</v>
      </c>
    </row>
    <row r="265" spans="1:15" ht="15" customHeight="1" x14ac:dyDescent="0.2">
      <c r="A265" s="3" t="str">
        <f>'1. Master Data'!A265</f>
        <v>NT10261</v>
      </c>
      <c r="B265" s="1" t="str">
        <f>'1. Master Data'!B265</f>
        <v>ProMouse G434</v>
      </c>
      <c r="C265" s="3" t="str">
        <f>'1. Master Data'!C265</f>
        <v>Gaming</v>
      </c>
      <c r="D265" s="3" t="str">
        <f>'1. Master Data'!D265</f>
        <v>East DC</v>
      </c>
      <c r="E265" s="3" t="str">
        <f>'1. Master Data'!H265</f>
        <v>Active</v>
      </c>
      <c r="F265" s="4">
        <f>'1. Master Data'!F265</f>
        <v>37</v>
      </c>
      <c r="G265" s="3">
        <f>'1. Master Data'!I265</f>
        <v>81</v>
      </c>
      <c r="H265" s="15">
        <f t="shared" si="21"/>
        <v>2997</v>
      </c>
      <c r="I265" s="3">
        <f>'1. Master Data'!J265</f>
        <v>29</v>
      </c>
      <c r="J265" s="5" t="str">
        <f t="shared" si="22"/>
        <v>Fresh</v>
      </c>
      <c r="K265" s="3">
        <f>IF('3. Demand Forecast'!F265=0,99,ROUND(G265/'3. Demand Forecast'!F265,1))</f>
        <v>1.7</v>
      </c>
      <c r="L265" s="3">
        <f>IF(G265=0,0,ROUND('4. ABC XYZ Analysis'!F265/G265,1))</f>
        <v>6.1</v>
      </c>
      <c r="M265" s="5" t="str">
        <f t="shared" si="23"/>
        <v>OK</v>
      </c>
      <c r="N265" s="4">
        <f t="shared" si="24"/>
        <v>0</v>
      </c>
      <c r="O265" s="1" t="str">
        <f t="shared" si="25"/>
        <v>Healthy</v>
      </c>
    </row>
    <row r="266" spans="1:15" ht="15" customHeight="1" x14ac:dyDescent="0.2">
      <c r="A266" s="3" t="str">
        <f>'1. Master Data'!A266</f>
        <v>NT10262</v>
      </c>
      <c r="B266" s="1" t="str">
        <f>'1. Master Data'!B266</f>
        <v>GameStation Controller 179</v>
      </c>
      <c r="C266" s="3" t="str">
        <f>'1. Master Data'!C266</f>
        <v>Gaming</v>
      </c>
      <c r="D266" s="3" t="str">
        <f>'1. Master Data'!D266</f>
        <v>East DC</v>
      </c>
      <c r="E266" s="3" t="str">
        <f>'1. Master Data'!H266</f>
        <v>Active</v>
      </c>
      <c r="F266" s="4">
        <f>'1. Master Data'!F266</f>
        <v>333</v>
      </c>
      <c r="G266" s="3">
        <f>'1. Master Data'!I266</f>
        <v>223</v>
      </c>
      <c r="H266" s="15">
        <f t="shared" si="21"/>
        <v>74259</v>
      </c>
      <c r="I266" s="3">
        <f>'1. Master Data'!J266</f>
        <v>66</v>
      </c>
      <c r="J266" s="5" t="str">
        <f t="shared" si="22"/>
        <v>Watch</v>
      </c>
      <c r="K266" s="3">
        <f>IF('3. Demand Forecast'!F266=0,99,ROUND(G266/'3. Demand Forecast'!F266,1))</f>
        <v>1.1000000000000001</v>
      </c>
      <c r="L266" s="3">
        <f>IF(G266=0,0,ROUND('4. ABC XYZ Analysis'!F266/G266,1))</f>
        <v>1.7</v>
      </c>
      <c r="M266" s="5" t="str">
        <f t="shared" si="23"/>
        <v>OK</v>
      </c>
      <c r="N266" s="4">
        <f t="shared" si="24"/>
        <v>0</v>
      </c>
      <c r="O266" s="1" t="str">
        <f t="shared" si="25"/>
        <v>Healthy</v>
      </c>
    </row>
    <row r="267" spans="1:15" ht="15" customHeight="1" x14ac:dyDescent="0.2">
      <c r="A267" s="3" t="str">
        <f>'1. Master Data'!A267</f>
        <v>NT10263</v>
      </c>
      <c r="B267" s="1" t="str">
        <f>'1. Master Data'!B267</f>
        <v>StreamCam S540</v>
      </c>
      <c r="C267" s="3" t="str">
        <f>'1. Master Data'!C267</f>
        <v>Gaming</v>
      </c>
      <c r="D267" s="3" t="str">
        <f>'1. Master Data'!D267</f>
        <v>East DC</v>
      </c>
      <c r="E267" s="3" t="str">
        <f>'1. Master Data'!H267</f>
        <v>Active</v>
      </c>
      <c r="F267" s="4">
        <f>'1. Master Data'!F267</f>
        <v>292</v>
      </c>
      <c r="G267" s="3">
        <f>'1. Master Data'!I267</f>
        <v>60</v>
      </c>
      <c r="H267" s="15">
        <f t="shared" si="21"/>
        <v>17520</v>
      </c>
      <c r="I267" s="3">
        <f>'1. Master Data'!J267</f>
        <v>47</v>
      </c>
      <c r="J267" s="5" t="str">
        <f t="shared" si="22"/>
        <v>Watch</v>
      </c>
      <c r="K267" s="3">
        <f>IF('3. Demand Forecast'!F267=0,99,ROUND(G267/'3. Demand Forecast'!F267,1))</f>
        <v>1.5</v>
      </c>
      <c r="L267" s="3">
        <f>IF(G267=0,0,ROUND('4. ABC XYZ Analysis'!F267/G267,1))</f>
        <v>5.5</v>
      </c>
      <c r="M267" s="5" t="str">
        <f t="shared" si="23"/>
        <v>OK</v>
      </c>
      <c r="N267" s="4">
        <f t="shared" si="24"/>
        <v>0</v>
      </c>
      <c r="O267" s="1" t="str">
        <f t="shared" si="25"/>
        <v>Healthy</v>
      </c>
    </row>
    <row r="268" spans="1:15" ht="15" customHeight="1" x14ac:dyDescent="0.2">
      <c r="A268" s="3" t="str">
        <f>'1. Master Data'!A268</f>
        <v>NT10264</v>
      </c>
      <c r="B268" s="1" t="str">
        <f>'1. Master Data'!B268</f>
        <v>ArenaHeadset H746</v>
      </c>
      <c r="C268" s="3" t="str">
        <f>'1. Master Data'!C268</f>
        <v>Gaming</v>
      </c>
      <c r="D268" s="3" t="str">
        <f>'1. Master Data'!D268</f>
        <v>East DC</v>
      </c>
      <c r="E268" s="3" t="str">
        <f>'1. Master Data'!H268</f>
        <v>Active</v>
      </c>
      <c r="F268" s="4">
        <f>'1. Master Data'!F268</f>
        <v>185</v>
      </c>
      <c r="G268" s="3">
        <f>'1. Master Data'!I268</f>
        <v>74</v>
      </c>
      <c r="H268" s="15">
        <f t="shared" si="21"/>
        <v>13690</v>
      </c>
      <c r="I268" s="3">
        <f>'1. Master Data'!J268</f>
        <v>66</v>
      </c>
      <c r="J268" s="5" t="str">
        <f t="shared" si="22"/>
        <v>Watch</v>
      </c>
      <c r="K268" s="3">
        <f>IF('3. Demand Forecast'!F268=0,99,ROUND(G268/'3. Demand Forecast'!F268,1))</f>
        <v>1.4</v>
      </c>
      <c r="L268" s="3">
        <f>IF(G268=0,0,ROUND('4. ABC XYZ Analysis'!F268/G268,1))</f>
        <v>9.1999999999999993</v>
      </c>
      <c r="M268" s="5" t="str">
        <f t="shared" si="23"/>
        <v>OK</v>
      </c>
      <c r="N268" s="4">
        <f t="shared" si="24"/>
        <v>0</v>
      </c>
      <c r="O268" s="1" t="str">
        <f t="shared" si="25"/>
        <v>Healthy</v>
      </c>
    </row>
    <row r="269" spans="1:15" ht="15" customHeight="1" x14ac:dyDescent="0.2">
      <c r="A269" s="3" t="str">
        <f>'1. Master Data'!A269</f>
        <v>NT10265</v>
      </c>
      <c r="B269" s="1" t="str">
        <f>'1. Master Data'!B269</f>
        <v>GameStation Controller 214</v>
      </c>
      <c r="C269" s="3" t="str">
        <f>'1. Master Data'!C269</f>
        <v>Gaming</v>
      </c>
      <c r="D269" s="3" t="str">
        <f>'1. Master Data'!D269</f>
        <v>Central DC</v>
      </c>
      <c r="E269" s="3" t="str">
        <f>'1. Master Data'!H269</f>
        <v>Active</v>
      </c>
      <c r="F269" s="4">
        <f>'1. Master Data'!F269</f>
        <v>141</v>
      </c>
      <c r="G269" s="3">
        <f>'1. Master Data'!I269</f>
        <v>32</v>
      </c>
      <c r="H269" s="15">
        <f t="shared" si="21"/>
        <v>4512</v>
      </c>
      <c r="I269" s="3">
        <f>'1. Master Data'!J269</f>
        <v>55</v>
      </c>
      <c r="J269" s="5" t="str">
        <f t="shared" si="22"/>
        <v>Watch</v>
      </c>
      <c r="K269" s="3">
        <f>IF('3. Demand Forecast'!F269=0,99,ROUND(G269/'3. Demand Forecast'!F269,1))</f>
        <v>2.2000000000000002</v>
      </c>
      <c r="L269" s="3">
        <f>IF(G269=0,0,ROUND('4. ABC XYZ Analysis'!F269/G269,1))</f>
        <v>201.9</v>
      </c>
      <c r="M269" s="5" t="str">
        <f t="shared" si="23"/>
        <v>OK</v>
      </c>
      <c r="N269" s="4">
        <f t="shared" si="24"/>
        <v>0</v>
      </c>
      <c r="O269" s="1" t="str">
        <f t="shared" si="25"/>
        <v>Healthy</v>
      </c>
    </row>
    <row r="270" spans="1:15" ht="15" customHeight="1" x14ac:dyDescent="0.2">
      <c r="A270" s="3" t="str">
        <f>'1. Master Data'!A270</f>
        <v>NT10266</v>
      </c>
      <c r="B270" s="1" t="str">
        <f>'1. Master Data'!B270</f>
        <v>GameStation Controller 667</v>
      </c>
      <c r="C270" s="3" t="str">
        <f>'1. Master Data'!C270</f>
        <v>Gaming</v>
      </c>
      <c r="D270" s="3" t="str">
        <f>'1. Master Data'!D270</f>
        <v>West DC</v>
      </c>
      <c r="E270" s="3" t="str">
        <f>'1. Master Data'!H270</f>
        <v>Active</v>
      </c>
      <c r="F270" s="4">
        <f>'1. Master Data'!F270</f>
        <v>281</v>
      </c>
      <c r="G270" s="3">
        <f>'1. Master Data'!I270</f>
        <v>567</v>
      </c>
      <c r="H270" s="15">
        <f t="shared" si="21"/>
        <v>159327</v>
      </c>
      <c r="I270" s="3">
        <f>'1. Master Data'!J270</f>
        <v>40</v>
      </c>
      <c r="J270" s="5" t="str">
        <f t="shared" si="22"/>
        <v>Watch</v>
      </c>
      <c r="K270" s="3">
        <f>IF('3. Demand Forecast'!F270=0,99,ROUND(G270/'3. Demand Forecast'!F270,1))</f>
        <v>1.7</v>
      </c>
      <c r="L270" s="3">
        <f>IF(G270=0,0,ROUND('4. ABC XYZ Analysis'!F270/G270,1))</f>
        <v>11.8</v>
      </c>
      <c r="M270" s="5" t="str">
        <f t="shared" si="23"/>
        <v>OK</v>
      </c>
      <c r="N270" s="4">
        <f t="shared" si="24"/>
        <v>0</v>
      </c>
      <c r="O270" s="1" t="str">
        <f t="shared" si="25"/>
        <v>Healthy</v>
      </c>
    </row>
    <row r="271" spans="1:15" ht="15" customHeight="1" x14ac:dyDescent="0.2">
      <c r="A271" s="3" t="str">
        <f>'1. Master Data'!A271</f>
        <v>NT10267</v>
      </c>
      <c r="B271" s="1" t="str">
        <f>'1. Master Data'!B271</f>
        <v>StreamCam S531</v>
      </c>
      <c r="C271" s="3" t="str">
        <f>'1. Master Data'!C271</f>
        <v>Gaming</v>
      </c>
      <c r="D271" s="3" t="str">
        <f>'1. Master Data'!D271</f>
        <v>Central DC</v>
      </c>
      <c r="E271" s="3" t="str">
        <f>'1. Master Data'!H271</f>
        <v>Active</v>
      </c>
      <c r="F271" s="4">
        <f>'1. Master Data'!F271</f>
        <v>56</v>
      </c>
      <c r="G271" s="3">
        <f>'1. Master Data'!I271</f>
        <v>55</v>
      </c>
      <c r="H271" s="15">
        <f t="shared" si="21"/>
        <v>3080</v>
      </c>
      <c r="I271" s="3">
        <f>'1. Master Data'!J271</f>
        <v>68</v>
      </c>
      <c r="J271" s="5" t="str">
        <f t="shared" si="22"/>
        <v>Watch</v>
      </c>
      <c r="K271" s="3">
        <f>IF('3. Demand Forecast'!F271=0,99,ROUND(G271/'3. Demand Forecast'!F271,1))</f>
        <v>1.4</v>
      </c>
      <c r="L271" s="3">
        <f>IF(G271=0,0,ROUND('4. ABC XYZ Analysis'!F271/G271,1))</f>
        <v>7.1</v>
      </c>
      <c r="M271" s="5" t="str">
        <f t="shared" si="23"/>
        <v>OK</v>
      </c>
      <c r="N271" s="4">
        <f t="shared" si="24"/>
        <v>0</v>
      </c>
      <c r="O271" s="1" t="str">
        <f t="shared" si="25"/>
        <v>Healthy</v>
      </c>
    </row>
    <row r="272" spans="1:15" ht="15" customHeight="1" x14ac:dyDescent="0.2">
      <c r="A272" s="3" t="str">
        <f>'1. Master Data'!A272</f>
        <v>NT10268</v>
      </c>
      <c r="B272" s="1" t="str">
        <f>'1. Master Data'!B272</f>
        <v>ProMouse G369</v>
      </c>
      <c r="C272" s="3" t="str">
        <f>'1. Master Data'!C272</f>
        <v>Gaming</v>
      </c>
      <c r="D272" s="3" t="str">
        <f>'1. Master Data'!D272</f>
        <v>Central DC</v>
      </c>
      <c r="E272" s="3" t="str">
        <f>'1. Master Data'!H272</f>
        <v>Active</v>
      </c>
      <c r="F272" s="4">
        <f>'1. Master Data'!F272</f>
        <v>53</v>
      </c>
      <c r="G272" s="3">
        <f>'1. Master Data'!I272</f>
        <v>180</v>
      </c>
      <c r="H272" s="15">
        <f t="shared" si="21"/>
        <v>9540</v>
      </c>
      <c r="I272" s="3">
        <f>'1. Master Data'!J272</f>
        <v>120</v>
      </c>
      <c r="J272" s="5" t="str">
        <f t="shared" si="22"/>
        <v>Aged</v>
      </c>
      <c r="K272" s="3">
        <f>IF('3. Demand Forecast'!F272=0,99,ROUND(G272/'3. Demand Forecast'!F272,1))</f>
        <v>3.4</v>
      </c>
      <c r="L272" s="3">
        <f>IF(G272=0,0,ROUND('4. ABC XYZ Analysis'!F272/G272,1))</f>
        <v>1.1000000000000001</v>
      </c>
      <c r="M272" s="5" t="str">
        <f t="shared" si="23"/>
        <v>EXCESS</v>
      </c>
      <c r="N272" s="4">
        <f t="shared" si="24"/>
        <v>9540</v>
      </c>
      <c r="O272" s="1" t="str">
        <f t="shared" si="25"/>
        <v>Reduce orders and monitor</v>
      </c>
    </row>
    <row r="273" spans="1:15" ht="15" customHeight="1" x14ac:dyDescent="0.2">
      <c r="A273" s="3" t="str">
        <f>'1. Master Data'!A273</f>
        <v>NT10269</v>
      </c>
      <c r="B273" s="1" t="str">
        <f>'1. Master Data'!B273</f>
        <v>RGB Keyboard K733</v>
      </c>
      <c r="C273" s="3" t="str">
        <f>'1. Master Data'!C273</f>
        <v>Gaming</v>
      </c>
      <c r="D273" s="3" t="str">
        <f>'1. Master Data'!D273</f>
        <v>West DC</v>
      </c>
      <c r="E273" s="3" t="str">
        <f>'1. Master Data'!H273</f>
        <v>Active</v>
      </c>
      <c r="F273" s="4">
        <f>'1. Master Data'!F273</f>
        <v>55</v>
      </c>
      <c r="G273" s="3">
        <f>'1. Master Data'!I273</f>
        <v>169</v>
      </c>
      <c r="H273" s="15">
        <f t="shared" si="21"/>
        <v>9295</v>
      </c>
      <c r="I273" s="3">
        <f>'1. Master Data'!J273</f>
        <v>1</v>
      </c>
      <c r="J273" s="5" t="str">
        <f t="shared" si="22"/>
        <v>Fresh</v>
      </c>
      <c r="K273" s="3">
        <f>IF('3. Demand Forecast'!F273=0,99,ROUND(G273/'3. Demand Forecast'!F273,1))</f>
        <v>2.1</v>
      </c>
      <c r="L273" s="3">
        <f>IF(G273=0,0,ROUND('4. ABC XYZ Analysis'!F273/G273,1))</f>
        <v>10.3</v>
      </c>
      <c r="M273" s="5" t="str">
        <f t="shared" si="23"/>
        <v>OK</v>
      </c>
      <c r="N273" s="4">
        <f t="shared" si="24"/>
        <v>0</v>
      </c>
      <c r="O273" s="1" t="str">
        <f t="shared" si="25"/>
        <v>Healthy</v>
      </c>
    </row>
    <row r="274" spans="1:15" ht="15" customHeight="1" x14ac:dyDescent="0.2">
      <c r="A274" s="3" t="str">
        <f>'1. Master Data'!A274</f>
        <v>NT10270</v>
      </c>
      <c r="B274" s="1" t="str">
        <f>'1. Master Data'!B274</f>
        <v>GameStation Controller 974</v>
      </c>
      <c r="C274" s="3" t="str">
        <f>'1. Master Data'!C274</f>
        <v>Gaming</v>
      </c>
      <c r="D274" s="3" t="str">
        <f>'1. Master Data'!D274</f>
        <v>West DC</v>
      </c>
      <c r="E274" s="3" t="str">
        <f>'1. Master Data'!H274</f>
        <v>Active</v>
      </c>
      <c r="F274" s="4">
        <f>'1. Master Data'!F274</f>
        <v>53</v>
      </c>
      <c r="G274" s="3">
        <f>'1. Master Data'!I274</f>
        <v>260</v>
      </c>
      <c r="H274" s="15">
        <f t="shared" si="21"/>
        <v>13780</v>
      </c>
      <c r="I274" s="3">
        <f>'1. Master Data'!J274</f>
        <v>12</v>
      </c>
      <c r="J274" s="5" t="str">
        <f t="shared" si="22"/>
        <v>Fresh</v>
      </c>
      <c r="K274" s="3">
        <f>IF('3. Demand Forecast'!F274=0,99,ROUND(G274/'3. Demand Forecast'!F274,1))</f>
        <v>2</v>
      </c>
      <c r="L274" s="3">
        <f>IF(G274=0,0,ROUND('4. ABC XYZ Analysis'!F274/G274,1))</f>
        <v>1.9</v>
      </c>
      <c r="M274" s="5" t="str">
        <f t="shared" si="23"/>
        <v>OK</v>
      </c>
      <c r="N274" s="4">
        <f t="shared" si="24"/>
        <v>0</v>
      </c>
      <c r="O274" s="1" t="str">
        <f t="shared" si="25"/>
        <v>Healthy</v>
      </c>
    </row>
    <row r="275" spans="1:15" ht="15" customHeight="1" x14ac:dyDescent="0.2">
      <c r="A275" s="3" t="str">
        <f>'1. Master Data'!A275</f>
        <v>NT10271</v>
      </c>
      <c r="B275" s="1" t="str">
        <f>'1. Master Data'!B275</f>
        <v>GameStation Controller 390</v>
      </c>
      <c r="C275" s="3" t="str">
        <f>'1. Master Data'!C275</f>
        <v>Gaming</v>
      </c>
      <c r="D275" s="3" t="str">
        <f>'1. Master Data'!D275</f>
        <v>East DC</v>
      </c>
      <c r="E275" s="3" t="str">
        <f>'1. Master Data'!H275</f>
        <v>Active</v>
      </c>
      <c r="F275" s="4">
        <f>'1. Master Data'!F275</f>
        <v>58</v>
      </c>
      <c r="G275" s="3">
        <f>'1. Master Data'!I275</f>
        <v>394</v>
      </c>
      <c r="H275" s="15">
        <f t="shared" si="21"/>
        <v>22852</v>
      </c>
      <c r="I275" s="3">
        <f>'1. Master Data'!J275</f>
        <v>33</v>
      </c>
      <c r="J275" s="5" t="str">
        <f t="shared" si="22"/>
        <v>Watch</v>
      </c>
      <c r="K275" s="3">
        <f>IF('3. Demand Forecast'!F275=0,99,ROUND(G275/'3. Demand Forecast'!F275,1))</f>
        <v>1</v>
      </c>
      <c r="L275" s="3">
        <f>IF(G275=0,0,ROUND('4. ABC XYZ Analysis'!F275/G275,1))</f>
        <v>4.7</v>
      </c>
      <c r="M275" s="5" t="str">
        <f t="shared" si="23"/>
        <v>OK</v>
      </c>
      <c r="N275" s="4">
        <f t="shared" si="24"/>
        <v>0</v>
      </c>
      <c r="O275" s="1" t="str">
        <f t="shared" si="25"/>
        <v>Healthy</v>
      </c>
    </row>
    <row r="276" spans="1:15" ht="15" customHeight="1" x14ac:dyDescent="0.2">
      <c r="A276" s="3" t="str">
        <f>'1. Master Data'!A276</f>
        <v>NT10272</v>
      </c>
      <c r="B276" s="1" t="str">
        <f>'1. Master Data'!B276</f>
        <v>RGB Keyboard K758</v>
      </c>
      <c r="C276" s="3" t="str">
        <f>'1. Master Data'!C276</f>
        <v>Gaming</v>
      </c>
      <c r="D276" s="3" t="str">
        <f>'1. Master Data'!D276</f>
        <v>East DC</v>
      </c>
      <c r="E276" s="3" t="str">
        <f>'1. Master Data'!H276</f>
        <v>Active</v>
      </c>
      <c r="F276" s="4">
        <f>'1. Master Data'!F276</f>
        <v>309</v>
      </c>
      <c r="G276" s="3">
        <f>'1. Master Data'!I276</f>
        <v>227</v>
      </c>
      <c r="H276" s="15">
        <f t="shared" si="21"/>
        <v>70143</v>
      </c>
      <c r="I276" s="3">
        <f>'1. Master Data'!J276</f>
        <v>62</v>
      </c>
      <c r="J276" s="5" t="str">
        <f t="shared" si="22"/>
        <v>Watch</v>
      </c>
      <c r="K276" s="3">
        <f>IF('3. Demand Forecast'!F276=0,99,ROUND(G276/'3. Demand Forecast'!F276,1))</f>
        <v>1.4</v>
      </c>
      <c r="L276" s="3">
        <f>IF(G276=0,0,ROUND('4. ABC XYZ Analysis'!F276/G276,1))</f>
        <v>4.0999999999999996</v>
      </c>
      <c r="M276" s="5" t="str">
        <f t="shared" si="23"/>
        <v>OK</v>
      </c>
      <c r="N276" s="4">
        <f t="shared" si="24"/>
        <v>0</v>
      </c>
      <c r="O276" s="1" t="str">
        <f t="shared" si="25"/>
        <v>Healthy</v>
      </c>
    </row>
    <row r="277" spans="1:15" ht="15" customHeight="1" x14ac:dyDescent="0.2">
      <c r="A277" s="3" t="str">
        <f>'1. Master Data'!A277</f>
        <v>NT10273</v>
      </c>
      <c r="B277" s="1" t="str">
        <f>'1. Master Data'!B277</f>
        <v>ArenaHeadset H637</v>
      </c>
      <c r="C277" s="3" t="str">
        <f>'1. Master Data'!C277</f>
        <v>Gaming</v>
      </c>
      <c r="D277" s="3" t="str">
        <f>'1. Master Data'!D277</f>
        <v>West DC</v>
      </c>
      <c r="E277" s="3" t="str">
        <f>'1. Master Data'!H277</f>
        <v>Active</v>
      </c>
      <c r="F277" s="4">
        <f>'1. Master Data'!F277</f>
        <v>92</v>
      </c>
      <c r="G277" s="3">
        <f>'1. Master Data'!I277</f>
        <v>85</v>
      </c>
      <c r="H277" s="15">
        <f t="shared" si="21"/>
        <v>7820</v>
      </c>
      <c r="I277" s="3">
        <f>'1. Master Data'!J277</f>
        <v>1</v>
      </c>
      <c r="J277" s="5" t="str">
        <f t="shared" si="22"/>
        <v>Fresh</v>
      </c>
      <c r="K277" s="3">
        <f>IF('3. Demand Forecast'!F277=0,99,ROUND(G277/'3. Demand Forecast'!F277,1))</f>
        <v>1.1000000000000001</v>
      </c>
      <c r="L277" s="3">
        <f>IF(G277=0,0,ROUND('4. ABC XYZ Analysis'!F277/G277,1))</f>
        <v>3.4</v>
      </c>
      <c r="M277" s="5" t="str">
        <f t="shared" si="23"/>
        <v>OK</v>
      </c>
      <c r="N277" s="4">
        <f t="shared" si="24"/>
        <v>0</v>
      </c>
      <c r="O277" s="1" t="str">
        <f t="shared" si="25"/>
        <v>Healthy</v>
      </c>
    </row>
    <row r="278" spans="1:15" ht="15" customHeight="1" x14ac:dyDescent="0.2">
      <c r="A278" s="3" t="str">
        <f>'1. Master Data'!A278</f>
        <v>NT10274</v>
      </c>
      <c r="B278" s="1" t="str">
        <f>'1. Master Data'!B278</f>
        <v>StreamCam S111</v>
      </c>
      <c r="C278" s="3" t="str">
        <f>'1. Master Data'!C278</f>
        <v>Gaming</v>
      </c>
      <c r="D278" s="3" t="str">
        <f>'1. Master Data'!D278</f>
        <v>West DC</v>
      </c>
      <c r="E278" s="3" t="str">
        <f>'1. Master Data'!H278</f>
        <v>Active</v>
      </c>
      <c r="F278" s="4">
        <f>'1. Master Data'!F278</f>
        <v>156</v>
      </c>
      <c r="G278" s="3">
        <f>'1. Master Data'!I278</f>
        <v>301</v>
      </c>
      <c r="H278" s="15">
        <f t="shared" si="21"/>
        <v>46956</v>
      </c>
      <c r="I278" s="3">
        <f>'1. Master Data'!J278</f>
        <v>42</v>
      </c>
      <c r="J278" s="5" t="str">
        <f t="shared" si="22"/>
        <v>Watch</v>
      </c>
      <c r="K278" s="3">
        <f>IF('3. Demand Forecast'!F278=0,99,ROUND(G278/'3. Demand Forecast'!F278,1))</f>
        <v>1.4</v>
      </c>
      <c r="L278" s="3">
        <f>IF(G278=0,0,ROUND('4. ABC XYZ Analysis'!F278/G278,1))</f>
        <v>13.2</v>
      </c>
      <c r="M278" s="5" t="str">
        <f t="shared" si="23"/>
        <v>OK</v>
      </c>
      <c r="N278" s="4">
        <f t="shared" si="24"/>
        <v>0</v>
      </c>
      <c r="O278" s="1" t="str">
        <f t="shared" si="25"/>
        <v>Healthy</v>
      </c>
    </row>
    <row r="279" spans="1:15" ht="15" customHeight="1" x14ac:dyDescent="0.2">
      <c r="A279" s="3" t="str">
        <f>'1. Master Data'!A279</f>
        <v>NT10275</v>
      </c>
      <c r="B279" s="1" t="str">
        <f>'1. Master Data'!B279</f>
        <v>ArenaHeadset H478</v>
      </c>
      <c r="C279" s="3" t="str">
        <f>'1. Master Data'!C279</f>
        <v>Gaming</v>
      </c>
      <c r="D279" s="3" t="str">
        <f>'1. Master Data'!D279</f>
        <v>Central DC</v>
      </c>
      <c r="E279" s="3" t="str">
        <f>'1. Master Data'!H279</f>
        <v>Active</v>
      </c>
      <c r="F279" s="4">
        <f>'1. Master Data'!F279</f>
        <v>201</v>
      </c>
      <c r="G279" s="3">
        <f>'1. Master Data'!I279</f>
        <v>124</v>
      </c>
      <c r="H279" s="15">
        <f t="shared" si="21"/>
        <v>24924</v>
      </c>
      <c r="I279" s="3">
        <f>'1. Master Data'!J279</f>
        <v>27</v>
      </c>
      <c r="J279" s="5" t="str">
        <f t="shared" si="22"/>
        <v>Fresh</v>
      </c>
      <c r="K279" s="3">
        <f>IF('3. Demand Forecast'!F279=0,99,ROUND(G279/'3. Demand Forecast'!F279,1))</f>
        <v>1.3</v>
      </c>
      <c r="L279" s="3">
        <f>IF(G279=0,0,ROUND('4. ABC XYZ Analysis'!F279/G279,1))</f>
        <v>47.8</v>
      </c>
      <c r="M279" s="5" t="str">
        <f t="shared" si="23"/>
        <v>OK</v>
      </c>
      <c r="N279" s="4">
        <f t="shared" si="24"/>
        <v>0</v>
      </c>
      <c r="O279" s="1" t="str">
        <f t="shared" si="25"/>
        <v>Healthy</v>
      </c>
    </row>
    <row r="280" spans="1:15" ht="15" customHeight="1" x14ac:dyDescent="0.2">
      <c r="A280" s="3" t="str">
        <f>'1. Master Data'!A280</f>
        <v>NT10276</v>
      </c>
      <c r="B280" s="1" t="str">
        <f>'1. Master Data'!B280</f>
        <v>RGB Keyboard K646</v>
      </c>
      <c r="C280" s="3" t="str">
        <f>'1. Master Data'!C280</f>
        <v>Gaming</v>
      </c>
      <c r="D280" s="3" t="str">
        <f>'1. Master Data'!D280</f>
        <v>Central DC</v>
      </c>
      <c r="E280" s="3" t="str">
        <f>'1. Master Data'!H280</f>
        <v>Active</v>
      </c>
      <c r="F280" s="4">
        <f>'1. Master Data'!F280</f>
        <v>242</v>
      </c>
      <c r="G280" s="3">
        <f>'1. Master Data'!I280</f>
        <v>94</v>
      </c>
      <c r="H280" s="15">
        <f t="shared" si="21"/>
        <v>22748</v>
      </c>
      <c r="I280" s="3">
        <f>'1. Master Data'!J280</f>
        <v>191</v>
      </c>
      <c r="J280" s="5" t="str">
        <f t="shared" si="22"/>
        <v>Obsolete Risk</v>
      </c>
      <c r="K280" s="3">
        <f>IF('3. Demand Forecast'!F280=0,99,ROUND(G280/'3. Demand Forecast'!F280,1))</f>
        <v>4</v>
      </c>
      <c r="L280" s="3">
        <f>IF(G280=0,0,ROUND('4. ABC XYZ Analysis'!F280/G280,1))</f>
        <v>3.6</v>
      </c>
      <c r="M280" s="5" t="str">
        <f t="shared" si="23"/>
        <v>EXCESS</v>
      </c>
      <c r="N280" s="4">
        <f t="shared" si="24"/>
        <v>22748</v>
      </c>
      <c r="O280" s="1" t="str">
        <f t="shared" si="25"/>
        <v>Disposition Review</v>
      </c>
    </row>
    <row r="281" spans="1:15" ht="15" customHeight="1" x14ac:dyDescent="0.2">
      <c r="A281" s="3" t="str">
        <f>'1. Master Data'!A281</f>
        <v>NT10277</v>
      </c>
      <c r="B281" s="1" t="str">
        <f>'1. Master Data'!B281</f>
        <v>RGB Keyboard K367</v>
      </c>
      <c r="C281" s="3" t="str">
        <f>'1. Master Data'!C281</f>
        <v>Gaming</v>
      </c>
      <c r="D281" s="3" t="str">
        <f>'1. Master Data'!D281</f>
        <v>Central DC</v>
      </c>
      <c r="E281" s="3" t="str">
        <f>'1. Master Data'!H281</f>
        <v>Active</v>
      </c>
      <c r="F281" s="4">
        <f>'1. Master Data'!F281</f>
        <v>196</v>
      </c>
      <c r="G281" s="3">
        <f>'1. Master Data'!I281</f>
        <v>463</v>
      </c>
      <c r="H281" s="15">
        <f t="shared" si="21"/>
        <v>90748</v>
      </c>
      <c r="I281" s="3">
        <f>'1. Master Data'!J281</f>
        <v>61</v>
      </c>
      <c r="J281" s="5" t="str">
        <f t="shared" si="22"/>
        <v>Watch</v>
      </c>
      <c r="K281" s="3">
        <f>IF('3. Demand Forecast'!F281=0,99,ROUND(G281/'3. Demand Forecast'!F281,1))</f>
        <v>1.9</v>
      </c>
      <c r="L281" s="3">
        <f>IF(G281=0,0,ROUND('4. ABC XYZ Analysis'!F281/G281,1))</f>
        <v>0.3</v>
      </c>
      <c r="M281" s="5" t="str">
        <f t="shared" si="23"/>
        <v>OK</v>
      </c>
      <c r="N281" s="4">
        <f t="shared" si="24"/>
        <v>0</v>
      </c>
      <c r="O281" s="1" t="str">
        <f t="shared" si="25"/>
        <v>Healthy</v>
      </c>
    </row>
    <row r="282" spans="1:15" ht="15" customHeight="1" x14ac:dyDescent="0.2">
      <c r="A282" s="3" t="str">
        <f>'1. Master Data'!A282</f>
        <v>NT10278</v>
      </c>
      <c r="B282" s="1" t="str">
        <f>'1. Master Data'!B282</f>
        <v>GameStation Controller 520</v>
      </c>
      <c r="C282" s="3" t="str">
        <f>'1. Master Data'!C282</f>
        <v>Gaming</v>
      </c>
      <c r="D282" s="3" t="str">
        <f>'1. Master Data'!D282</f>
        <v>West DC</v>
      </c>
      <c r="E282" s="3" t="str">
        <f>'1. Master Data'!H282</f>
        <v>Active</v>
      </c>
      <c r="F282" s="4">
        <f>'1. Master Data'!F282</f>
        <v>232</v>
      </c>
      <c r="G282" s="3">
        <f>'1. Master Data'!I282</f>
        <v>157</v>
      </c>
      <c r="H282" s="15">
        <f t="shared" si="21"/>
        <v>36424</v>
      </c>
      <c r="I282" s="3">
        <f>'1. Master Data'!J282</f>
        <v>22</v>
      </c>
      <c r="J282" s="5" t="str">
        <f t="shared" si="22"/>
        <v>Fresh</v>
      </c>
      <c r="K282" s="3">
        <f>IF('3. Demand Forecast'!F282=0,99,ROUND(G282/'3. Demand Forecast'!F282,1))</f>
        <v>1</v>
      </c>
      <c r="L282" s="3">
        <f>IF(G282=0,0,ROUND('4. ABC XYZ Analysis'!F282/G282,1))</f>
        <v>3.7</v>
      </c>
      <c r="M282" s="5" t="str">
        <f t="shared" si="23"/>
        <v>OK</v>
      </c>
      <c r="N282" s="4">
        <f t="shared" si="24"/>
        <v>0</v>
      </c>
      <c r="O282" s="1" t="str">
        <f t="shared" si="25"/>
        <v>Healthy</v>
      </c>
    </row>
    <row r="283" spans="1:15" ht="15" customHeight="1" x14ac:dyDescent="0.2">
      <c r="A283" s="3" t="str">
        <f>'1. Master Data'!A283</f>
        <v>NT10279</v>
      </c>
      <c r="B283" s="1" t="str">
        <f>'1. Master Data'!B283</f>
        <v>GameStation Controller 762</v>
      </c>
      <c r="C283" s="3" t="str">
        <f>'1. Master Data'!C283</f>
        <v>Gaming</v>
      </c>
      <c r="D283" s="3" t="str">
        <f>'1. Master Data'!D283</f>
        <v>East DC</v>
      </c>
      <c r="E283" s="3" t="str">
        <f>'1. Master Data'!H283</f>
        <v>Active</v>
      </c>
      <c r="F283" s="4">
        <f>'1. Master Data'!F283</f>
        <v>127</v>
      </c>
      <c r="G283" s="3">
        <f>'1. Master Data'!I283</f>
        <v>276</v>
      </c>
      <c r="H283" s="15">
        <f t="shared" si="21"/>
        <v>35052</v>
      </c>
      <c r="I283" s="3">
        <f>'1. Master Data'!J283</f>
        <v>121</v>
      </c>
      <c r="J283" s="5" t="str">
        <f t="shared" si="22"/>
        <v>Aged</v>
      </c>
      <c r="K283" s="3">
        <f>IF('3. Demand Forecast'!F283=0,99,ROUND(G283/'3. Demand Forecast'!F283,1))</f>
        <v>3.7</v>
      </c>
      <c r="L283" s="3">
        <f>IF(G283=0,0,ROUND('4. ABC XYZ Analysis'!F283/G283,1))</f>
        <v>0.3</v>
      </c>
      <c r="M283" s="5" t="str">
        <f t="shared" si="23"/>
        <v>EXCESS</v>
      </c>
      <c r="N283" s="4">
        <f t="shared" si="24"/>
        <v>35052</v>
      </c>
      <c r="O283" s="1" t="str">
        <f t="shared" si="25"/>
        <v>Reduce orders and monitor</v>
      </c>
    </row>
    <row r="284" spans="1:15" ht="15" customHeight="1" x14ac:dyDescent="0.2">
      <c r="A284" s="3" t="str">
        <f>'1. Master Data'!A284</f>
        <v>NT10280</v>
      </c>
      <c r="B284" s="1" t="str">
        <f>'1. Master Data'!B284</f>
        <v>ProMouse G327</v>
      </c>
      <c r="C284" s="3" t="str">
        <f>'1. Master Data'!C284</f>
        <v>Gaming</v>
      </c>
      <c r="D284" s="3" t="str">
        <f>'1. Master Data'!D284</f>
        <v>East DC</v>
      </c>
      <c r="E284" s="3" t="str">
        <f>'1. Master Data'!H284</f>
        <v>Active</v>
      </c>
      <c r="F284" s="4">
        <f>'1. Master Data'!F284</f>
        <v>160</v>
      </c>
      <c r="G284" s="3">
        <f>'1. Master Data'!I284</f>
        <v>207</v>
      </c>
      <c r="H284" s="15">
        <f t="shared" si="21"/>
        <v>33120</v>
      </c>
      <c r="I284" s="3">
        <f>'1. Master Data'!J284</f>
        <v>6</v>
      </c>
      <c r="J284" s="5" t="str">
        <f t="shared" si="22"/>
        <v>Fresh</v>
      </c>
      <c r="K284" s="3">
        <f>IF('3. Demand Forecast'!F284=0,99,ROUND(G284/'3. Demand Forecast'!F284,1))</f>
        <v>1.7</v>
      </c>
      <c r="L284" s="3">
        <f>IF(G284=0,0,ROUND('4. ABC XYZ Analysis'!F284/G284,1))</f>
        <v>1.3</v>
      </c>
      <c r="M284" s="5" t="str">
        <f t="shared" si="23"/>
        <v>OK</v>
      </c>
      <c r="N284" s="4">
        <f t="shared" si="24"/>
        <v>0</v>
      </c>
      <c r="O284" s="1" t="str">
        <f t="shared" si="25"/>
        <v>Healthy</v>
      </c>
    </row>
    <row r="285" spans="1:15" ht="15" customHeight="1" x14ac:dyDescent="0.2">
      <c r="A285" s="3" t="str">
        <f>'1. Master Data'!A285</f>
        <v>NT10281</v>
      </c>
      <c r="B285" s="1" t="str">
        <f>'1. Master Data'!B285</f>
        <v>StreamCam S631</v>
      </c>
      <c r="C285" s="3" t="str">
        <f>'1. Master Data'!C285</f>
        <v>Gaming</v>
      </c>
      <c r="D285" s="3" t="str">
        <f>'1. Master Data'!D285</f>
        <v>West DC</v>
      </c>
      <c r="E285" s="3" t="str">
        <f>'1. Master Data'!H285</f>
        <v>Active</v>
      </c>
      <c r="F285" s="4">
        <f>'1. Master Data'!F285</f>
        <v>310</v>
      </c>
      <c r="G285" s="3">
        <f>'1. Master Data'!I285</f>
        <v>125</v>
      </c>
      <c r="H285" s="15">
        <f t="shared" si="21"/>
        <v>38750</v>
      </c>
      <c r="I285" s="3">
        <f>'1. Master Data'!J285</f>
        <v>15</v>
      </c>
      <c r="J285" s="5" t="str">
        <f t="shared" si="22"/>
        <v>Fresh</v>
      </c>
      <c r="K285" s="3">
        <f>IF('3. Demand Forecast'!F285=0,99,ROUND(G285/'3. Demand Forecast'!F285,1))</f>
        <v>0.4</v>
      </c>
      <c r="L285" s="3">
        <f>IF(G285=0,0,ROUND('4. ABC XYZ Analysis'!F285/G285,1))</f>
        <v>0.9</v>
      </c>
      <c r="M285" s="5" t="str">
        <f t="shared" si="23"/>
        <v>OK</v>
      </c>
      <c r="N285" s="4">
        <f t="shared" si="24"/>
        <v>0</v>
      </c>
      <c r="O285" s="1" t="str">
        <f t="shared" si="25"/>
        <v>Healthy</v>
      </c>
    </row>
    <row r="286" spans="1:15" ht="15" customHeight="1" x14ac:dyDescent="0.2">
      <c r="A286" s="3" t="str">
        <f>'1. Master Data'!A286</f>
        <v>NT10282</v>
      </c>
      <c r="B286" s="1" t="str">
        <f>'1. Master Data'!B286</f>
        <v>ProMouse G176</v>
      </c>
      <c r="C286" s="3" t="str">
        <f>'1. Master Data'!C286</f>
        <v>Gaming</v>
      </c>
      <c r="D286" s="3" t="str">
        <f>'1. Master Data'!D286</f>
        <v>East DC</v>
      </c>
      <c r="E286" s="3" t="str">
        <f>'1. Master Data'!H286</f>
        <v>Active</v>
      </c>
      <c r="F286" s="4">
        <f>'1. Master Data'!F286</f>
        <v>138</v>
      </c>
      <c r="G286" s="3">
        <f>'1. Master Data'!I286</f>
        <v>117</v>
      </c>
      <c r="H286" s="15">
        <f t="shared" si="21"/>
        <v>16146</v>
      </c>
      <c r="I286" s="3">
        <f>'1. Master Data'!J286</f>
        <v>20</v>
      </c>
      <c r="J286" s="5" t="str">
        <f t="shared" si="22"/>
        <v>Fresh</v>
      </c>
      <c r="K286" s="3">
        <f>IF('3. Demand Forecast'!F286=0,99,ROUND(G286/'3. Demand Forecast'!F286,1))</f>
        <v>0.8</v>
      </c>
      <c r="L286" s="3">
        <f>IF(G286=0,0,ROUND('4. ABC XYZ Analysis'!F286/G286,1))</f>
        <v>0.8</v>
      </c>
      <c r="M286" s="5" t="str">
        <f t="shared" si="23"/>
        <v>OK</v>
      </c>
      <c r="N286" s="4">
        <f t="shared" si="24"/>
        <v>0</v>
      </c>
      <c r="O286" s="1" t="str">
        <f t="shared" si="25"/>
        <v>Healthy</v>
      </c>
    </row>
    <row r="287" spans="1:15" ht="15" customHeight="1" x14ac:dyDescent="0.2">
      <c r="A287" s="3" t="str">
        <f>'1. Master Data'!A287</f>
        <v>NT10283</v>
      </c>
      <c r="B287" s="1" t="str">
        <f>'1. Master Data'!B287</f>
        <v>ArenaHeadset H729</v>
      </c>
      <c r="C287" s="3" t="str">
        <f>'1. Master Data'!C287</f>
        <v>Gaming</v>
      </c>
      <c r="D287" s="3" t="str">
        <f>'1. Master Data'!D287</f>
        <v>West DC</v>
      </c>
      <c r="E287" s="3" t="str">
        <f>'1. Master Data'!H287</f>
        <v>Active</v>
      </c>
      <c r="F287" s="4">
        <f>'1. Master Data'!F287</f>
        <v>136</v>
      </c>
      <c r="G287" s="3">
        <f>'1. Master Data'!I287</f>
        <v>61</v>
      </c>
      <c r="H287" s="15">
        <f t="shared" si="21"/>
        <v>8296</v>
      </c>
      <c r="I287" s="3">
        <f>'1. Master Data'!J287</f>
        <v>68</v>
      </c>
      <c r="J287" s="5" t="str">
        <f t="shared" si="22"/>
        <v>Watch</v>
      </c>
      <c r="K287" s="3">
        <f>IF('3. Demand Forecast'!F287=0,99,ROUND(G287/'3. Demand Forecast'!F287,1))</f>
        <v>1.2</v>
      </c>
      <c r="L287" s="3">
        <f>IF(G287=0,0,ROUND('4. ABC XYZ Analysis'!F287/G287,1))</f>
        <v>14.8</v>
      </c>
      <c r="M287" s="5" t="str">
        <f t="shared" si="23"/>
        <v>OK</v>
      </c>
      <c r="N287" s="4">
        <f t="shared" si="24"/>
        <v>0</v>
      </c>
      <c r="O287" s="1" t="str">
        <f t="shared" si="25"/>
        <v>Healthy</v>
      </c>
    </row>
    <row r="288" spans="1:15" ht="15" customHeight="1" x14ac:dyDescent="0.2">
      <c r="A288" s="3" t="str">
        <f>'1. Master Data'!A288</f>
        <v>NT10284</v>
      </c>
      <c r="B288" s="1" t="str">
        <f>'1. Master Data'!B288</f>
        <v>ProMouse G382</v>
      </c>
      <c r="C288" s="3" t="str">
        <f>'1. Master Data'!C288</f>
        <v>Gaming</v>
      </c>
      <c r="D288" s="3" t="str">
        <f>'1. Master Data'!D288</f>
        <v>Central DC</v>
      </c>
      <c r="E288" s="3" t="str">
        <f>'1. Master Data'!H288</f>
        <v>Active</v>
      </c>
      <c r="F288" s="4">
        <f>'1. Master Data'!F288</f>
        <v>281</v>
      </c>
      <c r="G288" s="3">
        <f>'1. Master Data'!I288</f>
        <v>182</v>
      </c>
      <c r="H288" s="15">
        <f t="shared" si="21"/>
        <v>51142</v>
      </c>
      <c r="I288" s="3">
        <f>'1. Master Data'!J288</f>
        <v>192</v>
      </c>
      <c r="J288" s="5" t="str">
        <f t="shared" si="22"/>
        <v>Obsolete Risk</v>
      </c>
      <c r="K288" s="3">
        <f>IF('3. Demand Forecast'!F288=0,99,ROUND(G288/'3. Demand Forecast'!F288,1))</f>
        <v>4.8</v>
      </c>
      <c r="L288" s="3">
        <f>IF(G288=0,0,ROUND('4. ABC XYZ Analysis'!F288/G288,1))</f>
        <v>6.6</v>
      </c>
      <c r="M288" s="5" t="str">
        <f t="shared" si="23"/>
        <v>EXCESS</v>
      </c>
      <c r="N288" s="4">
        <f t="shared" si="24"/>
        <v>51142</v>
      </c>
      <c r="O288" s="1" t="str">
        <f t="shared" si="25"/>
        <v>Disposition Review</v>
      </c>
    </row>
    <row r="289" spans="1:15" ht="15" customHeight="1" x14ac:dyDescent="0.2">
      <c r="A289" s="3" t="str">
        <f>'1. Master Data'!A289</f>
        <v>NT10285</v>
      </c>
      <c r="B289" s="1" t="str">
        <f>'1. Master Data'!B289</f>
        <v>ArenaHeadset H548</v>
      </c>
      <c r="C289" s="3" t="str">
        <f>'1. Master Data'!C289</f>
        <v>Gaming</v>
      </c>
      <c r="D289" s="3" t="str">
        <f>'1. Master Data'!D289</f>
        <v>Central DC</v>
      </c>
      <c r="E289" s="3" t="str">
        <f>'1. Master Data'!H289</f>
        <v>Active</v>
      </c>
      <c r="F289" s="4">
        <f>'1. Master Data'!F289</f>
        <v>94</v>
      </c>
      <c r="G289" s="3">
        <f>'1. Master Data'!I289</f>
        <v>358</v>
      </c>
      <c r="H289" s="15">
        <f t="shared" si="21"/>
        <v>33652</v>
      </c>
      <c r="I289" s="3">
        <f>'1. Master Data'!J289</f>
        <v>27</v>
      </c>
      <c r="J289" s="5" t="str">
        <f t="shared" si="22"/>
        <v>Fresh</v>
      </c>
      <c r="K289" s="3">
        <f>IF('3. Demand Forecast'!F289=0,99,ROUND(G289/'3. Demand Forecast'!F289,1))</f>
        <v>1.7</v>
      </c>
      <c r="L289" s="3">
        <f>IF(G289=0,0,ROUND('4. ABC XYZ Analysis'!F289/G289,1))</f>
        <v>0.4</v>
      </c>
      <c r="M289" s="5" t="str">
        <f t="shared" si="23"/>
        <v>OK</v>
      </c>
      <c r="N289" s="4">
        <f t="shared" si="24"/>
        <v>0</v>
      </c>
      <c r="O289" s="1" t="str">
        <f t="shared" si="25"/>
        <v>Healthy</v>
      </c>
    </row>
    <row r="290" spans="1:15" ht="15" customHeight="1" x14ac:dyDescent="0.2">
      <c r="A290" s="3" t="str">
        <f>'1. Master Data'!A290</f>
        <v>NT10286</v>
      </c>
      <c r="B290" s="1" t="str">
        <f>'1. Master Data'!B290</f>
        <v>ArenaHeadset H403</v>
      </c>
      <c r="C290" s="3" t="str">
        <f>'1. Master Data'!C290</f>
        <v>Gaming</v>
      </c>
      <c r="D290" s="3" t="str">
        <f>'1. Master Data'!D290</f>
        <v>West DC</v>
      </c>
      <c r="E290" s="3" t="str">
        <f>'1. Master Data'!H290</f>
        <v>Active</v>
      </c>
      <c r="F290" s="4">
        <f>'1. Master Data'!F290</f>
        <v>95</v>
      </c>
      <c r="G290" s="3">
        <f>'1. Master Data'!I290</f>
        <v>64</v>
      </c>
      <c r="H290" s="15">
        <f t="shared" si="21"/>
        <v>6080</v>
      </c>
      <c r="I290" s="3">
        <f>'1. Master Data'!J290</f>
        <v>52</v>
      </c>
      <c r="J290" s="5" t="str">
        <f t="shared" si="22"/>
        <v>Watch</v>
      </c>
      <c r="K290" s="3">
        <f>IF('3. Demand Forecast'!F290=0,99,ROUND(G290/'3. Demand Forecast'!F290,1))</f>
        <v>1.5</v>
      </c>
      <c r="L290" s="3">
        <f>IF(G290=0,0,ROUND('4. ABC XYZ Analysis'!F290/G290,1))</f>
        <v>7.1</v>
      </c>
      <c r="M290" s="5" t="str">
        <f t="shared" si="23"/>
        <v>OK</v>
      </c>
      <c r="N290" s="4">
        <f t="shared" si="24"/>
        <v>0</v>
      </c>
      <c r="O290" s="1" t="str">
        <f t="shared" si="25"/>
        <v>Healthy</v>
      </c>
    </row>
    <row r="291" spans="1:15" ht="15" customHeight="1" x14ac:dyDescent="0.2">
      <c r="A291" s="3" t="str">
        <f>'1. Master Data'!A291</f>
        <v>NT10287</v>
      </c>
      <c r="B291" s="1" t="str">
        <f>'1. Master Data'!B291</f>
        <v>ProMouse G661</v>
      </c>
      <c r="C291" s="3" t="str">
        <f>'1. Master Data'!C291</f>
        <v>Gaming</v>
      </c>
      <c r="D291" s="3" t="str">
        <f>'1. Master Data'!D291</f>
        <v>Central DC</v>
      </c>
      <c r="E291" s="3" t="str">
        <f>'1. Master Data'!H291</f>
        <v>Active</v>
      </c>
      <c r="F291" s="4">
        <f>'1. Master Data'!F291</f>
        <v>190</v>
      </c>
      <c r="G291" s="3">
        <f>'1. Master Data'!I291</f>
        <v>652</v>
      </c>
      <c r="H291" s="15">
        <f t="shared" si="21"/>
        <v>123880</v>
      </c>
      <c r="I291" s="3">
        <f>'1. Master Data'!J291</f>
        <v>21</v>
      </c>
      <c r="J291" s="5" t="str">
        <f t="shared" si="22"/>
        <v>Fresh</v>
      </c>
      <c r="K291" s="3">
        <f>IF('3. Demand Forecast'!F291=0,99,ROUND(G291/'3. Demand Forecast'!F291,1))</f>
        <v>0.9</v>
      </c>
      <c r="L291" s="3">
        <f>IF(G291=0,0,ROUND('4. ABC XYZ Analysis'!F291/G291,1))</f>
        <v>3</v>
      </c>
      <c r="M291" s="5" t="str">
        <f t="shared" si="23"/>
        <v>OK</v>
      </c>
      <c r="N291" s="4">
        <f t="shared" si="24"/>
        <v>0</v>
      </c>
      <c r="O291" s="1" t="str">
        <f t="shared" si="25"/>
        <v>Healthy</v>
      </c>
    </row>
    <row r="292" spans="1:15" ht="15" customHeight="1" x14ac:dyDescent="0.2">
      <c r="A292" s="3" t="str">
        <f>'1. Master Data'!A292</f>
        <v>NT10288</v>
      </c>
      <c r="B292" s="1" t="str">
        <f>'1. Master Data'!B292</f>
        <v>ArenaHeadset H881</v>
      </c>
      <c r="C292" s="3" t="str">
        <f>'1. Master Data'!C292</f>
        <v>Gaming</v>
      </c>
      <c r="D292" s="3" t="str">
        <f>'1. Master Data'!D292</f>
        <v>West DC</v>
      </c>
      <c r="E292" s="3" t="str">
        <f>'1. Master Data'!H292</f>
        <v>Active</v>
      </c>
      <c r="F292" s="4">
        <f>'1. Master Data'!F292</f>
        <v>52</v>
      </c>
      <c r="G292" s="3">
        <f>'1. Master Data'!I292</f>
        <v>228</v>
      </c>
      <c r="H292" s="15">
        <f t="shared" si="21"/>
        <v>11856</v>
      </c>
      <c r="I292" s="3">
        <f>'1. Master Data'!J292</f>
        <v>68</v>
      </c>
      <c r="J292" s="5" t="str">
        <f t="shared" si="22"/>
        <v>Watch</v>
      </c>
      <c r="K292" s="3">
        <f>IF('3. Demand Forecast'!F292=0,99,ROUND(G292/'3. Demand Forecast'!F292,1))</f>
        <v>1.2</v>
      </c>
      <c r="L292" s="3">
        <f>IF(G292=0,0,ROUND('4. ABC XYZ Analysis'!F292/G292,1))</f>
        <v>0.7</v>
      </c>
      <c r="M292" s="5" t="str">
        <f t="shared" si="23"/>
        <v>OK</v>
      </c>
      <c r="N292" s="4">
        <f t="shared" si="24"/>
        <v>0</v>
      </c>
      <c r="O292" s="1" t="str">
        <f t="shared" si="25"/>
        <v>Healthy</v>
      </c>
    </row>
    <row r="293" spans="1:15" ht="15" customHeight="1" x14ac:dyDescent="0.2">
      <c r="A293" s="3" t="str">
        <f>'1. Master Data'!A293</f>
        <v>NT10289</v>
      </c>
      <c r="B293" s="1" t="str">
        <f>'1. Master Data'!B293</f>
        <v>ArenaHeadset H623</v>
      </c>
      <c r="C293" s="3" t="str">
        <f>'1. Master Data'!C293</f>
        <v>Gaming</v>
      </c>
      <c r="D293" s="3" t="str">
        <f>'1. Master Data'!D293</f>
        <v>West DC</v>
      </c>
      <c r="E293" s="3" t="str">
        <f>'1. Master Data'!H293</f>
        <v>Active</v>
      </c>
      <c r="F293" s="4">
        <f>'1. Master Data'!F293</f>
        <v>314</v>
      </c>
      <c r="G293" s="3">
        <f>'1. Master Data'!I293</f>
        <v>194</v>
      </c>
      <c r="H293" s="15">
        <f t="shared" si="21"/>
        <v>60916</v>
      </c>
      <c r="I293" s="3">
        <f>'1. Master Data'!J293</f>
        <v>57</v>
      </c>
      <c r="J293" s="5" t="str">
        <f t="shared" si="22"/>
        <v>Watch</v>
      </c>
      <c r="K293" s="3">
        <f>IF('3. Demand Forecast'!F293=0,99,ROUND(G293/'3. Demand Forecast'!F293,1))</f>
        <v>1.4</v>
      </c>
      <c r="L293" s="3">
        <f>IF(G293=0,0,ROUND('4. ABC XYZ Analysis'!F293/G293,1))</f>
        <v>0.7</v>
      </c>
      <c r="M293" s="5" t="str">
        <f t="shared" si="23"/>
        <v>OK</v>
      </c>
      <c r="N293" s="4">
        <f t="shared" si="24"/>
        <v>0</v>
      </c>
      <c r="O293" s="1" t="str">
        <f t="shared" si="25"/>
        <v>Healthy</v>
      </c>
    </row>
    <row r="294" spans="1:15" ht="15" customHeight="1" x14ac:dyDescent="0.2">
      <c r="A294" s="3" t="str">
        <f>'1. Master Data'!A294</f>
        <v>NT10290</v>
      </c>
      <c r="B294" s="1" t="str">
        <f>'1. Master Data'!B294</f>
        <v>GameStation Controller 601</v>
      </c>
      <c r="C294" s="3" t="str">
        <f>'1. Master Data'!C294</f>
        <v>Gaming</v>
      </c>
      <c r="D294" s="3" t="str">
        <f>'1. Master Data'!D294</f>
        <v>Central DC</v>
      </c>
      <c r="E294" s="3" t="str">
        <f>'1. Master Data'!H294</f>
        <v>Active</v>
      </c>
      <c r="F294" s="4">
        <f>'1. Master Data'!F294</f>
        <v>196</v>
      </c>
      <c r="G294" s="3">
        <f>'1. Master Data'!I294</f>
        <v>118</v>
      </c>
      <c r="H294" s="15">
        <f t="shared" si="21"/>
        <v>23128</v>
      </c>
      <c r="I294" s="3">
        <f>'1. Master Data'!J294</f>
        <v>37</v>
      </c>
      <c r="J294" s="5" t="str">
        <f t="shared" si="22"/>
        <v>Watch</v>
      </c>
      <c r="K294" s="3">
        <f>IF('3. Demand Forecast'!F294=0,99,ROUND(G294/'3. Demand Forecast'!F294,1))</f>
        <v>1.3</v>
      </c>
      <c r="L294" s="3">
        <f>IF(G294=0,0,ROUND('4. ABC XYZ Analysis'!F294/G294,1))</f>
        <v>37.6</v>
      </c>
      <c r="M294" s="5" t="str">
        <f t="shared" si="23"/>
        <v>OK</v>
      </c>
      <c r="N294" s="4">
        <f t="shared" si="24"/>
        <v>0</v>
      </c>
      <c r="O294" s="1" t="str">
        <f t="shared" si="25"/>
        <v>Healthy</v>
      </c>
    </row>
    <row r="295" spans="1:15" ht="15" customHeight="1" x14ac:dyDescent="0.2">
      <c r="A295" s="3" t="str">
        <f>'1. Master Data'!A295</f>
        <v>NT10291</v>
      </c>
      <c r="B295" s="1" t="str">
        <f>'1. Master Data'!B295</f>
        <v>GameStation Controller 866</v>
      </c>
      <c r="C295" s="3" t="str">
        <f>'1. Master Data'!C295</f>
        <v>Gaming</v>
      </c>
      <c r="D295" s="3" t="str">
        <f>'1. Master Data'!D295</f>
        <v>West DC</v>
      </c>
      <c r="E295" s="3" t="str">
        <f>'1. Master Data'!H295</f>
        <v>Active</v>
      </c>
      <c r="F295" s="4">
        <f>'1. Master Data'!F295</f>
        <v>169</v>
      </c>
      <c r="G295" s="3">
        <f>'1. Master Data'!I295</f>
        <v>143</v>
      </c>
      <c r="H295" s="15">
        <f t="shared" si="21"/>
        <v>24167</v>
      </c>
      <c r="I295" s="3">
        <f>'1. Master Data'!J295</f>
        <v>2</v>
      </c>
      <c r="J295" s="5" t="str">
        <f t="shared" si="22"/>
        <v>Fresh</v>
      </c>
      <c r="K295" s="3">
        <f>IF('3. Demand Forecast'!F295=0,99,ROUND(G295/'3. Demand Forecast'!F295,1))</f>
        <v>0.4</v>
      </c>
      <c r="L295" s="3">
        <f>IF(G295=0,0,ROUND('4. ABC XYZ Analysis'!F295/G295,1))</f>
        <v>1.1000000000000001</v>
      </c>
      <c r="M295" s="5" t="str">
        <f t="shared" si="23"/>
        <v>OK</v>
      </c>
      <c r="N295" s="4">
        <f t="shared" si="24"/>
        <v>0</v>
      </c>
      <c r="O295" s="1" t="str">
        <f t="shared" si="25"/>
        <v>Healthy</v>
      </c>
    </row>
    <row r="296" spans="1:15" ht="15" customHeight="1" x14ac:dyDescent="0.2">
      <c r="A296" s="3" t="str">
        <f>'1. Master Data'!A296</f>
        <v>NT10292</v>
      </c>
      <c r="B296" s="1" t="str">
        <f>'1. Master Data'!B296</f>
        <v>ArenaHeadset H600</v>
      </c>
      <c r="C296" s="3" t="str">
        <f>'1. Master Data'!C296</f>
        <v>Gaming</v>
      </c>
      <c r="D296" s="3" t="str">
        <f>'1. Master Data'!D296</f>
        <v>East DC</v>
      </c>
      <c r="E296" s="3" t="str">
        <f>'1. Master Data'!H296</f>
        <v>Active</v>
      </c>
      <c r="F296" s="4">
        <f>'1. Master Data'!F296</f>
        <v>299</v>
      </c>
      <c r="G296" s="3">
        <f>'1. Master Data'!I296</f>
        <v>287</v>
      </c>
      <c r="H296" s="15">
        <f t="shared" si="21"/>
        <v>85813</v>
      </c>
      <c r="I296" s="3">
        <f>'1. Master Data'!J296</f>
        <v>70</v>
      </c>
      <c r="J296" s="5" t="str">
        <f t="shared" si="22"/>
        <v>Watch</v>
      </c>
      <c r="K296" s="3">
        <f>IF('3. Demand Forecast'!F296=0,99,ROUND(G296/'3. Demand Forecast'!F296,1))</f>
        <v>1.7</v>
      </c>
      <c r="L296" s="3">
        <f>IF(G296=0,0,ROUND('4. ABC XYZ Analysis'!F296/G296,1))</f>
        <v>1</v>
      </c>
      <c r="M296" s="5" t="str">
        <f t="shared" si="23"/>
        <v>OK</v>
      </c>
      <c r="N296" s="4">
        <f t="shared" si="24"/>
        <v>0</v>
      </c>
      <c r="O296" s="1" t="str">
        <f t="shared" si="25"/>
        <v>Healthy</v>
      </c>
    </row>
    <row r="297" spans="1:15" ht="15" customHeight="1" x14ac:dyDescent="0.2">
      <c r="A297" s="3" t="str">
        <f>'1. Master Data'!A297</f>
        <v>NT10293</v>
      </c>
      <c r="B297" s="1" t="str">
        <f>'1. Master Data'!B297</f>
        <v>GameStation Controller 501</v>
      </c>
      <c r="C297" s="3" t="str">
        <f>'1. Master Data'!C297</f>
        <v>Gaming</v>
      </c>
      <c r="D297" s="3" t="str">
        <f>'1. Master Data'!D297</f>
        <v>Central DC</v>
      </c>
      <c r="E297" s="3" t="str">
        <f>'1. Master Data'!H297</f>
        <v>Active</v>
      </c>
      <c r="F297" s="4">
        <f>'1. Master Data'!F297</f>
        <v>175</v>
      </c>
      <c r="G297" s="3">
        <f>'1. Master Data'!I297</f>
        <v>311</v>
      </c>
      <c r="H297" s="15">
        <f t="shared" si="21"/>
        <v>54425</v>
      </c>
      <c r="I297" s="3">
        <f>'1. Master Data'!J297</f>
        <v>53</v>
      </c>
      <c r="J297" s="5" t="str">
        <f t="shared" si="22"/>
        <v>Watch</v>
      </c>
      <c r="K297" s="3">
        <f>IF('3. Demand Forecast'!F297=0,99,ROUND(G297/'3. Demand Forecast'!F297,1))</f>
        <v>1.6</v>
      </c>
      <c r="L297" s="3">
        <f>IF(G297=0,0,ROUND('4. ABC XYZ Analysis'!F297/G297,1))</f>
        <v>0.3</v>
      </c>
      <c r="M297" s="5" t="str">
        <f t="shared" si="23"/>
        <v>OK</v>
      </c>
      <c r="N297" s="4">
        <f t="shared" si="24"/>
        <v>0</v>
      </c>
      <c r="O297" s="1" t="str">
        <f t="shared" si="25"/>
        <v>Healthy</v>
      </c>
    </row>
    <row r="298" spans="1:15" ht="15" customHeight="1" x14ac:dyDescent="0.2">
      <c r="A298" s="3" t="str">
        <f>'1. Master Data'!A298</f>
        <v>NT10294</v>
      </c>
      <c r="B298" s="1" t="str">
        <f>'1. Master Data'!B298</f>
        <v>ArenaHeadset H366</v>
      </c>
      <c r="C298" s="3" t="str">
        <f>'1. Master Data'!C298</f>
        <v>Gaming</v>
      </c>
      <c r="D298" s="3" t="str">
        <f>'1. Master Data'!D298</f>
        <v>East DC</v>
      </c>
      <c r="E298" s="3" t="str">
        <f>'1. Master Data'!H298</f>
        <v>Active</v>
      </c>
      <c r="F298" s="4">
        <f>'1. Master Data'!F298</f>
        <v>344</v>
      </c>
      <c r="G298" s="3">
        <f>'1. Master Data'!I298</f>
        <v>36</v>
      </c>
      <c r="H298" s="15">
        <f t="shared" si="21"/>
        <v>12384</v>
      </c>
      <c r="I298" s="3">
        <f>'1. Master Data'!J298</f>
        <v>47</v>
      </c>
      <c r="J298" s="5" t="str">
        <f t="shared" si="22"/>
        <v>Watch</v>
      </c>
      <c r="K298" s="3">
        <f>IF('3. Demand Forecast'!F298=0,99,ROUND(G298/'3. Demand Forecast'!F298,1))</f>
        <v>1.8</v>
      </c>
      <c r="L298" s="3">
        <f>IF(G298=0,0,ROUND('4. ABC XYZ Analysis'!F298/G298,1))</f>
        <v>241.4</v>
      </c>
      <c r="M298" s="5" t="str">
        <f t="shared" si="23"/>
        <v>OK</v>
      </c>
      <c r="N298" s="4">
        <f t="shared" si="24"/>
        <v>0</v>
      </c>
      <c r="O298" s="1" t="str">
        <f t="shared" si="25"/>
        <v>Healthy</v>
      </c>
    </row>
    <row r="299" spans="1:15" ht="15" customHeight="1" x14ac:dyDescent="0.2">
      <c r="A299" s="3" t="str">
        <f>'1. Master Data'!A299</f>
        <v>NT10295</v>
      </c>
      <c r="B299" s="1" t="str">
        <f>'1. Master Data'!B299</f>
        <v>StreamCam S188</v>
      </c>
      <c r="C299" s="3" t="str">
        <f>'1. Master Data'!C299</f>
        <v>Gaming</v>
      </c>
      <c r="D299" s="3" t="str">
        <f>'1. Master Data'!D299</f>
        <v>Central DC</v>
      </c>
      <c r="E299" s="3" t="str">
        <f>'1. Master Data'!H299</f>
        <v>Active</v>
      </c>
      <c r="F299" s="4">
        <f>'1. Master Data'!F299</f>
        <v>90</v>
      </c>
      <c r="G299" s="3">
        <f>'1. Master Data'!I299</f>
        <v>273</v>
      </c>
      <c r="H299" s="15">
        <f t="shared" si="21"/>
        <v>24570</v>
      </c>
      <c r="I299" s="3">
        <f>'1. Master Data'!J299</f>
        <v>37</v>
      </c>
      <c r="J299" s="5" t="str">
        <f t="shared" si="22"/>
        <v>Watch</v>
      </c>
      <c r="K299" s="3">
        <f>IF('3. Demand Forecast'!F299=0,99,ROUND(G299/'3. Demand Forecast'!F299,1))</f>
        <v>0.9</v>
      </c>
      <c r="L299" s="3">
        <f>IF(G299=0,0,ROUND('4. ABC XYZ Analysis'!F299/G299,1))</f>
        <v>0.7</v>
      </c>
      <c r="M299" s="5" t="str">
        <f t="shared" si="23"/>
        <v>OK</v>
      </c>
      <c r="N299" s="4">
        <f t="shared" si="24"/>
        <v>0</v>
      </c>
      <c r="O299" s="1" t="str">
        <f t="shared" si="25"/>
        <v>Healthy</v>
      </c>
    </row>
    <row r="300" spans="1:15" ht="15" customHeight="1" x14ac:dyDescent="0.2">
      <c r="A300" s="3" t="str">
        <f>'1. Master Data'!A300</f>
        <v>NT10296</v>
      </c>
      <c r="B300" s="1" t="str">
        <f>'1. Master Data'!B300</f>
        <v>GameStation Controller 420</v>
      </c>
      <c r="C300" s="3" t="str">
        <f>'1. Master Data'!C300</f>
        <v>Gaming</v>
      </c>
      <c r="D300" s="3" t="str">
        <f>'1. Master Data'!D300</f>
        <v>West DC</v>
      </c>
      <c r="E300" s="3" t="str">
        <f>'1. Master Data'!H300</f>
        <v>Active</v>
      </c>
      <c r="F300" s="4">
        <f>'1. Master Data'!F300</f>
        <v>271</v>
      </c>
      <c r="G300" s="3">
        <f>'1. Master Data'!I300</f>
        <v>98</v>
      </c>
      <c r="H300" s="15">
        <f t="shared" si="21"/>
        <v>26558</v>
      </c>
      <c r="I300" s="3">
        <f>'1. Master Data'!J300</f>
        <v>23</v>
      </c>
      <c r="J300" s="5" t="str">
        <f t="shared" si="22"/>
        <v>Fresh</v>
      </c>
      <c r="K300" s="3">
        <f>IF('3. Demand Forecast'!F300=0,99,ROUND(G300/'3. Demand Forecast'!F300,1))</f>
        <v>1.8</v>
      </c>
      <c r="L300" s="3">
        <f>IF(G300=0,0,ROUND('4. ABC XYZ Analysis'!F300/G300,1))</f>
        <v>3.1</v>
      </c>
      <c r="M300" s="5" t="str">
        <f t="shared" si="23"/>
        <v>OK</v>
      </c>
      <c r="N300" s="4">
        <f t="shared" si="24"/>
        <v>0</v>
      </c>
      <c r="O300" s="1" t="str">
        <f t="shared" si="25"/>
        <v>Healthy</v>
      </c>
    </row>
    <row r="301" spans="1:15" ht="15" customHeight="1" x14ac:dyDescent="0.2">
      <c r="A301" s="3" t="str">
        <f>'1. Master Data'!A301</f>
        <v>NT10297</v>
      </c>
      <c r="B301" s="1" t="str">
        <f>'1. Master Data'!B301</f>
        <v>ProMouse G461</v>
      </c>
      <c r="C301" s="3" t="str">
        <f>'1. Master Data'!C301</f>
        <v>Gaming</v>
      </c>
      <c r="D301" s="3" t="str">
        <f>'1. Master Data'!D301</f>
        <v>West DC</v>
      </c>
      <c r="E301" s="3" t="str">
        <f>'1. Master Data'!H301</f>
        <v>Active</v>
      </c>
      <c r="F301" s="4">
        <f>'1. Master Data'!F301</f>
        <v>64</v>
      </c>
      <c r="G301" s="3">
        <f>'1. Master Data'!I301</f>
        <v>28</v>
      </c>
      <c r="H301" s="15">
        <f t="shared" si="21"/>
        <v>1792</v>
      </c>
      <c r="I301" s="3">
        <f>'1. Master Data'!J301</f>
        <v>52</v>
      </c>
      <c r="J301" s="5" t="str">
        <f t="shared" si="22"/>
        <v>Watch</v>
      </c>
      <c r="K301" s="3">
        <f>IF('3. Demand Forecast'!F301=0,99,ROUND(G301/'3. Demand Forecast'!F301,1))</f>
        <v>1.5</v>
      </c>
      <c r="L301" s="3">
        <f>IF(G301=0,0,ROUND('4. ABC XYZ Analysis'!F301/G301,1))</f>
        <v>24.4</v>
      </c>
      <c r="M301" s="5" t="str">
        <f t="shared" si="23"/>
        <v>OK</v>
      </c>
      <c r="N301" s="4">
        <f t="shared" si="24"/>
        <v>0</v>
      </c>
      <c r="O301" s="1" t="str">
        <f t="shared" si="25"/>
        <v>Healthy</v>
      </c>
    </row>
    <row r="302" spans="1:15" ht="15" customHeight="1" x14ac:dyDescent="0.2">
      <c r="A302" s="3" t="str">
        <f>'1. Master Data'!A302</f>
        <v>NT10298</v>
      </c>
      <c r="B302" s="1" t="str">
        <f>'1. Master Data'!B302</f>
        <v>StreamCam S283</v>
      </c>
      <c r="C302" s="3" t="str">
        <f>'1. Master Data'!C302</f>
        <v>Gaming</v>
      </c>
      <c r="D302" s="3" t="str">
        <f>'1. Master Data'!D302</f>
        <v>Central DC</v>
      </c>
      <c r="E302" s="3" t="str">
        <f>'1. Master Data'!H302</f>
        <v>Active</v>
      </c>
      <c r="F302" s="4">
        <f>'1. Master Data'!F302</f>
        <v>291</v>
      </c>
      <c r="G302" s="3">
        <f>'1. Master Data'!I302</f>
        <v>123</v>
      </c>
      <c r="H302" s="15">
        <f t="shared" si="21"/>
        <v>35793</v>
      </c>
      <c r="I302" s="3">
        <f>'1. Master Data'!J302</f>
        <v>62</v>
      </c>
      <c r="J302" s="5" t="str">
        <f t="shared" si="22"/>
        <v>Watch</v>
      </c>
      <c r="K302" s="3">
        <f>IF('3. Demand Forecast'!F302=0,99,ROUND(G302/'3. Demand Forecast'!F302,1))</f>
        <v>1.9</v>
      </c>
      <c r="L302" s="3">
        <f>IF(G302=0,0,ROUND('4. ABC XYZ Analysis'!F302/G302,1))</f>
        <v>26.2</v>
      </c>
      <c r="M302" s="5" t="str">
        <f t="shared" si="23"/>
        <v>OK</v>
      </c>
      <c r="N302" s="4">
        <f t="shared" si="24"/>
        <v>0</v>
      </c>
      <c r="O302" s="1" t="str">
        <f t="shared" si="25"/>
        <v>Healthy</v>
      </c>
    </row>
    <row r="303" spans="1:15" ht="15" customHeight="1" x14ac:dyDescent="0.2">
      <c r="A303" s="3" t="str">
        <f>'1. Master Data'!A303</f>
        <v>NT10299</v>
      </c>
      <c r="B303" s="1" t="str">
        <f>'1. Master Data'!B303</f>
        <v>ProMouse G421</v>
      </c>
      <c r="C303" s="3" t="str">
        <f>'1. Master Data'!C303</f>
        <v>Gaming</v>
      </c>
      <c r="D303" s="3" t="str">
        <f>'1. Master Data'!D303</f>
        <v>West DC</v>
      </c>
      <c r="E303" s="3" t="str">
        <f>'1. Master Data'!H303</f>
        <v>Active</v>
      </c>
      <c r="F303" s="4">
        <f>'1. Master Data'!F303</f>
        <v>160</v>
      </c>
      <c r="G303" s="3">
        <f>'1. Master Data'!I303</f>
        <v>38</v>
      </c>
      <c r="H303" s="15">
        <f t="shared" si="21"/>
        <v>6080</v>
      </c>
      <c r="I303" s="3">
        <f>'1. Master Data'!J303</f>
        <v>15</v>
      </c>
      <c r="J303" s="5" t="str">
        <f t="shared" si="22"/>
        <v>Fresh</v>
      </c>
      <c r="K303" s="3">
        <f>IF('3. Demand Forecast'!F303=0,99,ROUND(G303/'3. Demand Forecast'!F303,1))</f>
        <v>2.2000000000000002</v>
      </c>
      <c r="L303" s="3">
        <f>IF(G303=0,0,ROUND('4. ABC XYZ Analysis'!F303/G303,1))</f>
        <v>33.700000000000003</v>
      </c>
      <c r="M303" s="5" t="str">
        <f t="shared" si="23"/>
        <v>OK</v>
      </c>
      <c r="N303" s="4">
        <f t="shared" si="24"/>
        <v>0</v>
      </c>
      <c r="O303" s="1" t="str">
        <f t="shared" si="25"/>
        <v>Healthy</v>
      </c>
    </row>
    <row r="304" spans="1:15" ht="15" customHeight="1" x14ac:dyDescent="0.2">
      <c r="A304" s="3" t="str">
        <f>'1. Master Data'!A304</f>
        <v>NT10300</v>
      </c>
      <c r="B304" s="1" t="str">
        <f>'1. Master Data'!B304</f>
        <v>RGB Keyboard K610</v>
      </c>
      <c r="C304" s="3" t="str">
        <f>'1. Master Data'!C304</f>
        <v>Gaming</v>
      </c>
      <c r="D304" s="3" t="str">
        <f>'1. Master Data'!D304</f>
        <v>Central DC</v>
      </c>
      <c r="E304" s="3" t="str">
        <f>'1. Master Data'!H304</f>
        <v>Active</v>
      </c>
      <c r="F304" s="4">
        <f>'1. Master Data'!F304</f>
        <v>226</v>
      </c>
      <c r="G304" s="3">
        <f>'1. Master Data'!I304</f>
        <v>39</v>
      </c>
      <c r="H304" s="15">
        <f t="shared" si="21"/>
        <v>8814</v>
      </c>
      <c r="I304" s="3">
        <f>'1. Master Data'!J304</f>
        <v>7</v>
      </c>
      <c r="J304" s="5" t="str">
        <f t="shared" si="22"/>
        <v>Fresh</v>
      </c>
      <c r="K304" s="3">
        <f>IF('3. Demand Forecast'!F304=0,99,ROUND(G304/'3. Demand Forecast'!F304,1))</f>
        <v>2</v>
      </c>
      <c r="L304" s="3">
        <f>IF(G304=0,0,ROUND('4. ABC XYZ Analysis'!F304/G304,1))</f>
        <v>177.8</v>
      </c>
      <c r="M304" s="5" t="str">
        <f t="shared" si="23"/>
        <v>OK</v>
      </c>
      <c r="N304" s="4">
        <f t="shared" si="24"/>
        <v>0</v>
      </c>
      <c r="O304" s="1" t="str">
        <f t="shared" si="25"/>
        <v>Healthy</v>
      </c>
    </row>
    <row r="305" spans="1:15" ht="15" customHeight="1" x14ac:dyDescent="0.2">
      <c r="A305" s="3" t="str">
        <f>'1. Master Data'!A305</f>
        <v>NT10301</v>
      </c>
      <c r="B305" s="1" t="str">
        <f>'1. Master Data'!B305</f>
        <v>LumiBulb 177 RGB</v>
      </c>
      <c r="C305" s="3" t="str">
        <f>'1. Master Data'!C305</f>
        <v>Smart Home</v>
      </c>
      <c r="D305" s="3" t="str">
        <f>'1. Master Data'!D305</f>
        <v>Central DC</v>
      </c>
      <c r="E305" s="3" t="str">
        <f>'1. Master Data'!H305</f>
        <v>Active</v>
      </c>
      <c r="F305" s="4">
        <f>'1. Master Data'!F305</f>
        <v>37</v>
      </c>
      <c r="G305" s="3">
        <f>'1. Master Data'!I305</f>
        <v>265</v>
      </c>
      <c r="H305" s="15">
        <f t="shared" si="21"/>
        <v>9805</v>
      </c>
      <c r="I305" s="3">
        <f>'1. Master Data'!J305</f>
        <v>68</v>
      </c>
      <c r="J305" s="5" t="str">
        <f t="shared" si="22"/>
        <v>Watch</v>
      </c>
      <c r="K305" s="3">
        <f>IF('3. Demand Forecast'!F305=0,99,ROUND(G305/'3. Demand Forecast'!F305,1))</f>
        <v>1</v>
      </c>
      <c r="L305" s="3">
        <f>IF(G305=0,0,ROUND('4. ABC XYZ Analysis'!F305/G305,1))</f>
        <v>1.4</v>
      </c>
      <c r="M305" s="5" t="str">
        <f t="shared" si="23"/>
        <v>OK</v>
      </c>
      <c r="N305" s="4">
        <f t="shared" si="24"/>
        <v>0</v>
      </c>
      <c r="O305" s="1" t="str">
        <f t="shared" si="25"/>
        <v>Healthy</v>
      </c>
    </row>
    <row r="306" spans="1:15" ht="15" customHeight="1" x14ac:dyDescent="0.2">
      <c r="A306" s="3" t="str">
        <f>'1. Master Data'!A306</f>
        <v>NT10302</v>
      </c>
      <c r="B306" s="1" t="str">
        <f>'1. Master Data'!B306</f>
        <v>DoorSense 239</v>
      </c>
      <c r="C306" s="3" t="str">
        <f>'1. Master Data'!C306</f>
        <v>Smart Home</v>
      </c>
      <c r="D306" s="3" t="str">
        <f>'1. Master Data'!D306</f>
        <v>East DC</v>
      </c>
      <c r="E306" s="3" t="str">
        <f>'1. Master Data'!H306</f>
        <v>Active</v>
      </c>
      <c r="F306" s="4">
        <f>'1. Master Data'!F306</f>
        <v>26</v>
      </c>
      <c r="G306" s="3">
        <f>'1. Master Data'!I306</f>
        <v>38</v>
      </c>
      <c r="H306" s="15">
        <f t="shared" si="21"/>
        <v>988</v>
      </c>
      <c r="I306" s="3">
        <f>'1. Master Data'!J306</f>
        <v>52</v>
      </c>
      <c r="J306" s="5" t="str">
        <f t="shared" si="22"/>
        <v>Watch</v>
      </c>
      <c r="K306" s="3">
        <f>IF('3. Demand Forecast'!F306=0,99,ROUND(G306/'3. Demand Forecast'!F306,1))</f>
        <v>1.1000000000000001</v>
      </c>
      <c r="L306" s="3">
        <f>IF(G306=0,0,ROUND('4. ABC XYZ Analysis'!F306/G306,1))</f>
        <v>133.9</v>
      </c>
      <c r="M306" s="5" t="str">
        <f t="shared" si="23"/>
        <v>OK</v>
      </c>
      <c r="N306" s="4">
        <f t="shared" si="24"/>
        <v>0</v>
      </c>
      <c r="O306" s="1" t="str">
        <f t="shared" si="25"/>
        <v>Healthy</v>
      </c>
    </row>
    <row r="307" spans="1:15" ht="15" customHeight="1" x14ac:dyDescent="0.2">
      <c r="A307" s="3" t="str">
        <f>'1. Master Data'!A307</f>
        <v>NT10303</v>
      </c>
      <c r="B307" s="1" t="str">
        <f>'1. Master Data'!B307</f>
        <v>DoorSense 328</v>
      </c>
      <c r="C307" s="3" t="str">
        <f>'1. Master Data'!C307</f>
        <v>Smart Home</v>
      </c>
      <c r="D307" s="3" t="str">
        <f>'1. Master Data'!D307</f>
        <v>East DC</v>
      </c>
      <c r="E307" s="3" t="str">
        <f>'1. Master Data'!H307</f>
        <v>Active</v>
      </c>
      <c r="F307" s="4">
        <f>'1. Master Data'!F307</f>
        <v>111</v>
      </c>
      <c r="G307" s="3">
        <f>'1. Master Data'!I307</f>
        <v>306</v>
      </c>
      <c r="H307" s="15">
        <f t="shared" si="21"/>
        <v>33966</v>
      </c>
      <c r="I307" s="3">
        <f>'1. Master Data'!J307</f>
        <v>61</v>
      </c>
      <c r="J307" s="5" t="str">
        <f t="shared" si="22"/>
        <v>Watch</v>
      </c>
      <c r="K307" s="3">
        <f>IF('3. Demand Forecast'!F307=0,99,ROUND(G307/'3. Demand Forecast'!F307,1))</f>
        <v>1</v>
      </c>
      <c r="L307" s="3">
        <f>IF(G307=0,0,ROUND('4. ABC XYZ Analysis'!F307/G307,1))</f>
        <v>7.2</v>
      </c>
      <c r="M307" s="5" t="str">
        <f t="shared" si="23"/>
        <v>OK</v>
      </c>
      <c r="N307" s="4">
        <f t="shared" si="24"/>
        <v>0</v>
      </c>
      <c r="O307" s="1" t="str">
        <f t="shared" si="25"/>
        <v>Healthy</v>
      </c>
    </row>
    <row r="308" spans="1:15" ht="15" customHeight="1" x14ac:dyDescent="0.2">
      <c r="A308" s="3" t="str">
        <f>'1. Master Data'!A308</f>
        <v>NT10304</v>
      </c>
      <c r="B308" s="1" t="str">
        <f>'1. Master Data'!B308</f>
        <v>SmartPlug Duo 407</v>
      </c>
      <c r="C308" s="3" t="str">
        <f>'1. Master Data'!C308</f>
        <v>Smart Home</v>
      </c>
      <c r="D308" s="3" t="str">
        <f>'1. Master Data'!D308</f>
        <v>East DC</v>
      </c>
      <c r="E308" s="3" t="str">
        <f>'1. Master Data'!H308</f>
        <v>Active</v>
      </c>
      <c r="F308" s="4">
        <f>'1. Master Data'!F308</f>
        <v>55</v>
      </c>
      <c r="G308" s="3">
        <f>'1. Master Data'!I308</f>
        <v>57</v>
      </c>
      <c r="H308" s="15">
        <f t="shared" si="21"/>
        <v>3135</v>
      </c>
      <c r="I308" s="3">
        <f>'1. Master Data'!J308</f>
        <v>4</v>
      </c>
      <c r="J308" s="5" t="str">
        <f t="shared" si="22"/>
        <v>Fresh</v>
      </c>
      <c r="K308" s="3">
        <f>IF('3. Demand Forecast'!F308=0,99,ROUND(G308/'3. Demand Forecast'!F308,1))</f>
        <v>0.7</v>
      </c>
      <c r="L308" s="3">
        <f>IF(G308=0,0,ROUND('4. ABC XYZ Analysis'!F308/G308,1))</f>
        <v>4.9000000000000004</v>
      </c>
      <c r="M308" s="5" t="str">
        <f t="shared" si="23"/>
        <v>OK</v>
      </c>
      <c r="N308" s="4">
        <f t="shared" si="24"/>
        <v>0</v>
      </c>
      <c r="O308" s="1" t="str">
        <f t="shared" si="25"/>
        <v>Healthy</v>
      </c>
    </row>
    <row r="309" spans="1:15" ht="15" customHeight="1" x14ac:dyDescent="0.2">
      <c r="A309" s="3" t="str">
        <f>'1. Master Data'!A309</f>
        <v>NT10305</v>
      </c>
      <c r="B309" s="1" t="str">
        <f>'1. Master Data'!B309</f>
        <v>ThermoSmart 203</v>
      </c>
      <c r="C309" s="3" t="str">
        <f>'1. Master Data'!C309</f>
        <v>Smart Home</v>
      </c>
      <c r="D309" s="3" t="str">
        <f>'1. Master Data'!D309</f>
        <v>Central DC</v>
      </c>
      <c r="E309" s="3" t="str">
        <f>'1. Master Data'!H309</f>
        <v>Active</v>
      </c>
      <c r="F309" s="4">
        <f>'1. Master Data'!F309</f>
        <v>54</v>
      </c>
      <c r="G309" s="3">
        <f>'1. Master Data'!I309</f>
        <v>295</v>
      </c>
      <c r="H309" s="15">
        <f t="shared" si="21"/>
        <v>15930</v>
      </c>
      <c r="I309" s="3">
        <f>'1. Master Data'!J309</f>
        <v>37</v>
      </c>
      <c r="J309" s="5" t="str">
        <f t="shared" si="22"/>
        <v>Watch</v>
      </c>
      <c r="K309" s="3">
        <f>IF('3. Demand Forecast'!F309=0,99,ROUND(G309/'3. Demand Forecast'!F309,1))</f>
        <v>1.1000000000000001</v>
      </c>
      <c r="L309" s="3">
        <f>IF(G309=0,0,ROUND('4. ABC XYZ Analysis'!F309/G309,1))</f>
        <v>4.0999999999999996</v>
      </c>
      <c r="M309" s="5" t="str">
        <f t="shared" si="23"/>
        <v>OK</v>
      </c>
      <c r="N309" s="4">
        <f t="shared" si="24"/>
        <v>0</v>
      </c>
      <c r="O309" s="1" t="str">
        <f t="shared" si="25"/>
        <v>Healthy</v>
      </c>
    </row>
    <row r="310" spans="1:15" ht="15" customHeight="1" x14ac:dyDescent="0.2">
      <c r="A310" s="3" t="str">
        <f>'1. Master Data'!A310</f>
        <v>NT10306</v>
      </c>
      <c r="B310" s="1" t="str">
        <f>'1. Master Data'!B310</f>
        <v>SmartPlug Duo 900</v>
      </c>
      <c r="C310" s="3" t="str">
        <f>'1. Master Data'!C310</f>
        <v>Smart Home</v>
      </c>
      <c r="D310" s="3" t="str">
        <f>'1. Master Data'!D310</f>
        <v>East DC</v>
      </c>
      <c r="E310" s="3" t="str">
        <f>'1. Master Data'!H310</f>
        <v>Active</v>
      </c>
      <c r="F310" s="4">
        <f>'1. Master Data'!F310</f>
        <v>60</v>
      </c>
      <c r="G310" s="3">
        <f>'1. Master Data'!I310</f>
        <v>63</v>
      </c>
      <c r="H310" s="15">
        <f t="shared" si="21"/>
        <v>3780</v>
      </c>
      <c r="I310" s="3">
        <f>'1. Master Data'!J310</f>
        <v>32</v>
      </c>
      <c r="J310" s="5" t="str">
        <f t="shared" si="22"/>
        <v>Watch</v>
      </c>
      <c r="K310" s="3">
        <f>IF('3. Demand Forecast'!F310=0,99,ROUND(G310/'3. Demand Forecast'!F310,1))</f>
        <v>1.1000000000000001</v>
      </c>
      <c r="L310" s="3">
        <f>IF(G310=0,0,ROUND('4. ABC XYZ Analysis'!F310/G310,1))</f>
        <v>9.8000000000000007</v>
      </c>
      <c r="M310" s="5" t="str">
        <f t="shared" si="23"/>
        <v>OK</v>
      </c>
      <c r="N310" s="4">
        <f t="shared" si="24"/>
        <v>0</v>
      </c>
      <c r="O310" s="1" t="str">
        <f t="shared" si="25"/>
        <v>Healthy</v>
      </c>
    </row>
    <row r="311" spans="1:15" ht="15" customHeight="1" x14ac:dyDescent="0.2">
      <c r="A311" s="3" t="str">
        <f>'1. Master Data'!A311</f>
        <v>NT10307</v>
      </c>
      <c r="B311" s="1" t="str">
        <f>'1. Master Data'!B311</f>
        <v>DoorSense 809</v>
      </c>
      <c r="C311" s="3" t="str">
        <f>'1. Master Data'!C311</f>
        <v>Smart Home</v>
      </c>
      <c r="D311" s="3" t="str">
        <f>'1. Master Data'!D311</f>
        <v>East DC</v>
      </c>
      <c r="E311" s="3" t="str">
        <f>'1. Master Data'!H311</f>
        <v>Active</v>
      </c>
      <c r="F311" s="4">
        <f>'1. Master Data'!F311</f>
        <v>115</v>
      </c>
      <c r="G311" s="3">
        <f>'1. Master Data'!I311</f>
        <v>130</v>
      </c>
      <c r="H311" s="15">
        <f t="shared" si="21"/>
        <v>14950</v>
      </c>
      <c r="I311" s="3">
        <f>'1. Master Data'!J311</f>
        <v>8</v>
      </c>
      <c r="J311" s="5" t="str">
        <f t="shared" si="22"/>
        <v>Fresh</v>
      </c>
      <c r="K311" s="3">
        <f>IF('3. Demand Forecast'!F311=0,99,ROUND(G311/'3. Demand Forecast'!F311,1))</f>
        <v>0.5</v>
      </c>
      <c r="L311" s="3">
        <f>IF(G311=0,0,ROUND('4. ABC XYZ Analysis'!F311/G311,1))</f>
        <v>5.0999999999999996</v>
      </c>
      <c r="M311" s="5" t="str">
        <f t="shared" si="23"/>
        <v>OK</v>
      </c>
      <c r="N311" s="4">
        <f t="shared" si="24"/>
        <v>0</v>
      </c>
      <c r="O311" s="1" t="str">
        <f t="shared" si="25"/>
        <v>Healthy</v>
      </c>
    </row>
    <row r="312" spans="1:15" ht="15" customHeight="1" x14ac:dyDescent="0.2">
      <c r="A312" s="3" t="str">
        <f>'1. Master Data'!A312</f>
        <v>NT10308</v>
      </c>
      <c r="B312" s="1" t="str">
        <f>'1. Master Data'!B312</f>
        <v>LumiBulb 477 RGB</v>
      </c>
      <c r="C312" s="3" t="str">
        <f>'1. Master Data'!C312</f>
        <v>Smart Home</v>
      </c>
      <c r="D312" s="3" t="str">
        <f>'1. Master Data'!D312</f>
        <v>East DC</v>
      </c>
      <c r="E312" s="3" t="str">
        <f>'1. Master Data'!H312</f>
        <v>Active</v>
      </c>
      <c r="F312" s="4">
        <f>'1. Master Data'!F312</f>
        <v>117</v>
      </c>
      <c r="G312" s="3">
        <f>'1. Master Data'!I312</f>
        <v>64</v>
      </c>
      <c r="H312" s="15">
        <f t="shared" si="21"/>
        <v>7488</v>
      </c>
      <c r="I312" s="3">
        <f>'1. Master Data'!J312</f>
        <v>41</v>
      </c>
      <c r="J312" s="5" t="str">
        <f t="shared" si="22"/>
        <v>Watch</v>
      </c>
      <c r="K312" s="3">
        <f>IF('3. Demand Forecast'!F312=0,99,ROUND(G312/'3. Demand Forecast'!F312,1))</f>
        <v>0.6</v>
      </c>
      <c r="L312" s="3">
        <f>IF(G312=0,0,ROUND('4. ABC XYZ Analysis'!F312/G312,1))</f>
        <v>13.9</v>
      </c>
      <c r="M312" s="5" t="str">
        <f t="shared" si="23"/>
        <v>OK</v>
      </c>
      <c r="N312" s="4">
        <f t="shared" si="24"/>
        <v>0</v>
      </c>
      <c r="O312" s="1" t="str">
        <f t="shared" si="25"/>
        <v>Healthy</v>
      </c>
    </row>
    <row r="313" spans="1:15" ht="15" customHeight="1" x14ac:dyDescent="0.2">
      <c r="A313" s="3" t="str">
        <f>'1. Master Data'!A313</f>
        <v>NT10309</v>
      </c>
      <c r="B313" s="1" t="str">
        <f>'1. Master Data'!B313</f>
        <v>LumiBulb 939 RGB</v>
      </c>
      <c r="C313" s="3" t="str">
        <f>'1. Master Data'!C313</f>
        <v>Smart Home</v>
      </c>
      <c r="D313" s="3" t="str">
        <f>'1. Master Data'!D313</f>
        <v>East DC</v>
      </c>
      <c r="E313" s="3" t="str">
        <f>'1. Master Data'!H313</f>
        <v>Active</v>
      </c>
      <c r="F313" s="4">
        <f>'1. Master Data'!F313</f>
        <v>42</v>
      </c>
      <c r="G313" s="3">
        <f>'1. Master Data'!I313</f>
        <v>69</v>
      </c>
      <c r="H313" s="15">
        <f t="shared" si="21"/>
        <v>2898</v>
      </c>
      <c r="I313" s="3">
        <f>'1. Master Data'!J313</f>
        <v>44</v>
      </c>
      <c r="J313" s="5" t="str">
        <f t="shared" si="22"/>
        <v>Watch</v>
      </c>
      <c r="K313" s="3">
        <f>IF('3. Demand Forecast'!F313=0,99,ROUND(G313/'3. Demand Forecast'!F313,1))</f>
        <v>1.1000000000000001</v>
      </c>
      <c r="L313" s="3">
        <f>IF(G313=0,0,ROUND('4. ABC XYZ Analysis'!F313/G313,1))</f>
        <v>13.9</v>
      </c>
      <c r="M313" s="5" t="str">
        <f t="shared" si="23"/>
        <v>OK</v>
      </c>
      <c r="N313" s="4">
        <f t="shared" si="24"/>
        <v>0</v>
      </c>
      <c r="O313" s="1" t="str">
        <f t="shared" si="25"/>
        <v>Healthy</v>
      </c>
    </row>
    <row r="314" spans="1:15" ht="15" customHeight="1" x14ac:dyDescent="0.2">
      <c r="A314" s="3" t="str">
        <f>'1. Master Data'!A314</f>
        <v>NT10310</v>
      </c>
      <c r="B314" s="1" t="str">
        <f>'1. Master Data'!B314</f>
        <v>HomeCam 583 1080p</v>
      </c>
      <c r="C314" s="3" t="str">
        <f>'1. Master Data'!C314</f>
        <v>Smart Home</v>
      </c>
      <c r="D314" s="3" t="str">
        <f>'1. Master Data'!D314</f>
        <v>Central DC</v>
      </c>
      <c r="E314" s="3" t="str">
        <f>'1. Master Data'!H314</f>
        <v>Active</v>
      </c>
      <c r="F314" s="4">
        <f>'1. Master Data'!F314</f>
        <v>103</v>
      </c>
      <c r="G314" s="3">
        <f>'1. Master Data'!I314</f>
        <v>83</v>
      </c>
      <c r="H314" s="15">
        <f t="shared" si="21"/>
        <v>8549</v>
      </c>
      <c r="I314" s="3">
        <f>'1. Master Data'!J314</f>
        <v>60</v>
      </c>
      <c r="J314" s="5" t="str">
        <f t="shared" si="22"/>
        <v>Watch</v>
      </c>
      <c r="K314" s="3">
        <f>IF('3. Demand Forecast'!F314=0,99,ROUND(G314/'3. Demand Forecast'!F314,1))</f>
        <v>0.5</v>
      </c>
      <c r="L314" s="3">
        <f>IF(G314=0,0,ROUND('4. ABC XYZ Analysis'!F314/G314,1))</f>
        <v>8.6999999999999993</v>
      </c>
      <c r="M314" s="5" t="str">
        <f t="shared" si="23"/>
        <v>OK</v>
      </c>
      <c r="N314" s="4">
        <f t="shared" si="24"/>
        <v>0</v>
      </c>
      <c r="O314" s="1" t="str">
        <f t="shared" si="25"/>
        <v>Healthy</v>
      </c>
    </row>
    <row r="315" spans="1:15" ht="15" customHeight="1" x14ac:dyDescent="0.2">
      <c r="A315" s="3" t="str">
        <f>'1. Master Data'!A315</f>
        <v>NT10311</v>
      </c>
      <c r="B315" s="1" t="str">
        <f>'1. Master Data'!B315</f>
        <v>DoorSense 858</v>
      </c>
      <c r="C315" s="3" t="str">
        <f>'1. Master Data'!C315</f>
        <v>Smart Home</v>
      </c>
      <c r="D315" s="3" t="str">
        <f>'1. Master Data'!D315</f>
        <v>West DC</v>
      </c>
      <c r="E315" s="3" t="str">
        <f>'1. Master Data'!H315</f>
        <v>Active</v>
      </c>
      <c r="F315" s="4">
        <f>'1. Master Data'!F315</f>
        <v>14</v>
      </c>
      <c r="G315" s="3">
        <f>'1. Master Data'!I315</f>
        <v>374</v>
      </c>
      <c r="H315" s="15">
        <f t="shared" si="21"/>
        <v>5236</v>
      </c>
      <c r="I315" s="3">
        <f>'1. Master Data'!J315</f>
        <v>5</v>
      </c>
      <c r="J315" s="5" t="str">
        <f t="shared" si="22"/>
        <v>Fresh</v>
      </c>
      <c r="K315" s="3">
        <f>IF('3. Demand Forecast'!F315=0,99,ROUND(G315/'3. Demand Forecast'!F315,1))</f>
        <v>0.9</v>
      </c>
      <c r="L315" s="3">
        <f>IF(G315=0,0,ROUND('4. ABC XYZ Analysis'!F315/G315,1))</f>
        <v>2.4</v>
      </c>
      <c r="M315" s="5" t="str">
        <f t="shared" si="23"/>
        <v>OK</v>
      </c>
      <c r="N315" s="4">
        <f t="shared" si="24"/>
        <v>0</v>
      </c>
      <c r="O315" s="1" t="str">
        <f t="shared" si="25"/>
        <v>Healthy</v>
      </c>
    </row>
    <row r="316" spans="1:15" ht="15" customHeight="1" x14ac:dyDescent="0.2">
      <c r="A316" s="3" t="str">
        <f>'1. Master Data'!A316</f>
        <v>NT10312</v>
      </c>
      <c r="B316" s="1" t="str">
        <f>'1. Master Data'!B316</f>
        <v>HomeCam 152 1080p</v>
      </c>
      <c r="C316" s="3" t="str">
        <f>'1. Master Data'!C316</f>
        <v>Smart Home</v>
      </c>
      <c r="D316" s="3" t="str">
        <f>'1. Master Data'!D316</f>
        <v>Central DC</v>
      </c>
      <c r="E316" s="3" t="str">
        <f>'1. Master Data'!H316</f>
        <v>Active</v>
      </c>
      <c r="F316" s="4">
        <f>'1. Master Data'!F316</f>
        <v>16</v>
      </c>
      <c r="G316" s="3">
        <f>'1. Master Data'!I316</f>
        <v>186</v>
      </c>
      <c r="H316" s="15">
        <f t="shared" si="21"/>
        <v>2976</v>
      </c>
      <c r="I316" s="3">
        <f>'1. Master Data'!J316</f>
        <v>54</v>
      </c>
      <c r="J316" s="5" t="str">
        <f t="shared" si="22"/>
        <v>Watch</v>
      </c>
      <c r="K316" s="3">
        <f>IF('3. Demand Forecast'!F316=0,99,ROUND(G316/'3. Demand Forecast'!F316,1))</f>
        <v>1</v>
      </c>
      <c r="L316" s="3">
        <f>IF(G316=0,0,ROUND('4. ABC XYZ Analysis'!F316/G316,1))</f>
        <v>0.9</v>
      </c>
      <c r="M316" s="5" t="str">
        <f t="shared" si="23"/>
        <v>OK</v>
      </c>
      <c r="N316" s="4">
        <f t="shared" si="24"/>
        <v>0</v>
      </c>
      <c r="O316" s="1" t="str">
        <f t="shared" si="25"/>
        <v>Healthy</v>
      </c>
    </row>
    <row r="317" spans="1:15" ht="15" customHeight="1" x14ac:dyDescent="0.2">
      <c r="A317" s="3" t="str">
        <f>'1. Master Data'!A317</f>
        <v>NT10313</v>
      </c>
      <c r="B317" s="1" t="str">
        <f>'1. Master Data'!B317</f>
        <v>DoorSense 989</v>
      </c>
      <c r="C317" s="3" t="str">
        <f>'1. Master Data'!C317</f>
        <v>Smart Home</v>
      </c>
      <c r="D317" s="3" t="str">
        <f>'1. Master Data'!D317</f>
        <v>East DC</v>
      </c>
      <c r="E317" s="3" t="str">
        <f>'1. Master Data'!H317</f>
        <v>Active</v>
      </c>
      <c r="F317" s="4">
        <f>'1. Master Data'!F317</f>
        <v>69</v>
      </c>
      <c r="G317" s="3">
        <f>'1. Master Data'!I317</f>
        <v>983</v>
      </c>
      <c r="H317" s="15">
        <f t="shared" si="21"/>
        <v>67827</v>
      </c>
      <c r="I317" s="3">
        <f>'1. Master Data'!J317</f>
        <v>114</v>
      </c>
      <c r="J317" s="5" t="str">
        <f t="shared" si="22"/>
        <v>Aged</v>
      </c>
      <c r="K317" s="3">
        <f>IF('3. Demand Forecast'!F317=0,99,ROUND(G317/'3. Demand Forecast'!F317,1))</f>
        <v>3.7</v>
      </c>
      <c r="L317" s="3">
        <f>IF(G317=0,0,ROUND('4. ABC XYZ Analysis'!F317/G317,1))</f>
        <v>0.2</v>
      </c>
      <c r="M317" s="5" t="str">
        <f t="shared" si="23"/>
        <v>EXCESS</v>
      </c>
      <c r="N317" s="4">
        <f t="shared" si="24"/>
        <v>67827</v>
      </c>
      <c r="O317" s="1" t="str">
        <f t="shared" si="25"/>
        <v>Reduce orders and monitor</v>
      </c>
    </row>
    <row r="318" spans="1:15" ht="15" customHeight="1" x14ac:dyDescent="0.2">
      <c r="A318" s="3" t="str">
        <f>'1. Master Data'!A318</f>
        <v>NT10314</v>
      </c>
      <c r="B318" s="1" t="str">
        <f>'1. Master Data'!B318</f>
        <v>DoorSense 634</v>
      </c>
      <c r="C318" s="3" t="str">
        <f>'1. Master Data'!C318</f>
        <v>Smart Home</v>
      </c>
      <c r="D318" s="3" t="str">
        <f>'1. Master Data'!D318</f>
        <v>Central DC</v>
      </c>
      <c r="E318" s="3" t="str">
        <f>'1. Master Data'!H318</f>
        <v>Active</v>
      </c>
      <c r="F318" s="4">
        <f>'1. Master Data'!F318</f>
        <v>108</v>
      </c>
      <c r="G318" s="3">
        <f>'1. Master Data'!I318</f>
        <v>342</v>
      </c>
      <c r="H318" s="15">
        <f t="shared" si="21"/>
        <v>36936</v>
      </c>
      <c r="I318" s="3">
        <f>'1. Master Data'!J318</f>
        <v>138</v>
      </c>
      <c r="J318" s="5" t="str">
        <f t="shared" si="22"/>
        <v>Aged</v>
      </c>
      <c r="K318" s="3">
        <f>IF('3. Demand Forecast'!F318=0,99,ROUND(G318/'3. Demand Forecast'!F318,1))</f>
        <v>3.4</v>
      </c>
      <c r="L318" s="3">
        <f>IF(G318=0,0,ROUND('4. ABC XYZ Analysis'!F318/G318,1))</f>
        <v>0.4</v>
      </c>
      <c r="M318" s="5" t="str">
        <f t="shared" si="23"/>
        <v>EXCESS</v>
      </c>
      <c r="N318" s="4">
        <f t="shared" si="24"/>
        <v>36936</v>
      </c>
      <c r="O318" s="1" t="str">
        <f t="shared" si="25"/>
        <v>Reduce orders and monitor</v>
      </c>
    </row>
    <row r="319" spans="1:15" ht="15" customHeight="1" x14ac:dyDescent="0.2">
      <c r="A319" s="3" t="str">
        <f>'1. Master Data'!A319</f>
        <v>NT10315</v>
      </c>
      <c r="B319" s="1" t="str">
        <f>'1. Master Data'!B319</f>
        <v>DoorSense 727</v>
      </c>
      <c r="C319" s="3" t="str">
        <f>'1. Master Data'!C319</f>
        <v>Smart Home</v>
      </c>
      <c r="D319" s="3" t="str">
        <f>'1. Master Data'!D319</f>
        <v>Central DC</v>
      </c>
      <c r="E319" s="3" t="str">
        <f>'1. Master Data'!H319</f>
        <v>Active</v>
      </c>
      <c r="F319" s="4">
        <f>'1. Master Data'!F319</f>
        <v>87</v>
      </c>
      <c r="G319" s="3">
        <f>'1. Master Data'!I319</f>
        <v>391</v>
      </c>
      <c r="H319" s="15">
        <f t="shared" si="21"/>
        <v>34017</v>
      </c>
      <c r="I319" s="3">
        <f>'1. Master Data'!J319</f>
        <v>56</v>
      </c>
      <c r="J319" s="5" t="str">
        <f t="shared" si="22"/>
        <v>Watch</v>
      </c>
      <c r="K319" s="3">
        <f>IF('3. Demand Forecast'!F319=0,99,ROUND(G319/'3. Demand Forecast'!F319,1))</f>
        <v>0.9</v>
      </c>
      <c r="L319" s="3">
        <f>IF(G319=0,0,ROUND('4. ABC XYZ Analysis'!F319/G319,1))</f>
        <v>0.9</v>
      </c>
      <c r="M319" s="5" t="str">
        <f t="shared" si="23"/>
        <v>OK</v>
      </c>
      <c r="N319" s="4">
        <f t="shared" si="24"/>
        <v>0</v>
      </c>
      <c r="O319" s="1" t="str">
        <f t="shared" si="25"/>
        <v>Healthy</v>
      </c>
    </row>
    <row r="320" spans="1:15" ht="15" customHeight="1" x14ac:dyDescent="0.2">
      <c r="A320" s="3" t="str">
        <f>'1. Master Data'!A320</f>
        <v>NT10316</v>
      </c>
      <c r="B320" s="1" t="str">
        <f>'1. Master Data'!B320</f>
        <v>HomeCam 100 1080p</v>
      </c>
      <c r="C320" s="3" t="str">
        <f>'1. Master Data'!C320</f>
        <v>Smart Home</v>
      </c>
      <c r="D320" s="3" t="str">
        <f>'1. Master Data'!D320</f>
        <v>East DC</v>
      </c>
      <c r="E320" s="3" t="str">
        <f>'1. Master Data'!H320</f>
        <v>Active</v>
      </c>
      <c r="F320" s="4">
        <f>'1. Master Data'!F320</f>
        <v>103</v>
      </c>
      <c r="G320" s="3">
        <f>'1. Master Data'!I320</f>
        <v>290</v>
      </c>
      <c r="H320" s="15">
        <f t="shared" si="21"/>
        <v>29870</v>
      </c>
      <c r="I320" s="3">
        <f>'1. Master Data'!J320</f>
        <v>24</v>
      </c>
      <c r="J320" s="5" t="str">
        <f t="shared" si="22"/>
        <v>Fresh</v>
      </c>
      <c r="K320" s="3">
        <f>IF('3. Demand Forecast'!F320=0,99,ROUND(G320/'3. Demand Forecast'!F320,1))</f>
        <v>1.1000000000000001</v>
      </c>
      <c r="L320" s="3">
        <f>IF(G320=0,0,ROUND('4. ABC XYZ Analysis'!F320/G320,1))</f>
        <v>19</v>
      </c>
      <c r="M320" s="5" t="str">
        <f t="shared" si="23"/>
        <v>OK</v>
      </c>
      <c r="N320" s="4">
        <f t="shared" si="24"/>
        <v>0</v>
      </c>
      <c r="O320" s="1" t="str">
        <f t="shared" si="25"/>
        <v>Healthy</v>
      </c>
    </row>
    <row r="321" spans="1:15" ht="15" customHeight="1" x14ac:dyDescent="0.2">
      <c r="A321" s="3" t="str">
        <f>'1. Master Data'!A321</f>
        <v>NT10317</v>
      </c>
      <c r="B321" s="1" t="str">
        <f>'1. Master Data'!B321</f>
        <v>ThermoSmart 230</v>
      </c>
      <c r="C321" s="3" t="str">
        <f>'1. Master Data'!C321</f>
        <v>Smart Home</v>
      </c>
      <c r="D321" s="3" t="str">
        <f>'1. Master Data'!D321</f>
        <v>East DC</v>
      </c>
      <c r="E321" s="3" t="str">
        <f>'1. Master Data'!H321</f>
        <v>Active</v>
      </c>
      <c r="F321" s="4">
        <f>'1. Master Data'!F321</f>
        <v>59</v>
      </c>
      <c r="G321" s="3">
        <f>'1. Master Data'!I321</f>
        <v>43</v>
      </c>
      <c r="H321" s="15">
        <f t="shared" si="21"/>
        <v>2537</v>
      </c>
      <c r="I321" s="3">
        <f>'1. Master Data'!J321</f>
        <v>43</v>
      </c>
      <c r="J321" s="5" t="str">
        <f t="shared" si="22"/>
        <v>Watch</v>
      </c>
      <c r="K321" s="3">
        <f>IF('3. Demand Forecast'!F321=0,99,ROUND(G321/'3. Demand Forecast'!F321,1))</f>
        <v>1</v>
      </c>
      <c r="L321" s="3">
        <f>IF(G321=0,0,ROUND('4. ABC XYZ Analysis'!F321/G321,1))</f>
        <v>1.5</v>
      </c>
      <c r="M321" s="5" t="str">
        <f t="shared" si="23"/>
        <v>OK</v>
      </c>
      <c r="N321" s="4">
        <f t="shared" si="24"/>
        <v>0</v>
      </c>
      <c r="O321" s="1" t="str">
        <f t="shared" si="25"/>
        <v>Healthy</v>
      </c>
    </row>
    <row r="322" spans="1:15" ht="15" customHeight="1" x14ac:dyDescent="0.2">
      <c r="A322" s="3" t="str">
        <f>'1. Master Data'!A322</f>
        <v>NT10318</v>
      </c>
      <c r="B322" s="1" t="str">
        <f>'1. Master Data'!B322</f>
        <v>DoorSense 390</v>
      </c>
      <c r="C322" s="3" t="str">
        <f>'1. Master Data'!C322</f>
        <v>Smart Home</v>
      </c>
      <c r="D322" s="3" t="str">
        <f>'1. Master Data'!D322</f>
        <v>West DC</v>
      </c>
      <c r="E322" s="3" t="str">
        <f>'1. Master Data'!H322</f>
        <v>Active</v>
      </c>
      <c r="F322" s="4">
        <f>'1. Master Data'!F322</f>
        <v>51</v>
      </c>
      <c r="G322" s="3">
        <f>'1. Master Data'!I322</f>
        <v>567</v>
      </c>
      <c r="H322" s="15">
        <f t="shared" si="21"/>
        <v>28917</v>
      </c>
      <c r="I322" s="3">
        <f>'1. Master Data'!J322</f>
        <v>6</v>
      </c>
      <c r="J322" s="5" t="str">
        <f t="shared" si="22"/>
        <v>Fresh</v>
      </c>
      <c r="K322" s="3">
        <f>IF('3. Demand Forecast'!F322=0,99,ROUND(G322/'3. Demand Forecast'!F322,1))</f>
        <v>0.8</v>
      </c>
      <c r="L322" s="3">
        <f>IF(G322=0,0,ROUND('4. ABC XYZ Analysis'!F322/G322,1))</f>
        <v>0.2</v>
      </c>
      <c r="M322" s="5" t="str">
        <f t="shared" si="23"/>
        <v>OK</v>
      </c>
      <c r="N322" s="4">
        <f t="shared" si="24"/>
        <v>0</v>
      </c>
      <c r="O322" s="1" t="str">
        <f t="shared" si="25"/>
        <v>Healthy</v>
      </c>
    </row>
    <row r="323" spans="1:15" ht="15" customHeight="1" x14ac:dyDescent="0.2">
      <c r="A323" s="3" t="str">
        <f>'1. Master Data'!A323</f>
        <v>NT10319</v>
      </c>
      <c r="B323" s="1" t="str">
        <f>'1. Master Data'!B323</f>
        <v>DoorSense 924</v>
      </c>
      <c r="C323" s="3" t="str">
        <f>'1. Master Data'!C323</f>
        <v>Smart Home</v>
      </c>
      <c r="D323" s="3" t="str">
        <f>'1. Master Data'!D323</f>
        <v>East DC</v>
      </c>
      <c r="E323" s="3" t="str">
        <f>'1. Master Data'!H323</f>
        <v>Active</v>
      </c>
      <c r="F323" s="4">
        <f>'1. Master Data'!F323</f>
        <v>93</v>
      </c>
      <c r="G323" s="3">
        <f>'1. Master Data'!I323</f>
        <v>115</v>
      </c>
      <c r="H323" s="15">
        <f t="shared" si="21"/>
        <v>10695</v>
      </c>
      <c r="I323" s="3">
        <f>'1. Master Data'!J323</f>
        <v>63</v>
      </c>
      <c r="J323" s="5" t="str">
        <f t="shared" si="22"/>
        <v>Watch</v>
      </c>
      <c r="K323" s="3">
        <f>IF('3. Demand Forecast'!F323=0,99,ROUND(G323/'3. Demand Forecast'!F323,1))</f>
        <v>1.1000000000000001</v>
      </c>
      <c r="L323" s="3">
        <f>IF(G323=0,0,ROUND('4. ABC XYZ Analysis'!F323/G323,1))</f>
        <v>13.8</v>
      </c>
      <c r="M323" s="5" t="str">
        <f t="shared" si="23"/>
        <v>OK</v>
      </c>
      <c r="N323" s="4">
        <f t="shared" si="24"/>
        <v>0</v>
      </c>
      <c r="O323" s="1" t="str">
        <f t="shared" si="25"/>
        <v>Healthy</v>
      </c>
    </row>
    <row r="324" spans="1:15" ht="15" customHeight="1" x14ac:dyDescent="0.2">
      <c r="A324" s="3" t="str">
        <f>'1. Master Data'!A324</f>
        <v>NT10320</v>
      </c>
      <c r="B324" s="1" t="str">
        <f>'1. Master Data'!B324</f>
        <v>ThermoSmart 653</v>
      </c>
      <c r="C324" s="3" t="str">
        <f>'1. Master Data'!C324</f>
        <v>Smart Home</v>
      </c>
      <c r="D324" s="3" t="str">
        <f>'1. Master Data'!D324</f>
        <v>West DC</v>
      </c>
      <c r="E324" s="3" t="str">
        <f>'1. Master Data'!H324</f>
        <v>Active</v>
      </c>
      <c r="F324" s="4">
        <f>'1. Master Data'!F324</f>
        <v>17</v>
      </c>
      <c r="G324" s="3">
        <f>'1. Master Data'!I324</f>
        <v>487</v>
      </c>
      <c r="H324" s="15">
        <f t="shared" si="21"/>
        <v>8279</v>
      </c>
      <c r="I324" s="3">
        <f>'1. Master Data'!J324</f>
        <v>58</v>
      </c>
      <c r="J324" s="5" t="str">
        <f t="shared" si="22"/>
        <v>Watch</v>
      </c>
      <c r="K324" s="3">
        <f>IF('3. Demand Forecast'!F324=0,99,ROUND(G324/'3. Demand Forecast'!F324,1))</f>
        <v>0.8</v>
      </c>
      <c r="L324" s="3">
        <f>IF(G324=0,0,ROUND('4. ABC XYZ Analysis'!F324/G324,1))</f>
        <v>0.8</v>
      </c>
      <c r="M324" s="5" t="str">
        <f t="shared" si="23"/>
        <v>OK</v>
      </c>
      <c r="N324" s="4">
        <f t="shared" si="24"/>
        <v>0</v>
      </c>
      <c r="O324" s="1" t="str">
        <f t="shared" si="25"/>
        <v>Healthy</v>
      </c>
    </row>
    <row r="325" spans="1:15" ht="15" customHeight="1" x14ac:dyDescent="0.2">
      <c r="A325" s="3" t="str">
        <f>'1. Master Data'!A325</f>
        <v>NT10321</v>
      </c>
      <c r="B325" s="1" t="str">
        <f>'1. Master Data'!B325</f>
        <v>HomeCam 807 1080p</v>
      </c>
      <c r="C325" s="3" t="str">
        <f>'1. Master Data'!C325</f>
        <v>Smart Home</v>
      </c>
      <c r="D325" s="3" t="str">
        <f>'1. Master Data'!D325</f>
        <v>East DC</v>
      </c>
      <c r="E325" s="3" t="str">
        <f>'1. Master Data'!H325</f>
        <v>Active</v>
      </c>
      <c r="F325" s="4">
        <f>'1. Master Data'!F325</f>
        <v>13</v>
      </c>
      <c r="G325" s="3">
        <f>'1. Master Data'!I325</f>
        <v>195</v>
      </c>
      <c r="H325" s="15">
        <f t="shared" ref="H325:H388" si="26">F325*G325</f>
        <v>2535</v>
      </c>
      <c r="I325" s="3">
        <f>'1. Master Data'!J325</f>
        <v>19</v>
      </c>
      <c r="J325" s="5" t="str">
        <f t="shared" ref="J325:J388" si="27">IF(I325&lt;=30,"Fresh",IF(I325&lt;=90,"Watch",IF(I325&lt;=180,"Aged","Obsolete Risk")))</f>
        <v>Fresh</v>
      </c>
      <c r="K325" s="3">
        <f>IF('3. Demand Forecast'!F325=0,99,ROUND(G325/'3. Demand Forecast'!F325,1))</f>
        <v>0.9</v>
      </c>
      <c r="L325" s="3">
        <f>IF(G325=0,0,ROUND('4. ABC XYZ Analysis'!F325/G325,1))</f>
        <v>1.5</v>
      </c>
      <c r="M325" s="5" t="str">
        <f t="shared" ref="M325:M388" si="28">IF(OR(E325="EOL",I325&gt;90,K325&gt;6),"EXCESS","OK")</f>
        <v>OK</v>
      </c>
      <c r="N325" s="4">
        <f t="shared" ref="N325:N388" si="29">IF(M325="EXCESS",H325,0)</f>
        <v>0</v>
      </c>
      <c r="O325" s="1" t="str">
        <f t="shared" ref="O325:O388" si="30">IF(E325="EOL","Scrap / Liquidate",IF(I325&gt;180,"Disposition Review",IF(M325="EXCESS","Reduce orders and monitor","Healthy")))</f>
        <v>Healthy</v>
      </c>
    </row>
    <row r="326" spans="1:15" ht="15" customHeight="1" x14ac:dyDescent="0.2">
      <c r="A326" s="3" t="str">
        <f>'1. Master Data'!A326</f>
        <v>NT10322</v>
      </c>
      <c r="B326" s="1" t="str">
        <f>'1. Master Data'!B326</f>
        <v>LumiBulb 622 RGB</v>
      </c>
      <c r="C326" s="3" t="str">
        <f>'1. Master Data'!C326</f>
        <v>Smart Home</v>
      </c>
      <c r="D326" s="3" t="str">
        <f>'1. Master Data'!D326</f>
        <v>Central DC</v>
      </c>
      <c r="E326" s="3" t="str">
        <f>'1. Master Data'!H326</f>
        <v>Active</v>
      </c>
      <c r="F326" s="4">
        <f>'1. Master Data'!F326</f>
        <v>75</v>
      </c>
      <c r="G326" s="3">
        <f>'1. Master Data'!I326</f>
        <v>114</v>
      </c>
      <c r="H326" s="15">
        <f t="shared" si="26"/>
        <v>8550</v>
      </c>
      <c r="I326" s="3">
        <f>'1. Master Data'!J326</f>
        <v>9</v>
      </c>
      <c r="J326" s="5" t="str">
        <f t="shared" si="27"/>
        <v>Fresh</v>
      </c>
      <c r="K326" s="3">
        <f>IF('3. Demand Forecast'!F326=0,99,ROUND(G326/'3. Demand Forecast'!F326,1))</f>
        <v>2</v>
      </c>
      <c r="L326" s="3">
        <f>IF(G326=0,0,ROUND('4. ABC XYZ Analysis'!F326/G326,1))</f>
        <v>1.1000000000000001</v>
      </c>
      <c r="M326" s="5" t="str">
        <f t="shared" si="28"/>
        <v>OK</v>
      </c>
      <c r="N326" s="4">
        <f t="shared" si="29"/>
        <v>0</v>
      </c>
      <c r="O326" s="1" t="str">
        <f t="shared" si="30"/>
        <v>Healthy</v>
      </c>
    </row>
    <row r="327" spans="1:15" ht="15" customHeight="1" x14ac:dyDescent="0.2">
      <c r="A327" s="3" t="str">
        <f>'1. Master Data'!A327</f>
        <v>NT10323</v>
      </c>
      <c r="B327" s="1" t="str">
        <f>'1. Master Data'!B327</f>
        <v>SmartPlug Duo 798</v>
      </c>
      <c r="C327" s="3" t="str">
        <f>'1. Master Data'!C327</f>
        <v>Smart Home</v>
      </c>
      <c r="D327" s="3" t="str">
        <f>'1. Master Data'!D327</f>
        <v>West DC</v>
      </c>
      <c r="E327" s="3" t="str">
        <f>'1. Master Data'!H327</f>
        <v>Active</v>
      </c>
      <c r="F327" s="4">
        <f>'1. Master Data'!F327</f>
        <v>72</v>
      </c>
      <c r="G327" s="3">
        <f>'1. Master Data'!I327</f>
        <v>312</v>
      </c>
      <c r="H327" s="15">
        <f t="shared" si="26"/>
        <v>22464</v>
      </c>
      <c r="I327" s="3">
        <f>'1. Master Data'!J327</f>
        <v>33</v>
      </c>
      <c r="J327" s="5" t="str">
        <f t="shared" si="27"/>
        <v>Watch</v>
      </c>
      <c r="K327" s="3">
        <f>IF('3. Demand Forecast'!F327=0,99,ROUND(G327/'3. Demand Forecast'!F327,1))</f>
        <v>1</v>
      </c>
      <c r="L327" s="3">
        <f>IF(G327=0,0,ROUND('4. ABC XYZ Analysis'!F327/G327,1))</f>
        <v>1.4</v>
      </c>
      <c r="M327" s="5" t="str">
        <f t="shared" si="28"/>
        <v>OK</v>
      </c>
      <c r="N327" s="4">
        <f t="shared" si="29"/>
        <v>0</v>
      </c>
      <c r="O327" s="1" t="str">
        <f t="shared" si="30"/>
        <v>Healthy</v>
      </c>
    </row>
    <row r="328" spans="1:15" ht="15" customHeight="1" x14ac:dyDescent="0.2">
      <c r="A328" s="3" t="str">
        <f>'1. Master Data'!A328</f>
        <v>NT10324</v>
      </c>
      <c r="B328" s="1" t="str">
        <f>'1. Master Data'!B328</f>
        <v>HomeCam 916 1080p</v>
      </c>
      <c r="C328" s="3" t="str">
        <f>'1. Master Data'!C328</f>
        <v>Smart Home</v>
      </c>
      <c r="D328" s="3" t="str">
        <f>'1. Master Data'!D328</f>
        <v>West DC</v>
      </c>
      <c r="E328" s="3" t="str">
        <f>'1. Master Data'!H328</f>
        <v>Active</v>
      </c>
      <c r="F328" s="4">
        <f>'1. Master Data'!F328</f>
        <v>53</v>
      </c>
      <c r="G328" s="3">
        <f>'1. Master Data'!I328</f>
        <v>228</v>
      </c>
      <c r="H328" s="15">
        <f t="shared" si="26"/>
        <v>12084</v>
      </c>
      <c r="I328" s="3">
        <f>'1. Master Data'!J328</f>
        <v>14</v>
      </c>
      <c r="J328" s="5" t="str">
        <f t="shared" si="27"/>
        <v>Fresh</v>
      </c>
      <c r="K328" s="3">
        <f>IF('3. Demand Forecast'!F328=0,99,ROUND(G328/'3. Demand Forecast'!F328,1))</f>
        <v>0.9</v>
      </c>
      <c r="L328" s="3">
        <f>IF(G328=0,0,ROUND('4. ABC XYZ Analysis'!F328/G328,1))</f>
        <v>0.8</v>
      </c>
      <c r="M328" s="5" t="str">
        <f t="shared" si="28"/>
        <v>OK</v>
      </c>
      <c r="N328" s="4">
        <f t="shared" si="29"/>
        <v>0</v>
      </c>
      <c r="O328" s="1" t="str">
        <f t="shared" si="30"/>
        <v>Healthy</v>
      </c>
    </row>
    <row r="329" spans="1:15" ht="15" customHeight="1" x14ac:dyDescent="0.2">
      <c r="A329" s="3" t="str">
        <f>'1. Master Data'!A329</f>
        <v>NT10325</v>
      </c>
      <c r="B329" s="1" t="str">
        <f>'1. Master Data'!B329</f>
        <v>LumiBulb 296 RGB</v>
      </c>
      <c r="C329" s="3" t="str">
        <f>'1. Master Data'!C329</f>
        <v>Smart Home</v>
      </c>
      <c r="D329" s="3" t="str">
        <f>'1. Master Data'!D329</f>
        <v>East DC</v>
      </c>
      <c r="E329" s="3" t="str">
        <f>'1. Master Data'!H329</f>
        <v>Active</v>
      </c>
      <c r="F329" s="4">
        <f>'1. Master Data'!F329</f>
        <v>13</v>
      </c>
      <c r="G329" s="3">
        <f>'1. Master Data'!I329</f>
        <v>187</v>
      </c>
      <c r="H329" s="15">
        <f t="shared" si="26"/>
        <v>2431</v>
      </c>
      <c r="I329" s="3">
        <f>'1. Master Data'!J329</f>
        <v>17</v>
      </c>
      <c r="J329" s="5" t="str">
        <f t="shared" si="27"/>
        <v>Fresh</v>
      </c>
      <c r="K329" s="3">
        <f>IF('3. Demand Forecast'!F329=0,99,ROUND(G329/'3. Demand Forecast'!F329,1))</f>
        <v>0.9</v>
      </c>
      <c r="L329" s="3">
        <f>IF(G329=0,0,ROUND('4. ABC XYZ Analysis'!F329/G329,1))</f>
        <v>1.6</v>
      </c>
      <c r="M329" s="5" t="str">
        <f t="shared" si="28"/>
        <v>OK</v>
      </c>
      <c r="N329" s="4">
        <f t="shared" si="29"/>
        <v>0</v>
      </c>
      <c r="O329" s="1" t="str">
        <f t="shared" si="30"/>
        <v>Healthy</v>
      </c>
    </row>
    <row r="330" spans="1:15" ht="15" customHeight="1" x14ac:dyDescent="0.2">
      <c r="A330" s="3" t="str">
        <f>'1. Master Data'!A330</f>
        <v>NT10326</v>
      </c>
      <c r="B330" s="1" t="str">
        <f>'1. Master Data'!B330</f>
        <v>LumiBulb 578 RGB</v>
      </c>
      <c r="C330" s="3" t="str">
        <f>'1. Master Data'!C330</f>
        <v>Smart Home</v>
      </c>
      <c r="D330" s="3" t="str">
        <f>'1. Master Data'!D330</f>
        <v>East DC</v>
      </c>
      <c r="E330" s="3" t="str">
        <f>'1. Master Data'!H330</f>
        <v>Active</v>
      </c>
      <c r="F330" s="4">
        <f>'1. Master Data'!F330</f>
        <v>65</v>
      </c>
      <c r="G330" s="3">
        <f>'1. Master Data'!I330</f>
        <v>86</v>
      </c>
      <c r="H330" s="15">
        <f t="shared" si="26"/>
        <v>5590</v>
      </c>
      <c r="I330" s="3">
        <f>'1. Master Data'!J330</f>
        <v>60</v>
      </c>
      <c r="J330" s="5" t="str">
        <f t="shared" si="27"/>
        <v>Watch</v>
      </c>
      <c r="K330" s="3">
        <f>IF('3. Demand Forecast'!F330=0,99,ROUND(G330/'3. Demand Forecast'!F330,1))</f>
        <v>0.7</v>
      </c>
      <c r="L330" s="3">
        <f>IF(G330=0,0,ROUND('4. ABC XYZ Analysis'!F330/G330,1))</f>
        <v>38.5</v>
      </c>
      <c r="M330" s="5" t="str">
        <f t="shared" si="28"/>
        <v>OK</v>
      </c>
      <c r="N330" s="4">
        <f t="shared" si="29"/>
        <v>0</v>
      </c>
      <c r="O330" s="1" t="str">
        <f t="shared" si="30"/>
        <v>Healthy</v>
      </c>
    </row>
    <row r="331" spans="1:15" ht="15" customHeight="1" x14ac:dyDescent="0.2">
      <c r="A331" s="3" t="str">
        <f>'1. Master Data'!A331</f>
        <v>NT10327</v>
      </c>
      <c r="B331" s="1" t="str">
        <f>'1. Master Data'!B331</f>
        <v>LumiBulb 401 RGB</v>
      </c>
      <c r="C331" s="3" t="str">
        <f>'1. Master Data'!C331</f>
        <v>Smart Home</v>
      </c>
      <c r="D331" s="3" t="str">
        <f>'1. Master Data'!D331</f>
        <v>East DC</v>
      </c>
      <c r="E331" s="3" t="str">
        <f>'1. Master Data'!H331</f>
        <v>Active</v>
      </c>
      <c r="F331" s="4">
        <f>'1. Master Data'!F331</f>
        <v>93</v>
      </c>
      <c r="G331" s="3">
        <f>'1. Master Data'!I331</f>
        <v>444</v>
      </c>
      <c r="H331" s="15">
        <f t="shared" si="26"/>
        <v>41292</v>
      </c>
      <c r="I331" s="3">
        <f>'1. Master Data'!J331</f>
        <v>14</v>
      </c>
      <c r="J331" s="5" t="str">
        <f t="shared" si="27"/>
        <v>Fresh</v>
      </c>
      <c r="K331" s="3">
        <f>IF('3. Demand Forecast'!F331=0,99,ROUND(G331/'3. Demand Forecast'!F331,1))</f>
        <v>0.5</v>
      </c>
      <c r="L331" s="3">
        <f>IF(G331=0,0,ROUND('4. ABC XYZ Analysis'!F331/G331,1))</f>
        <v>2.6</v>
      </c>
      <c r="M331" s="5" t="str">
        <f t="shared" si="28"/>
        <v>OK</v>
      </c>
      <c r="N331" s="4">
        <f t="shared" si="29"/>
        <v>0</v>
      </c>
      <c r="O331" s="1" t="str">
        <f t="shared" si="30"/>
        <v>Healthy</v>
      </c>
    </row>
    <row r="332" spans="1:15" ht="15" customHeight="1" x14ac:dyDescent="0.2">
      <c r="A332" s="3" t="str">
        <f>'1. Master Data'!A332</f>
        <v>NT10328</v>
      </c>
      <c r="B332" s="1" t="str">
        <f>'1. Master Data'!B332</f>
        <v>DoorSense 810</v>
      </c>
      <c r="C332" s="3" t="str">
        <f>'1. Master Data'!C332</f>
        <v>Smart Home</v>
      </c>
      <c r="D332" s="3" t="str">
        <f>'1. Master Data'!D332</f>
        <v>West DC</v>
      </c>
      <c r="E332" s="3" t="str">
        <f>'1. Master Data'!H332</f>
        <v>Active</v>
      </c>
      <c r="F332" s="4">
        <f>'1. Master Data'!F332</f>
        <v>32</v>
      </c>
      <c r="G332" s="3">
        <f>'1. Master Data'!I332</f>
        <v>121</v>
      </c>
      <c r="H332" s="15">
        <f t="shared" si="26"/>
        <v>3872</v>
      </c>
      <c r="I332" s="3">
        <f>'1. Master Data'!J332</f>
        <v>19</v>
      </c>
      <c r="J332" s="5" t="str">
        <f t="shared" si="27"/>
        <v>Fresh</v>
      </c>
      <c r="K332" s="3">
        <f>IF('3. Demand Forecast'!F332=0,99,ROUND(G332/'3. Demand Forecast'!F332,1))</f>
        <v>2.2000000000000002</v>
      </c>
      <c r="L332" s="3">
        <f>IF(G332=0,0,ROUND('4. ABC XYZ Analysis'!F332/G332,1))</f>
        <v>14.7</v>
      </c>
      <c r="M332" s="5" t="str">
        <f t="shared" si="28"/>
        <v>OK</v>
      </c>
      <c r="N332" s="4">
        <f t="shared" si="29"/>
        <v>0</v>
      </c>
      <c r="O332" s="1" t="str">
        <f t="shared" si="30"/>
        <v>Healthy</v>
      </c>
    </row>
    <row r="333" spans="1:15" ht="15" customHeight="1" x14ac:dyDescent="0.2">
      <c r="A333" s="3" t="str">
        <f>'1. Master Data'!A333</f>
        <v>NT10329</v>
      </c>
      <c r="B333" s="1" t="str">
        <f>'1. Master Data'!B333</f>
        <v>HomeCam 272 1080p</v>
      </c>
      <c r="C333" s="3" t="str">
        <f>'1. Master Data'!C333</f>
        <v>Smart Home</v>
      </c>
      <c r="D333" s="3" t="str">
        <f>'1. Master Data'!D333</f>
        <v>Central DC</v>
      </c>
      <c r="E333" s="3" t="str">
        <f>'1. Master Data'!H333</f>
        <v>Active</v>
      </c>
      <c r="F333" s="4">
        <f>'1. Master Data'!F333</f>
        <v>53</v>
      </c>
      <c r="G333" s="3">
        <f>'1. Master Data'!I333</f>
        <v>1260</v>
      </c>
      <c r="H333" s="15">
        <f t="shared" si="26"/>
        <v>66780</v>
      </c>
      <c r="I333" s="3">
        <f>'1. Master Data'!J333</f>
        <v>174</v>
      </c>
      <c r="J333" s="5" t="str">
        <f t="shared" si="27"/>
        <v>Aged</v>
      </c>
      <c r="K333" s="3">
        <f>IF('3. Demand Forecast'!F333=0,99,ROUND(G333/'3. Demand Forecast'!F333,1))</f>
        <v>4.3</v>
      </c>
      <c r="L333" s="3">
        <f>IF(G333=0,0,ROUND('4. ABC XYZ Analysis'!F333/G333,1))</f>
        <v>0.4</v>
      </c>
      <c r="M333" s="5" t="str">
        <f t="shared" si="28"/>
        <v>EXCESS</v>
      </c>
      <c r="N333" s="4">
        <f t="shared" si="29"/>
        <v>66780</v>
      </c>
      <c r="O333" s="1" t="str">
        <f t="shared" si="30"/>
        <v>Reduce orders and monitor</v>
      </c>
    </row>
    <row r="334" spans="1:15" ht="15" customHeight="1" x14ac:dyDescent="0.2">
      <c r="A334" s="3" t="str">
        <f>'1. Master Data'!A334</f>
        <v>NT10330</v>
      </c>
      <c r="B334" s="1" t="str">
        <f>'1. Master Data'!B334</f>
        <v>LumiBulb 508 RGB</v>
      </c>
      <c r="C334" s="3" t="str">
        <f>'1. Master Data'!C334</f>
        <v>Smart Home</v>
      </c>
      <c r="D334" s="3" t="str">
        <f>'1. Master Data'!D334</f>
        <v>Central DC</v>
      </c>
      <c r="E334" s="3" t="str">
        <f>'1. Master Data'!H334</f>
        <v>Active</v>
      </c>
      <c r="F334" s="4">
        <f>'1. Master Data'!F334</f>
        <v>96</v>
      </c>
      <c r="G334" s="3">
        <f>'1. Master Data'!I334</f>
        <v>579</v>
      </c>
      <c r="H334" s="15">
        <f t="shared" si="26"/>
        <v>55584</v>
      </c>
      <c r="I334" s="3">
        <f>'1. Master Data'!J334</f>
        <v>12</v>
      </c>
      <c r="J334" s="5" t="str">
        <f t="shared" si="27"/>
        <v>Fresh</v>
      </c>
      <c r="K334" s="3">
        <f>IF('3. Demand Forecast'!F334=0,99,ROUND(G334/'3. Demand Forecast'!F334,1))</f>
        <v>0.9</v>
      </c>
      <c r="L334" s="3">
        <f>IF(G334=0,0,ROUND('4. ABC XYZ Analysis'!F334/G334,1))</f>
        <v>1.3</v>
      </c>
      <c r="M334" s="5" t="str">
        <f t="shared" si="28"/>
        <v>OK</v>
      </c>
      <c r="N334" s="4">
        <f t="shared" si="29"/>
        <v>0</v>
      </c>
      <c r="O334" s="1" t="str">
        <f t="shared" si="30"/>
        <v>Healthy</v>
      </c>
    </row>
    <row r="335" spans="1:15" ht="15" customHeight="1" x14ac:dyDescent="0.2">
      <c r="A335" s="3" t="str">
        <f>'1. Master Data'!A335</f>
        <v>NT10331</v>
      </c>
      <c r="B335" s="1" t="str">
        <f>'1. Master Data'!B335</f>
        <v>ThermoSmart 793</v>
      </c>
      <c r="C335" s="3" t="str">
        <f>'1. Master Data'!C335</f>
        <v>Smart Home</v>
      </c>
      <c r="D335" s="3" t="str">
        <f>'1. Master Data'!D335</f>
        <v>West DC</v>
      </c>
      <c r="E335" s="3" t="str">
        <f>'1. Master Data'!H335</f>
        <v>Active</v>
      </c>
      <c r="F335" s="4">
        <f>'1. Master Data'!F335</f>
        <v>77</v>
      </c>
      <c r="G335" s="3">
        <f>'1. Master Data'!I335</f>
        <v>251</v>
      </c>
      <c r="H335" s="15">
        <f t="shared" si="26"/>
        <v>19327</v>
      </c>
      <c r="I335" s="3">
        <f>'1. Master Data'!J335</f>
        <v>56</v>
      </c>
      <c r="J335" s="5" t="str">
        <f t="shared" si="27"/>
        <v>Watch</v>
      </c>
      <c r="K335" s="3">
        <f>IF('3. Demand Forecast'!F335=0,99,ROUND(G335/'3. Demand Forecast'!F335,1))</f>
        <v>1</v>
      </c>
      <c r="L335" s="3">
        <f>IF(G335=0,0,ROUND('4. ABC XYZ Analysis'!F335/G335,1))</f>
        <v>5.5</v>
      </c>
      <c r="M335" s="5" t="str">
        <f t="shared" si="28"/>
        <v>OK</v>
      </c>
      <c r="N335" s="4">
        <f t="shared" si="29"/>
        <v>0</v>
      </c>
      <c r="O335" s="1" t="str">
        <f t="shared" si="30"/>
        <v>Healthy</v>
      </c>
    </row>
    <row r="336" spans="1:15" ht="15" customHeight="1" x14ac:dyDescent="0.2">
      <c r="A336" s="3" t="str">
        <f>'1. Master Data'!A336</f>
        <v>NT10332</v>
      </c>
      <c r="B336" s="1" t="str">
        <f>'1. Master Data'!B336</f>
        <v>HomeCam 631 1080p</v>
      </c>
      <c r="C336" s="3" t="str">
        <f>'1. Master Data'!C336</f>
        <v>Smart Home</v>
      </c>
      <c r="D336" s="3" t="str">
        <f>'1. Master Data'!D336</f>
        <v>Central DC</v>
      </c>
      <c r="E336" s="3" t="str">
        <f>'1. Master Data'!H336</f>
        <v>Active</v>
      </c>
      <c r="F336" s="4">
        <f>'1. Master Data'!F336</f>
        <v>87</v>
      </c>
      <c r="G336" s="3">
        <f>'1. Master Data'!I336</f>
        <v>1041</v>
      </c>
      <c r="H336" s="15">
        <f t="shared" si="26"/>
        <v>90567</v>
      </c>
      <c r="I336" s="3">
        <f>'1. Master Data'!J336</f>
        <v>55</v>
      </c>
      <c r="J336" s="5" t="str">
        <f t="shared" si="27"/>
        <v>Watch</v>
      </c>
      <c r="K336" s="3">
        <f>IF('3. Demand Forecast'!F336=0,99,ROUND(G336/'3. Demand Forecast'!F336,1))</f>
        <v>0.6</v>
      </c>
      <c r="L336" s="3">
        <f>IF(G336=0,0,ROUND('4. ABC XYZ Analysis'!F336/G336,1))</f>
        <v>2.2000000000000002</v>
      </c>
      <c r="M336" s="5" t="str">
        <f t="shared" si="28"/>
        <v>OK</v>
      </c>
      <c r="N336" s="4">
        <f t="shared" si="29"/>
        <v>0</v>
      </c>
      <c r="O336" s="1" t="str">
        <f t="shared" si="30"/>
        <v>Healthy</v>
      </c>
    </row>
    <row r="337" spans="1:15" ht="15" customHeight="1" x14ac:dyDescent="0.2">
      <c r="A337" s="3" t="str">
        <f>'1. Master Data'!A337</f>
        <v>NT10333</v>
      </c>
      <c r="B337" s="1" t="str">
        <f>'1. Master Data'!B337</f>
        <v>SmartPlug Duo 717</v>
      </c>
      <c r="C337" s="3" t="str">
        <f>'1. Master Data'!C337</f>
        <v>Smart Home</v>
      </c>
      <c r="D337" s="3" t="str">
        <f>'1. Master Data'!D337</f>
        <v>Central DC</v>
      </c>
      <c r="E337" s="3" t="str">
        <f>'1. Master Data'!H337</f>
        <v>Active</v>
      </c>
      <c r="F337" s="4">
        <f>'1. Master Data'!F337</f>
        <v>23</v>
      </c>
      <c r="G337" s="3">
        <f>'1. Master Data'!I337</f>
        <v>129</v>
      </c>
      <c r="H337" s="15">
        <f t="shared" si="26"/>
        <v>2967</v>
      </c>
      <c r="I337" s="3">
        <f>'1. Master Data'!J337</f>
        <v>53</v>
      </c>
      <c r="J337" s="5" t="str">
        <f t="shared" si="27"/>
        <v>Watch</v>
      </c>
      <c r="K337" s="3">
        <f>IF('3. Demand Forecast'!F337=0,99,ROUND(G337/'3. Demand Forecast'!F337,1))</f>
        <v>0.7</v>
      </c>
      <c r="L337" s="3">
        <f>IF(G337=0,0,ROUND('4. ABC XYZ Analysis'!F337/G337,1))</f>
        <v>21.6</v>
      </c>
      <c r="M337" s="5" t="str">
        <f t="shared" si="28"/>
        <v>OK</v>
      </c>
      <c r="N337" s="4">
        <f t="shared" si="29"/>
        <v>0</v>
      </c>
      <c r="O337" s="1" t="str">
        <f t="shared" si="30"/>
        <v>Healthy</v>
      </c>
    </row>
    <row r="338" spans="1:15" ht="15" customHeight="1" x14ac:dyDescent="0.2">
      <c r="A338" s="3" t="str">
        <f>'1. Master Data'!A338</f>
        <v>NT10334</v>
      </c>
      <c r="B338" s="1" t="str">
        <f>'1. Master Data'!B338</f>
        <v>SmartPlug Duo 222</v>
      </c>
      <c r="C338" s="3" t="str">
        <f>'1. Master Data'!C338</f>
        <v>Smart Home</v>
      </c>
      <c r="D338" s="3" t="str">
        <f>'1. Master Data'!D338</f>
        <v>Central DC</v>
      </c>
      <c r="E338" s="3" t="str">
        <f>'1. Master Data'!H338</f>
        <v>Active</v>
      </c>
      <c r="F338" s="4">
        <f>'1. Master Data'!F338</f>
        <v>60</v>
      </c>
      <c r="G338" s="3">
        <f>'1. Master Data'!I338</f>
        <v>101</v>
      </c>
      <c r="H338" s="15">
        <f t="shared" si="26"/>
        <v>6060</v>
      </c>
      <c r="I338" s="3">
        <f>'1. Master Data'!J338</f>
        <v>67</v>
      </c>
      <c r="J338" s="5" t="str">
        <f t="shared" si="27"/>
        <v>Watch</v>
      </c>
      <c r="K338" s="3">
        <f>IF('3. Demand Forecast'!F338=0,99,ROUND(G338/'3. Demand Forecast'!F338,1))</f>
        <v>1.1000000000000001</v>
      </c>
      <c r="L338" s="3">
        <f>IF(G338=0,0,ROUND('4. ABC XYZ Analysis'!F338/G338,1))</f>
        <v>29.2</v>
      </c>
      <c r="M338" s="5" t="str">
        <f t="shared" si="28"/>
        <v>OK</v>
      </c>
      <c r="N338" s="4">
        <f t="shared" si="29"/>
        <v>0</v>
      </c>
      <c r="O338" s="1" t="str">
        <f t="shared" si="30"/>
        <v>Healthy</v>
      </c>
    </row>
    <row r="339" spans="1:15" ht="15" customHeight="1" x14ac:dyDescent="0.2">
      <c r="A339" s="3" t="str">
        <f>'1. Master Data'!A339</f>
        <v>NT10335</v>
      </c>
      <c r="B339" s="1" t="str">
        <f>'1. Master Data'!B339</f>
        <v>LumiBulb 708 RGB</v>
      </c>
      <c r="C339" s="3" t="str">
        <f>'1. Master Data'!C339</f>
        <v>Smart Home</v>
      </c>
      <c r="D339" s="3" t="str">
        <f>'1. Master Data'!D339</f>
        <v>West DC</v>
      </c>
      <c r="E339" s="3" t="str">
        <f>'1. Master Data'!H339</f>
        <v>Active</v>
      </c>
      <c r="F339" s="4">
        <f>'1. Master Data'!F339</f>
        <v>42</v>
      </c>
      <c r="G339" s="3">
        <f>'1. Master Data'!I339</f>
        <v>192</v>
      </c>
      <c r="H339" s="15">
        <f t="shared" si="26"/>
        <v>8064</v>
      </c>
      <c r="I339" s="3">
        <f>'1. Master Data'!J339</f>
        <v>67</v>
      </c>
      <c r="J339" s="5" t="str">
        <f t="shared" si="27"/>
        <v>Watch</v>
      </c>
      <c r="K339" s="3">
        <f>IF('3. Demand Forecast'!F339=0,99,ROUND(G339/'3. Demand Forecast'!F339,1))</f>
        <v>1</v>
      </c>
      <c r="L339" s="3">
        <f>IF(G339=0,0,ROUND('4. ABC XYZ Analysis'!F339/G339,1))</f>
        <v>1.9</v>
      </c>
      <c r="M339" s="5" t="str">
        <f t="shared" si="28"/>
        <v>OK</v>
      </c>
      <c r="N339" s="4">
        <f t="shared" si="29"/>
        <v>0</v>
      </c>
      <c r="O339" s="1" t="str">
        <f t="shared" si="30"/>
        <v>Healthy</v>
      </c>
    </row>
    <row r="340" spans="1:15" ht="15" customHeight="1" x14ac:dyDescent="0.2">
      <c r="A340" s="3" t="str">
        <f>'1. Master Data'!A340</f>
        <v>NT10336</v>
      </c>
      <c r="B340" s="1" t="str">
        <f>'1. Master Data'!B340</f>
        <v>SmartPlug Duo 577</v>
      </c>
      <c r="C340" s="3" t="str">
        <f>'1. Master Data'!C340</f>
        <v>Smart Home</v>
      </c>
      <c r="D340" s="3" t="str">
        <f>'1. Master Data'!D340</f>
        <v>East DC</v>
      </c>
      <c r="E340" s="3" t="str">
        <f>'1. Master Data'!H340</f>
        <v>Active</v>
      </c>
      <c r="F340" s="4">
        <f>'1. Master Data'!F340</f>
        <v>102</v>
      </c>
      <c r="G340" s="3">
        <f>'1. Master Data'!I340</f>
        <v>37</v>
      </c>
      <c r="H340" s="15">
        <f t="shared" si="26"/>
        <v>3774</v>
      </c>
      <c r="I340" s="3">
        <f>'1. Master Data'!J340</f>
        <v>60</v>
      </c>
      <c r="J340" s="5" t="str">
        <f t="shared" si="27"/>
        <v>Watch</v>
      </c>
      <c r="K340" s="3">
        <f>IF('3. Demand Forecast'!F340=0,99,ROUND(G340/'3. Demand Forecast'!F340,1))</f>
        <v>1</v>
      </c>
      <c r="L340" s="3">
        <f>IF(G340=0,0,ROUND('4. ABC XYZ Analysis'!F340/G340,1))</f>
        <v>16.7</v>
      </c>
      <c r="M340" s="5" t="str">
        <f t="shared" si="28"/>
        <v>OK</v>
      </c>
      <c r="N340" s="4">
        <f t="shared" si="29"/>
        <v>0</v>
      </c>
      <c r="O340" s="1" t="str">
        <f t="shared" si="30"/>
        <v>Healthy</v>
      </c>
    </row>
    <row r="341" spans="1:15" ht="15" customHeight="1" x14ac:dyDescent="0.2">
      <c r="A341" s="3" t="str">
        <f>'1. Master Data'!A341</f>
        <v>NT10337</v>
      </c>
      <c r="B341" s="1" t="str">
        <f>'1. Master Data'!B341</f>
        <v>LumiBulb 421 RGB</v>
      </c>
      <c r="C341" s="3" t="str">
        <f>'1. Master Data'!C341</f>
        <v>Smart Home</v>
      </c>
      <c r="D341" s="3" t="str">
        <f>'1. Master Data'!D341</f>
        <v>East DC</v>
      </c>
      <c r="E341" s="3" t="str">
        <f>'1. Master Data'!H341</f>
        <v>Active</v>
      </c>
      <c r="F341" s="4">
        <f>'1. Master Data'!F341</f>
        <v>17</v>
      </c>
      <c r="G341" s="3">
        <f>'1. Master Data'!I341</f>
        <v>138</v>
      </c>
      <c r="H341" s="15">
        <f t="shared" si="26"/>
        <v>2346</v>
      </c>
      <c r="I341" s="3">
        <f>'1. Master Data'!J341</f>
        <v>66</v>
      </c>
      <c r="J341" s="5" t="str">
        <f t="shared" si="27"/>
        <v>Watch</v>
      </c>
      <c r="K341" s="3">
        <f>IF('3. Demand Forecast'!F341=0,99,ROUND(G341/'3. Demand Forecast'!F341,1))</f>
        <v>2.5</v>
      </c>
      <c r="L341" s="3">
        <f>IF(G341=0,0,ROUND('4. ABC XYZ Analysis'!F341/G341,1))</f>
        <v>3.9</v>
      </c>
      <c r="M341" s="5" t="str">
        <f t="shared" si="28"/>
        <v>OK</v>
      </c>
      <c r="N341" s="4">
        <f t="shared" si="29"/>
        <v>0</v>
      </c>
      <c r="O341" s="1" t="str">
        <f t="shared" si="30"/>
        <v>Healthy</v>
      </c>
    </row>
    <row r="342" spans="1:15" ht="15" customHeight="1" x14ac:dyDescent="0.2">
      <c r="A342" s="3" t="str">
        <f>'1. Master Data'!A342</f>
        <v>NT10338</v>
      </c>
      <c r="B342" s="1" t="str">
        <f>'1. Master Data'!B342</f>
        <v>LumiBulb 442 RGB</v>
      </c>
      <c r="C342" s="3" t="str">
        <f>'1. Master Data'!C342</f>
        <v>Smart Home</v>
      </c>
      <c r="D342" s="3" t="str">
        <f>'1. Master Data'!D342</f>
        <v>West DC</v>
      </c>
      <c r="E342" s="3" t="str">
        <f>'1. Master Data'!H342</f>
        <v>Active</v>
      </c>
      <c r="F342" s="4">
        <f>'1. Master Data'!F342</f>
        <v>47</v>
      </c>
      <c r="G342" s="3">
        <f>'1. Master Data'!I342</f>
        <v>32</v>
      </c>
      <c r="H342" s="15">
        <f t="shared" si="26"/>
        <v>1504</v>
      </c>
      <c r="I342" s="3">
        <f>'1. Master Data'!J342</f>
        <v>39</v>
      </c>
      <c r="J342" s="5" t="str">
        <f t="shared" si="27"/>
        <v>Watch</v>
      </c>
      <c r="K342" s="3">
        <f>IF('3. Demand Forecast'!F342=0,99,ROUND(G342/'3. Demand Forecast'!F342,1))</f>
        <v>1</v>
      </c>
      <c r="L342" s="3">
        <f>IF(G342=0,0,ROUND('4. ABC XYZ Analysis'!F342/G342,1))</f>
        <v>12.8</v>
      </c>
      <c r="M342" s="5" t="str">
        <f t="shared" si="28"/>
        <v>OK</v>
      </c>
      <c r="N342" s="4">
        <f t="shared" si="29"/>
        <v>0</v>
      </c>
      <c r="O342" s="1" t="str">
        <f t="shared" si="30"/>
        <v>Healthy</v>
      </c>
    </row>
    <row r="343" spans="1:15" ht="15" customHeight="1" x14ac:dyDescent="0.2">
      <c r="A343" s="3" t="str">
        <f>'1. Master Data'!A343</f>
        <v>NT10339</v>
      </c>
      <c r="B343" s="1" t="str">
        <f>'1. Master Data'!B343</f>
        <v>HomeCam 323 1080p</v>
      </c>
      <c r="C343" s="3" t="str">
        <f>'1. Master Data'!C343</f>
        <v>Smart Home</v>
      </c>
      <c r="D343" s="3" t="str">
        <f>'1. Master Data'!D343</f>
        <v>West DC</v>
      </c>
      <c r="E343" s="3" t="str">
        <f>'1. Master Data'!H343</f>
        <v>Active</v>
      </c>
      <c r="F343" s="4">
        <f>'1. Master Data'!F343</f>
        <v>48</v>
      </c>
      <c r="G343" s="3">
        <f>'1. Master Data'!I343</f>
        <v>85</v>
      </c>
      <c r="H343" s="15">
        <f t="shared" si="26"/>
        <v>4080</v>
      </c>
      <c r="I343" s="3">
        <f>'1. Master Data'!J343</f>
        <v>13</v>
      </c>
      <c r="J343" s="5" t="str">
        <f t="shared" si="27"/>
        <v>Fresh</v>
      </c>
      <c r="K343" s="3">
        <f>IF('3. Demand Forecast'!F343=0,99,ROUND(G343/'3. Demand Forecast'!F343,1))</f>
        <v>0.9</v>
      </c>
      <c r="L343" s="3">
        <f>IF(G343=0,0,ROUND('4. ABC XYZ Analysis'!F343/G343,1))</f>
        <v>1</v>
      </c>
      <c r="M343" s="5" t="str">
        <f t="shared" si="28"/>
        <v>OK</v>
      </c>
      <c r="N343" s="4">
        <f t="shared" si="29"/>
        <v>0</v>
      </c>
      <c r="O343" s="1" t="str">
        <f t="shared" si="30"/>
        <v>Healthy</v>
      </c>
    </row>
    <row r="344" spans="1:15" ht="15" customHeight="1" x14ac:dyDescent="0.2">
      <c r="A344" s="3" t="str">
        <f>'1. Master Data'!A344</f>
        <v>NT10340</v>
      </c>
      <c r="B344" s="1" t="str">
        <f>'1. Master Data'!B344</f>
        <v>LumiBulb 802 RGB</v>
      </c>
      <c r="C344" s="3" t="str">
        <f>'1. Master Data'!C344</f>
        <v>Smart Home</v>
      </c>
      <c r="D344" s="3" t="str">
        <f>'1. Master Data'!D344</f>
        <v>East DC</v>
      </c>
      <c r="E344" s="3" t="str">
        <f>'1. Master Data'!H344</f>
        <v>Active</v>
      </c>
      <c r="F344" s="4">
        <f>'1. Master Data'!F344</f>
        <v>116</v>
      </c>
      <c r="G344" s="3">
        <f>'1. Master Data'!I344</f>
        <v>223</v>
      </c>
      <c r="H344" s="15">
        <f t="shared" si="26"/>
        <v>25868</v>
      </c>
      <c r="I344" s="3">
        <f>'1. Master Data'!J344</f>
        <v>30</v>
      </c>
      <c r="J344" s="5" t="str">
        <f t="shared" si="27"/>
        <v>Fresh</v>
      </c>
      <c r="K344" s="3">
        <f>IF('3. Demand Forecast'!F344=0,99,ROUND(G344/'3. Demand Forecast'!F344,1))</f>
        <v>1.6</v>
      </c>
      <c r="L344" s="3">
        <f>IF(G344=0,0,ROUND('4. ABC XYZ Analysis'!F344/G344,1))</f>
        <v>11.8</v>
      </c>
      <c r="M344" s="5" t="str">
        <f t="shared" si="28"/>
        <v>OK</v>
      </c>
      <c r="N344" s="4">
        <f t="shared" si="29"/>
        <v>0</v>
      </c>
      <c r="O344" s="1" t="str">
        <f t="shared" si="30"/>
        <v>Healthy</v>
      </c>
    </row>
    <row r="345" spans="1:15" ht="15" customHeight="1" x14ac:dyDescent="0.2">
      <c r="A345" s="3" t="str">
        <f>'1. Master Data'!A345</f>
        <v>NT10341</v>
      </c>
      <c r="B345" s="1" t="str">
        <f>'1. Master Data'!B345</f>
        <v>ThermoSmart 194</v>
      </c>
      <c r="C345" s="3" t="str">
        <f>'1. Master Data'!C345</f>
        <v>Smart Home</v>
      </c>
      <c r="D345" s="3" t="str">
        <f>'1. Master Data'!D345</f>
        <v>East DC</v>
      </c>
      <c r="E345" s="3" t="str">
        <f>'1. Master Data'!H345</f>
        <v>Active</v>
      </c>
      <c r="F345" s="4">
        <f>'1. Master Data'!F345</f>
        <v>116</v>
      </c>
      <c r="G345" s="3">
        <f>'1. Master Data'!I345</f>
        <v>248</v>
      </c>
      <c r="H345" s="15">
        <f t="shared" si="26"/>
        <v>28768</v>
      </c>
      <c r="I345" s="3">
        <f>'1. Master Data'!J345</f>
        <v>6</v>
      </c>
      <c r="J345" s="5" t="str">
        <f t="shared" si="27"/>
        <v>Fresh</v>
      </c>
      <c r="K345" s="3">
        <f>IF('3. Demand Forecast'!F345=0,99,ROUND(G345/'3. Demand Forecast'!F345,1))</f>
        <v>0.4</v>
      </c>
      <c r="L345" s="3">
        <f>IF(G345=0,0,ROUND('4. ABC XYZ Analysis'!F345/G345,1))</f>
        <v>13.4</v>
      </c>
      <c r="M345" s="5" t="str">
        <f t="shared" si="28"/>
        <v>OK</v>
      </c>
      <c r="N345" s="4">
        <f t="shared" si="29"/>
        <v>0</v>
      </c>
      <c r="O345" s="1" t="str">
        <f t="shared" si="30"/>
        <v>Healthy</v>
      </c>
    </row>
    <row r="346" spans="1:15" ht="15" customHeight="1" x14ac:dyDescent="0.2">
      <c r="A346" s="3" t="str">
        <f>'1. Master Data'!A346</f>
        <v>NT10342</v>
      </c>
      <c r="B346" s="1" t="str">
        <f>'1. Master Data'!B346</f>
        <v>SmartPlug Duo 426</v>
      </c>
      <c r="C346" s="3" t="str">
        <f>'1. Master Data'!C346</f>
        <v>Smart Home</v>
      </c>
      <c r="D346" s="3" t="str">
        <f>'1. Master Data'!D346</f>
        <v>West DC</v>
      </c>
      <c r="E346" s="3" t="str">
        <f>'1. Master Data'!H346</f>
        <v>Active</v>
      </c>
      <c r="F346" s="4">
        <f>'1. Master Data'!F346</f>
        <v>97</v>
      </c>
      <c r="G346" s="3">
        <f>'1. Master Data'!I346</f>
        <v>162</v>
      </c>
      <c r="H346" s="15">
        <f t="shared" si="26"/>
        <v>15714</v>
      </c>
      <c r="I346" s="3">
        <f>'1. Master Data'!J346</f>
        <v>24</v>
      </c>
      <c r="J346" s="5" t="str">
        <f t="shared" si="27"/>
        <v>Fresh</v>
      </c>
      <c r="K346" s="3">
        <f>IF('3. Demand Forecast'!F346=0,99,ROUND(G346/'3. Demand Forecast'!F346,1))</f>
        <v>0.6</v>
      </c>
      <c r="L346" s="3">
        <f>IF(G346=0,0,ROUND('4. ABC XYZ Analysis'!F346/G346,1))</f>
        <v>5.8</v>
      </c>
      <c r="M346" s="5" t="str">
        <f t="shared" si="28"/>
        <v>OK</v>
      </c>
      <c r="N346" s="4">
        <f t="shared" si="29"/>
        <v>0</v>
      </c>
      <c r="O346" s="1" t="str">
        <f t="shared" si="30"/>
        <v>Healthy</v>
      </c>
    </row>
    <row r="347" spans="1:15" ht="15" customHeight="1" x14ac:dyDescent="0.2">
      <c r="A347" s="3" t="str">
        <f>'1. Master Data'!A347</f>
        <v>NT10343</v>
      </c>
      <c r="B347" s="1" t="str">
        <f>'1. Master Data'!B347</f>
        <v>SmartPlug Duo 481</v>
      </c>
      <c r="C347" s="3" t="str">
        <f>'1. Master Data'!C347</f>
        <v>Smart Home</v>
      </c>
      <c r="D347" s="3" t="str">
        <f>'1. Master Data'!D347</f>
        <v>East DC</v>
      </c>
      <c r="E347" s="3" t="str">
        <f>'1. Master Data'!H347</f>
        <v>Active</v>
      </c>
      <c r="F347" s="4">
        <f>'1. Master Data'!F347</f>
        <v>25</v>
      </c>
      <c r="G347" s="3">
        <f>'1. Master Data'!I347</f>
        <v>104</v>
      </c>
      <c r="H347" s="15">
        <f t="shared" si="26"/>
        <v>2600</v>
      </c>
      <c r="I347" s="3">
        <f>'1. Master Data'!J347</f>
        <v>47</v>
      </c>
      <c r="J347" s="5" t="str">
        <f t="shared" si="27"/>
        <v>Watch</v>
      </c>
      <c r="K347" s="3">
        <f>IF('3. Demand Forecast'!F347=0,99,ROUND(G347/'3. Demand Forecast'!F347,1))</f>
        <v>0.6</v>
      </c>
      <c r="L347" s="3">
        <f>IF(G347=0,0,ROUND('4. ABC XYZ Analysis'!F347/G347,1))</f>
        <v>2</v>
      </c>
      <c r="M347" s="5" t="str">
        <f t="shared" si="28"/>
        <v>OK</v>
      </c>
      <c r="N347" s="4">
        <f t="shared" si="29"/>
        <v>0</v>
      </c>
      <c r="O347" s="1" t="str">
        <f t="shared" si="30"/>
        <v>Healthy</v>
      </c>
    </row>
    <row r="348" spans="1:15" ht="15" customHeight="1" x14ac:dyDescent="0.2">
      <c r="A348" s="3" t="str">
        <f>'1. Master Data'!A348</f>
        <v>NT10344</v>
      </c>
      <c r="B348" s="1" t="str">
        <f>'1. Master Data'!B348</f>
        <v>LumiBulb 614 RGB</v>
      </c>
      <c r="C348" s="3" t="str">
        <f>'1. Master Data'!C348</f>
        <v>Smart Home</v>
      </c>
      <c r="D348" s="3" t="str">
        <f>'1. Master Data'!D348</f>
        <v>West DC</v>
      </c>
      <c r="E348" s="3" t="str">
        <f>'1. Master Data'!H348</f>
        <v>Active</v>
      </c>
      <c r="F348" s="4">
        <f>'1. Master Data'!F348</f>
        <v>100</v>
      </c>
      <c r="G348" s="3">
        <f>'1. Master Data'!I348</f>
        <v>347</v>
      </c>
      <c r="H348" s="15">
        <f t="shared" si="26"/>
        <v>34700</v>
      </c>
      <c r="I348" s="3">
        <f>'1. Master Data'!J348</f>
        <v>8</v>
      </c>
      <c r="J348" s="5" t="str">
        <f t="shared" si="27"/>
        <v>Fresh</v>
      </c>
      <c r="K348" s="3">
        <f>IF('3. Demand Forecast'!F348=0,99,ROUND(G348/'3. Demand Forecast'!F348,1))</f>
        <v>0.4</v>
      </c>
      <c r="L348" s="3">
        <f>IF(G348=0,0,ROUND('4. ABC XYZ Analysis'!F348/G348,1))</f>
        <v>13.6</v>
      </c>
      <c r="M348" s="5" t="str">
        <f t="shared" si="28"/>
        <v>OK</v>
      </c>
      <c r="N348" s="4">
        <f t="shared" si="29"/>
        <v>0</v>
      </c>
      <c r="O348" s="1" t="str">
        <f t="shared" si="30"/>
        <v>Healthy</v>
      </c>
    </row>
    <row r="349" spans="1:15" ht="15" customHeight="1" x14ac:dyDescent="0.2">
      <c r="A349" s="3" t="str">
        <f>'1. Master Data'!A349</f>
        <v>NT10345</v>
      </c>
      <c r="B349" s="1" t="str">
        <f>'1. Master Data'!B349</f>
        <v>SmartPlug Duo 565</v>
      </c>
      <c r="C349" s="3" t="str">
        <f>'1. Master Data'!C349</f>
        <v>Smart Home</v>
      </c>
      <c r="D349" s="3" t="str">
        <f>'1. Master Data'!D349</f>
        <v>Central DC</v>
      </c>
      <c r="E349" s="3" t="str">
        <f>'1. Master Data'!H349</f>
        <v>Active</v>
      </c>
      <c r="F349" s="4">
        <f>'1. Master Data'!F349</f>
        <v>108</v>
      </c>
      <c r="G349" s="3">
        <f>'1. Master Data'!I349</f>
        <v>283</v>
      </c>
      <c r="H349" s="15">
        <f t="shared" si="26"/>
        <v>30564</v>
      </c>
      <c r="I349" s="3">
        <f>'1. Master Data'!J349</f>
        <v>39</v>
      </c>
      <c r="J349" s="5" t="str">
        <f t="shared" si="27"/>
        <v>Watch</v>
      </c>
      <c r="K349" s="3">
        <f>IF('3. Demand Forecast'!F349=0,99,ROUND(G349/'3. Demand Forecast'!F349,1))</f>
        <v>0.8</v>
      </c>
      <c r="L349" s="3">
        <f>IF(G349=0,0,ROUND('4. ABC XYZ Analysis'!F349/G349,1))</f>
        <v>5.6</v>
      </c>
      <c r="M349" s="5" t="str">
        <f t="shared" si="28"/>
        <v>OK</v>
      </c>
      <c r="N349" s="4">
        <f t="shared" si="29"/>
        <v>0</v>
      </c>
      <c r="O349" s="1" t="str">
        <f t="shared" si="30"/>
        <v>Healthy</v>
      </c>
    </row>
    <row r="350" spans="1:15" ht="15" customHeight="1" x14ac:dyDescent="0.2">
      <c r="A350" s="3" t="str">
        <f>'1. Master Data'!A350</f>
        <v>NT10346</v>
      </c>
      <c r="B350" s="1" t="str">
        <f>'1. Master Data'!B350</f>
        <v>HomeCam 482 1080p</v>
      </c>
      <c r="C350" s="3" t="str">
        <f>'1. Master Data'!C350</f>
        <v>Smart Home</v>
      </c>
      <c r="D350" s="3" t="str">
        <f>'1. Master Data'!D350</f>
        <v>Central DC</v>
      </c>
      <c r="E350" s="3" t="str">
        <f>'1. Master Data'!H350</f>
        <v>Active</v>
      </c>
      <c r="F350" s="4">
        <f>'1. Master Data'!F350</f>
        <v>53</v>
      </c>
      <c r="G350" s="3">
        <f>'1. Master Data'!I350</f>
        <v>291</v>
      </c>
      <c r="H350" s="15">
        <f t="shared" si="26"/>
        <v>15423</v>
      </c>
      <c r="I350" s="3">
        <f>'1. Master Data'!J350</f>
        <v>55</v>
      </c>
      <c r="J350" s="5" t="str">
        <f t="shared" si="27"/>
        <v>Watch</v>
      </c>
      <c r="K350" s="3">
        <f>IF('3. Demand Forecast'!F350=0,99,ROUND(G350/'3. Demand Forecast'!F350,1))</f>
        <v>1.1000000000000001</v>
      </c>
      <c r="L350" s="3">
        <f>IF(G350=0,0,ROUND('4. ABC XYZ Analysis'!F350/G350,1))</f>
        <v>0.4</v>
      </c>
      <c r="M350" s="5" t="str">
        <f t="shared" si="28"/>
        <v>OK</v>
      </c>
      <c r="N350" s="4">
        <f t="shared" si="29"/>
        <v>0</v>
      </c>
      <c r="O350" s="1" t="str">
        <f t="shared" si="30"/>
        <v>Healthy</v>
      </c>
    </row>
    <row r="351" spans="1:15" ht="15" customHeight="1" x14ac:dyDescent="0.2">
      <c r="A351" s="3" t="str">
        <f>'1. Master Data'!A351</f>
        <v>NT10347</v>
      </c>
      <c r="B351" s="1" t="str">
        <f>'1. Master Data'!B351</f>
        <v>SmartPlug Duo 550</v>
      </c>
      <c r="C351" s="3" t="str">
        <f>'1. Master Data'!C351</f>
        <v>Smart Home</v>
      </c>
      <c r="D351" s="3" t="str">
        <f>'1. Master Data'!D351</f>
        <v>East DC</v>
      </c>
      <c r="E351" s="3" t="str">
        <f>'1. Master Data'!H351</f>
        <v>Active</v>
      </c>
      <c r="F351" s="4">
        <f>'1. Master Data'!F351</f>
        <v>28</v>
      </c>
      <c r="G351" s="3">
        <f>'1. Master Data'!I351</f>
        <v>57</v>
      </c>
      <c r="H351" s="15">
        <f t="shared" si="26"/>
        <v>1596</v>
      </c>
      <c r="I351" s="3">
        <f>'1. Master Data'!J351</f>
        <v>10</v>
      </c>
      <c r="J351" s="5" t="str">
        <f t="shared" si="27"/>
        <v>Fresh</v>
      </c>
      <c r="K351" s="3">
        <f>IF('3. Demand Forecast'!F351=0,99,ROUND(G351/'3. Demand Forecast'!F351,1))</f>
        <v>1</v>
      </c>
      <c r="L351" s="3">
        <f>IF(G351=0,0,ROUND('4. ABC XYZ Analysis'!F351/G351,1))</f>
        <v>66.3</v>
      </c>
      <c r="M351" s="5" t="str">
        <f t="shared" si="28"/>
        <v>OK</v>
      </c>
      <c r="N351" s="4">
        <f t="shared" si="29"/>
        <v>0</v>
      </c>
      <c r="O351" s="1" t="str">
        <f t="shared" si="30"/>
        <v>Healthy</v>
      </c>
    </row>
    <row r="352" spans="1:15" ht="15" customHeight="1" x14ac:dyDescent="0.2">
      <c r="A352" s="3" t="str">
        <f>'1. Master Data'!A352</f>
        <v>NT10348</v>
      </c>
      <c r="B352" s="1" t="str">
        <f>'1. Master Data'!B352</f>
        <v>HomeCam 160 1080p</v>
      </c>
      <c r="C352" s="3" t="str">
        <f>'1. Master Data'!C352</f>
        <v>Smart Home</v>
      </c>
      <c r="D352" s="3" t="str">
        <f>'1. Master Data'!D352</f>
        <v>Central DC</v>
      </c>
      <c r="E352" s="3" t="str">
        <f>'1. Master Data'!H352</f>
        <v>Active</v>
      </c>
      <c r="F352" s="4">
        <f>'1. Master Data'!F352</f>
        <v>61</v>
      </c>
      <c r="G352" s="3">
        <f>'1. Master Data'!I352</f>
        <v>1232</v>
      </c>
      <c r="H352" s="15">
        <f t="shared" si="26"/>
        <v>75152</v>
      </c>
      <c r="I352" s="3">
        <f>'1. Master Data'!J352</f>
        <v>97</v>
      </c>
      <c r="J352" s="5" t="str">
        <f t="shared" si="27"/>
        <v>Aged</v>
      </c>
      <c r="K352" s="3">
        <f>IF('3. Demand Forecast'!F352=0,99,ROUND(G352/'3. Demand Forecast'!F352,1))</f>
        <v>3.9</v>
      </c>
      <c r="L352" s="3">
        <f>IF(G352=0,0,ROUND('4. ABC XYZ Analysis'!F352/G352,1))</f>
        <v>2.4</v>
      </c>
      <c r="M352" s="5" t="str">
        <f t="shared" si="28"/>
        <v>EXCESS</v>
      </c>
      <c r="N352" s="4">
        <f t="shared" si="29"/>
        <v>75152</v>
      </c>
      <c r="O352" s="1" t="str">
        <f t="shared" si="30"/>
        <v>Reduce orders and monitor</v>
      </c>
    </row>
    <row r="353" spans="1:15" ht="15" customHeight="1" x14ac:dyDescent="0.2">
      <c r="A353" s="3" t="str">
        <f>'1. Master Data'!A353</f>
        <v>NT10349</v>
      </c>
      <c r="B353" s="1" t="str">
        <f>'1. Master Data'!B353</f>
        <v>HomeCam 528 1080p</v>
      </c>
      <c r="C353" s="3" t="str">
        <f>'1. Master Data'!C353</f>
        <v>Smart Home</v>
      </c>
      <c r="D353" s="3" t="str">
        <f>'1. Master Data'!D353</f>
        <v>Central DC</v>
      </c>
      <c r="E353" s="3" t="str">
        <f>'1. Master Data'!H353</f>
        <v>Active</v>
      </c>
      <c r="F353" s="4">
        <f>'1. Master Data'!F353</f>
        <v>66</v>
      </c>
      <c r="G353" s="3">
        <f>'1. Master Data'!I353</f>
        <v>178</v>
      </c>
      <c r="H353" s="15">
        <f t="shared" si="26"/>
        <v>11748</v>
      </c>
      <c r="I353" s="3">
        <f>'1. Master Data'!J353</f>
        <v>58</v>
      </c>
      <c r="J353" s="5" t="str">
        <f t="shared" si="27"/>
        <v>Watch</v>
      </c>
      <c r="K353" s="3">
        <f>IF('3. Demand Forecast'!F353=0,99,ROUND(G353/'3. Demand Forecast'!F353,1))</f>
        <v>1.1000000000000001</v>
      </c>
      <c r="L353" s="3">
        <f>IF(G353=0,0,ROUND('4. ABC XYZ Analysis'!F353/G353,1))</f>
        <v>0.7</v>
      </c>
      <c r="M353" s="5" t="str">
        <f t="shared" si="28"/>
        <v>OK</v>
      </c>
      <c r="N353" s="4">
        <f t="shared" si="29"/>
        <v>0</v>
      </c>
      <c r="O353" s="1" t="str">
        <f t="shared" si="30"/>
        <v>Healthy</v>
      </c>
    </row>
    <row r="354" spans="1:15" ht="15" customHeight="1" x14ac:dyDescent="0.2">
      <c r="A354" s="3" t="str">
        <f>'1. Master Data'!A354</f>
        <v>NT10350</v>
      </c>
      <c r="B354" s="1" t="str">
        <f>'1. Master Data'!B354</f>
        <v>SmartPlug Duo 486</v>
      </c>
      <c r="C354" s="3" t="str">
        <f>'1. Master Data'!C354</f>
        <v>Smart Home</v>
      </c>
      <c r="D354" s="3" t="str">
        <f>'1. Master Data'!D354</f>
        <v>East DC</v>
      </c>
      <c r="E354" s="3" t="str">
        <f>'1. Master Data'!H354</f>
        <v>Active</v>
      </c>
      <c r="F354" s="4">
        <f>'1. Master Data'!F354</f>
        <v>21</v>
      </c>
      <c r="G354" s="3">
        <f>'1. Master Data'!I354</f>
        <v>142</v>
      </c>
      <c r="H354" s="15">
        <f t="shared" si="26"/>
        <v>2982</v>
      </c>
      <c r="I354" s="3">
        <f>'1. Master Data'!J354</f>
        <v>49</v>
      </c>
      <c r="J354" s="5" t="str">
        <f t="shared" si="27"/>
        <v>Watch</v>
      </c>
      <c r="K354" s="3">
        <f>IF('3. Demand Forecast'!F354=0,99,ROUND(G354/'3. Demand Forecast'!F354,1))</f>
        <v>0.8</v>
      </c>
      <c r="L354" s="3">
        <f>IF(G354=0,0,ROUND('4. ABC XYZ Analysis'!F354/G354,1))</f>
        <v>1.7</v>
      </c>
      <c r="M354" s="5" t="str">
        <f t="shared" si="28"/>
        <v>OK</v>
      </c>
      <c r="N354" s="4">
        <f t="shared" si="29"/>
        <v>0</v>
      </c>
      <c r="O354" s="1" t="str">
        <f t="shared" si="30"/>
        <v>Healthy</v>
      </c>
    </row>
    <row r="355" spans="1:15" ht="15" customHeight="1" x14ac:dyDescent="0.2">
      <c r="A355" s="3" t="str">
        <f>'1. Master Data'!A355</f>
        <v>NT10351</v>
      </c>
      <c r="B355" s="1" t="str">
        <f>'1. Master Data'!B355</f>
        <v>MirrorlessM 131</v>
      </c>
      <c r="C355" s="3" t="str">
        <f>'1. Master Data'!C355</f>
        <v>Cameras</v>
      </c>
      <c r="D355" s="3" t="str">
        <f>'1. Master Data'!D355</f>
        <v>Central DC</v>
      </c>
      <c r="E355" s="3" t="str">
        <f>'1. Master Data'!H355</f>
        <v>Active</v>
      </c>
      <c r="F355" s="4">
        <f>'1. Master Data'!F355</f>
        <v>1114</v>
      </c>
      <c r="G355" s="3">
        <f>'1. Master Data'!I355</f>
        <v>39</v>
      </c>
      <c r="H355" s="15">
        <f t="shared" si="26"/>
        <v>43446</v>
      </c>
      <c r="I355" s="3">
        <f>'1. Master Data'!J355</f>
        <v>7</v>
      </c>
      <c r="J355" s="5" t="str">
        <f t="shared" si="27"/>
        <v>Fresh</v>
      </c>
      <c r="K355" s="3">
        <f>IF('3. Demand Forecast'!F355=0,99,ROUND(G355/'3. Demand Forecast'!F355,1))</f>
        <v>3</v>
      </c>
      <c r="L355" s="3">
        <f>IF(G355=0,0,ROUND('4. ABC XYZ Analysis'!F355/G355,1))</f>
        <v>15.4</v>
      </c>
      <c r="M355" s="5" t="str">
        <f t="shared" si="28"/>
        <v>OK</v>
      </c>
      <c r="N355" s="4">
        <f t="shared" si="29"/>
        <v>0</v>
      </c>
      <c r="O355" s="1" t="str">
        <f t="shared" si="30"/>
        <v>Healthy</v>
      </c>
    </row>
    <row r="356" spans="1:15" ht="15" customHeight="1" x14ac:dyDescent="0.2">
      <c r="A356" s="3" t="str">
        <f>'1. Master Data'!A356</f>
        <v>NT10352</v>
      </c>
      <c r="B356" s="1" t="str">
        <f>'1. Master Data'!B356</f>
        <v>TravelShot 264 Compact</v>
      </c>
      <c r="C356" s="3" t="str">
        <f>'1. Master Data'!C356</f>
        <v>Cameras</v>
      </c>
      <c r="D356" s="3" t="str">
        <f>'1. Master Data'!D356</f>
        <v>East DC</v>
      </c>
      <c r="E356" s="3" t="str">
        <f>'1. Master Data'!H356</f>
        <v>EOL</v>
      </c>
      <c r="F356" s="4">
        <f>'1. Master Data'!F356</f>
        <v>883</v>
      </c>
      <c r="G356" s="3">
        <f>'1. Master Data'!I356</f>
        <v>27</v>
      </c>
      <c r="H356" s="15">
        <f t="shared" si="26"/>
        <v>23841</v>
      </c>
      <c r="I356" s="3">
        <f>'1. Master Data'!J356</f>
        <v>213</v>
      </c>
      <c r="J356" s="5" t="str">
        <f t="shared" si="27"/>
        <v>Obsolete Risk</v>
      </c>
      <c r="K356" s="3">
        <f>IF('3. Demand Forecast'!F356=0,99,ROUND(G356/'3. Demand Forecast'!F356,1))</f>
        <v>11.3</v>
      </c>
      <c r="L356" s="3">
        <f>IF(G356=0,0,ROUND('4. ABC XYZ Analysis'!F356/G356,1))</f>
        <v>4.2</v>
      </c>
      <c r="M356" s="5" t="str">
        <f t="shared" si="28"/>
        <v>EXCESS</v>
      </c>
      <c r="N356" s="4">
        <f t="shared" si="29"/>
        <v>23841</v>
      </c>
      <c r="O356" s="1" t="str">
        <f t="shared" si="30"/>
        <v>Scrap / Liquidate</v>
      </c>
    </row>
    <row r="357" spans="1:15" ht="15" customHeight="1" x14ac:dyDescent="0.2">
      <c r="A357" s="3" t="str">
        <f>'1. Master Data'!A357</f>
        <v>NT10353</v>
      </c>
      <c r="B357" s="1" t="str">
        <f>'1. Master Data'!B357</f>
        <v>MirrorlessM 556</v>
      </c>
      <c r="C357" s="3" t="str">
        <f>'1. Master Data'!C357</f>
        <v>Cameras</v>
      </c>
      <c r="D357" s="3" t="str">
        <f>'1. Master Data'!D357</f>
        <v>Central DC</v>
      </c>
      <c r="E357" s="3" t="str">
        <f>'1. Master Data'!H357</f>
        <v>Active</v>
      </c>
      <c r="F357" s="4">
        <f>'1. Master Data'!F357</f>
        <v>786</v>
      </c>
      <c r="G357" s="3">
        <f>'1. Master Data'!I357</f>
        <v>33</v>
      </c>
      <c r="H357" s="15">
        <f t="shared" si="26"/>
        <v>25938</v>
      </c>
      <c r="I357" s="3">
        <f>'1. Master Data'!J357</f>
        <v>44</v>
      </c>
      <c r="J357" s="5" t="str">
        <f t="shared" si="27"/>
        <v>Watch</v>
      </c>
      <c r="K357" s="3">
        <f>IF('3. Demand Forecast'!F357=0,99,ROUND(G357/'3. Demand Forecast'!F357,1))</f>
        <v>2.9</v>
      </c>
      <c r="L357" s="3">
        <f>IF(G357=0,0,ROUND('4. ABC XYZ Analysis'!F357/G357,1))</f>
        <v>30</v>
      </c>
      <c r="M357" s="5" t="str">
        <f t="shared" si="28"/>
        <v>OK</v>
      </c>
      <c r="N357" s="4">
        <f t="shared" si="29"/>
        <v>0</v>
      </c>
      <c r="O357" s="1" t="str">
        <f t="shared" si="30"/>
        <v>Healthy</v>
      </c>
    </row>
    <row r="358" spans="1:15" ht="15" customHeight="1" x14ac:dyDescent="0.2">
      <c r="A358" s="3" t="str">
        <f>'1. Master Data'!A358</f>
        <v>NT10354</v>
      </c>
      <c r="B358" s="1" t="str">
        <f>'1. Master Data'!B358</f>
        <v>ActionCam 521 4K</v>
      </c>
      <c r="C358" s="3" t="str">
        <f>'1. Master Data'!C358</f>
        <v>Cameras</v>
      </c>
      <c r="D358" s="3" t="str">
        <f>'1. Master Data'!D358</f>
        <v>Central DC</v>
      </c>
      <c r="E358" s="3" t="str">
        <f>'1. Master Data'!H358</f>
        <v>Active</v>
      </c>
      <c r="F358" s="4">
        <f>'1. Master Data'!F358</f>
        <v>223</v>
      </c>
      <c r="G358" s="3">
        <f>'1. Master Data'!I358</f>
        <v>53</v>
      </c>
      <c r="H358" s="15">
        <f t="shared" si="26"/>
        <v>11819</v>
      </c>
      <c r="I358" s="3">
        <f>'1. Master Data'!J358</f>
        <v>107</v>
      </c>
      <c r="J358" s="5" t="str">
        <f t="shared" si="27"/>
        <v>Aged</v>
      </c>
      <c r="K358" s="3">
        <f>IF('3. Demand Forecast'!F358=0,99,ROUND(G358/'3. Demand Forecast'!F358,1))</f>
        <v>3.2</v>
      </c>
      <c r="L358" s="3">
        <f>IF(G358=0,0,ROUND('4. ABC XYZ Analysis'!F358/G358,1))</f>
        <v>3.3</v>
      </c>
      <c r="M358" s="5" t="str">
        <f t="shared" si="28"/>
        <v>EXCESS</v>
      </c>
      <c r="N358" s="4">
        <f t="shared" si="29"/>
        <v>11819</v>
      </c>
      <c r="O358" s="1" t="str">
        <f t="shared" si="30"/>
        <v>Reduce orders and monitor</v>
      </c>
    </row>
    <row r="359" spans="1:15" ht="15" customHeight="1" x14ac:dyDescent="0.2">
      <c r="A359" s="3" t="str">
        <f>'1. Master Data'!A359</f>
        <v>NT10355</v>
      </c>
      <c r="B359" s="1" t="str">
        <f>'1. Master Data'!B359</f>
        <v>MirrorlessM 404</v>
      </c>
      <c r="C359" s="3" t="str">
        <f>'1. Master Data'!C359</f>
        <v>Cameras</v>
      </c>
      <c r="D359" s="3" t="str">
        <f>'1. Master Data'!D359</f>
        <v>East DC</v>
      </c>
      <c r="E359" s="3" t="str">
        <f>'1. Master Data'!H359</f>
        <v>Active</v>
      </c>
      <c r="F359" s="4">
        <f>'1. Master Data'!F359</f>
        <v>866</v>
      </c>
      <c r="G359" s="3">
        <f>'1. Master Data'!I359</f>
        <v>32</v>
      </c>
      <c r="H359" s="15">
        <f t="shared" si="26"/>
        <v>27712</v>
      </c>
      <c r="I359" s="3">
        <f>'1. Master Data'!J359</f>
        <v>48</v>
      </c>
      <c r="J359" s="5" t="str">
        <f t="shared" si="27"/>
        <v>Watch</v>
      </c>
      <c r="K359" s="3">
        <f>IF('3. Demand Forecast'!F359=0,99,ROUND(G359/'3. Demand Forecast'!F359,1))</f>
        <v>2.6</v>
      </c>
      <c r="L359" s="3">
        <f>IF(G359=0,0,ROUND('4. ABC XYZ Analysis'!F359/G359,1))</f>
        <v>7.7</v>
      </c>
      <c r="M359" s="5" t="str">
        <f t="shared" si="28"/>
        <v>OK</v>
      </c>
      <c r="N359" s="4">
        <f t="shared" si="29"/>
        <v>0</v>
      </c>
      <c r="O359" s="1" t="str">
        <f t="shared" si="30"/>
        <v>Healthy</v>
      </c>
    </row>
    <row r="360" spans="1:15" ht="15" customHeight="1" x14ac:dyDescent="0.2">
      <c r="A360" s="3" t="str">
        <f>'1. Master Data'!A360</f>
        <v>NT10356</v>
      </c>
      <c r="B360" s="1" t="str">
        <f>'1. Master Data'!B360</f>
        <v>TravelShot 546 Compact</v>
      </c>
      <c r="C360" s="3" t="str">
        <f>'1. Master Data'!C360</f>
        <v>Cameras</v>
      </c>
      <c r="D360" s="3" t="str">
        <f>'1. Master Data'!D360</f>
        <v>West DC</v>
      </c>
      <c r="E360" s="3" t="str">
        <f>'1. Master Data'!H360</f>
        <v>Active</v>
      </c>
      <c r="F360" s="4">
        <f>'1. Master Data'!F360</f>
        <v>1016</v>
      </c>
      <c r="G360" s="3">
        <f>'1. Master Data'!I360</f>
        <v>45</v>
      </c>
      <c r="H360" s="15">
        <f t="shared" si="26"/>
        <v>45720</v>
      </c>
      <c r="I360" s="3">
        <f>'1. Master Data'!J360</f>
        <v>17</v>
      </c>
      <c r="J360" s="5" t="str">
        <f t="shared" si="27"/>
        <v>Fresh</v>
      </c>
      <c r="K360" s="3">
        <f>IF('3. Demand Forecast'!F360=0,99,ROUND(G360/'3. Demand Forecast'!F360,1))</f>
        <v>2.7</v>
      </c>
      <c r="L360" s="3">
        <f>IF(G360=0,0,ROUND('4. ABC XYZ Analysis'!F360/G360,1))</f>
        <v>10.3</v>
      </c>
      <c r="M360" s="5" t="str">
        <f t="shared" si="28"/>
        <v>OK</v>
      </c>
      <c r="N360" s="4">
        <f t="shared" si="29"/>
        <v>0</v>
      </c>
      <c r="O360" s="1" t="str">
        <f t="shared" si="30"/>
        <v>Healthy</v>
      </c>
    </row>
    <row r="361" spans="1:15" ht="15" customHeight="1" x14ac:dyDescent="0.2">
      <c r="A361" s="3" t="str">
        <f>'1. Master Data'!A361</f>
        <v>NT10357</v>
      </c>
      <c r="B361" s="1" t="str">
        <f>'1. Master Data'!B361</f>
        <v>OptiZoom 396 DSLR</v>
      </c>
      <c r="C361" s="3" t="str">
        <f>'1. Master Data'!C361</f>
        <v>Cameras</v>
      </c>
      <c r="D361" s="3" t="str">
        <f>'1. Master Data'!D361</f>
        <v>Central DC</v>
      </c>
      <c r="E361" s="3" t="str">
        <f>'1. Master Data'!H361</f>
        <v>EOL</v>
      </c>
      <c r="F361" s="4">
        <f>'1. Master Data'!F361</f>
        <v>1070</v>
      </c>
      <c r="G361" s="3">
        <f>'1. Master Data'!I361</f>
        <v>19</v>
      </c>
      <c r="H361" s="15">
        <f t="shared" si="26"/>
        <v>20330</v>
      </c>
      <c r="I361" s="3">
        <f>'1. Master Data'!J361</f>
        <v>297</v>
      </c>
      <c r="J361" s="5" t="str">
        <f t="shared" si="27"/>
        <v>Obsolete Risk</v>
      </c>
      <c r="K361" s="3">
        <f>IF('3. Demand Forecast'!F361=0,99,ROUND(G361/'3. Demand Forecast'!F361,1))</f>
        <v>12.7</v>
      </c>
      <c r="L361" s="3">
        <f>IF(G361=0,0,ROUND('4. ABC XYZ Analysis'!F361/G361,1))</f>
        <v>31.7</v>
      </c>
      <c r="M361" s="5" t="str">
        <f t="shared" si="28"/>
        <v>EXCESS</v>
      </c>
      <c r="N361" s="4">
        <f t="shared" si="29"/>
        <v>20330</v>
      </c>
      <c r="O361" s="1" t="str">
        <f t="shared" si="30"/>
        <v>Scrap / Liquidate</v>
      </c>
    </row>
    <row r="362" spans="1:15" ht="15" customHeight="1" x14ac:dyDescent="0.2">
      <c r="A362" s="3" t="str">
        <f>'1. Master Data'!A362</f>
        <v>NT10358</v>
      </c>
      <c r="B362" s="1" t="str">
        <f>'1. Master Data'!B362</f>
        <v>MirrorlessM 145</v>
      </c>
      <c r="C362" s="3" t="str">
        <f>'1. Master Data'!C362</f>
        <v>Cameras</v>
      </c>
      <c r="D362" s="3" t="str">
        <f>'1. Master Data'!D362</f>
        <v>Central DC</v>
      </c>
      <c r="E362" s="3" t="str">
        <f>'1. Master Data'!H362</f>
        <v>Active</v>
      </c>
      <c r="F362" s="4">
        <f>'1. Master Data'!F362</f>
        <v>1149</v>
      </c>
      <c r="G362" s="3">
        <f>'1. Master Data'!I362</f>
        <v>31</v>
      </c>
      <c r="H362" s="15">
        <f t="shared" si="26"/>
        <v>35619</v>
      </c>
      <c r="I362" s="3">
        <f>'1. Master Data'!J362</f>
        <v>4</v>
      </c>
      <c r="J362" s="5" t="str">
        <f t="shared" si="27"/>
        <v>Fresh</v>
      </c>
      <c r="K362" s="3">
        <f>IF('3. Demand Forecast'!F362=0,99,ROUND(G362/'3. Demand Forecast'!F362,1))</f>
        <v>1</v>
      </c>
      <c r="L362" s="3">
        <f>IF(G362=0,0,ROUND('4. ABC XYZ Analysis'!F362/G362,1))</f>
        <v>29.8</v>
      </c>
      <c r="M362" s="5" t="str">
        <f t="shared" si="28"/>
        <v>OK</v>
      </c>
      <c r="N362" s="4">
        <f t="shared" si="29"/>
        <v>0</v>
      </c>
      <c r="O362" s="1" t="str">
        <f t="shared" si="30"/>
        <v>Healthy</v>
      </c>
    </row>
    <row r="363" spans="1:15" ht="15" customHeight="1" x14ac:dyDescent="0.2">
      <c r="A363" s="3" t="str">
        <f>'1. Master Data'!A363</f>
        <v>NT10359</v>
      </c>
      <c r="B363" s="1" t="str">
        <f>'1. Master Data'!B363</f>
        <v>ActionCam 776 4K</v>
      </c>
      <c r="C363" s="3" t="str">
        <f>'1. Master Data'!C363</f>
        <v>Cameras</v>
      </c>
      <c r="D363" s="3" t="str">
        <f>'1. Master Data'!D363</f>
        <v>West DC</v>
      </c>
      <c r="E363" s="3" t="str">
        <f>'1. Master Data'!H363</f>
        <v>Active</v>
      </c>
      <c r="F363" s="4">
        <f>'1. Master Data'!F363</f>
        <v>519</v>
      </c>
      <c r="G363" s="3">
        <f>'1. Master Data'!I363</f>
        <v>105</v>
      </c>
      <c r="H363" s="15">
        <f t="shared" si="26"/>
        <v>54495</v>
      </c>
      <c r="I363" s="3">
        <f>'1. Master Data'!J363</f>
        <v>44</v>
      </c>
      <c r="J363" s="5" t="str">
        <f t="shared" si="27"/>
        <v>Watch</v>
      </c>
      <c r="K363" s="3">
        <f>IF('3. Demand Forecast'!F363=0,99,ROUND(G363/'3. Demand Forecast'!F363,1))</f>
        <v>2.6</v>
      </c>
      <c r="L363" s="3">
        <f>IF(G363=0,0,ROUND('4. ABC XYZ Analysis'!F363/G363,1))</f>
        <v>2.5</v>
      </c>
      <c r="M363" s="5" t="str">
        <f t="shared" si="28"/>
        <v>OK</v>
      </c>
      <c r="N363" s="4">
        <f t="shared" si="29"/>
        <v>0</v>
      </c>
      <c r="O363" s="1" t="str">
        <f t="shared" si="30"/>
        <v>Healthy</v>
      </c>
    </row>
    <row r="364" spans="1:15" ht="15" customHeight="1" x14ac:dyDescent="0.2">
      <c r="A364" s="3" t="str">
        <f>'1. Master Data'!A364</f>
        <v>NT10360</v>
      </c>
      <c r="B364" s="1" t="str">
        <f>'1. Master Data'!B364</f>
        <v>OptiZoom 562 DSLR</v>
      </c>
      <c r="C364" s="3" t="str">
        <f>'1. Master Data'!C364</f>
        <v>Cameras</v>
      </c>
      <c r="D364" s="3" t="str">
        <f>'1. Master Data'!D364</f>
        <v>East DC</v>
      </c>
      <c r="E364" s="3" t="str">
        <f>'1. Master Data'!H364</f>
        <v>EOL</v>
      </c>
      <c r="F364" s="4">
        <f>'1. Master Data'!F364</f>
        <v>842</v>
      </c>
      <c r="G364" s="3">
        <f>'1. Master Data'!I364</f>
        <v>12</v>
      </c>
      <c r="H364" s="15">
        <f t="shared" si="26"/>
        <v>10104</v>
      </c>
      <c r="I364" s="3">
        <f>'1. Master Data'!J364</f>
        <v>270</v>
      </c>
      <c r="J364" s="5" t="str">
        <f t="shared" si="27"/>
        <v>Obsolete Risk</v>
      </c>
      <c r="K364" s="3">
        <f>IF('3. Demand Forecast'!F364=0,99,ROUND(G364/'3. Demand Forecast'!F364,1))</f>
        <v>5.2</v>
      </c>
      <c r="L364" s="3">
        <f>IF(G364=0,0,ROUND('4. ABC XYZ Analysis'!F364/G364,1))</f>
        <v>260.8</v>
      </c>
      <c r="M364" s="5" t="str">
        <f t="shared" si="28"/>
        <v>EXCESS</v>
      </c>
      <c r="N364" s="4">
        <f t="shared" si="29"/>
        <v>10104</v>
      </c>
      <c r="O364" s="1" t="str">
        <f t="shared" si="30"/>
        <v>Scrap / Liquidate</v>
      </c>
    </row>
    <row r="365" spans="1:15" ht="15" customHeight="1" x14ac:dyDescent="0.2">
      <c r="A365" s="3" t="str">
        <f>'1. Master Data'!A365</f>
        <v>NT10361</v>
      </c>
      <c r="B365" s="1" t="str">
        <f>'1. Master Data'!B365</f>
        <v>MirrorlessM 811</v>
      </c>
      <c r="C365" s="3" t="str">
        <f>'1. Master Data'!C365</f>
        <v>Cameras</v>
      </c>
      <c r="D365" s="3" t="str">
        <f>'1. Master Data'!D365</f>
        <v>East DC</v>
      </c>
      <c r="E365" s="3" t="str">
        <f>'1. Master Data'!H365</f>
        <v>Active</v>
      </c>
      <c r="F365" s="4">
        <f>'1. Master Data'!F365</f>
        <v>422</v>
      </c>
      <c r="G365" s="3">
        <f>'1. Master Data'!I365</f>
        <v>22</v>
      </c>
      <c r="H365" s="15">
        <f t="shared" si="26"/>
        <v>9284</v>
      </c>
      <c r="I365" s="3">
        <f>'1. Master Data'!J365</f>
        <v>12</v>
      </c>
      <c r="J365" s="5" t="str">
        <f t="shared" si="27"/>
        <v>Fresh</v>
      </c>
      <c r="K365" s="3">
        <f>IF('3. Demand Forecast'!F365=0,99,ROUND(G365/'3. Demand Forecast'!F365,1))</f>
        <v>1.8</v>
      </c>
      <c r="L365" s="3">
        <f>IF(G365=0,0,ROUND('4. ABC XYZ Analysis'!F365/G365,1))</f>
        <v>54.4</v>
      </c>
      <c r="M365" s="5" t="str">
        <f t="shared" si="28"/>
        <v>OK</v>
      </c>
      <c r="N365" s="4">
        <f t="shared" si="29"/>
        <v>0</v>
      </c>
      <c r="O365" s="1" t="str">
        <f t="shared" si="30"/>
        <v>Healthy</v>
      </c>
    </row>
    <row r="366" spans="1:15" ht="15" customHeight="1" x14ac:dyDescent="0.2">
      <c r="A366" s="3" t="str">
        <f>'1. Master Data'!A366</f>
        <v>NT10362</v>
      </c>
      <c r="B366" s="1" t="str">
        <f>'1. Master Data'!B366</f>
        <v>MirrorlessM 337</v>
      </c>
      <c r="C366" s="3" t="str">
        <f>'1. Master Data'!C366</f>
        <v>Cameras</v>
      </c>
      <c r="D366" s="3" t="str">
        <f>'1. Master Data'!D366</f>
        <v>East DC</v>
      </c>
      <c r="E366" s="3" t="str">
        <f>'1. Master Data'!H366</f>
        <v>Active</v>
      </c>
      <c r="F366" s="4">
        <f>'1. Master Data'!F366</f>
        <v>1047</v>
      </c>
      <c r="G366" s="3">
        <f>'1. Master Data'!I366</f>
        <v>56</v>
      </c>
      <c r="H366" s="15">
        <f t="shared" si="26"/>
        <v>58632</v>
      </c>
      <c r="I366" s="3">
        <f>'1. Master Data'!J366</f>
        <v>1</v>
      </c>
      <c r="J366" s="5" t="str">
        <f t="shared" si="27"/>
        <v>Fresh</v>
      </c>
      <c r="K366" s="3">
        <f>IF('3. Demand Forecast'!F366=0,99,ROUND(G366/'3. Demand Forecast'!F366,1))</f>
        <v>0.6</v>
      </c>
      <c r="L366" s="3">
        <f>IF(G366=0,0,ROUND('4. ABC XYZ Analysis'!F366/G366,1))</f>
        <v>70.099999999999994</v>
      </c>
      <c r="M366" s="5" t="str">
        <f t="shared" si="28"/>
        <v>OK</v>
      </c>
      <c r="N366" s="4">
        <f t="shared" si="29"/>
        <v>0</v>
      </c>
      <c r="O366" s="1" t="str">
        <f t="shared" si="30"/>
        <v>Healthy</v>
      </c>
    </row>
    <row r="367" spans="1:15" ht="15" customHeight="1" x14ac:dyDescent="0.2">
      <c r="A367" s="3" t="str">
        <f>'1. Master Data'!A367</f>
        <v>NT10363</v>
      </c>
      <c r="B367" s="1" t="str">
        <f>'1. Master Data'!B367</f>
        <v>OptiZoom 931 DSLR</v>
      </c>
      <c r="C367" s="3" t="str">
        <f>'1. Master Data'!C367</f>
        <v>Cameras</v>
      </c>
      <c r="D367" s="3" t="str">
        <f>'1. Master Data'!D367</f>
        <v>West DC</v>
      </c>
      <c r="E367" s="3" t="str">
        <f>'1. Master Data'!H367</f>
        <v>Active</v>
      </c>
      <c r="F367" s="4">
        <f>'1. Master Data'!F367</f>
        <v>321</v>
      </c>
      <c r="G367" s="3">
        <f>'1. Master Data'!I367</f>
        <v>33</v>
      </c>
      <c r="H367" s="15">
        <f t="shared" si="26"/>
        <v>10593</v>
      </c>
      <c r="I367" s="3">
        <f>'1. Master Data'!J367</f>
        <v>18</v>
      </c>
      <c r="J367" s="5" t="str">
        <f t="shared" si="27"/>
        <v>Fresh</v>
      </c>
      <c r="K367" s="3">
        <f>IF('3. Demand Forecast'!F367=0,99,ROUND(G367/'3. Demand Forecast'!F367,1))</f>
        <v>1.6</v>
      </c>
      <c r="L367" s="3">
        <f>IF(G367=0,0,ROUND('4. ABC XYZ Analysis'!F367/G367,1))</f>
        <v>68.8</v>
      </c>
      <c r="M367" s="5" t="str">
        <f t="shared" si="28"/>
        <v>OK</v>
      </c>
      <c r="N367" s="4">
        <f t="shared" si="29"/>
        <v>0</v>
      </c>
      <c r="O367" s="1" t="str">
        <f t="shared" si="30"/>
        <v>Healthy</v>
      </c>
    </row>
    <row r="368" spans="1:15" ht="15" customHeight="1" x14ac:dyDescent="0.2">
      <c r="A368" s="3" t="str">
        <f>'1. Master Data'!A368</f>
        <v>NT10364</v>
      </c>
      <c r="B368" s="1" t="str">
        <f>'1. Master Data'!B368</f>
        <v>MirrorlessM 494</v>
      </c>
      <c r="C368" s="3" t="str">
        <f>'1. Master Data'!C368</f>
        <v>Cameras</v>
      </c>
      <c r="D368" s="3" t="str">
        <f>'1. Master Data'!D368</f>
        <v>West DC</v>
      </c>
      <c r="E368" s="3" t="str">
        <f>'1. Master Data'!H368</f>
        <v>Active</v>
      </c>
      <c r="F368" s="4">
        <f>'1. Master Data'!F368</f>
        <v>1041</v>
      </c>
      <c r="G368" s="3">
        <f>'1. Master Data'!I368</f>
        <v>180</v>
      </c>
      <c r="H368" s="15">
        <f t="shared" si="26"/>
        <v>187380</v>
      </c>
      <c r="I368" s="3">
        <f>'1. Master Data'!J368</f>
        <v>38</v>
      </c>
      <c r="J368" s="5" t="str">
        <f t="shared" si="27"/>
        <v>Watch</v>
      </c>
      <c r="K368" s="3">
        <f>IF('3. Demand Forecast'!F368=0,99,ROUND(G368/'3. Demand Forecast'!F368,1))</f>
        <v>2.8</v>
      </c>
      <c r="L368" s="3">
        <f>IF(G368=0,0,ROUND('4. ABC XYZ Analysis'!F368/G368,1))</f>
        <v>3.3</v>
      </c>
      <c r="M368" s="5" t="str">
        <f t="shared" si="28"/>
        <v>OK</v>
      </c>
      <c r="N368" s="4">
        <f t="shared" si="29"/>
        <v>0</v>
      </c>
      <c r="O368" s="1" t="str">
        <f t="shared" si="30"/>
        <v>Healthy</v>
      </c>
    </row>
    <row r="369" spans="1:15" ht="15" customHeight="1" x14ac:dyDescent="0.2">
      <c r="A369" s="3" t="str">
        <f>'1. Master Data'!A369</f>
        <v>NT10365</v>
      </c>
      <c r="B369" s="1" t="str">
        <f>'1. Master Data'!B369</f>
        <v>OptiZoom 157 DSLR</v>
      </c>
      <c r="C369" s="3" t="str">
        <f>'1. Master Data'!C369</f>
        <v>Cameras</v>
      </c>
      <c r="D369" s="3" t="str">
        <f>'1. Master Data'!D369</f>
        <v>Central DC</v>
      </c>
      <c r="E369" s="3" t="str">
        <f>'1. Master Data'!H369</f>
        <v>Active</v>
      </c>
      <c r="F369" s="4">
        <f>'1. Master Data'!F369</f>
        <v>530</v>
      </c>
      <c r="G369" s="3">
        <f>'1. Master Data'!I369</f>
        <v>56</v>
      </c>
      <c r="H369" s="15">
        <f t="shared" si="26"/>
        <v>29680</v>
      </c>
      <c r="I369" s="3">
        <f>'1. Master Data'!J369</f>
        <v>168</v>
      </c>
      <c r="J369" s="5" t="str">
        <f t="shared" si="27"/>
        <v>Aged</v>
      </c>
      <c r="K369" s="3">
        <f>IF('3. Demand Forecast'!F369=0,99,ROUND(G369/'3. Demand Forecast'!F369,1))</f>
        <v>3.5</v>
      </c>
      <c r="L369" s="3">
        <f>IF(G369=0,0,ROUND('4. ABC XYZ Analysis'!F369/G369,1))</f>
        <v>94.2</v>
      </c>
      <c r="M369" s="5" t="str">
        <f t="shared" si="28"/>
        <v>EXCESS</v>
      </c>
      <c r="N369" s="4">
        <f t="shared" si="29"/>
        <v>29680</v>
      </c>
      <c r="O369" s="1" t="str">
        <f t="shared" si="30"/>
        <v>Reduce orders and monitor</v>
      </c>
    </row>
    <row r="370" spans="1:15" ht="15" customHeight="1" x14ac:dyDescent="0.2">
      <c r="A370" s="3" t="str">
        <f>'1. Master Data'!A370</f>
        <v>NT10366</v>
      </c>
      <c r="B370" s="1" t="str">
        <f>'1. Master Data'!B370</f>
        <v>ActionCam 138 4K</v>
      </c>
      <c r="C370" s="3" t="str">
        <f>'1. Master Data'!C370</f>
        <v>Cameras</v>
      </c>
      <c r="D370" s="3" t="str">
        <f>'1. Master Data'!D370</f>
        <v>Central DC</v>
      </c>
      <c r="E370" s="3" t="str">
        <f>'1. Master Data'!H370</f>
        <v>Active</v>
      </c>
      <c r="F370" s="4">
        <f>'1. Master Data'!F370</f>
        <v>239</v>
      </c>
      <c r="G370" s="3">
        <f>'1. Master Data'!I370</f>
        <v>35</v>
      </c>
      <c r="H370" s="15">
        <f t="shared" si="26"/>
        <v>8365</v>
      </c>
      <c r="I370" s="3">
        <f>'1. Master Data'!J370</f>
        <v>27</v>
      </c>
      <c r="J370" s="5" t="str">
        <f t="shared" si="27"/>
        <v>Fresh</v>
      </c>
      <c r="K370" s="3">
        <f>IF('3. Demand Forecast'!F370=0,99,ROUND(G370/'3. Demand Forecast'!F370,1))</f>
        <v>2.8</v>
      </c>
      <c r="L370" s="3">
        <f>IF(G370=0,0,ROUND('4. ABC XYZ Analysis'!F370/G370,1))</f>
        <v>8.1</v>
      </c>
      <c r="M370" s="5" t="str">
        <f t="shared" si="28"/>
        <v>OK</v>
      </c>
      <c r="N370" s="4">
        <f t="shared" si="29"/>
        <v>0</v>
      </c>
      <c r="O370" s="1" t="str">
        <f t="shared" si="30"/>
        <v>Healthy</v>
      </c>
    </row>
    <row r="371" spans="1:15" ht="15" customHeight="1" x14ac:dyDescent="0.2">
      <c r="A371" s="3" t="str">
        <f>'1. Master Data'!A371</f>
        <v>NT10367</v>
      </c>
      <c r="B371" s="1" t="str">
        <f>'1. Master Data'!B371</f>
        <v>TravelShot 480 Compact</v>
      </c>
      <c r="C371" s="3" t="str">
        <f>'1. Master Data'!C371</f>
        <v>Cameras</v>
      </c>
      <c r="D371" s="3" t="str">
        <f>'1. Master Data'!D371</f>
        <v>East DC</v>
      </c>
      <c r="E371" s="3" t="str">
        <f>'1. Master Data'!H371</f>
        <v>Active</v>
      </c>
      <c r="F371" s="4">
        <f>'1. Master Data'!F371</f>
        <v>1187</v>
      </c>
      <c r="G371" s="3">
        <f>'1. Master Data'!I371</f>
        <v>21</v>
      </c>
      <c r="H371" s="15">
        <f t="shared" si="26"/>
        <v>24927</v>
      </c>
      <c r="I371" s="3">
        <f>'1. Master Data'!J371</f>
        <v>30</v>
      </c>
      <c r="J371" s="5" t="str">
        <f t="shared" si="27"/>
        <v>Fresh</v>
      </c>
      <c r="K371" s="3">
        <f>IF('3. Demand Forecast'!F371=0,99,ROUND(G371/'3. Demand Forecast'!F371,1))</f>
        <v>2.9</v>
      </c>
      <c r="L371" s="3">
        <f>IF(G371=0,0,ROUND('4. ABC XYZ Analysis'!F371/G371,1))</f>
        <v>231.3</v>
      </c>
      <c r="M371" s="5" t="str">
        <f t="shared" si="28"/>
        <v>OK</v>
      </c>
      <c r="N371" s="4">
        <f t="shared" si="29"/>
        <v>0</v>
      </c>
      <c r="O371" s="1" t="str">
        <f t="shared" si="30"/>
        <v>Healthy</v>
      </c>
    </row>
    <row r="372" spans="1:15" ht="15" customHeight="1" x14ac:dyDescent="0.2">
      <c r="A372" s="3" t="str">
        <f>'1. Master Data'!A372</f>
        <v>NT10368</v>
      </c>
      <c r="B372" s="1" t="str">
        <f>'1. Master Data'!B372</f>
        <v>OptiZoom 113 DSLR</v>
      </c>
      <c r="C372" s="3" t="str">
        <f>'1. Master Data'!C372</f>
        <v>Cameras</v>
      </c>
      <c r="D372" s="3" t="str">
        <f>'1. Master Data'!D372</f>
        <v>West DC</v>
      </c>
      <c r="E372" s="3" t="str">
        <f>'1. Master Data'!H372</f>
        <v>Active</v>
      </c>
      <c r="F372" s="4">
        <f>'1. Master Data'!F372</f>
        <v>425</v>
      </c>
      <c r="G372" s="3">
        <f>'1. Master Data'!I372</f>
        <v>195</v>
      </c>
      <c r="H372" s="15">
        <f t="shared" si="26"/>
        <v>82875</v>
      </c>
      <c r="I372" s="3">
        <f>'1. Master Data'!J372</f>
        <v>15</v>
      </c>
      <c r="J372" s="5" t="str">
        <f t="shared" si="27"/>
        <v>Fresh</v>
      </c>
      <c r="K372" s="3">
        <f>IF('3. Demand Forecast'!F372=0,99,ROUND(G372/'3. Demand Forecast'!F372,1))</f>
        <v>1.9</v>
      </c>
      <c r="L372" s="3">
        <f>IF(G372=0,0,ROUND('4. ABC XYZ Analysis'!F372/G372,1))</f>
        <v>1.2</v>
      </c>
      <c r="M372" s="5" t="str">
        <f t="shared" si="28"/>
        <v>OK</v>
      </c>
      <c r="N372" s="4">
        <f t="shared" si="29"/>
        <v>0</v>
      </c>
      <c r="O372" s="1" t="str">
        <f t="shared" si="30"/>
        <v>Healthy</v>
      </c>
    </row>
    <row r="373" spans="1:15" ht="15" customHeight="1" x14ac:dyDescent="0.2">
      <c r="A373" s="3" t="str">
        <f>'1. Master Data'!A373</f>
        <v>NT10369</v>
      </c>
      <c r="B373" s="1" t="str">
        <f>'1. Master Data'!B373</f>
        <v>ActionCam 161 4K</v>
      </c>
      <c r="C373" s="3" t="str">
        <f>'1. Master Data'!C373</f>
        <v>Cameras</v>
      </c>
      <c r="D373" s="3" t="str">
        <f>'1. Master Data'!D373</f>
        <v>Central DC</v>
      </c>
      <c r="E373" s="3" t="str">
        <f>'1. Master Data'!H373</f>
        <v>Active</v>
      </c>
      <c r="F373" s="4">
        <f>'1. Master Data'!F373</f>
        <v>698</v>
      </c>
      <c r="G373" s="3">
        <f>'1. Master Data'!I373</f>
        <v>65</v>
      </c>
      <c r="H373" s="15">
        <f t="shared" si="26"/>
        <v>45370</v>
      </c>
      <c r="I373" s="3">
        <f>'1. Master Data'!J373</f>
        <v>20</v>
      </c>
      <c r="J373" s="5" t="str">
        <f t="shared" si="27"/>
        <v>Fresh</v>
      </c>
      <c r="K373" s="3">
        <f>IF('3. Demand Forecast'!F373=0,99,ROUND(G373/'3. Demand Forecast'!F373,1))</f>
        <v>1.7</v>
      </c>
      <c r="L373" s="3">
        <f>IF(G373=0,0,ROUND('4. ABC XYZ Analysis'!F373/G373,1))</f>
        <v>35.200000000000003</v>
      </c>
      <c r="M373" s="5" t="str">
        <f t="shared" si="28"/>
        <v>OK</v>
      </c>
      <c r="N373" s="4">
        <f t="shared" si="29"/>
        <v>0</v>
      </c>
      <c r="O373" s="1" t="str">
        <f t="shared" si="30"/>
        <v>Healthy</v>
      </c>
    </row>
    <row r="374" spans="1:15" ht="15" customHeight="1" x14ac:dyDescent="0.2">
      <c r="A374" s="3" t="str">
        <f>'1. Master Data'!A374</f>
        <v>NT10370</v>
      </c>
      <c r="B374" s="1" t="str">
        <f>'1. Master Data'!B374</f>
        <v>OptiZoom 229 DSLR</v>
      </c>
      <c r="C374" s="3" t="str">
        <f>'1. Master Data'!C374</f>
        <v>Cameras</v>
      </c>
      <c r="D374" s="3" t="str">
        <f>'1. Master Data'!D374</f>
        <v>Central DC</v>
      </c>
      <c r="E374" s="3" t="str">
        <f>'1. Master Data'!H374</f>
        <v>Active</v>
      </c>
      <c r="F374" s="4">
        <f>'1. Master Data'!F374</f>
        <v>1027</v>
      </c>
      <c r="G374" s="3">
        <f>'1. Master Data'!I374</f>
        <v>16</v>
      </c>
      <c r="H374" s="15">
        <f t="shared" si="26"/>
        <v>16432</v>
      </c>
      <c r="I374" s="3">
        <f>'1. Master Data'!J374</f>
        <v>151</v>
      </c>
      <c r="J374" s="5" t="str">
        <f t="shared" si="27"/>
        <v>Aged</v>
      </c>
      <c r="K374" s="3">
        <f>IF('3. Demand Forecast'!F374=0,99,ROUND(G374/'3. Demand Forecast'!F374,1))</f>
        <v>3.5</v>
      </c>
      <c r="L374" s="3">
        <f>IF(G374=0,0,ROUND('4. ABC XYZ Analysis'!F374/G374,1))</f>
        <v>141.80000000000001</v>
      </c>
      <c r="M374" s="5" t="str">
        <f t="shared" si="28"/>
        <v>EXCESS</v>
      </c>
      <c r="N374" s="4">
        <f t="shared" si="29"/>
        <v>16432</v>
      </c>
      <c r="O374" s="1" t="str">
        <f t="shared" si="30"/>
        <v>Reduce orders and monitor</v>
      </c>
    </row>
    <row r="375" spans="1:15" ht="15" customHeight="1" x14ac:dyDescent="0.2">
      <c r="A375" s="3" t="str">
        <f>'1. Master Data'!A375</f>
        <v>NT10371</v>
      </c>
      <c r="B375" s="1" t="str">
        <f>'1. Master Data'!B375</f>
        <v>ActionCam 137 4K</v>
      </c>
      <c r="C375" s="3" t="str">
        <f>'1. Master Data'!C375</f>
        <v>Cameras</v>
      </c>
      <c r="D375" s="3" t="str">
        <f>'1. Master Data'!D375</f>
        <v>West DC</v>
      </c>
      <c r="E375" s="3" t="str">
        <f>'1. Master Data'!H375</f>
        <v>Active</v>
      </c>
      <c r="F375" s="4">
        <f>'1. Master Data'!F375</f>
        <v>658</v>
      </c>
      <c r="G375" s="3">
        <f>'1. Master Data'!I375</f>
        <v>10</v>
      </c>
      <c r="H375" s="15">
        <f t="shared" si="26"/>
        <v>6580</v>
      </c>
      <c r="I375" s="3">
        <f>'1. Master Data'!J375</f>
        <v>39</v>
      </c>
      <c r="J375" s="5" t="str">
        <f t="shared" si="27"/>
        <v>Watch</v>
      </c>
      <c r="K375" s="3">
        <f>IF('3. Demand Forecast'!F375=0,99,ROUND(G375/'3. Demand Forecast'!F375,1))</f>
        <v>2.2999999999999998</v>
      </c>
      <c r="L375" s="3">
        <f>IF(G375=0,0,ROUND('4. ABC XYZ Analysis'!F375/G375,1))</f>
        <v>108.2</v>
      </c>
      <c r="M375" s="5" t="str">
        <f t="shared" si="28"/>
        <v>OK</v>
      </c>
      <c r="N375" s="4">
        <f t="shared" si="29"/>
        <v>0</v>
      </c>
      <c r="O375" s="1" t="str">
        <f t="shared" si="30"/>
        <v>Healthy</v>
      </c>
    </row>
    <row r="376" spans="1:15" ht="15" customHeight="1" x14ac:dyDescent="0.2">
      <c r="A376" s="3" t="str">
        <f>'1. Master Data'!A376</f>
        <v>NT10372</v>
      </c>
      <c r="B376" s="1" t="str">
        <f>'1. Master Data'!B376</f>
        <v>OptiZoom 369 DSLR</v>
      </c>
      <c r="C376" s="3" t="str">
        <f>'1. Master Data'!C376</f>
        <v>Cameras</v>
      </c>
      <c r="D376" s="3" t="str">
        <f>'1. Master Data'!D376</f>
        <v>East DC</v>
      </c>
      <c r="E376" s="3" t="str">
        <f>'1. Master Data'!H376</f>
        <v>Active</v>
      </c>
      <c r="F376" s="4">
        <f>'1. Master Data'!F376</f>
        <v>536</v>
      </c>
      <c r="G376" s="3">
        <f>'1. Master Data'!I376</f>
        <v>10</v>
      </c>
      <c r="H376" s="15">
        <f t="shared" si="26"/>
        <v>5360</v>
      </c>
      <c r="I376" s="3">
        <f>'1. Master Data'!J376</f>
        <v>59</v>
      </c>
      <c r="J376" s="5" t="str">
        <f t="shared" si="27"/>
        <v>Watch</v>
      </c>
      <c r="K376" s="3">
        <f>IF('3. Demand Forecast'!F376=0,99,ROUND(G376/'3. Demand Forecast'!F376,1))</f>
        <v>2.2999999999999998</v>
      </c>
      <c r="L376" s="3">
        <f>IF(G376=0,0,ROUND('4. ABC XYZ Analysis'!F376/G376,1))</f>
        <v>79.400000000000006</v>
      </c>
      <c r="M376" s="5" t="str">
        <f t="shared" si="28"/>
        <v>OK</v>
      </c>
      <c r="N376" s="4">
        <f t="shared" si="29"/>
        <v>0</v>
      </c>
      <c r="O376" s="1" t="str">
        <f t="shared" si="30"/>
        <v>Healthy</v>
      </c>
    </row>
    <row r="377" spans="1:15" ht="15" customHeight="1" x14ac:dyDescent="0.2">
      <c r="A377" s="3" t="str">
        <f>'1. Master Data'!A377</f>
        <v>NT10373</v>
      </c>
      <c r="B377" s="1" t="str">
        <f>'1. Master Data'!B377</f>
        <v>ActionCam 184 4K</v>
      </c>
      <c r="C377" s="3" t="str">
        <f>'1. Master Data'!C377</f>
        <v>Cameras</v>
      </c>
      <c r="D377" s="3" t="str">
        <f>'1. Master Data'!D377</f>
        <v>Central DC</v>
      </c>
      <c r="E377" s="3" t="str">
        <f>'1. Master Data'!H377</f>
        <v>Active</v>
      </c>
      <c r="F377" s="4">
        <f>'1. Master Data'!F377</f>
        <v>252</v>
      </c>
      <c r="G377" s="3">
        <f>'1. Master Data'!I377</f>
        <v>82</v>
      </c>
      <c r="H377" s="15">
        <f t="shared" si="26"/>
        <v>20664</v>
      </c>
      <c r="I377" s="3">
        <f>'1. Master Data'!J377</f>
        <v>44</v>
      </c>
      <c r="J377" s="5" t="str">
        <f t="shared" si="27"/>
        <v>Watch</v>
      </c>
      <c r="K377" s="3">
        <f>IF('3. Demand Forecast'!F377=0,99,ROUND(G377/'3. Demand Forecast'!F377,1))</f>
        <v>2.7</v>
      </c>
      <c r="L377" s="3">
        <f>IF(G377=0,0,ROUND('4. ABC XYZ Analysis'!F377/G377,1))</f>
        <v>5.4</v>
      </c>
      <c r="M377" s="5" t="str">
        <f t="shared" si="28"/>
        <v>OK</v>
      </c>
      <c r="N377" s="4">
        <f t="shared" si="29"/>
        <v>0</v>
      </c>
      <c r="O377" s="1" t="str">
        <f t="shared" si="30"/>
        <v>Healthy</v>
      </c>
    </row>
    <row r="378" spans="1:15" ht="15" customHeight="1" x14ac:dyDescent="0.2">
      <c r="A378" s="3" t="str">
        <f>'1. Master Data'!A378</f>
        <v>NT10374</v>
      </c>
      <c r="B378" s="1" t="str">
        <f>'1. Master Data'!B378</f>
        <v>OptiZoom 250 DSLR</v>
      </c>
      <c r="C378" s="3" t="str">
        <f>'1. Master Data'!C378</f>
        <v>Cameras</v>
      </c>
      <c r="D378" s="3" t="str">
        <f>'1. Master Data'!D378</f>
        <v>East DC</v>
      </c>
      <c r="E378" s="3" t="str">
        <f>'1. Master Data'!H378</f>
        <v>Active</v>
      </c>
      <c r="F378" s="4">
        <f>'1. Master Data'!F378</f>
        <v>817</v>
      </c>
      <c r="G378" s="3">
        <f>'1. Master Data'!I378</f>
        <v>44</v>
      </c>
      <c r="H378" s="15">
        <f t="shared" si="26"/>
        <v>35948</v>
      </c>
      <c r="I378" s="3">
        <f>'1. Master Data'!J378</f>
        <v>54</v>
      </c>
      <c r="J378" s="5" t="str">
        <f t="shared" si="27"/>
        <v>Watch</v>
      </c>
      <c r="K378" s="3">
        <f>IF('3. Demand Forecast'!F378=0,99,ROUND(G378/'3. Demand Forecast'!F378,1))</f>
        <v>2.6</v>
      </c>
      <c r="L378" s="3">
        <f>IF(G378=0,0,ROUND('4. ABC XYZ Analysis'!F378/G378,1))</f>
        <v>37</v>
      </c>
      <c r="M378" s="5" t="str">
        <f t="shared" si="28"/>
        <v>OK</v>
      </c>
      <c r="N378" s="4">
        <f t="shared" si="29"/>
        <v>0</v>
      </c>
      <c r="O378" s="1" t="str">
        <f t="shared" si="30"/>
        <v>Healthy</v>
      </c>
    </row>
    <row r="379" spans="1:15" ht="15" customHeight="1" x14ac:dyDescent="0.2">
      <c r="A379" s="3" t="str">
        <f>'1. Master Data'!A379</f>
        <v>NT10375</v>
      </c>
      <c r="B379" s="1" t="str">
        <f>'1. Master Data'!B379</f>
        <v>ActionCam 660 4K</v>
      </c>
      <c r="C379" s="3" t="str">
        <f>'1. Master Data'!C379</f>
        <v>Cameras</v>
      </c>
      <c r="D379" s="3" t="str">
        <f>'1. Master Data'!D379</f>
        <v>Central DC</v>
      </c>
      <c r="E379" s="3" t="str">
        <f>'1. Master Data'!H379</f>
        <v>Active</v>
      </c>
      <c r="F379" s="4">
        <f>'1. Master Data'!F379</f>
        <v>193</v>
      </c>
      <c r="G379" s="3">
        <f>'1. Master Data'!I379</f>
        <v>16</v>
      </c>
      <c r="H379" s="15">
        <f t="shared" si="26"/>
        <v>3088</v>
      </c>
      <c r="I379" s="3">
        <f>'1. Master Data'!J379</f>
        <v>35</v>
      </c>
      <c r="J379" s="5" t="str">
        <f t="shared" si="27"/>
        <v>Watch</v>
      </c>
      <c r="K379" s="3">
        <f>IF('3. Demand Forecast'!F379=0,99,ROUND(G379/'3. Demand Forecast'!F379,1))</f>
        <v>3.2</v>
      </c>
      <c r="L379" s="3">
        <f>IF(G379=0,0,ROUND('4. ABC XYZ Analysis'!F379/G379,1))</f>
        <v>6.1</v>
      </c>
      <c r="M379" s="5" t="str">
        <f t="shared" si="28"/>
        <v>OK</v>
      </c>
      <c r="N379" s="4">
        <f t="shared" si="29"/>
        <v>0</v>
      </c>
      <c r="O379" s="1" t="str">
        <f t="shared" si="30"/>
        <v>Healthy</v>
      </c>
    </row>
    <row r="380" spans="1:15" ht="15" customHeight="1" x14ac:dyDescent="0.2">
      <c r="A380" s="3" t="str">
        <f>'1. Master Data'!A380</f>
        <v>NT10376</v>
      </c>
      <c r="B380" s="1" t="str">
        <f>'1. Master Data'!B380</f>
        <v>TravelShot 472 Compact</v>
      </c>
      <c r="C380" s="3" t="str">
        <f>'1. Master Data'!C380</f>
        <v>Cameras</v>
      </c>
      <c r="D380" s="3" t="str">
        <f>'1. Master Data'!D380</f>
        <v>East DC</v>
      </c>
      <c r="E380" s="3" t="str">
        <f>'1. Master Data'!H380</f>
        <v>Active</v>
      </c>
      <c r="F380" s="4">
        <f>'1. Master Data'!F380</f>
        <v>281</v>
      </c>
      <c r="G380" s="3">
        <f>'1. Master Data'!I380</f>
        <v>15</v>
      </c>
      <c r="H380" s="15">
        <f t="shared" si="26"/>
        <v>4215</v>
      </c>
      <c r="I380" s="3">
        <f>'1. Master Data'!J380</f>
        <v>191</v>
      </c>
      <c r="J380" s="5" t="str">
        <f t="shared" si="27"/>
        <v>Obsolete Risk</v>
      </c>
      <c r="K380" s="3">
        <f>IF('3. Demand Forecast'!F380=0,99,ROUND(G380/'3. Demand Forecast'!F380,1))</f>
        <v>4.4000000000000004</v>
      </c>
      <c r="L380" s="3">
        <f>IF(G380=0,0,ROUND('4. ABC XYZ Analysis'!F380/G380,1))</f>
        <v>38</v>
      </c>
      <c r="M380" s="5" t="str">
        <f t="shared" si="28"/>
        <v>EXCESS</v>
      </c>
      <c r="N380" s="4">
        <f t="shared" si="29"/>
        <v>4215</v>
      </c>
      <c r="O380" s="1" t="str">
        <f t="shared" si="30"/>
        <v>Disposition Review</v>
      </c>
    </row>
    <row r="381" spans="1:15" ht="15" customHeight="1" x14ac:dyDescent="0.2">
      <c r="A381" s="3" t="str">
        <f>'1. Master Data'!A381</f>
        <v>NT10377</v>
      </c>
      <c r="B381" s="1" t="str">
        <f>'1. Master Data'!B381</f>
        <v>MirrorlessM 687</v>
      </c>
      <c r="C381" s="3" t="str">
        <f>'1. Master Data'!C381</f>
        <v>Cameras</v>
      </c>
      <c r="D381" s="3" t="str">
        <f>'1. Master Data'!D381</f>
        <v>West DC</v>
      </c>
      <c r="E381" s="3" t="str">
        <f>'1. Master Data'!H381</f>
        <v>Active</v>
      </c>
      <c r="F381" s="4">
        <f>'1. Master Data'!F381</f>
        <v>354</v>
      </c>
      <c r="G381" s="3">
        <f>'1. Master Data'!I381</f>
        <v>27</v>
      </c>
      <c r="H381" s="15">
        <f t="shared" si="26"/>
        <v>9558</v>
      </c>
      <c r="I381" s="3">
        <f>'1. Master Data'!J381</f>
        <v>54</v>
      </c>
      <c r="J381" s="5" t="str">
        <f t="shared" si="27"/>
        <v>Watch</v>
      </c>
      <c r="K381" s="3">
        <f>IF('3. Demand Forecast'!F381=0,99,ROUND(G381/'3. Demand Forecast'!F381,1))</f>
        <v>2.5</v>
      </c>
      <c r="L381" s="3">
        <f>IF(G381=0,0,ROUND('4. ABC XYZ Analysis'!F381/G381,1))</f>
        <v>10.4</v>
      </c>
      <c r="M381" s="5" t="str">
        <f t="shared" si="28"/>
        <v>OK</v>
      </c>
      <c r="N381" s="4">
        <f t="shared" si="29"/>
        <v>0</v>
      </c>
      <c r="O381" s="1" t="str">
        <f t="shared" si="30"/>
        <v>Healthy</v>
      </c>
    </row>
    <row r="382" spans="1:15" ht="15" customHeight="1" x14ac:dyDescent="0.2">
      <c r="A382" s="3" t="str">
        <f>'1. Master Data'!A382</f>
        <v>NT10378</v>
      </c>
      <c r="B382" s="1" t="str">
        <f>'1. Master Data'!B382</f>
        <v>TravelShot 774 Compact</v>
      </c>
      <c r="C382" s="3" t="str">
        <f>'1. Master Data'!C382</f>
        <v>Cameras</v>
      </c>
      <c r="D382" s="3" t="str">
        <f>'1. Master Data'!D382</f>
        <v>West DC</v>
      </c>
      <c r="E382" s="3" t="str">
        <f>'1. Master Data'!H382</f>
        <v>Active</v>
      </c>
      <c r="F382" s="4">
        <f>'1. Master Data'!F382</f>
        <v>574</v>
      </c>
      <c r="G382" s="3">
        <f>'1. Master Data'!I382</f>
        <v>15</v>
      </c>
      <c r="H382" s="15">
        <f t="shared" si="26"/>
        <v>8610</v>
      </c>
      <c r="I382" s="3">
        <f>'1. Master Data'!J382</f>
        <v>12</v>
      </c>
      <c r="J382" s="5" t="str">
        <f t="shared" si="27"/>
        <v>Fresh</v>
      </c>
      <c r="K382" s="3">
        <f>IF('3. Demand Forecast'!F382=0,99,ROUND(G382/'3. Demand Forecast'!F382,1))</f>
        <v>2.7</v>
      </c>
      <c r="L382" s="3">
        <f>IF(G382=0,0,ROUND('4. ABC XYZ Analysis'!F382/G382,1))</f>
        <v>84</v>
      </c>
      <c r="M382" s="5" t="str">
        <f t="shared" si="28"/>
        <v>OK</v>
      </c>
      <c r="N382" s="4">
        <f t="shared" si="29"/>
        <v>0</v>
      </c>
      <c r="O382" s="1" t="str">
        <f t="shared" si="30"/>
        <v>Healthy</v>
      </c>
    </row>
    <row r="383" spans="1:15" ht="15" customHeight="1" x14ac:dyDescent="0.2">
      <c r="A383" s="3" t="str">
        <f>'1. Master Data'!A383</f>
        <v>NT10379</v>
      </c>
      <c r="B383" s="1" t="str">
        <f>'1. Master Data'!B383</f>
        <v>ActionCam 760 4K</v>
      </c>
      <c r="C383" s="3" t="str">
        <f>'1. Master Data'!C383</f>
        <v>Cameras</v>
      </c>
      <c r="D383" s="3" t="str">
        <f>'1. Master Data'!D383</f>
        <v>East DC</v>
      </c>
      <c r="E383" s="3" t="str">
        <f>'1. Master Data'!H383</f>
        <v>Active</v>
      </c>
      <c r="F383" s="4">
        <f>'1. Master Data'!F383</f>
        <v>350</v>
      </c>
      <c r="G383" s="3">
        <f>'1. Master Data'!I383</f>
        <v>32</v>
      </c>
      <c r="H383" s="15">
        <f t="shared" si="26"/>
        <v>11200</v>
      </c>
      <c r="I383" s="3">
        <f>'1. Master Data'!J383</f>
        <v>166</v>
      </c>
      <c r="J383" s="5" t="str">
        <f t="shared" si="27"/>
        <v>Aged</v>
      </c>
      <c r="K383" s="3">
        <f>IF('3. Demand Forecast'!F383=0,99,ROUND(G383/'3. Demand Forecast'!F383,1))</f>
        <v>3.6</v>
      </c>
      <c r="L383" s="3">
        <f>IF(G383=0,0,ROUND('4. ABC XYZ Analysis'!F383/G383,1))</f>
        <v>15.7</v>
      </c>
      <c r="M383" s="5" t="str">
        <f t="shared" si="28"/>
        <v>EXCESS</v>
      </c>
      <c r="N383" s="4">
        <f t="shared" si="29"/>
        <v>11200</v>
      </c>
      <c r="O383" s="1" t="str">
        <f t="shared" si="30"/>
        <v>Reduce orders and monitor</v>
      </c>
    </row>
    <row r="384" spans="1:15" ht="15" customHeight="1" x14ac:dyDescent="0.2">
      <c r="A384" s="3" t="str">
        <f>'1. Master Data'!A384</f>
        <v>NT10380</v>
      </c>
      <c r="B384" s="1" t="str">
        <f>'1. Master Data'!B384</f>
        <v>ActionCam 649 4K</v>
      </c>
      <c r="C384" s="3" t="str">
        <f>'1. Master Data'!C384</f>
        <v>Cameras</v>
      </c>
      <c r="D384" s="3" t="str">
        <f>'1. Master Data'!D384</f>
        <v>West DC</v>
      </c>
      <c r="E384" s="3" t="str">
        <f>'1. Master Data'!H384</f>
        <v>Active</v>
      </c>
      <c r="F384" s="4">
        <f>'1. Master Data'!F384</f>
        <v>226</v>
      </c>
      <c r="G384" s="3">
        <f>'1. Master Data'!I384</f>
        <v>112</v>
      </c>
      <c r="H384" s="15">
        <f t="shared" si="26"/>
        <v>25312</v>
      </c>
      <c r="I384" s="3">
        <f>'1. Master Data'!J384</f>
        <v>9</v>
      </c>
      <c r="J384" s="5" t="str">
        <f t="shared" si="27"/>
        <v>Fresh</v>
      </c>
      <c r="K384" s="3">
        <f>IF('3. Demand Forecast'!F384=0,99,ROUND(G384/'3. Demand Forecast'!F384,1))</f>
        <v>1.4</v>
      </c>
      <c r="L384" s="3">
        <f>IF(G384=0,0,ROUND('4. ABC XYZ Analysis'!F384/G384,1))</f>
        <v>1.3</v>
      </c>
      <c r="M384" s="5" t="str">
        <f t="shared" si="28"/>
        <v>OK</v>
      </c>
      <c r="N384" s="4">
        <f t="shared" si="29"/>
        <v>0</v>
      </c>
      <c r="O384" s="1" t="str">
        <f t="shared" si="30"/>
        <v>Healthy</v>
      </c>
    </row>
    <row r="385" spans="1:15" ht="15" customHeight="1" x14ac:dyDescent="0.2">
      <c r="A385" s="3" t="str">
        <f>'1. Master Data'!A385</f>
        <v>NT10381</v>
      </c>
      <c r="B385" s="1" t="str">
        <f>'1. Master Data'!B385</f>
        <v>ActionCam 391 4K</v>
      </c>
      <c r="C385" s="3" t="str">
        <f>'1. Master Data'!C385</f>
        <v>Cameras</v>
      </c>
      <c r="D385" s="3" t="str">
        <f>'1. Master Data'!D385</f>
        <v>Central DC</v>
      </c>
      <c r="E385" s="3" t="str">
        <f>'1. Master Data'!H385</f>
        <v>Active</v>
      </c>
      <c r="F385" s="4">
        <f>'1. Master Data'!F385</f>
        <v>400</v>
      </c>
      <c r="G385" s="3">
        <f>'1. Master Data'!I385</f>
        <v>135</v>
      </c>
      <c r="H385" s="15">
        <f t="shared" si="26"/>
        <v>54000</v>
      </c>
      <c r="I385" s="3">
        <f>'1. Master Data'!J385</f>
        <v>65</v>
      </c>
      <c r="J385" s="5" t="str">
        <f t="shared" si="27"/>
        <v>Watch</v>
      </c>
      <c r="K385" s="3">
        <f>IF('3. Demand Forecast'!F385=0,99,ROUND(G385/'3. Demand Forecast'!F385,1))</f>
        <v>1.3</v>
      </c>
      <c r="L385" s="3">
        <f>IF(G385=0,0,ROUND('4. ABC XYZ Analysis'!F385/G385,1))</f>
        <v>1.9</v>
      </c>
      <c r="M385" s="5" t="str">
        <f t="shared" si="28"/>
        <v>OK</v>
      </c>
      <c r="N385" s="4">
        <f t="shared" si="29"/>
        <v>0</v>
      </c>
      <c r="O385" s="1" t="str">
        <f t="shared" si="30"/>
        <v>Healthy</v>
      </c>
    </row>
    <row r="386" spans="1:15" ht="15" customHeight="1" x14ac:dyDescent="0.2">
      <c r="A386" s="3" t="str">
        <f>'1. Master Data'!A386</f>
        <v>NT10382</v>
      </c>
      <c r="B386" s="1" t="str">
        <f>'1. Master Data'!B386</f>
        <v>TravelShot 847 Compact</v>
      </c>
      <c r="C386" s="3" t="str">
        <f>'1. Master Data'!C386</f>
        <v>Cameras</v>
      </c>
      <c r="D386" s="3" t="str">
        <f>'1. Master Data'!D386</f>
        <v>East DC</v>
      </c>
      <c r="E386" s="3" t="str">
        <f>'1. Master Data'!H386</f>
        <v>Active</v>
      </c>
      <c r="F386" s="4">
        <f>'1. Master Data'!F386</f>
        <v>362</v>
      </c>
      <c r="G386" s="3">
        <f>'1. Master Data'!I386</f>
        <v>9</v>
      </c>
      <c r="H386" s="15">
        <f t="shared" si="26"/>
        <v>3258</v>
      </c>
      <c r="I386" s="3">
        <f>'1. Master Data'!J386</f>
        <v>37</v>
      </c>
      <c r="J386" s="5" t="str">
        <f t="shared" si="27"/>
        <v>Watch</v>
      </c>
      <c r="K386" s="3">
        <f>IF('3. Demand Forecast'!F386=0,99,ROUND(G386/'3. Demand Forecast'!F386,1))</f>
        <v>2.6</v>
      </c>
      <c r="L386" s="3">
        <f>IF(G386=0,0,ROUND('4. ABC XYZ Analysis'!F386/G386,1))</f>
        <v>100</v>
      </c>
      <c r="M386" s="5" t="str">
        <f t="shared" si="28"/>
        <v>OK</v>
      </c>
      <c r="N386" s="4">
        <f t="shared" si="29"/>
        <v>0</v>
      </c>
      <c r="O386" s="1" t="str">
        <f t="shared" si="30"/>
        <v>Healthy</v>
      </c>
    </row>
    <row r="387" spans="1:15" ht="15" customHeight="1" x14ac:dyDescent="0.2">
      <c r="A387" s="3" t="str">
        <f>'1. Master Data'!A387</f>
        <v>NT10383</v>
      </c>
      <c r="B387" s="1" t="str">
        <f>'1. Master Data'!B387</f>
        <v>MirrorlessM 561</v>
      </c>
      <c r="C387" s="3" t="str">
        <f>'1. Master Data'!C387</f>
        <v>Cameras</v>
      </c>
      <c r="D387" s="3" t="str">
        <f>'1. Master Data'!D387</f>
        <v>Central DC</v>
      </c>
      <c r="E387" s="3" t="str">
        <f>'1. Master Data'!H387</f>
        <v>Active</v>
      </c>
      <c r="F387" s="4">
        <f>'1. Master Data'!F387</f>
        <v>814</v>
      </c>
      <c r="G387" s="3">
        <f>'1. Master Data'!I387</f>
        <v>50</v>
      </c>
      <c r="H387" s="15">
        <f t="shared" si="26"/>
        <v>40700</v>
      </c>
      <c r="I387" s="3">
        <f>'1. Master Data'!J387</f>
        <v>170</v>
      </c>
      <c r="J387" s="5" t="str">
        <f t="shared" si="27"/>
        <v>Aged</v>
      </c>
      <c r="K387" s="3">
        <f>IF('3. Demand Forecast'!F387=0,99,ROUND(G387/'3. Demand Forecast'!F387,1))</f>
        <v>3.8</v>
      </c>
      <c r="L387" s="3">
        <f>IF(G387=0,0,ROUND('4. ABC XYZ Analysis'!F387/G387,1))</f>
        <v>2.7</v>
      </c>
      <c r="M387" s="5" t="str">
        <f t="shared" si="28"/>
        <v>EXCESS</v>
      </c>
      <c r="N387" s="4">
        <f t="shared" si="29"/>
        <v>40700</v>
      </c>
      <c r="O387" s="1" t="str">
        <f t="shared" si="30"/>
        <v>Reduce orders and monitor</v>
      </c>
    </row>
    <row r="388" spans="1:15" ht="15" customHeight="1" x14ac:dyDescent="0.2">
      <c r="A388" s="3" t="str">
        <f>'1. Master Data'!A388</f>
        <v>NT10384</v>
      </c>
      <c r="B388" s="1" t="str">
        <f>'1. Master Data'!B388</f>
        <v>MirrorlessM 246</v>
      </c>
      <c r="C388" s="3" t="str">
        <f>'1. Master Data'!C388</f>
        <v>Cameras</v>
      </c>
      <c r="D388" s="3" t="str">
        <f>'1. Master Data'!D388</f>
        <v>Central DC</v>
      </c>
      <c r="E388" s="3" t="str">
        <f>'1. Master Data'!H388</f>
        <v>Active</v>
      </c>
      <c r="F388" s="4">
        <f>'1. Master Data'!F388</f>
        <v>358</v>
      </c>
      <c r="G388" s="3">
        <f>'1. Master Data'!I388</f>
        <v>33</v>
      </c>
      <c r="H388" s="15">
        <f t="shared" si="26"/>
        <v>11814</v>
      </c>
      <c r="I388" s="3">
        <f>'1. Master Data'!J388</f>
        <v>10</v>
      </c>
      <c r="J388" s="5" t="str">
        <f t="shared" si="27"/>
        <v>Fresh</v>
      </c>
      <c r="K388" s="3">
        <f>IF('3. Demand Forecast'!F388=0,99,ROUND(G388/'3. Demand Forecast'!F388,1))</f>
        <v>2.9</v>
      </c>
      <c r="L388" s="3">
        <f>IF(G388=0,0,ROUND('4. ABC XYZ Analysis'!F388/G388,1))</f>
        <v>79.900000000000006</v>
      </c>
      <c r="M388" s="5" t="str">
        <f t="shared" si="28"/>
        <v>OK</v>
      </c>
      <c r="N388" s="4">
        <f t="shared" si="29"/>
        <v>0</v>
      </c>
      <c r="O388" s="1" t="str">
        <f t="shared" si="30"/>
        <v>Healthy</v>
      </c>
    </row>
    <row r="389" spans="1:15" ht="15" customHeight="1" x14ac:dyDescent="0.2">
      <c r="A389" s="3" t="str">
        <f>'1. Master Data'!A389</f>
        <v>NT10385</v>
      </c>
      <c r="B389" s="1" t="str">
        <f>'1. Master Data'!B389</f>
        <v>ActionCam 664 4K</v>
      </c>
      <c r="C389" s="3" t="str">
        <f>'1. Master Data'!C389</f>
        <v>Cameras</v>
      </c>
      <c r="D389" s="3" t="str">
        <f>'1. Master Data'!D389</f>
        <v>Central DC</v>
      </c>
      <c r="E389" s="3" t="str">
        <f>'1. Master Data'!H389</f>
        <v>Active</v>
      </c>
      <c r="F389" s="4">
        <f>'1. Master Data'!F389</f>
        <v>221</v>
      </c>
      <c r="G389" s="3">
        <f>'1. Master Data'!I389</f>
        <v>20</v>
      </c>
      <c r="H389" s="15">
        <f t="shared" ref="H389:H452" si="31">F389*G389</f>
        <v>4420</v>
      </c>
      <c r="I389" s="3">
        <f>'1. Master Data'!J389</f>
        <v>33</v>
      </c>
      <c r="J389" s="5" t="str">
        <f t="shared" ref="J389:J452" si="32">IF(I389&lt;=30,"Fresh",IF(I389&lt;=90,"Watch",IF(I389&lt;=180,"Aged","Obsolete Risk")))</f>
        <v>Watch</v>
      </c>
      <c r="K389" s="3">
        <f>IF('3. Demand Forecast'!F389=0,99,ROUND(G389/'3. Demand Forecast'!F389,1))</f>
        <v>2</v>
      </c>
      <c r="L389" s="3">
        <f>IF(G389=0,0,ROUND('4. ABC XYZ Analysis'!F389/G389,1))</f>
        <v>38.299999999999997</v>
      </c>
      <c r="M389" s="5" t="str">
        <f t="shared" ref="M389:M452" si="33">IF(OR(E389="EOL",I389&gt;90,K389&gt;6),"EXCESS","OK")</f>
        <v>OK</v>
      </c>
      <c r="N389" s="4">
        <f t="shared" ref="N389:N452" si="34">IF(M389="EXCESS",H389,0)</f>
        <v>0</v>
      </c>
      <c r="O389" s="1" t="str">
        <f t="shared" ref="O389:O452" si="35">IF(E389="EOL","Scrap / Liquidate",IF(I389&gt;180,"Disposition Review",IF(M389="EXCESS","Reduce orders and monitor","Healthy")))</f>
        <v>Healthy</v>
      </c>
    </row>
    <row r="390" spans="1:15" ht="15" customHeight="1" x14ac:dyDescent="0.2">
      <c r="A390" s="3" t="str">
        <f>'1. Master Data'!A390</f>
        <v>NT10386</v>
      </c>
      <c r="B390" s="1" t="str">
        <f>'1. Master Data'!B390</f>
        <v>TravelShot 287 Compact</v>
      </c>
      <c r="C390" s="3" t="str">
        <f>'1. Master Data'!C390</f>
        <v>Cameras</v>
      </c>
      <c r="D390" s="3" t="str">
        <f>'1. Master Data'!D390</f>
        <v>West DC</v>
      </c>
      <c r="E390" s="3" t="str">
        <f>'1. Master Data'!H390</f>
        <v>Active</v>
      </c>
      <c r="F390" s="4">
        <f>'1. Master Data'!F390</f>
        <v>376</v>
      </c>
      <c r="G390" s="3">
        <f>'1. Master Data'!I390</f>
        <v>29</v>
      </c>
      <c r="H390" s="15">
        <f t="shared" si="31"/>
        <v>10904</v>
      </c>
      <c r="I390" s="3">
        <f>'1. Master Data'!J390</f>
        <v>54</v>
      </c>
      <c r="J390" s="5" t="str">
        <f t="shared" si="32"/>
        <v>Watch</v>
      </c>
      <c r="K390" s="3">
        <f>IF('3. Demand Forecast'!F390=0,99,ROUND(G390/'3. Demand Forecast'!F390,1))</f>
        <v>4</v>
      </c>
      <c r="L390" s="3">
        <f>IF(G390=0,0,ROUND('4. ABC XYZ Analysis'!F390/G390,1))</f>
        <v>3.1</v>
      </c>
      <c r="M390" s="5" t="str">
        <f t="shared" si="33"/>
        <v>OK</v>
      </c>
      <c r="N390" s="4">
        <f t="shared" si="34"/>
        <v>0</v>
      </c>
      <c r="O390" s="1" t="str">
        <f t="shared" si="35"/>
        <v>Healthy</v>
      </c>
    </row>
    <row r="391" spans="1:15" ht="15" customHeight="1" x14ac:dyDescent="0.2">
      <c r="A391" s="3" t="str">
        <f>'1. Master Data'!A391</f>
        <v>NT10387</v>
      </c>
      <c r="B391" s="1" t="str">
        <f>'1. Master Data'!B391</f>
        <v>OptiZoom 998 DSLR</v>
      </c>
      <c r="C391" s="3" t="str">
        <f>'1. Master Data'!C391</f>
        <v>Cameras</v>
      </c>
      <c r="D391" s="3" t="str">
        <f>'1. Master Data'!D391</f>
        <v>West DC</v>
      </c>
      <c r="E391" s="3" t="str">
        <f>'1. Master Data'!H391</f>
        <v>EOL</v>
      </c>
      <c r="F391" s="4">
        <f>'1. Master Data'!F391</f>
        <v>693</v>
      </c>
      <c r="G391" s="3">
        <f>'1. Master Data'!I391</f>
        <v>19</v>
      </c>
      <c r="H391" s="15">
        <f t="shared" si="31"/>
        <v>13167</v>
      </c>
      <c r="I391" s="3">
        <f>'1. Master Data'!J391</f>
        <v>247</v>
      </c>
      <c r="J391" s="5" t="str">
        <f t="shared" si="32"/>
        <v>Obsolete Risk</v>
      </c>
      <c r="K391" s="3">
        <f>IF('3. Demand Forecast'!F391=0,99,ROUND(G391/'3. Demand Forecast'!F391,1))</f>
        <v>14.6</v>
      </c>
      <c r="L391" s="3">
        <f>IF(G391=0,0,ROUND('4. ABC XYZ Analysis'!F391/G391,1))</f>
        <v>2.9</v>
      </c>
      <c r="M391" s="5" t="str">
        <f t="shared" si="33"/>
        <v>EXCESS</v>
      </c>
      <c r="N391" s="4">
        <f t="shared" si="34"/>
        <v>13167</v>
      </c>
      <c r="O391" s="1" t="str">
        <f t="shared" si="35"/>
        <v>Scrap / Liquidate</v>
      </c>
    </row>
    <row r="392" spans="1:15" ht="15" customHeight="1" x14ac:dyDescent="0.2">
      <c r="A392" s="3" t="str">
        <f>'1. Master Data'!A392</f>
        <v>NT10388</v>
      </c>
      <c r="B392" s="1" t="str">
        <f>'1. Master Data'!B392</f>
        <v>MirrorlessM 748</v>
      </c>
      <c r="C392" s="3" t="str">
        <f>'1. Master Data'!C392</f>
        <v>Cameras</v>
      </c>
      <c r="D392" s="3" t="str">
        <f>'1. Master Data'!D392</f>
        <v>East DC</v>
      </c>
      <c r="E392" s="3" t="str">
        <f>'1. Master Data'!H392</f>
        <v>Active</v>
      </c>
      <c r="F392" s="4">
        <f>'1. Master Data'!F392</f>
        <v>826</v>
      </c>
      <c r="G392" s="3">
        <f>'1. Master Data'!I392</f>
        <v>84</v>
      </c>
      <c r="H392" s="15">
        <f t="shared" si="31"/>
        <v>69384</v>
      </c>
      <c r="I392" s="3">
        <f>'1. Master Data'!J392</f>
        <v>175</v>
      </c>
      <c r="J392" s="5" t="str">
        <f t="shared" si="32"/>
        <v>Aged</v>
      </c>
      <c r="K392" s="3">
        <f>IF('3. Demand Forecast'!F392=0,99,ROUND(G392/'3. Demand Forecast'!F392,1))</f>
        <v>3.7</v>
      </c>
      <c r="L392" s="3">
        <f>IF(G392=0,0,ROUND('4. ABC XYZ Analysis'!F392/G392,1))</f>
        <v>28.1</v>
      </c>
      <c r="M392" s="5" t="str">
        <f t="shared" si="33"/>
        <v>EXCESS</v>
      </c>
      <c r="N392" s="4">
        <f t="shared" si="34"/>
        <v>69384</v>
      </c>
      <c r="O392" s="1" t="str">
        <f t="shared" si="35"/>
        <v>Reduce orders and monitor</v>
      </c>
    </row>
    <row r="393" spans="1:15" ht="15" customHeight="1" x14ac:dyDescent="0.2">
      <c r="A393" s="3" t="str">
        <f>'1. Master Data'!A393</f>
        <v>NT10389</v>
      </c>
      <c r="B393" s="1" t="str">
        <f>'1. Master Data'!B393</f>
        <v>MirrorlessM 942</v>
      </c>
      <c r="C393" s="3" t="str">
        <f>'1. Master Data'!C393</f>
        <v>Cameras</v>
      </c>
      <c r="D393" s="3" t="str">
        <f>'1. Master Data'!D393</f>
        <v>Central DC</v>
      </c>
      <c r="E393" s="3" t="str">
        <f>'1. Master Data'!H393</f>
        <v>Active</v>
      </c>
      <c r="F393" s="4">
        <f>'1. Master Data'!F393</f>
        <v>599</v>
      </c>
      <c r="G393" s="3">
        <f>'1. Master Data'!I393</f>
        <v>89</v>
      </c>
      <c r="H393" s="15">
        <f t="shared" si="31"/>
        <v>53311</v>
      </c>
      <c r="I393" s="3">
        <f>'1. Master Data'!J393</f>
        <v>52</v>
      </c>
      <c r="J393" s="5" t="str">
        <f t="shared" si="32"/>
        <v>Watch</v>
      </c>
      <c r="K393" s="3">
        <f>IF('3. Demand Forecast'!F393=0,99,ROUND(G393/'3. Demand Forecast'!F393,1))</f>
        <v>2.7</v>
      </c>
      <c r="L393" s="3">
        <f>IF(G393=0,0,ROUND('4. ABC XYZ Analysis'!F393/G393,1))</f>
        <v>1.5</v>
      </c>
      <c r="M393" s="5" t="str">
        <f t="shared" si="33"/>
        <v>OK</v>
      </c>
      <c r="N393" s="4">
        <f t="shared" si="34"/>
        <v>0</v>
      </c>
      <c r="O393" s="1" t="str">
        <f t="shared" si="35"/>
        <v>Healthy</v>
      </c>
    </row>
    <row r="394" spans="1:15" ht="15" customHeight="1" x14ac:dyDescent="0.2">
      <c r="A394" s="3" t="str">
        <f>'1. Master Data'!A394</f>
        <v>NT10390</v>
      </c>
      <c r="B394" s="1" t="str">
        <f>'1. Master Data'!B394</f>
        <v>ActionCam 753 4K</v>
      </c>
      <c r="C394" s="3" t="str">
        <f>'1. Master Data'!C394</f>
        <v>Cameras</v>
      </c>
      <c r="D394" s="3" t="str">
        <f>'1. Master Data'!D394</f>
        <v>Central DC</v>
      </c>
      <c r="E394" s="3" t="str">
        <f>'1. Master Data'!H394</f>
        <v>Active</v>
      </c>
      <c r="F394" s="4">
        <f>'1. Master Data'!F394</f>
        <v>281</v>
      </c>
      <c r="G394" s="3">
        <f>'1. Master Data'!I394</f>
        <v>30</v>
      </c>
      <c r="H394" s="15">
        <f t="shared" si="31"/>
        <v>8430</v>
      </c>
      <c r="I394" s="3">
        <f>'1. Master Data'!J394</f>
        <v>17</v>
      </c>
      <c r="J394" s="5" t="str">
        <f t="shared" si="32"/>
        <v>Fresh</v>
      </c>
      <c r="K394" s="3">
        <f>IF('3. Demand Forecast'!F394=0,99,ROUND(G394/'3. Demand Forecast'!F394,1))</f>
        <v>2</v>
      </c>
      <c r="L394" s="3">
        <f>IF(G394=0,0,ROUND('4. ABC XYZ Analysis'!F394/G394,1))</f>
        <v>100.2</v>
      </c>
      <c r="M394" s="5" t="str">
        <f t="shared" si="33"/>
        <v>OK</v>
      </c>
      <c r="N394" s="4">
        <f t="shared" si="34"/>
        <v>0</v>
      </c>
      <c r="O394" s="1" t="str">
        <f t="shared" si="35"/>
        <v>Healthy</v>
      </c>
    </row>
    <row r="395" spans="1:15" ht="15" customHeight="1" x14ac:dyDescent="0.2">
      <c r="A395" s="3" t="str">
        <f>'1. Master Data'!A395</f>
        <v>NT10391</v>
      </c>
      <c r="B395" s="1" t="str">
        <f>'1. Master Data'!B395</f>
        <v>OptiZoom 169 DSLR</v>
      </c>
      <c r="C395" s="3" t="str">
        <f>'1. Master Data'!C395</f>
        <v>Cameras</v>
      </c>
      <c r="D395" s="3" t="str">
        <f>'1. Master Data'!D395</f>
        <v>East DC</v>
      </c>
      <c r="E395" s="3" t="str">
        <f>'1. Master Data'!H395</f>
        <v>Active</v>
      </c>
      <c r="F395" s="4">
        <f>'1. Master Data'!F395</f>
        <v>686</v>
      </c>
      <c r="G395" s="3">
        <f>'1. Master Data'!I395</f>
        <v>50</v>
      </c>
      <c r="H395" s="15">
        <f t="shared" si="31"/>
        <v>34300</v>
      </c>
      <c r="I395" s="3">
        <f>'1. Master Data'!J395</f>
        <v>1</v>
      </c>
      <c r="J395" s="5" t="str">
        <f t="shared" si="32"/>
        <v>Fresh</v>
      </c>
      <c r="K395" s="3">
        <f>IF('3. Demand Forecast'!F395=0,99,ROUND(G395/'3. Demand Forecast'!F395,1))</f>
        <v>1.9</v>
      </c>
      <c r="L395" s="3">
        <f>IF(G395=0,0,ROUND('4. ABC XYZ Analysis'!F395/G395,1))</f>
        <v>22.3</v>
      </c>
      <c r="M395" s="5" t="str">
        <f t="shared" si="33"/>
        <v>OK</v>
      </c>
      <c r="N395" s="4">
        <f t="shared" si="34"/>
        <v>0</v>
      </c>
      <c r="O395" s="1" t="str">
        <f t="shared" si="35"/>
        <v>Healthy</v>
      </c>
    </row>
    <row r="396" spans="1:15" ht="15" customHeight="1" x14ac:dyDescent="0.2">
      <c r="A396" s="3" t="str">
        <f>'1. Master Data'!A396</f>
        <v>NT10392</v>
      </c>
      <c r="B396" s="1" t="str">
        <f>'1. Master Data'!B396</f>
        <v>OptiZoom 988 DSLR</v>
      </c>
      <c r="C396" s="3" t="str">
        <f>'1. Master Data'!C396</f>
        <v>Cameras</v>
      </c>
      <c r="D396" s="3" t="str">
        <f>'1. Master Data'!D396</f>
        <v>West DC</v>
      </c>
      <c r="E396" s="3" t="str">
        <f>'1. Master Data'!H396</f>
        <v>Active</v>
      </c>
      <c r="F396" s="4">
        <f>'1. Master Data'!F396</f>
        <v>731</v>
      </c>
      <c r="G396" s="3">
        <f>'1. Master Data'!I396</f>
        <v>42</v>
      </c>
      <c r="H396" s="15">
        <f t="shared" si="31"/>
        <v>30702</v>
      </c>
      <c r="I396" s="3">
        <f>'1. Master Data'!J396</f>
        <v>41</v>
      </c>
      <c r="J396" s="5" t="str">
        <f t="shared" si="32"/>
        <v>Watch</v>
      </c>
      <c r="K396" s="3">
        <f>IF('3. Demand Forecast'!F396=0,99,ROUND(G396/'3. Demand Forecast'!F396,1))</f>
        <v>1.3</v>
      </c>
      <c r="L396" s="3">
        <f>IF(G396=0,0,ROUND('4. ABC XYZ Analysis'!F396/G396,1))</f>
        <v>5.6</v>
      </c>
      <c r="M396" s="5" t="str">
        <f t="shared" si="33"/>
        <v>OK</v>
      </c>
      <c r="N396" s="4">
        <f t="shared" si="34"/>
        <v>0</v>
      </c>
      <c r="O396" s="1" t="str">
        <f t="shared" si="35"/>
        <v>Healthy</v>
      </c>
    </row>
    <row r="397" spans="1:15" ht="15" customHeight="1" x14ac:dyDescent="0.2">
      <c r="A397" s="3" t="str">
        <f>'1. Master Data'!A397</f>
        <v>NT10393</v>
      </c>
      <c r="B397" s="1" t="str">
        <f>'1. Master Data'!B397</f>
        <v>OptiZoom 452 DSLR</v>
      </c>
      <c r="C397" s="3" t="str">
        <f>'1. Master Data'!C397</f>
        <v>Cameras</v>
      </c>
      <c r="D397" s="3" t="str">
        <f>'1. Master Data'!D397</f>
        <v>Central DC</v>
      </c>
      <c r="E397" s="3" t="str">
        <f>'1. Master Data'!H397</f>
        <v>Active</v>
      </c>
      <c r="F397" s="4">
        <f>'1. Master Data'!F397</f>
        <v>215</v>
      </c>
      <c r="G397" s="3">
        <f>'1. Master Data'!I397</f>
        <v>53</v>
      </c>
      <c r="H397" s="15">
        <f t="shared" si="31"/>
        <v>11395</v>
      </c>
      <c r="I397" s="3">
        <f>'1. Master Data'!J397</f>
        <v>28</v>
      </c>
      <c r="J397" s="5" t="str">
        <f t="shared" si="32"/>
        <v>Fresh</v>
      </c>
      <c r="K397" s="3">
        <f>IF('3. Demand Forecast'!F397=0,99,ROUND(G397/'3. Demand Forecast'!F397,1))</f>
        <v>2.6</v>
      </c>
      <c r="L397" s="3">
        <f>IF(G397=0,0,ROUND('4. ABC XYZ Analysis'!F397/G397,1))</f>
        <v>4.7</v>
      </c>
      <c r="M397" s="5" t="str">
        <f t="shared" si="33"/>
        <v>OK</v>
      </c>
      <c r="N397" s="4">
        <f t="shared" si="34"/>
        <v>0</v>
      </c>
      <c r="O397" s="1" t="str">
        <f t="shared" si="35"/>
        <v>Healthy</v>
      </c>
    </row>
    <row r="398" spans="1:15" ht="15" customHeight="1" x14ac:dyDescent="0.2">
      <c r="A398" s="3" t="str">
        <f>'1. Master Data'!A398</f>
        <v>NT10394</v>
      </c>
      <c r="B398" s="1" t="str">
        <f>'1. Master Data'!B398</f>
        <v>MirrorlessM 247</v>
      </c>
      <c r="C398" s="3" t="str">
        <f>'1. Master Data'!C398</f>
        <v>Cameras</v>
      </c>
      <c r="D398" s="3" t="str">
        <f>'1. Master Data'!D398</f>
        <v>Central DC</v>
      </c>
      <c r="E398" s="3" t="str">
        <f>'1. Master Data'!H398</f>
        <v>Active</v>
      </c>
      <c r="F398" s="4">
        <f>'1. Master Data'!F398</f>
        <v>656</v>
      </c>
      <c r="G398" s="3">
        <f>'1. Master Data'!I398</f>
        <v>66</v>
      </c>
      <c r="H398" s="15">
        <f t="shared" si="31"/>
        <v>43296</v>
      </c>
      <c r="I398" s="3">
        <f>'1. Master Data'!J398</f>
        <v>2</v>
      </c>
      <c r="J398" s="5" t="str">
        <f t="shared" si="32"/>
        <v>Fresh</v>
      </c>
      <c r="K398" s="3">
        <f>IF('3. Demand Forecast'!F398=0,99,ROUND(G398/'3. Demand Forecast'!F398,1))</f>
        <v>2.2999999999999998</v>
      </c>
      <c r="L398" s="3">
        <f>IF(G398=0,0,ROUND('4. ABC XYZ Analysis'!F398/G398,1))</f>
        <v>14.6</v>
      </c>
      <c r="M398" s="5" t="str">
        <f t="shared" si="33"/>
        <v>OK</v>
      </c>
      <c r="N398" s="4">
        <f t="shared" si="34"/>
        <v>0</v>
      </c>
      <c r="O398" s="1" t="str">
        <f t="shared" si="35"/>
        <v>Healthy</v>
      </c>
    </row>
    <row r="399" spans="1:15" ht="15" customHeight="1" x14ac:dyDescent="0.2">
      <c r="A399" s="3" t="str">
        <f>'1. Master Data'!A399</f>
        <v>NT10395</v>
      </c>
      <c r="B399" s="1" t="str">
        <f>'1. Master Data'!B399</f>
        <v>ActionCam 102 4K</v>
      </c>
      <c r="C399" s="3" t="str">
        <f>'1. Master Data'!C399</f>
        <v>Cameras</v>
      </c>
      <c r="D399" s="3" t="str">
        <f>'1. Master Data'!D399</f>
        <v>East DC</v>
      </c>
      <c r="E399" s="3" t="str">
        <f>'1. Master Data'!H399</f>
        <v>Active</v>
      </c>
      <c r="F399" s="4">
        <f>'1. Master Data'!F399</f>
        <v>216</v>
      </c>
      <c r="G399" s="3">
        <f>'1. Master Data'!I399</f>
        <v>85</v>
      </c>
      <c r="H399" s="15">
        <f t="shared" si="31"/>
        <v>18360</v>
      </c>
      <c r="I399" s="3">
        <f>'1. Master Data'!J399</f>
        <v>18</v>
      </c>
      <c r="J399" s="5" t="str">
        <f t="shared" si="32"/>
        <v>Fresh</v>
      </c>
      <c r="K399" s="3">
        <f>IF('3. Demand Forecast'!F399=0,99,ROUND(G399/'3. Demand Forecast'!F399,1))</f>
        <v>2.5</v>
      </c>
      <c r="L399" s="3">
        <f>IF(G399=0,0,ROUND('4. ABC XYZ Analysis'!F399/G399,1))</f>
        <v>11.2</v>
      </c>
      <c r="M399" s="5" t="str">
        <f t="shared" si="33"/>
        <v>OK</v>
      </c>
      <c r="N399" s="4">
        <f t="shared" si="34"/>
        <v>0</v>
      </c>
      <c r="O399" s="1" t="str">
        <f t="shared" si="35"/>
        <v>Healthy</v>
      </c>
    </row>
    <row r="400" spans="1:15" ht="15" customHeight="1" x14ac:dyDescent="0.2">
      <c r="A400" s="3" t="str">
        <f>'1. Master Data'!A400</f>
        <v>NT10396</v>
      </c>
      <c r="B400" s="1" t="str">
        <f>'1. Master Data'!B400</f>
        <v>MirrorlessM 229</v>
      </c>
      <c r="C400" s="3" t="str">
        <f>'1. Master Data'!C400</f>
        <v>Cameras</v>
      </c>
      <c r="D400" s="3" t="str">
        <f>'1. Master Data'!D400</f>
        <v>Central DC</v>
      </c>
      <c r="E400" s="3" t="str">
        <f>'1. Master Data'!H400</f>
        <v>Active</v>
      </c>
      <c r="F400" s="4">
        <f>'1. Master Data'!F400</f>
        <v>1120</v>
      </c>
      <c r="G400" s="3">
        <f>'1. Master Data'!I400</f>
        <v>226</v>
      </c>
      <c r="H400" s="15">
        <f t="shared" si="31"/>
        <v>253120</v>
      </c>
      <c r="I400" s="3">
        <f>'1. Master Data'!J400</f>
        <v>4</v>
      </c>
      <c r="J400" s="5" t="str">
        <f t="shared" si="32"/>
        <v>Fresh</v>
      </c>
      <c r="K400" s="3">
        <f>IF('3. Demand Forecast'!F400=0,99,ROUND(G400/'3. Demand Forecast'!F400,1))</f>
        <v>1.4</v>
      </c>
      <c r="L400" s="3">
        <f>IF(G400=0,0,ROUND('4. ABC XYZ Analysis'!F400/G400,1))</f>
        <v>3.1</v>
      </c>
      <c r="M400" s="5" t="str">
        <f t="shared" si="33"/>
        <v>OK</v>
      </c>
      <c r="N400" s="4">
        <f t="shared" si="34"/>
        <v>0</v>
      </c>
      <c r="O400" s="1" t="str">
        <f t="shared" si="35"/>
        <v>Healthy</v>
      </c>
    </row>
    <row r="401" spans="1:15" ht="15" customHeight="1" x14ac:dyDescent="0.2">
      <c r="A401" s="3" t="str">
        <f>'1. Master Data'!A401</f>
        <v>NT10397</v>
      </c>
      <c r="B401" s="1" t="str">
        <f>'1. Master Data'!B401</f>
        <v>MirrorlessM 487</v>
      </c>
      <c r="C401" s="3" t="str">
        <f>'1. Master Data'!C401</f>
        <v>Cameras</v>
      </c>
      <c r="D401" s="3" t="str">
        <f>'1. Master Data'!D401</f>
        <v>Central DC</v>
      </c>
      <c r="E401" s="3" t="str">
        <f>'1. Master Data'!H401</f>
        <v>Active</v>
      </c>
      <c r="F401" s="4">
        <f>'1. Master Data'!F401</f>
        <v>275</v>
      </c>
      <c r="G401" s="3">
        <f>'1. Master Data'!I401</f>
        <v>8</v>
      </c>
      <c r="H401" s="15">
        <f t="shared" si="31"/>
        <v>2200</v>
      </c>
      <c r="I401" s="3">
        <f>'1. Master Data'!J401</f>
        <v>24</v>
      </c>
      <c r="J401" s="5" t="str">
        <f t="shared" si="32"/>
        <v>Fresh</v>
      </c>
      <c r="K401" s="3">
        <f>IF('3. Demand Forecast'!F401=0,99,ROUND(G401/'3. Demand Forecast'!F401,1))</f>
        <v>5.3</v>
      </c>
      <c r="L401" s="3">
        <f>IF(G401=0,0,ROUND('4. ABC XYZ Analysis'!F401/G401,1))</f>
        <v>37.5</v>
      </c>
      <c r="M401" s="5" t="str">
        <f t="shared" si="33"/>
        <v>OK</v>
      </c>
      <c r="N401" s="4">
        <f t="shared" si="34"/>
        <v>0</v>
      </c>
      <c r="O401" s="1" t="str">
        <f t="shared" si="35"/>
        <v>Healthy</v>
      </c>
    </row>
    <row r="402" spans="1:15" ht="15" customHeight="1" x14ac:dyDescent="0.2">
      <c r="A402" s="3" t="str">
        <f>'1. Master Data'!A402</f>
        <v>NT10398</v>
      </c>
      <c r="B402" s="1" t="str">
        <f>'1. Master Data'!B402</f>
        <v>MirrorlessM 330</v>
      </c>
      <c r="C402" s="3" t="str">
        <f>'1. Master Data'!C402</f>
        <v>Cameras</v>
      </c>
      <c r="D402" s="3" t="str">
        <f>'1. Master Data'!D402</f>
        <v>West DC</v>
      </c>
      <c r="E402" s="3" t="str">
        <f>'1. Master Data'!H402</f>
        <v>Active</v>
      </c>
      <c r="F402" s="4">
        <f>'1. Master Data'!F402</f>
        <v>174</v>
      </c>
      <c r="G402" s="3">
        <f>'1. Master Data'!I402</f>
        <v>39</v>
      </c>
      <c r="H402" s="15">
        <f t="shared" si="31"/>
        <v>6786</v>
      </c>
      <c r="I402" s="3">
        <f>'1. Master Data'!J402</f>
        <v>31</v>
      </c>
      <c r="J402" s="5" t="str">
        <f t="shared" si="32"/>
        <v>Watch</v>
      </c>
      <c r="K402" s="3">
        <f>IF('3. Demand Forecast'!F402=0,99,ROUND(G402/'3. Demand Forecast'!F402,1))</f>
        <v>2.6</v>
      </c>
      <c r="L402" s="3">
        <f>IF(G402=0,0,ROUND('4. ABC XYZ Analysis'!F402/G402,1))</f>
        <v>4.5999999999999996</v>
      </c>
      <c r="M402" s="5" t="str">
        <f t="shared" si="33"/>
        <v>OK</v>
      </c>
      <c r="N402" s="4">
        <f t="shared" si="34"/>
        <v>0</v>
      </c>
      <c r="O402" s="1" t="str">
        <f t="shared" si="35"/>
        <v>Healthy</v>
      </c>
    </row>
    <row r="403" spans="1:15" ht="15" customHeight="1" x14ac:dyDescent="0.2">
      <c r="A403" s="3" t="str">
        <f>'1. Master Data'!A403</f>
        <v>NT10399</v>
      </c>
      <c r="B403" s="1" t="str">
        <f>'1. Master Data'!B403</f>
        <v>OptiZoom 452 DSLR</v>
      </c>
      <c r="C403" s="3" t="str">
        <f>'1. Master Data'!C403</f>
        <v>Cameras</v>
      </c>
      <c r="D403" s="3" t="str">
        <f>'1. Master Data'!D403</f>
        <v>Central DC</v>
      </c>
      <c r="E403" s="3" t="str">
        <f>'1. Master Data'!H403</f>
        <v>Active</v>
      </c>
      <c r="F403" s="4">
        <f>'1. Master Data'!F403</f>
        <v>350</v>
      </c>
      <c r="G403" s="3">
        <f>'1. Master Data'!I403</f>
        <v>19</v>
      </c>
      <c r="H403" s="15">
        <f t="shared" si="31"/>
        <v>6650</v>
      </c>
      <c r="I403" s="3">
        <f>'1. Master Data'!J403</f>
        <v>69</v>
      </c>
      <c r="J403" s="5" t="str">
        <f t="shared" si="32"/>
        <v>Watch</v>
      </c>
      <c r="K403" s="3">
        <f>IF('3. Demand Forecast'!F403=0,99,ROUND(G403/'3. Demand Forecast'!F403,1))</f>
        <v>3</v>
      </c>
      <c r="L403" s="3">
        <f>IF(G403=0,0,ROUND('4. ABC XYZ Analysis'!F403/G403,1))</f>
        <v>27.8</v>
      </c>
      <c r="M403" s="5" t="str">
        <f t="shared" si="33"/>
        <v>OK</v>
      </c>
      <c r="N403" s="4">
        <f t="shared" si="34"/>
        <v>0</v>
      </c>
      <c r="O403" s="1" t="str">
        <f t="shared" si="35"/>
        <v>Healthy</v>
      </c>
    </row>
    <row r="404" spans="1:15" ht="15" customHeight="1" x14ac:dyDescent="0.2">
      <c r="A404" s="3" t="str">
        <f>'1. Master Data'!A404</f>
        <v>NT10400</v>
      </c>
      <c r="B404" s="1" t="str">
        <f>'1. Master Data'!B404</f>
        <v>OptiZoom 869 DSLR</v>
      </c>
      <c r="C404" s="3" t="str">
        <f>'1. Master Data'!C404</f>
        <v>Cameras</v>
      </c>
      <c r="D404" s="3" t="str">
        <f>'1. Master Data'!D404</f>
        <v>West DC</v>
      </c>
      <c r="E404" s="3" t="str">
        <f>'1. Master Data'!H404</f>
        <v>Active</v>
      </c>
      <c r="F404" s="4">
        <f>'1. Master Data'!F404</f>
        <v>419</v>
      </c>
      <c r="G404" s="3">
        <f>'1. Master Data'!I404</f>
        <v>28</v>
      </c>
      <c r="H404" s="15">
        <f t="shared" si="31"/>
        <v>11732</v>
      </c>
      <c r="I404" s="3">
        <f>'1. Master Data'!J404</f>
        <v>30</v>
      </c>
      <c r="J404" s="5" t="str">
        <f t="shared" si="32"/>
        <v>Fresh</v>
      </c>
      <c r="K404" s="3">
        <f>IF('3. Demand Forecast'!F404=0,99,ROUND(G404/'3. Demand Forecast'!F404,1))</f>
        <v>1.6</v>
      </c>
      <c r="L404" s="3">
        <f>IF(G404=0,0,ROUND('4. ABC XYZ Analysis'!F404/G404,1))</f>
        <v>76.599999999999994</v>
      </c>
      <c r="M404" s="5" t="str">
        <f t="shared" si="33"/>
        <v>OK</v>
      </c>
      <c r="N404" s="4">
        <f t="shared" si="34"/>
        <v>0</v>
      </c>
      <c r="O404" s="1" t="str">
        <f t="shared" si="35"/>
        <v>Healthy</v>
      </c>
    </row>
    <row r="405" spans="1:15" ht="15" customHeight="1" x14ac:dyDescent="0.2">
      <c r="A405" s="3" t="str">
        <f>'1. Master Data'!A405</f>
        <v>NT10401</v>
      </c>
      <c r="B405" s="1" t="str">
        <f>'1. Master Data'!B405</f>
        <v>DrawPad 390 12in</v>
      </c>
      <c r="C405" s="3" t="str">
        <f>'1. Master Data'!C405</f>
        <v>Tablets</v>
      </c>
      <c r="D405" s="3" t="str">
        <f>'1. Master Data'!D405</f>
        <v>West DC</v>
      </c>
      <c r="E405" s="3" t="str">
        <f>'1. Master Data'!H405</f>
        <v>Active</v>
      </c>
      <c r="F405" s="4">
        <f>'1. Master Data'!F405</f>
        <v>311</v>
      </c>
      <c r="G405" s="3">
        <f>'1. Master Data'!I405</f>
        <v>74</v>
      </c>
      <c r="H405" s="15">
        <f t="shared" si="31"/>
        <v>23014</v>
      </c>
      <c r="I405" s="3">
        <f>'1. Master Data'!J405</f>
        <v>40</v>
      </c>
      <c r="J405" s="5" t="str">
        <f t="shared" si="32"/>
        <v>Watch</v>
      </c>
      <c r="K405" s="3">
        <f>IF('3. Demand Forecast'!F405=0,99,ROUND(G405/'3. Demand Forecast'!F405,1))</f>
        <v>2.6</v>
      </c>
      <c r="L405" s="3">
        <f>IF(G405=0,0,ROUND('4. ABC XYZ Analysis'!F405/G405,1))</f>
        <v>20.7</v>
      </c>
      <c r="M405" s="5" t="str">
        <f t="shared" si="33"/>
        <v>OK</v>
      </c>
      <c r="N405" s="4">
        <f t="shared" si="34"/>
        <v>0</v>
      </c>
      <c r="O405" s="1" t="str">
        <f t="shared" si="35"/>
        <v>Healthy</v>
      </c>
    </row>
    <row r="406" spans="1:15" ht="15" customHeight="1" x14ac:dyDescent="0.2">
      <c r="A406" s="3" t="str">
        <f>'1. Master Data'!A406</f>
        <v>NT10402</v>
      </c>
      <c r="B406" s="1" t="str">
        <f>'1. Master Data'!B406</f>
        <v>NovaTab 904 10in</v>
      </c>
      <c r="C406" s="3" t="str">
        <f>'1. Master Data'!C406</f>
        <v>Tablets</v>
      </c>
      <c r="D406" s="3" t="str">
        <f>'1. Master Data'!D406</f>
        <v>West DC</v>
      </c>
      <c r="E406" s="3" t="str">
        <f>'1. Master Data'!H406</f>
        <v>Active</v>
      </c>
      <c r="F406" s="4">
        <f>'1. Master Data'!F406</f>
        <v>220</v>
      </c>
      <c r="G406" s="3">
        <f>'1. Master Data'!I406</f>
        <v>878</v>
      </c>
      <c r="H406" s="15">
        <f t="shared" si="31"/>
        <v>193160</v>
      </c>
      <c r="I406" s="3">
        <f>'1. Master Data'!J406</f>
        <v>20</v>
      </c>
      <c r="J406" s="5" t="str">
        <f t="shared" si="32"/>
        <v>Fresh</v>
      </c>
      <c r="K406" s="3">
        <f>IF('3. Demand Forecast'!F406=0,99,ROUND(G406/'3. Demand Forecast'!F406,1))</f>
        <v>2.2000000000000002</v>
      </c>
      <c r="L406" s="3">
        <f>IF(G406=0,0,ROUND('4. ABC XYZ Analysis'!F406/G406,1))</f>
        <v>2.2000000000000002</v>
      </c>
      <c r="M406" s="5" t="str">
        <f t="shared" si="33"/>
        <v>OK</v>
      </c>
      <c r="N406" s="4">
        <f t="shared" si="34"/>
        <v>0</v>
      </c>
      <c r="O406" s="1" t="str">
        <f t="shared" si="35"/>
        <v>Healthy</v>
      </c>
    </row>
    <row r="407" spans="1:15" ht="15" customHeight="1" x14ac:dyDescent="0.2">
      <c r="A407" s="3" t="str">
        <f>'1. Master Data'!A407</f>
        <v>NT10403</v>
      </c>
      <c r="B407" s="1" t="str">
        <f>'1. Master Data'!B407</f>
        <v>NovaTab 537 10in</v>
      </c>
      <c r="C407" s="3" t="str">
        <f>'1. Master Data'!C407</f>
        <v>Tablets</v>
      </c>
      <c r="D407" s="3" t="str">
        <f>'1. Master Data'!D407</f>
        <v>West DC</v>
      </c>
      <c r="E407" s="3" t="str">
        <f>'1. Master Data'!H407</f>
        <v>Active</v>
      </c>
      <c r="F407" s="4">
        <f>'1. Master Data'!F407</f>
        <v>257</v>
      </c>
      <c r="G407" s="3">
        <f>'1. Master Data'!I407</f>
        <v>23</v>
      </c>
      <c r="H407" s="15">
        <f t="shared" si="31"/>
        <v>5911</v>
      </c>
      <c r="I407" s="3">
        <f>'1. Master Data'!J407</f>
        <v>6</v>
      </c>
      <c r="J407" s="5" t="str">
        <f t="shared" si="32"/>
        <v>Fresh</v>
      </c>
      <c r="K407" s="3">
        <f>IF('3. Demand Forecast'!F407=0,99,ROUND(G407/'3. Demand Forecast'!F407,1))</f>
        <v>3.5</v>
      </c>
      <c r="L407" s="3">
        <f>IF(G407=0,0,ROUND('4. ABC XYZ Analysis'!F407/G407,1))</f>
        <v>5.9</v>
      </c>
      <c r="M407" s="5" t="str">
        <f t="shared" si="33"/>
        <v>OK</v>
      </c>
      <c r="N407" s="4">
        <f t="shared" si="34"/>
        <v>0</v>
      </c>
      <c r="O407" s="1" t="str">
        <f t="shared" si="35"/>
        <v>Healthy</v>
      </c>
    </row>
    <row r="408" spans="1:15" ht="15" customHeight="1" x14ac:dyDescent="0.2">
      <c r="A408" s="3" t="str">
        <f>'1. Master Data'!A408</f>
        <v>NT10404</v>
      </c>
      <c r="B408" s="1" t="str">
        <f>'1. Master Data'!B408</f>
        <v>NovaTab 716 Kids</v>
      </c>
      <c r="C408" s="3" t="str">
        <f>'1. Master Data'!C408</f>
        <v>Tablets</v>
      </c>
      <c r="D408" s="3" t="str">
        <f>'1. Master Data'!D408</f>
        <v>East DC</v>
      </c>
      <c r="E408" s="3" t="str">
        <f>'1. Master Data'!H408</f>
        <v>Active</v>
      </c>
      <c r="F408" s="4">
        <f>'1. Master Data'!F408</f>
        <v>225</v>
      </c>
      <c r="G408" s="3">
        <f>'1. Master Data'!I408</f>
        <v>112</v>
      </c>
      <c r="H408" s="15">
        <f t="shared" si="31"/>
        <v>25200</v>
      </c>
      <c r="I408" s="3">
        <f>'1. Master Data'!J408</f>
        <v>118</v>
      </c>
      <c r="J408" s="5" t="str">
        <f t="shared" si="32"/>
        <v>Aged</v>
      </c>
      <c r="K408" s="3">
        <f>IF('3. Demand Forecast'!F408=0,99,ROUND(G408/'3. Demand Forecast'!F408,1))</f>
        <v>4.8</v>
      </c>
      <c r="L408" s="3">
        <f>IF(G408=0,0,ROUND('4. ABC XYZ Analysis'!F408/G408,1))</f>
        <v>5.9</v>
      </c>
      <c r="M408" s="5" t="str">
        <f t="shared" si="33"/>
        <v>EXCESS</v>
      </c>
      <c r="N408" s="4">
        <f t="shared" si="34"/>
        <v>25200</v>
      </c>
      <c r="O408" s="1" t="str">
        <f t="shared" si="35"/>
        <v>Reduce orders and monitor</v>
      </c>
    </row>
    <row r="409" spans="1:15" ht="15" customHeight="1" x14ac:dyDescent="0.2">
      <c r="A409" s="3" t="str">
        <f>'1. Master Data'!A409</f>
        <v>NT10405</v>
      </c>
      <c r="B409" s="1" t="str">
        <f>'1. Master Data'!B409</f>
        <v>NovaTab 280 10in</v>
      </c>
      <c r="C409" s="3" t="str">
        <f>'1. Master Data'!C409</f>
        <v>Tablets</v>
      </c>
      <c r="D409" s="3" t="str">
        <f>'1. Master Data'!D409</f>
        <v>Central DC</v>
      </c>
      <c r="E409" s="3" t="str">
        <f>'1. Master Data'!H409</f>
        <v>Active</v>
      </c>
      <c r="F409" s="4">
        <f>'1. Master Data'!F409</f>
        <v>490</v>
      </c>
      <c r="G409" s="3">
        <f>'1. Master Data'!I409</f>
        <v>136</v>
      </c>
      <c r="H409" s="15">
        <f t="shared" si="31"/>
        <v>66640</v>
      </c>
      <c r="I409" s="3">
        <f>'1. Master Data'!J409</f>
        <v>7</v>
      </c>
      <c r="J409" s="5" t="str">
        <f t="shared" si="32"/>
        <v>Fresh</v>
      </c>
      <c r="K409" s="3">
        <f>IF('3. Demand Forecast'!F409=0,99,ROUND(G409/'3. Demand Forecast'!F409,1))</f>
        <v>1.5</v>
      </c>
      <c r="L409" s="3">
        <f>IF(G409=0,0,ROUND('4. ABC XYZ Analysis'!F409/G409,1))</f>
        <v>3.2</v>
      </c>
      <c r="M409" s="5" t="str">
        <f t="shared" si="33"/>
        <v>OK</v>
      </c>
      <c r="N409" s="4">
        <f t="shared" si="34"/>
        <v>0</v>
      </c>
      <c r="O409" s="1" t="str">
        <f t="shared" si="35"/>
        <v>Healthy</v>
      </c>
    </row>
    <row r="410" spans="1:15" ht="15" customHeight="1" x14ac:dyDescent="0.2">
      <c r="A410" s="3" t="str">
        <f>'1. Master Data'!A410</f>
        <v>NT10406</v>
      </c>
      <c r="B410" s="1" t="str">
        <f>'1. Master Data'!B410</f>
        <v>DrawPad 936 12in</v>
      </c>
      <c r="C410" s="3" t="str">
        <f>'1. Master Data'!C410</f>
        <v>Tablets</v>
      </c>
      <c r="D410" s="3" t="str">
        <f>'1. Master Data'!D410</f>
        <v>Central DC</v>
      </c>
      <c r="E410" s="3" t="str">
        <f>'1. Master Data'!H410</f>
        <v>Active</v>
      </c>
      <c r="F410" s="4">
        <f>'1. Master Data'!F410</f>
        <v>464</v>
      </c>
      <c r="G410" s="3">
        <f>'1. Master Data'!I410</f>
        <v>127</v>
      </c>
      <c r="H410" s="15">
        <f t="shared" si="31"/>
        <v>58928</v>
      </c>
      <c r="I410" s="3">
        <f>'1. Master Data'!J410</f>
        <v>37</v>
      </c>
      <c r="J410" s="5" t="str">
        <f t="shared" si="32"/>
        <v>Watch</v>
      </c>
      <c r="K410" s="3">
        <f>IF('3. Demand Forecast'!F410=0,99,ROUND(G410/'3. Demand Forecast'!F410,1))</f>
        <v>1.8</v>
      </c>
      <c r="L410" s="3">
        <f>IF(G410=0,0,ROUND('4. ABC XYZ Analysis'!F410/G410,1))</f>
        <v>12.8</v>
      </c>
      <c r="M410" s="5" t="str">
        <f t="shared" si="33"/>
        <v>OK</v>
      </c>
      <c r="N410" s="4">
        <f t="shared" si="34"/>
        <v>0</v>
      </c>
      <c r="O410" s="1" t="str">
        <f t="shared" si="35"/>
        <v>Healthy</v>
      </c>
    </row>
    <row r="411" spans="1:15" ht="15" customHeight="1" x14ac:dyDescent="0.2">
      <c r="A411" s="3" t="str">
        <f>'1. Master Data'!A411</f>
        <v>NT10407</v>
      </c>
      <c r="B411" s="1" t="str">
        <f>'1. Master Data'!B411</f>
        <v>DrawPad 201 12in</v>
      </c>
      <c r="C411" s="3" t="str">
        <f>'1. Master Data'!C411</f>
        <v>Tablets</v>
      </c>
      <c r="D411" s="3" t="str">
        <f>'1. Master Data'!D411</f>
        <v>West DC</v>
      </c>
      <c r="E411" s="3" t="str">
        <f>'1. Master Data'!H411</f>
        <v>Active</v>
      </c>
      <c r="F411" s="4">
        <f>'1. Master Data'!F411</f>
        <v>260</v>
      </c>
      <c r="G411" s="3">
        <f>'1. Master Data'!I411</f>
        <v>131</v>
      </c>
      <c r="H411" s="15">
        <f t="shared" si="31"/>
        <v>34060</v>
      </c>
      <c r="I411" s="3">
        <f>'1. Master Data'!J411</f>
        <v>51</v>
      </c>
      <c r="J411" s="5" t="str">
        <f t="shared" si="32"/>
        <v>Watch</v>
      </c>
      <c r="K411" s="3">
        <f>IF('3. Demand Forecast'!F411=0,99,ROUND(G411/'3. Demand Forecast'!F411,1))</f>
        <v>1.6</v>
      </c>
      <c r="L411" s="3">
        <f>IF(G411=0,0,ROUND('4. ABC XYZ Analysis'!F411/G411,1))</f>
        <v>7.1</v>
      </c>
      <c r="M411" s="5" t="str">
        <f t="shared" si="33"/>
        <v>OK</v>
      </c>
      <c r="N411" s="4">
        <f t="shared" si="34"/>
        <v>0</v>
      </c>
      <c r="O411" s="1" t="str">
        <f t="shared" si="35"/>
        <v>Healthy</v>
      </c>
    </row>
    <row r="412" spans="1:15" ht="15" customHeight="1" x14ac:dyDescent="0.2">
      <c r="A412" s="3" t="str">
        <f>'1. Master Data'!A412</f>
        <v>NT10408</v>
      </c>
      <c r="B412" s="1" t="str">
        <f>'1. Master Data'!B412</f>
        <v>NovaTab 610 10in</v>
      </c>
      <c r="C412" s="3" t="str">
        <f>'1. Master Data'!C412</f>
        <v>Tablets</v>
      </c>
      <c r="D412" s="3" t="str">
        <f>'1. Master Data'!D412</f>
        <v>Central DC</v>
      </c>
      <c r="E412" s="3" t="str">
        <f>'1. Master Data'!H412</f>
        <v>Active</v>
      </c>
      <c r="F412" s="4">
        <f>'1. Master Data'!F412</f>
        <v>479</v>
      </c>
      <c r="G412" s="3">
        <f>'1. Master Data'!I412</f>
        <v>93</v>
      </c>
      <c r="H412" s="15">
        <f t="shared" si="31"/>
        <v>44547</v>
      </c>
      <c r="I412" s="3">
        <f>'1. Master Data'!J412</f>
        <v>123</v>
      </c>
      <c r="J412" s="5" t="str">
        <f t="shared" si="32"/>
        <v>Aged</v>
      </c>
      <c r="K412" s="3">
        <f>IF('3. Demand Forecast'!F412=0,99,ROUND(G412/'3. Demand Forecast'!F412,1))</f>
        <v>3.8</v>
      </c>
      <c r="L412" s="3">
        <f>IF(G412=0,0,ROUND('4. ABC XYZ Analysis'!F412/G412,1))</f>
        <v>4.2</v>
      </c>
      <c r="M412" s="5" t="str">
        <f t="shared" si="33"/>
        <v>EXCESS</v>
      </c>
      <c r="N412" s="4">
        <f t="shared" si="34"/>
        <v>44547</v>
      </c>
      <c r="O412" s="1" t="str">
        <f t="shared" si="35"/>
        <v>Reduce orders and monitor</v>
      </c>
    </row>
    <row r="413" spans="1:15" ht="15" customHeight="1" x14ac:dyDescent="0.2">
      <c r="A413" s="3" t="str">
        <f>'1. Master Data'!A413</f>
        <v>NT10409</v>
      </c>
      <c r="B413" s="1" t="str">
        <f>'1. Master Data'!B413</f>
        <v>DrawPad 147 12in</v>
      </c>
      <c r="C413" s="3" t="str">
        <f>'1. Master Data'!C413</f>
        <v>Tablets</v>
      </c>
      <c r="D413" s="3" t="str">
        <f>'1. Master Data'!D413</f>
        <v>Central DC</v>
      </c>
      <c r="E413" s="3" t="str">
        <f>'1. Master Data'!H413</f>
        <v>Active</v>
      </c>
      <c r="F413" s="4">
        <f>'1. Master Data'!F413</f>
        <v>401</v>
      </c>
      <c r="G413" s="3">
        <f>'1. Master Data'!I413</f>
        <v>27</v>
      </c>
      <c r="H413" s="15">
        <f t="shared" si="31"/>
        <v>10827</v>
      </c>
      <c r="I413" s="3">
        <f>'1. Master Data'!J413</f>
        <v>36</v>
      </c>
      <c r="J413" s="5" t="str">
        <f t="shared" si="32"/>
        <v>Watch</v>
      </c>
      <c r="K413" s="3">
        <f>IF('3. Demand Forecast'!F413=0,99,ROUND(G413/'3. Demand Forecast'!F413,1))</f>
        <v>2.4</v>
      </c>
      <c r="L413" s="3">
        <f>IF(G413=0,0,ROUND('4. ABC XYZ Analysis'!F413/G413,1))</f>
        <v>29.3</v>
      </c>
      <c r="M413" s="5" t="str">
        <f t="shared" si="33"/>
        <v>OK</v>
      </c>
      <c r="N413" s="4">
        <f t="shared" si="34"/>
        <v>0</v>
      </c>
      <c r="O413" s="1" t="str">
        <f t="shared" si="35"/>
        <v>Healthy</v>
      </c>
    </row>
    <row r="414" spans="1:15" ht="15" customHeight="1" x14ac:dyDescent="0.2">
      <c r="A414" s="3" t="str">
        <f>'1. Master Data'!A414</f>
        <v>NT10410</v>
      </c>
      <c r="B414" s="1" t="str">
        <f>'1. Master Data'!B414</f>
        <v>DrawPad 324 12in</v>
      </c>
      <c r="C414" s="3" t="str">
        <f>'1. Master Data'!C414</f>
        <v>Tablets</v>
      </c>
      <c r="D414" s="3" t="str">
        <f>'1. Master Data'!D414</f>
        <v>Central DC</v>
      </c>
      <c r="E414" s="3" t="str">
        <f>'1. Master Data'!H414</f>
        <v>Active</v>
      </c>
      <c r="F414" s="4">
        <f>'1. Master Data'!F414</f>
        <v>436</v>
      </c>
      <c r="G414" s="3">
        <f>'1. Master Data'!I414</f>
        <v>111</v>
      </c>
      <c r="H414" s="15">
        <f t="shared" si="31"/>
        <v>48396</v>
      </c>
      <c r="I414" s="3">
        <f>'1. Master Data'!J414</f>
        <v>53</v>
      </c>
      <c r="J414" s="5" t="str">
        <f t="shared" si="32"/>
        <v>Watch</v>
      </c>
      <c r="K414" s="3">
        <f>IF('3. Demand Forecast'!F414=0,99,ROUND(G414/'3. Demand Forecast'!F414,1))</f>
        <v>1.2</v>
      </c>
      <c r="L414" s="3">
        <f>IF(G414=0,0,ROUND('4. ABC XYZ Analysis'!F414/G414,1))</f>
        <v>1.1000000000000001</v>
      </c>
      <c r="M414" s="5" t="str">
        <f t="shared" si="33"/>
        <v>OK</v>
      </c>
      <c r="N414" s="4">
        <f t="shared" si="34"/>
        <v>0</v>
      </c>
      <c r="O414" s="1" t="str">
        <f t="shared" si="35"/>
        <v>Healthy</v>
      </c>
    </row>
    <row r="415" spans="1:15" ht="15" customHeight="1" x14ac:dyDescent="0.2">
      <c r="A415" s="3" t="str">
        <f>'1. Master Data'!A415</f>
        <v>NT10411</v>
      </c>
      <c r="B415" s="1" t="str">
        <f>'1. Master Data'!B415</f>
        <v>NovaTab 602 10in</v>
      </c>
      <c r="C415" s="3" t="str">
        <f>'1. Master Data'!C415</f>
        <v>Tablets</v>
      </c>
      <c r="D415" s="3" t="str">
        <f>'1. Master Data'!D415</f>
        <v>East DC</v>
      </c>
      <c r="E415" s="3" t="str">
        <f>'1. Master Data'!H415</f>
        <v>Active</v>
      </c>
      <c r="F415" s="4">
        <f>'1. Master Data'!F415</f>
        <v>220</v>
      </c>
      <c r="G415" s="3">
        <f>'1. Master Data'!I415</f>
        <v>134</v>
      </c>
      <c r="H415" s="15">
        <f t="shared" si="31"/>
        <v>29480</v>
      </c>
      <c r="I415" s="3">
        <f>'1. Master Data'!J415</f>
        <v>43</v>
      </c>
      <c r="J415" s="5" t="str">
        <f t="shared" si="32"/>
        <v>Watch</v>
      </c>
      <c r="K415" s="3">
        <f>IF('3. Demand Forecast'!F415=0,99,ROUND(G415/'3. Demand Forecast'!F415,1))</f>
        <v>1.5</v>
      </c>
      <c r="L415" s="3">
        <f>IF(G415=0,0,ROUND('4. ABC XYZ Analysis'!F415/G415,1))</f>
        <v>3.2</v>
      </c>
      <c r="M415" s="5" t="str">
        <f t="shared" si="33"/>
        <v>OK</v>
      </c>
      <c r="N415" s="4">
        <f t="shared" si="34"/>
        <v>0</v>
      </c>
      <c r="O415" s="1" t="str">
        <f t="shared" si="35"/>
        <v>Healthy</v>
      </c>
    </row>
    <row r="416" spans="1:15" ht="15" customHeight="1" x14ac:dyDescent="0.2">
      <c r="A416" s="3" t="str">
        <f>'1. Master Data'!A416</f>
        <v>NT10412</v>
      </c>
      <c r="B416" s="1" t="str">
        <f>'1. Master Data'!B416</f>
        <v>NovaTab 225 Kids</v>
      </c>
      <c r="C416" s="3" t="str">
        <f>'1. Master Data'!C416</f>
        <v>Tablets</v>
      </c>
      <c r="D416" s="3" t="str">
        <f>'1. Master Data'!D416</f>
        <v>Central DC</v>
      </c>
      <c r="E416" s="3" t="str">
        <f>'1. Master Data'!H416</f>
        <v>Active</v>
      </c>
      <c r="F416" s="4">
        <f>'1. Master Data'!F416</f>
        <v>230</v>
      </c>
      <c r="G416" s="3">
        <f>'1. Master Data'!I416</f>
        <v>102</v>
      </c>
      <c r="H416" s="15">
        <f t="shared" si="31"/>
        <v>23460</v>
      </c>
      <c r="I416" s="3">
        <f>'1. Master Data'!J416</f>
        <v>67</v>
      </c>
      <c r="J416" s="5" t="str">
        <f t="shared" si="32"/>
        <v>Watch</v>
      </c>
      <c r="K416" s="3">
        <f>IF('3. Demand Forecast'!F416=0,99,ROUND(G416/'3. Demand Forecast'!F416,1))</f>
        <v>1.7</v>
      </c>
      <c r="L416" s="3">
        <f>IF(G416=0,0,ROUND('4. ABC XYZ Analysis'!F416/G416,1))</f>
        <v>1.9</v>
      </c>
      <c r="M416" s="5" t="str">
        <f t="shared" si="33"/>
        <v>OK</v>
      </c>
      <c r="N416" s="4">
        <f t="shared" si="34"/>
        <v>0</v>
      </c>
      <c r="O416" s="1" t="str">
        <f t="shared" si="35"/>
        <v>Healthy</v>
      </c>
    </row>
    <row r="417" spans="1:15" ht="15" customHeight="1" x14ac:dyDescent="0.2">
      <c r="A417" s="3" t="str">
        <f>'1. Master Data'!A417</f>
        <v>NT10413</v>
      </c>
      <c r="B417" s="1" t="str">
        <f>'1. Master Data'!B417</f>
        <v>NovaTab 817 Kids</v>
      </c>
      <c r="C417" s="3" t="str">
        <f>'1. Master Data'!C417</f>
        <v>Tablets</v>
      </c>
      <c r="D417" s="3" t="str">
        <f>'1. Master Data'!D417</f>
        <v>Central DC</v>
      </c>
      <c r="E417" s="3" t="str">
        <f>'1. Master Data'!H417</f>
        <v>Active</v>
      </c>
      <c r="F417" s="4">
        <f>'1. Master Data'!F417</f>
        <v>216</v>
      </c>
      <c r="G417" s="3">
        <f>'1. Master Data'!I417</f>
        <v>38</v>
      </c>
      <c r="H417" s="15">
        <f t="shared" si="31"/>
        <v>8208</v>
      </c>
      <c r="I417" s="3">
        <f>'1. Master Data'!J417</f>
        <v>59</v>
      </c>
      <c r="J417" s="5" t="str">
        <f t="shared" si="32"/>
        <v>Watch</v>
      </c>
      <c r="K417" s="3">
        <f>IF('3. Demand Forecast'!F417=0,99,ROUND(G417/'3. Demand Forecast'!F417,1))</f>
        <v>2.2999999999999998</v>
      </c>
      <c r="L417" s="3">
        <f>IF(G417=0,0,ROUND('4. ABC XYZ Analysis'!F417/G417,1))</f>
        <v>125.3</v>
      </c>
      <c r="M417" s="5" t="str">
        <f t="shared" si="33"/>
        <v>OK</v>
      </c>
      <c r="N417" s="4">
        <f t="shared" si="34"/>
        <v>0</v>
      </c>
      <c r="O417" s="1" t="str">
        <f t="shared" si="35"/>
        <v>Healthy</v>
      </c>
    </row>
    <row r="418" spans="1:15" ht="15" customHeight="1" x14ac:dyDescent="0.2">
      <c r="A418" s="3" t="str">
        <f>'1. Master Data'!A418</f>
        <v>NT10414</v>
      </c>
      <c r="B418" s="1" t="str">
        <f>'1. Master Data'!B418</f>
        <v>NovaTab 269 10in</v>
      </c>
      <c r="C418" s="3" t="str">
        <f>'1. Master Data'!C418</f>
        <v>Tablets</v>
      </c>
      <c r="D418" s="3" t="str">
        <f>'1. Master Data'!D418</f>
        <v>Central DC</v>
      </c>
      <c r="E418" s="3" t="str">
        <f>'1. Master Data'!H418</f>
        <v>Active</v>
      </c>
      <c r="F418" s="4">
        <f>'1. Master Data'!F418</f>
        <v>451</v>
      </c>
      <c r="G418" s="3">
        <f>'1. Master Data'!I418</f>
        <v>33</v>
      </c>
      <c r="H418" s="15">
        <f t="shared" si="31"/>
        <v>14883</v>
      </c>
      <c r="I418" s="3">
        <f>'1. Master Data'!J418</f>
        <v>61</v>
      </c>
      <c r="J418" s="5" t="str">
        <f t="shared" si="32"/>
        <v>Watch</v>
      </c>
      <c r="K418" s="3">
        <f>IF('3. Demand Forecast'!F418=0,99,ROUND(G418/'3. Demand Forecast'!F418,1))</f>
        <v>2.9</v>
      </c>
      <c r="L418" s="3">
        <f>IF(G418=0,0,ROUND('4. ABC XYZ Analysis'!F418/G418,1))</f>
        <v>61.8</v>
      </c>
      <c r="M418" s="5" t="str">
        <f t="shared" si="33"/>
        <v>OK</v>
      </c>
      <c r="N418" s="4">
        <f t="shared" si="34"/>
        <v>0</v>
      </c>
      <c r="O418" s="1" t="str">
        <f t="shared" si="35"/>
        <v>Healthy</v>
      </c>
    </row>
    <row r="419" spans="1:15" ht="15" customHeight="1" x14ac:dyDescent="0.2">
      <c r="A419" s="3" t="str">
        <f>'1. Master Data'!A419</f>
        <v>NT10415</v>
      </c>
      <c r="B419" s="1" t="str">
        <f>'1. Master Data'!B419</f>
        <v>DrawPad 859 12in</v>
      </c>
      <c r="C419" s="3" t="str">
        <f>'1. Master Data'!C419</f>
        <v>Tablets</v>
      </c>
      <c r="D419" s="3" t="str">
        <f>'1. Master Data'!D419</f>
        <v>Central DC</v>
      </c>
      <c r="E419" s="3" t="str">
        <f>'1. Master Data'!H419</f>
        <v>EOL</v>
      </c>
      <c r="F419" s="4">
        <f>'1. Master Data'!F419</f>
        <v>313</v>
      </c>
      <c r="G419" s="3">
        <f>'1. Master Data'!I419</f>
        <v>26</v>
      </c>
      <c r="H419" s="15">
        <f t="shared" si="31"/>
        <v>8138</v>
      </c>
      <c r="I419" s="3">
        <f>'1. Master Data'!J419</f>
        <v>270</v>
      </c>
      <c r="J419" s="5" t="str">
        <f t="shared" si="32"/>
        <v>Obsolete Risk</v>
      </c>
      <c r="K419" s="3">
        <f>IF('3. Demand Forecast'!F419=0,99,ROUND(G419/'3. Demand Forecast'!F419,1))</f>
        <v>3.8</v>
      </c>
      <c r="L419" s="3">
        <f>IF(G419=0,0,ROUND('4. ABC XYZ Analysis'!F419/G419,1))</f>
        <v>27.4</v>
      </c>
      <c r="M419" s="5" t="str">
        <f t="shared" si="33"/>
        <v>EXCESS</v>
      </c>
      <c r="N419" s="4">
        <f t="shared" si="34"/>
        <v>8138</v>
      </c>
      <c r="O419" s="1" t="str">
        <f t="shared" si="35"/>
        <v>Scrap / Liquidate</v>
      </c>
    </row>
    <row r="420" spans="1:15" ht="15" customHeight="1" x14ac:dyDescent="0.2">
      <c r="A420" s="3" t="str">
        <f>'1. Master Data'!A420</f>
        <v>NT10416</v>
      </c>
      <c r="B420" s="1" t="str">
        <f>'1. Master Data'!B420</f>
        <v>NovaTab 541 Kids</v>
      </c>
      <c r="C420" s="3" t="str">
        <f>'1. Master Data'!C420</f>
        <v>Tablets</v>
      </c>
      <c r="D420" s="3" t="str">
        <f>'1. Master Data'!D420</f>
        <v>West DC</v>
      </c>
      <c r="E420" s="3" t="str">
        <f>'1. Master Data'!H420</f>
        <v>Active</v>
      </c>
      <c r="F420" s="4">
        <f>'1. Master Data'!F420</f>
        <v>330</v>
      </c>
      <c r="G420" s="3">
        <f>'1. Master Data'!I420</f>
        <v>70</v>
      </c>
      <c r="H420" s="15">
        <f t="shared" si="31"/>
        <v>23100</v>
      </c>
      <c r="I420" s="3">
        <f>'1. Master Data'!J420</f>
        <v>37</v>
      </c>
      <c r="J420" s="5" t="str">
        <f t="shared" si="32"/>
        <v>Watch</v>
      </c>
      <c r="K420" s="3">
        <f>IF('3. Demand Forecast'!F420=0,99,ROUND(G420/'3. Demand Forecast'!F420,1))</f>
        <v>2.8</v>
      </c>
      <c r="L420" s="3">
        <f>IF(G420=0,0,ROUND('4. ABC XYZ Analysis'!F420/G420,1))</f>
        <v>2.8</v>
      </c>
      <c r="M420" s="5" t="str">
        <f t="shared" si="33"/>
        <v>OK</v>
      </c>
      <c r="N420" s="4">
        <f t="shared" si="34"/>
        <v>0</v>
      </c>
      <c r="O420" s="1" t="str">
        <f t="shared" si="35"/>
        <v>Healthy</v>
      </c>
    </row>
    <row r="421" spans="1:15" ht="15" customHeight="1" x14ac:dyDescent="0.2">
      <c r="A421" s="3" t="str">
        <f>'1. Master Data'!A421</f>
        <v>NT10417</v>
      </c>
      <c r="B421" s="1" t="str">
        <f>'1. Master Data'!B421</f>
        <v>DrawPad 569 12in</v>
      </c>
      <c r="C421" s="3" t="str">
        <f>'1. Master Data'!C421</f>
        <v>Tablets</v>
      </c>
      <c r="D421" s="3" t="str">
        <f>'1. Master Data'!D421</f>
        <v>West DC</v>
      </c>
      <c r="E421" s="3" t="str">
        <f>'1. Master Data'!H421</f>
        <v>Active</v>
      </c>
      <c r="F421" s="4">
        <f>'1. Master Data'!F421</f>
        <v>226</v>
      </c>
      <c r="G421" s="3">
        <f>'1. Master Data'!I421</f>
        <v>137</v>
      </c>
      <c r="H421" s="15">
        <f t="shared" si="31"/>
        <v>30962</v>
      </c>
      <c r="I421" s="3">
        <f>'1. Master Data'!J421</f>
        <v>13</v>
      </c>
      <c r="J421" s="5" t="str">
        <f t="shared" si="32"/>
        <v>Fresh</v>
      </c>
      <c r="K421" s="3">
        <f>IF('3. Demand Forecast'!F421=0,99,ROUND(G421/'3. Demand Forecast'!F421,1))</f>
        <v>2.2999999999999998</v>
      </c>
      <c r="L421" s="3">
        <f>IF(G421=0,0,ROUND('4. ABC XYZ Analysis'!F421/G421,1))</f>
        <v>4.3</v>
      </c>
      <c r="M421" s="5" t="str">
        <f t="shared" si="33"/>
        <v>OK</v>
      </c>
      <c r="N421" s="4">
        <f t="shared" si="34"/>
        <v>0</v>
      </c>
      <c r="O421" s="1" t="str">
        <f t="shared" si="35"/>
        <v>Healthy</v>
      </c>
    </row>
    <row r="422" spans="1:15" ht="15" customHeight="1" x14ac:dyDescent="0.2">
      <c r="A422" s="3" t="str">
        <f>'1. Master Data'!A422</f>
        <v>NT10418</v>
      </c>
      <c r="B422" s="1" t="str">
        <f>'1. Master Data'!B422</f>
        <v>NovaTab 516 10in</v>
      </c>
      <c r="C422" s="3" t="str">
        <f>'1. Master Data'!C422</f>
        <v>Tablets</v>
      </c>
      <c r="D422" s="3" t="str">
        <f>'1. Master Data'!D422</f>
        <v>Central DC</v>
      </c>
      <c r="E422" s="3" t="str">
        <f>'1. Master Data'!H422</f>
        <v>Active</v>
      </c>
      <c r="F422" s="4">
        <f>'1. Master Data'!F422</f>
        <v>293</v>
      </c>
      <c r="G422" s="3">
        <f>'1. Master Data'!I422</f>
        <v>31</v>
      </c>
      <c r="H422" s="15">
        <f t="shared" si="31"/>
        <v>9083</v>
      </c>
      <c r="I422" s="3">
        <f>'1. Master Data'!J422</f>
        <v>33</v>
      </c>
      <c r="J422" s="5" t="str">
        <f t="shared" si="32"/>
        <v>Watch</v>
      </c>
      <c r="K422" s="3">
        <f>IF('3. Demand Forecast'!F422=0,99,ROUND(G422/'3. Demand Forecast'!F422,1))</f>
        <v>1.6</v>
      </c>
      <c r="L422" s="3">
        <f>IF(G422=0,0,ROUND('4. ABC XYZ Analysis'!F422/G422,1))</f>
        <v>6.7</v>
      </c>
      <c r="M422" s="5" t="str">
        <f t="shared" si="33"/>
        <v>OK</v>
      </c>
      <c r="N422" s="4">
        <f t="shared" si="34"/>
        <v>0</v>
      </c>
      <c r="O422" s="1" t="str">
        <f t="shared" si="35"/>
        <v>Healthy</v>
      </c>
    </row>
    <row r="423" spans="1:15" ht="15" customHeight="1" x14ac:dyDescent="0.2">
      <c r="A423" s="3" t="str">
        <f>'1. Master Data'!A423</f>
        <v>NT10419</v>
      </c>
      <c r="B423" s="1" t="str">
        <f>'1. Master Data'!B423</f>
        <v>NovaTab 191 Kids</v>
      </c>
      <c r="C423" s="3" t="str">
        <f>'1. Master Data'!C423</f>
        <v>Tablets</v>
      </c>
      <c r="D423" s="3" t="str">
        <f>'1. Master Data'!D423</f>
        <v>West DC</v>
      </c>
      <c r="E423" s="3" t="str">
        <f>'1. Master Data'!H423</f>
        <v>Active</v>
      </c>
      <c r="F423" s="4">
        <f>'1. Master Data'!F423</f>
        <v>234</v>
      </c>
      <c r="G423" s="3">
        <f>'1. Master Data'!I423</f>
        <v>39</v>
      </c>
      <c r="H423" s="15">
        <f t="shared" si="31"/>
        <v>9126</v>
      </c>
      <c r="I423" s="3">
        <f>'1. Master Data'!J423</f>
        <v>66</v>
      </c>
      <c r="J423" s="5" t="str">
        <f t="shared" si="32"/>
        <v>Watch</v>
      </c>
      <c r="K423" s="3">
        <f>IF('3. Demand Forecast'!F423=0,99,ROUND(G423/'3. Demand Forecast'!F423,1))</f>
        <v>1.1000000000000001</v>
      </c>
      <c r="L423" s="3">
        <f>IF(G423=0,0,ROUND('4. ABC XYZ Analysis'!F423/G423,1))</f>
        <v>174</v>
      </c>
      <c r="M423" s="5" t="str">
        <f t="shared" si="33"/>
        <v>OK</v>
      </c>
      <c r="N423" s="4">
        <f t="shared" si="34"/>
        <v>0</v>
      </c>
      <c r="O423" s="1" t="str">
        <f t="shared" si="35"/>
        <v>Healthy</v>
      </c>
    </row>
    <row r="424" spans="1:15" ht="15" customHeight="1" x14ac:dyDescent="0.2">
      <c r="A424" s="3" t="str">
        <f>'1. Master Data'!A424</f>
        <v>NT10420</v>
      </c>
      <c r="B424" s="1" t="str">
        <f>'1. Master Data'!B424</f>
        <v>DrawPad 714 12in</v>
      </c>
      <c r="C424" s="3" t="str">
        <f>'1. Master Data'!C424</f>
        <v>Tablets</v>
      </c>
      <c r="D424" s="3" t="str">
        <f>'1. Master Data'!D424</f>
        <v>East DC</v>
      </c>
      <c r="E424" s="3" t="str">
        <f>'1. Master Data'!H424</f>
        <v>Active</v>
      </c>
      <c r="F424" s="4">
        <f>'1. Master Data'!F424</f>
        <v>219</v>
      </c>
      <c r="G424" s="3">
        <f>'1. Master Data'!I424</f>
        <v>74</v>
      </c>
      <c r="H424" s="15">
        <f t="shared" si="31"/>
        <v>16206</v>
      </c>
      <c r="I424" s="3">
        <f>'1. Master Data'!J424</f>
        <v>52</v>
      </c>
      <c r="J424" s="5" t="str">
        <f t="shared" si="32"/>
        <v>Watch</v>
      </c>
      <c r="K424" s="3">
        <f>IF('3. Demand Forecast'!F424=0,99,ROUND(G424/'3. Demand Forecast'!F424,1))</f>
        <v>1.3</v>
      </c>
      <c r="L424" s="3">
        <f>IF(G424=0,0,ROUND('4. ABC XYZ Analysis'!F424/G424,1))</f>
        <v>1.5</v>
      </c>
      <c r="M424" s="5" t="str">
        <f t="shared" si="33"/>
        <v>OK</v>
      </c>
      <c r="N424" s="4">
        <f t="shared" si="34"/>
        <v>0</v>
      </c>
      <c r="O424" s="1" t="str">
        <f t="shared" si="35"/>
        <v>Healthy</v>
      </c>
    </row>
    <row r="425" spans="1:15" ht="15" customHeight="1" x14ac:dyDescent="0.2">
      <c r="A425" s="3" t="str">
        <f>'1. Master Data'!A425</f>
        <v>NT10421</v>
      </c>
      <c r="B425" s="1" t="str">
        <f>'1. Master Data'!B425</f>
        <v>NovaTab 586 10in</v>
      </c>
      <c r="C425" s="3" t="str">
        <f>'1. Master Data'!C425</f>
        <v>Tablets</v>
      </c>
      <c r="D425" s="3" t="str">
        <f>'1. Master Data'!D425</f>
        <v>East DC</v>
      </c>
      <c r="E425" s="3" t="str">
        <f>'1. Master Data'!H425</f>
        <v>Active</v>
      </c>
      <c r="F425" s="4">
        <f>'1. Master Data'!F425</f>
        <v>289</v>
      </c>
      <c r="G425" s="3">
        <f>'1. Master Data'!I425</f>
        <v>36</v>
      </c>
      <c r="H425" s="15">
        <f t="shared" si="31"/>
        <v>10404</v>
      </c>
      <c r="I425" s="3">
        <f>'1. Master Data'!J425</f>
        <v>16</v>
      </c>
      <c r="J425" s="5" t="str">
        <f t="shared" si="32"/>
        <v>Fresh</v>
      </c>
      <c r="K425" s="3">
        <f>IF('3. Demand Forecast'!F425=0,99,ROUND(G425/'3. Demand Forecast'!F425,1))</f>
        <v>1.7</v>
      </c>
      <c r="L425" s="3">
        <f>IF(G425=0,0,ROUND('4. ABC XYZ Analysis'!F425/G425,1))</f>
        <v>20.5</v>
      </c>
      <c r="M425" s="5" t="str">
        <f t="shared" si="33"/>
        <v>OK</v>
      </c>
      <c r="N425" s="4">
        <f t="shared" si="34"/>
        <v>0</v>
      </c>
      <c r="O425" s="1" t="str">
        <f t="shared" si="35"/>
        <v>Healthy</v>
      </c>
    </row>
    <row r="426" spans="1:15" ht="15" customHeight="1" x14ac:dyDescent="0.2">
      <c r="A426" s="3" t="str">
        <f>'1. Master Data'!A426</f>
        <v>NT10422</v>
      </c>
      <c r="B426" s="1" t="str">
        <f>'1. Master Data'!B426</f>
        <v>NovaTab 444 Kids</v>
      </c>
      <c r="C426" s="3" t="str">
        <f>'1. Master Data'!C426</f>
        <v>Tablets</v>
      </c>
      <c r="D426" s="3" t="str">
        <f>'1. Master Data'!D426</f>
        <v>West DC</v>
      </c>
      <c r="E426" s="3" t="str">
        <f>'1. Master Data'!H426</f>
        <v>Active</v>
      </c>
      <c r="F426" s="4">
        <f>'1. Master Data'!F426</f>
        <v>141</v>
      </c>
      <c r="G426" s="3">
        <f>'1. Master Data'!I426</f>
        <v>299</v>
      </c>
      <c r="H426" s="15">
        <f t="shared" si="31"/>
        <v>42159</v>
      </c>
      <c r="I426" s="3">
        <f>'1. Master Data'!J426</f>
        <v>19</v>
      </c>
      <c r="J426" s="5" t="str">
        <f t="shared" si="32"/>
        <v>Fresh</v>
      </c>
      <c r="K426" s="3">
        <f>IF('3. Demand Forecast'!F426=0,99,ROUND(G426/'3. Demand Forecast'!F426,1))</f>
        <v>1.4</v>
      </c>
      <c r="L426" s="3">
        <f>IF(G426=0,0,ROUND('4. ABC XYZ Analysis'!F426/G426,1))</f>
        <v>0.1</v>
      </c>
      <c r="M426" s="5" t="str">
        <f t="shared" si="33"/>
        <v>OK</v>
      </c>
      <c r="N426" s="4">
        <f t="shared" si="34"/>
        <v>0</v>
      </c>
      <c r="O426" s="1" t="str">
        <f t="shared" si="35"/>
        <v>Healthy</v>
      </c>
    </row>
    <row r="427" spans="1:15" ht="15" customHeight="1" x14ac:dyDescent="0.2">
      <c r="A427" s="3" t="str">
        <f>'1. Master Data'!A427</f>
        <v>NT10423</v>
      </c>
      <c r="B427" s="1" t="str">
        <f>'1. Master Data'!B427</f>
        <v>NovaTab 987 Kids</v>
      </c>
      <c r="C427" s="3" t="str">
        <f>'1. Master Data'!C427</f>
        <v>Tablets</v>
      </c>
      <c r="D427" s="3" t="str">
        <f>'1. Master Data'!D427</f>
        <v>West DC</v>
      </c>
      <c r="E427" s="3" t="str">
        <f>'1. Master Data'!H427</f>
        <v>Active</v>
      </c>
      <c r="F427" s="4">
        <f>'1. Master Data'!F427</f>
        <v>228</v>
      </c>
      <c r="G427" s="3">
        <f>'1. Master Data'!I427</f>
        <v>410</v>
      </c>
      <c r="H427" s="15">
        <f t="shared" si="31"/>
        <v>93480</v>
      </c>
      <c r="I427" s="3">
        <f>'1. Master Data'!J427</f>
        <v>68</v>
      </c>
      <c r="J427" s="5" t="str">
        <f t="shared" si="32"/>
        <v>Watch</v>
      </c>
      <c r="K427" s="3">
        <f>IF('3. Demand Forecast'!F427=0,99,ROUND(G427/'3. Demand Forecast'!F427,1))</f>
        <v>2.4</v>
      </c>
      <c r="L427" s="3">
        <f>IF(G427=0,0,ROUND('4. ABC XYZ Analysis'!F427/G427,1))</f>
        <v>0.2</v>
      </c>
      <c r="M427" s="5" t="str">
        <f t="shared" si="33"/>
        <v>OK</v>
      </c>
      <c r="N427" s="4">
        <f t="shared" si="34"/>
        <v>0</v>
      </c>
      <c r="O427" s="1" t="str">
        <f t="shared" si="35"/>
        <v>Healthy</v>
      </c>
    </row>
    <row r="428" spans="1:15" ht="15" customHeight="1" x14ac:dyDescent="0.2">
      <c r="A428" s="3" t="str">
        <f>'1. Master Data'!A428</f>
        <v>NT10424</v>
      </c>
      <c r="B428" s="1" t="str">
        <f>'1. Master Data'!B428</f>
        <v>NovaTab 978 Kids</v>
      </c>
      <c r="C428" s="3" t="str">
        <f>'1. Master Data'!C428</f>
        <v>Tablets</v>
      </c>
      <c r="D428" s="3" t="str">
        <f>'1. Master Data'!D428</f>
        <v>Central DC</v>
      </c>
      <c r="E428" s="3" t="str">
        <f>'1. Master Data'!H428</f>
        <v>Active</v>
      </c>
      <c r="F428" s="4">
        <f>'1. Master Data'!F428</f>
        <v>172</v>
      </c>
      <c r="G428" s="3">
        <f>'1. Master Data'!I428</f>
        <v>139</v>
      </c>
      <c r="H428" s="15">
        <f t="shared" si="31"/>
        <v>23908</v>
      </c>
      <c r="I428" s="3">
        <f>'1. Master Data'!J428</f>
        <v>17</v>
      </c>
      <c r="J428" s="5" t="str">
        <f t="shared" si="32"/>
        <v>Fresh</v>
      </c>
      <c r="K428" s="3">
        <f>IF('3. Demand Forecast'!F428=0,99,ROUND(G428/'3. Demand Forecast'!F428,1))</f>
        <v>2.5</v>
      </c>
      <c r="L428" s="3">
        <f>IF(G428=0,0,ROUND('4. ABC XYZ Analysis'!F428/G428,1))</f>
        <v>0.8</v>
      </c>
      <c r="M428" s="5" t="str">
        <f t="shared" si="33"/>
        <v>OK</v>
      </c>
      <c r="N428" s="4">
        <f t="shared" si="34"/>
        <v>0</v>
      </c>
      <c r="O428" s="1" t="str">
        <f t="shared" si="35"/>
        <v>Healthy</v>
      </c>
    </row>
    <row r="429" spans="1:15" ht="15" customHeight="1" x14ac:dyDescent="0.2">
      <c r="A429" s="3" t="str">
        <f>'1. Master Data'!A429</f>
        <v>NT10425</v>
      </c>
      <c r="B429" s="1" t="str">
        <f>'1. Master Data'!B429</f>
        <v>NovaTab 147 10in</v>
      </c>
      <c r="C429" s="3" t="str">
        <f>'1. Master Data'!C429</f>
        <v>Tablets</v>
      </c>
      <c r="D429" s="3" t="str">
        <f>'1. Master Data'!D429</f>
        <v>Central DC</v>
      </c>
      <c r="E429" s="3" t="str">
        <f>'1. Master Data'!H429</f>
        <v>Active</v>
      </c>
      <c r="F429" s="4">
        <f>'1. Master Data'!F429</f>
        <v>251</v>
      </c>
      <c r="G429" s="3">
        <f>'1. Master Data'!I429</f>
        <v>79</v>
      </c>
      <c r="H429" s="15">
        <f t="shared" si="31"/>
        <v>19829</v>
      </c>
      <c r="I429" s="3">
        <f>'1. Master Data'!J429</f>
        <v>16</v>
      </c>
      <c r="J429" s="5" t="str">
        <f t="shared" si="32"/>
        <v>Fresh</v>
      </c>
      <c r="K429" s="3">
        <f>IF('3. Demand Forecast'!F429=0,99,ROUND(G429/'3. Demand Forecast'!F429,1))</f>
        <v>1.2</v>
      </c>
      <c r="L429" s="3">
        <f>IF(G429=0,0,ROUND('4. ABC XYZ Analysis'!F429/G429,1))</f>
        <v>6.3</v>
      </c>
      <c r="M429" s="5" t="str">
        <f t="shared" si="33"/>
        <v>OK</v>
      </c>
      <c r="N429" s="4">
        <f t="shared" si="34"/>
        <v>0</v>
      </c>
      <c r="O429" s="1" t="str">
        <f t="shared" si="35"/>
        <v>Healthy</v>
      </c>
    </row>
    <row r="430" spans="1:15" ht="15" customHeight="1" x14ac:dyDescent="0.2">
      <c r="A430" s="3" t="str">
        <f>'1. Master Data'!A430</f>
        <v>NT10426</v>
      </c>
      <c r="B430" s="1" t="str">
        <f>'1. Master Data'!B430</f>
        <v>NovaTab 641 Kids</v>
      </c>
      <c r="C430" s="3" t="str">
        <f>'1. Master Data'!C430</f>
        <v>Tablets</v>
      </c>
      <c r="D430" s="3" t="str">
        <f>'1. Master Data'!D430</f>
        <v>West DC</v>
      </c>
      <c r="E430" s="3" t="str">
        <f>'1. Master Data'!H430</f>
        <v>Active</v>
      </c>
      <c r="F430" s="4">
        <f>'1. Master Data'!F430</f>
        <v>450</v>
      </c>
      <c r="G430" s="3">
        <f>'1. Master Data'!I430</f>
        <v>23</v>
      </c>
      <c r="H430" s="15">
        <f t="shared" si="31"/>
        <v>10350</v>
      </c>
      <c r="I430" s="3">
        <f>'1. Master Data'!J430</f>
        <v>8</v>
      </c>
      <c r="J430" s="5" t="str">
        <f t="shared" si="32"/>
        <v>Fresh</v>
      </c>
      <c r="K430" s="3">
        <f>IF('3. Demand Forecast'!F430=0,99,ROUND(G430/'3. Demand Forecast'!F430,1))</f>
        <v>1.6</v>
      </c>
      <c r="L430" s="3">
        <f>IF(G430=0,0,ROUND('4. ABC XYZ Analysis'!F430/G430,1))</f>
        <v>6.6</v>
      </c>
      <c r="M430" s="5" t="str">
        <f t="shared" si="33"/>
        <v>OK</v>
      </c>
      <c r="N430" s="4">
        <f t="shared" si="34"/>
        <v>0</v>
      </c>
      <c r="O430" s="1" t="str">
        <f t="shared" si="35"/>
        <v>Healthy</v>
      </c>
    </row>
    <row r="431" spans="1:15" ht="15" customHeight="1" x14ac:dyDescent="0.2">
      <c r="A431" s="3" t="str">
        <f>'1. Master Data'!A431</f>
        <v>NT10427</v>
      </c>
      <c r="B431" s="1" t="str">
        <f>'1. Master Data'!B431</f>
        <v>DrawPad 240 12in</v>
      </c>
      <c r="C431" s="3" t="str">
        <f>'1. Master Data'!C431</f>
        <v>Tablets</v>
      </c>
      <c r="D431" s="3" t="str">
        <f>'1. Master Data'!D431</f>
        <v>East DC</v>
      </c>
      <c r="E431" s="3" t="str">
        <f>'1. Master Data'!H431</f>
        <v>Active</v>
      </c>
      <c r="F431" s="4">
        <f>'1. Master Data'!F431</f>
        <v>429</v>
      </c>
      <c r="G431" s="3">
        <f>'1. Master Data'!I431</f>
        <v>89</v>
      </c>
      <c r="H431" s="15">
        <f t="shared" si="31"/>
        <v>38181</v>
      </c>
      <c r="I431" s="3">
        <f>'1. Master Data'!J431</f>
        <v>108</v>
      </c>
      <c r="J431" s="5" t="str">
        <f t="shared" si="32"/>
        <v>Aged</v>
      </c>
      <c r="K431" s="3">
        <f>IF('3. Demand Forecast'!F431=0,99,ROUND(G431/'3. Demand Forecast'!F431,1))</f>
        <v>3.7</v>
      </c>
      <c r="L431" s="3">
        <f>IF(G431=0,0,ROUND('4. ABC XYZ Analysis'!F431/G431,1))</f>
        <v>5.6</v>
      </c>
      <c r="M431" s="5" t="str">
        <f t="shared" si="33"/>
        <v>EXCESS</v>
      </c>
      <c r="N431" s="4">
        <f t="shared" si="34"/>
        <v>38181</v>
      </c>
      <c r="O431" s="1" t="str">
        <f t="shared" si="35"/>
        <v>Reduce orders and monitor</v>
      </c>
    </row>
    <row r="432" spans="1:15" ht="15" customHeight="1" x14ac:dyDescent="0.2">
      <c r="A432" s="3" t="str">
        <f>'1. Master Data'!A432</f>
        <v>NT10428</v>
      </c>
      <c r="B432" s="1" t="str">
        <f>'1. Master Data'!B432</f>
        <v>DrawPad 284 12in</v>
      </c>
      <c r="C432" s="3" t="str">
        <f>'1. Master Data'!C432</f>
        <v>Tablets</v>
      </c>
      <c r="D432" s="3" t="str">
        <f>'1. Master Data'!D432</f>
        <v>East DC</v>
      </c>
      <c r="E432" s="3" t="str">
        <f>'1. Master Data'!H432</f>
        <v>Active</v>
      </c>
      <c r="F432" s="4">
        <f>'1. Master Data'!F432</f>
        <v>439</v>
      </c>
      <c r="G432" s="3">
        <f>'1. Master Data'!I432</f>
        <v>456</v>
      </c>
      <c r="H432" s="15">
        <f t="shared" si="31"/>
        <v>200184</v>
      </c>
      <c r="I432" s="3">
        <f>'1. Master Data'!J432</f>
        <v>43</v>
      </c>
      <c r="J432" s="5" t="str">
        <f t="shared" si="32"/>
        <v>Watch</v>
      </c>
      <c r="K432" s="3">
        <f>IF('3. Demand Forecast'!F432=0,99,ROUND(G432/'3. Demand Forecast'!F432,1))</f>
        <v>2.5</v>
      </c>
      <c r="L432" s="3">
        <f>IF(G432=0,0,ROUND('4. ABC XYZ Analysis'!F432/G432,1))</f>
        <v>2.1</v>
      </c>
      <c r="M432" s="5" t="str">
        <f t="shared" si="33"/>
        <v>OK</v>
      </c>
      <c r="N432" s="4">
        <f t="shared" si="34"/>
        <v>0</v>
      </c>
      <c r="O432" s="1" t="str">
        <f t="shared" si="35"/>
        <v>Healthy</v>
      </c>
    </row>
    <row r="433" spans="1:15" ht="15" customHeight="1" x14ac:dyDescent="0.2">
      <c r="A433" s="3" t="str">
        <f>'1. Master Data'!A433</f>
        <v>NT10429</v>
      </c>
      <c r="B433" s="1" t="str">
        <f>'1. Master Data'!B433</f>
        <v>DrawPad 171 12in</v>
      </c>
      <c r="C433" s="3" t="str">
        <f>'1. Master Data'!C433</f>
        <v>Tablets</v>
      </c>
      <c r="D433" s="3" t="str">
        <f>'1. Master Data'!D433</f>
        <v>Central DC</v>
      </c>
      <c r="E433" s="3" t="str">
        <f>'1. Master Data'!H433</f>
        <v>Active</v>
      </c>
      <c r="F433" s="4">
        <f>'1. Master Data'!F433</f>
        <v>125</v>
      </c>
      <c r="G433" s="3">
        <f>'1. Master Data'!I433</f>
        <v>122</v>
      </c>
      <c r="H433" s="15">
        <f t="shared" si="31"/>
        <v>15250</v>
      </c>
      <c r="I433" s="3">
        <f>'1. Master Data'!J433</f>
        <v>67</v>
      </c>
      <c r="J433" s="5" t="str">
        <f t="shared" si="32"/>
        <v>Watch</v>
      </c>
      <c r="K433" s="3">
        <f>IF('3. Demand Forecast'!F433=0,99,ROUND(G433/'3. Demand Forecast'!F433,1))</f>
        <v>1.6</v>
      </c>
      <c r="L433" s="3">
        <f>IF(G433=0,0,ROUND('4. ABC XYZ Analysis'!F433/G433,1))</f>
        <v>7.9</v>
      </c>
      <c r="M433" s="5" t="str">
        <f t="shared" si="33"/>
        <v>OK</v>
      </c>
      <c r="N433" s="4">
        <f t="shared" si="34"/>
        <v>0</v>
      </c>
      <c r="O433" s="1" t="str">
        <f t="shared" si="35"/>
        <v>Healthy</v>
      </c>
    </row>
    <row r="434" spans="1:15" ht="15" customHeight="1" x14ac:dyDescent="0.2">
      <c r="A434" s="3" t="str">
        <f>'1. Master Data'!A434</f>
        <v>NT10430</v>
      </c>
      <c r="B434" s="1" t="str">
        <f>'1. Master Data'!B434</f>
        <v>NovaTab 185 10in</v>
      </c>
      <c r="C434" s="3" t="str">
        <f>'1. Master Data'!C434</f>
        <v>Tablets</v>
      </c>
      <c r="D434" s="3" t="str">
        <f>'1. Master Data'!D434</f>
        <v>Central DC</v>
      </c>
      <c r="E434" s="3" t="str">
        <f>'1. Master Data'!H434</f>
        <v>Active</v>
      </c>
      <c r="F434" s="4">
        <f>'1. Master Data'!F434</f>
        <v>166</v>
      </c>
      <c r="G434" s="3">
        <f>'1. Master Data'!I434</f>
        <v>126</v>
      </c>
      <c r="H434" s="15">
        <f t="shared" si="31"/>
        <v>20916</v>
      </c>
      <c r="I434" s="3">
        <f>'1. Master Data'!J434</f>
        <v>161</v>
      </c>
      <c r="J434" s="5" t="str">
        <f t="shared" si="32"/>
        <v>Aged</v>
      </c>
      <c r="K434" s="3">
        <f>IF('3. Demand Forecast'!F434=0,99,ROUND(G434/'3. Demand Forecast'!F434,1))</f>
        <v>3.3</v>
      </c>
      <c r="L434" s="3">
        <f>IF(G434=0,0,ROUND('4. ABC XYZ Analysis'!F434/G434,1))</f>
        <v>21.5</v>
      </c>
      <c r="M434" s="5" t="str">
        <f t="shared" si="33"/>
        <v>EXCESS</v>
      </c>
      <c r="N434" s="4">
        <f t="shared" si="34"/>
        <v>20916</v>
      </c>
      <c r="O434" s="1" t="str">
        <f t="shared" si="35"/>
        <v>Reduce orders and monitor</v>
      </c>
    </row>
    <row r="435" spans="1:15" ht="15" customHeight="1" x14ac:dyDescent="0.2">
      <c r="A435" s="3" t="str">
        <f>'1. Master Data'!A435</f>
        <v>NT10431</v>
      </c>
      <c r="B435" s="1" t="str">
        <f>'1. Master Data'!B435</f>
        <v>NovaTab 339 10in</v>
      </c>
      <c r="C435" s="3" t="str">
        <f>'1. Master Data'!C435</f>
        <v>Tablets</v>
      </c>
      <c r="D435" s="3" t="str">
        <f>'1. Master Data'!D435</f>
        <v>West DC</v>
      </c>
      <c r="E435" s="3" t="str">
        <f>'1. Master Data'!H435</f>
        <v>Active</v>
      </c>
      <c r="F435" s="4">
        <f>'1. Master Data'!F435</f>
        <v>476</v>
      </c>
      <c r="G435" s="3">
        <f>'1. Master Data'!I435</f>
        <v>129</v>
      </c>
      <c r="H435" s="15">
        <f t="shared" si="31"/>
        <v>61404</v>
      </c>
      <c r="I435" s="3">
        <f>'1. Master Data'!J435</f>
        <v>95</v>
      </c>
      <c r="J435" s="5" t="str">
        <f t="shared" si="32"/>
        <v>Aged</v>
      </c>
      <c r="K435" s="3">
        <f>IF('3. Demand Forecast'!F435=0,99,ROUND(G435/'3. Demand Forecast'!F435,1))</f>
        <v>3.4</v>
      </c>
      <c r="L435" s="3">
        <f>IF(G435=0,0,ROUND('4. ABC XYZ Analysis'!F435/G435,1))</f>
        <v>3.8</v>
      </c>
      <c r="M435" s="5" t="str">
        <f t="shared" si="33"/>
        <v>EXCESS</v>
      </c>
      <c r="N435" s="4">
        <f t="shared" si="34"/>
        <v>61404</v>
      </c>
      <c r="O435" s="1" t="str">
        <f t="shared" si="35"/>
        <v>Reduce orders and monitor</v>
      </c>
    </row>
    <row r="436" spans="1:15" ht="15" customHeight="1" x14ac:dyDescent="0.2">
      <c r="A436" s="3" t="str">
        <f>'1. Master Data'!A436</f>
        <v>NT10432</v>
      </c>
      <c r="B436" s="1" t="str">
        <f>'1. Master Data'!B436</f>
        <v>DrawPad 694 12in</v>
      </c>
      <c r="C436" s="3" t="str">
        <f>'1. Master Data'!C436</f>
        <v>Tablets</v>
      </c>
      <c r="D436" s="3" t="str">
        <f>'1. Master Data'!D436</f>
        <v>Central DC</v>
      </c>
      <c r="E436" s="3" t="str">
        <f>'1. Master Data'!H436</f>
        <v>Active</v>
      </c>
      <c r="F436" s="4">
        <f>'1. Master Data'!F436</f>
        <v>412</v>
      </c>
      <c r="G436" s="3">
        <f>'1. Master Data'!I436</f>
        <v>43</v>
      </c>
      <c r="H436" s="15">
        <f t="shared" si="31"/>
        <v>17716</v>
      </c>
      <c r="I436" s="3">
        <f>'1. Master Data'!J436</f>
        <v>39</v>
      </c>
      <c r="J436" s="5" t="str">
        <f t="shared" si="32"/>
        <v>Watch</v>
      </c>
      <c r="K436" s="3">
        <f>IF('3. Demand Forecast'!F436=0,99,ROUND(G436/'3. Demand Forecast'!F436,1))</f>
        <v>1.8</v>
      </c>
      <c r="L436" s="3">
        <f>IF(G436=0,0,ROUND('4. ABC XYZ Analysis'!F436/G436,1))</f>
        <v>50</v>
      </c>
      <c r="M436" s="5" t="str">
        <f t="shared" si="33"/>
        <v>OK</v>
      </c>
      <c r="N436" s="4">
        <f t="shared" si="34"/>
        <v>0</v>
      </c>
      <c r="O436" s="1" t="str">
        <f t="shared" si="35"/>
        <v>Healthy</v>
      </c>
    </row>
    <row r="437" spans="1:15" ht="15" customHeight="1" x14ac:dyDescent="0.2">
      <c r="A437" s="3" t="str">
        <f>'1. Master Data'!A437</f>
        <v>NT10433</v>
      </c>
      <c r="B437" s="1" t="str">
        <f>'1. Master Data'!B437</f>
        <v>NovaTab 132 10in</v>
      </c>
      <c r="C437" s="3" t="str">
        <f>'1. Master Data'!C437</f>
        <v>Tablets</v>
      </c>
      <c r="D437" s="3" t="str">
        <f>'1. Master Data'!D437</f>
        <v>West DC</v>
      </c>
      <c r="E437" s="3" t="str">
        <f>'1. Master Data'!H437</f>
        <v>EOL</v>
      </c>
      <c r="F437" s="4">
        <f>'1. Master Data'!F437</f>
        <v>263</v>
      </c>
      <c r="G437" s="3">
        <f>'1. Master Data'!I437</f>
        <v>36</v>
      </c>
      <c r="H437" s="15">
        <f t="shared" si="31"/>
        <v>9468</v>
      </c>
      <c r="I437" s="3">
        <f>'1. Master Data'!J437</f>
        <v>193</v>
      </c>
      <c r="J437" s="5" t="str">
        <f t="shared" si="32"/>
        <v>Obsolete Risk</v>
      </c>
      <c r="K437" s="3">
        <f>IF('3. Demand Forecast'!F437=0,99,ROUND(G437/'3. Demand Forecast'!F437,1))</f>
        <v>7.5</v>
      </c>
      <c r="L437" s="3">
        <f>IF(G437=0,0,ROUND('4. ABC XYZ Analysis'!F437/G437,1))</f>
        <v>79.2</v>
      </c>
      <c r="M437" s="5" t="str">
        <f t="shared" si="33"/>
        <v>EXCESS</v>
      </c>
      <c r="N437" s="4">
        <f t="shared" si="34"/>
        <v>9468</v>
      </c>
      <c r="O437" s="1" t="str">
        <f t="shared" si="35"/>
        <v>Scrap / Liquidate</v>
      </c>
    </row>
    <row r="438" spans="1:15" ht="15" customHeight="1" x14ac:dyDescent="0.2">
      <c r="A438" s="3" t="str">
        <f>'1. Master Data'!A438</f>
        <v>NT10434</v>
      </c>
      <c r="B438" s="1" t="str">
        <f>'1. Master Data'!B438</f>
        <v>NovaTab 373 Kids</v>
      </c>
      <c r="C438" s="3" t="str">
        <f>'1. Master Data'!C438</f>
        <v>Tablets</v>
      </c>
      <c r="D438" s="3" t="str">
        <f>'1. Master Data'!D438</f>
        <v>East DC</v>
      </c>
      <c r="E438" s="3" t="str">
        <f>'1. Master Data'!H438</f>
        <v>Active</v>
      </c>
      <c r="F438" s="4">
        <f>'1. Master Data'!F438</f>
        <v>232</v>
      </c>
      <c r="G438" s="3">
        <f>'1. Master Data'!I438</f>
        <v>162</v>
      </c>
      <c r="H438" s="15">
        <f t="shared" si="31"/>
        <v>37584</v>
      </c>
      <c r="I438" s="3">
        <f>'1. Master Data'!J438</f>
        <v>34</v>
      </c>
      <c r="J438" s="5" t="str">
        <f t="shared" si="32"/>
        <v>Watch</v>
      </c>
      <c r="K438" s="3">
        <f>IF('3. Demand Forecast'!F438=0,99,ROUND(G438/'3. Demand Forecast'!F438,1))</f>
        <v>2.4</v>
      </c>
      <c r="L438" s="3">
        <f>IF(G438=0,0,ROUND('4. ABC XYZ Analysis'!F438/G438,1))</f>
        <v>3.5</v>
      </c>
      <c r="M438" s="5" t="str">
        <f t="shared" si="33"/>
        <v>OK</v>
      </c>
      <c r="N438" s="4">
        <f t="shared" si="34"/>
        <v>0</v>
      </c>
      <c r="O438" s="1" t="str">
        <f t="shared" si="35"/>
        <v>Healthy</v>
      </c>
    </row>
    <row r="439" spans="1:15" ht="15" customHeight="1" x14ac:dyDescent="0.2">
      <c r="A439" s="3" t="str">
        <f>'1. Master Data'!A439</f>
        <v>NT10435</v>
      </c>
      <c r="B439" s="1" t="str">
        <f>'1. Master Data'!B439</f>
        <v>NovaTab 789 Kids</v>
      </c>
      <c r="C439" s="3" t="str">
        <f>'1. Master Data'!C439</f>
        <v>Tablets</v>
      </c>
      <c r="D439" s="3" t="str">
        <f>'1. Master Data'!D439</f>
        <v>West DC</v>
      </c>
      <c r="E439" s="3" t="str">
        <f>'1. Master Data'!H439</f>
        <v>Active</v>
      </c>
      <c r="F439" s="4">
        <f>'1. Master Data'!F439</f>
        <v>388</v>
      </c>
      <c r="G439" s="3">
        <f>'1. Master Data'!I439</f>
        <v>84</v>
      </c>
      <c r="H439" s="15">
        <f t="shared" si="31"/>
        <v>32592</v>
      </c>
      <c r="I439" s="3">
        <f>'1. Master Data'!J439</f>
        <v>13</v>
      </c>
      <c r="J439" s="5" t="str">
        <f t="shared" si="32"/>
        <v>Fresh</v>
      </c>
      <c r="K439" s="3">
        <f>IF('3. Demand Forecast'!F439=0,99,ROUND(G439/'3. Demand Forecast'!F439,1))</f>
        <v>2.6</v>
      </c>
      <c r="L439" s="3">
        <f>IF(G439=0,0,ROUND('4. ABC XYZ Analysis'!F439/G439,1))</f>
        <v>0.6</v>
      </c>
      <c r="M439" s="5" t="str">
        <f t="shared" si="33"/>
        <v>OK</v>
      </c>
      <c r="N439" s="4">
        <f t="shared" si="34"/>
        <v>0</v>
      </c>
      <c r="O439" s="1" t="str">
        <f t="shared" si="35"/>
        <v>Healthy</v>
      </c>
    </row>
    <row r="440" spans="1:15" ht="15" customHeight="1" x14ac:dyDescent="0.2">
      <c r="A440" s="3" t="str">
        <f>'1. Master Data'!A440</f>
        <v>NT10436</v>
      </c>
      <c r="B440" s="1" t="str">
        <f>'1. Master Data'!B440</f>
        <v>DrawPad 834 12in</v>
      </c>
      <c r="C440" s="3" t="str">
        <f>'1. Master Data'!C440</f>
        <v>Tablets</v>
      </c>
      <c r="D440" s="3" t="str">
        <f>'1. Master Data'!D440</f>
        <v>East DC</v>
      </c>
      <c r="E440" s="3" t="str">
        <f>'1. Master Data'!H440</f>
        <v>Active</v>
      </c>
      <c r="F440" s="4">
        <f>'1. Master Data'!F440</f>
        <v>125</v>
      </c>
      <c r="G440" s="3">
        <f>'1. Master Data'!I440</f>
        <v>77</v>
      </c>
      <c r="H440" s="15">
        <f t="shared" si="31"/>
        <v>9625</v>
      </c>
      <c r="I440" s="3">
        <f>'1. Master Data'!J440</f>
        <v>64</v>
      </c>
      <c r="J440" s="5" t="str">
        <f t="shared" si="32"/>
        <v>Watch</v>
      </c>
      <c r="K440" s="3">
        <f>IF('3. Demand Forecast'!F440=0,99,ROUND(G440/'3. Demand Forecast'!F440,1))</f>
        <v>1.8</v>
      </c>
      <c r="L440" s="3">
        <f>IF(G440=0,0,ROUND('4. ABC XYZ Analysis'!F440/G440,1))</f>
        <v>8.5</v>
      </c>
      <c r="M440" s="5" t="str">
        <f t="shared" si="33"/>
        <v>OK</v>
      </c>
      <c r="N440" s="4">
        <f t="shared" si="34"/>
        <v>0</v>
      </c>
      <c r="O440" s="1" t="str">
        <f t="shared" si="35"/>
        <v>Healthy</v>
      </c>
    </row>
    <row r="441" spans="1:15" ht="15" customHeight="1" x14ac:dyDescent="0.2">
      <c r="A441" s="3" t="str">
        <f>'1. Master Data'!A441</f>
        <v>NT10437</v>
      </c>
      <c r="B441" s="1" t="str">
        <f>'1. Master Data'!B441</f>
        <v>NovaTab 346 Kids</v>
      </c>
      <c r="C441" s="3" t="str">
        <f>'1. Master Data'!C441</f>
        <v>Tablets</v>
      </c>
      <c r="D441" s="3" t="str">
        <f>'1. Master Data'!D441</f>
        <v>East DC</v>
      </c>
      <c r="E441" s="3" t="str">
        <f>'1. Master Data'!H441</f>
        <v>EOL</v>
      </c>
      <c r="F441" s="4">
        <f>'1. Master Data'!F441</f>
        <v>247</v>
      </c>
      <c r="G441" s="3">
        <f>'1. Master Data'!I441</f>
        <v>20</v>
      </c>
      <c r="H441" s="15">
        <f t="shared" si="31"/>
        <v>4940</v>
      </c>
      <c r="I441" s="3">
        <f>'1. Master Data'!J441</f>
        <v>291</v>
      </c>
      <c r="J441" s="5" t="str">
        <f t="shared" si="32"/>
        <v>Obsolete Risk</v>
      </c>
      <c r="K441" s="3">
        <f>IF('3. Demand Forecast'!F441=0,99,ROUND(G441/'3. Demand Forecast'!F441,1))</f>
        <v>5.3</v>
      </c>
      <c r="L441" s="3">
        <f>IF(G441=0,0,ROUND('4. ABC XYZ Analysis'!F441/G441,1))</f>
        <v>12.6</v>
      </c>
      <c r="M441" s="5" t="str">
        <f t="shared" si="33"/>
        <v>EXCESS</v>
      </c>
      <c r="N441" s="4">
        <f t="shared" si="34"/>
        <v>4940</v>
      </c>
      <c r="O441" s="1" t="str">
        <f t="shared" si="35"/>
        <v>Scrap / Liquidate</v>
      </c>
    </row>
    <row r="442" spans="1:15" ht="15" customHeight="1" x14ac:dyDescent="0.2">
      <c r="A442" s="3" t="str">
        <f>'1. Master Data'!A442</f>
        <v>NT10438</v>
      </c>
      <c r="B442" s="1" t="str">
        <f>'1. Master Data'!B442</f>
        <v>NovaTab 862 Kids</v>
      </c>
      <c r="C442" s="3" t="str">
        <f>'1. Master Data'!C442</f>
        <v>Tablets</v>
      </c>
      <c r="D442" s="3" t="str">
        <f>'1. Master Data'!D442</f>
        <v>Central DC</v>
      </c>
      <c r="E442" s="3" t="str">
        <f>'1. Master Data'!H442</f>
        <v>EOL</v>
      </c>
      <c r="F442" s="4">
        <f>'1. Master Data'!F442</f>
        <v>398</v>
      </c>
      <c r="G442" s="3">
        <f>'1. Master Data'!I442</f>
        <v>65</v>
      </c>
      <c r="H442" s="15">
        <f t="shared" si="31"/>
        <v>25870</v>
      </c>
      <c r="I442" s="3">
        <f>'1. Master Data'!J442</f>
        <v>153</v>
      </c>
      <c r="J442" s="5" t="str">
        <f t="shared" si="32"/>
        <v>Aged</v>
      </c>
      <c r="K442" s="3">
        <f>IF('3. Demand Forecast'!F442=0,99,ROUND(G442/'3. Demand Forecast'!F442,1))</f>
        <v>2.2999999999999998</v>
      </c>
      <c r="L442" s="3">
        <f>IF(G442=0,0,ROUND('4. ABC XYZ Analysis'!F442/G442,1))</f>
        <v>19.8</v>
      </c>
      <c r="M442" s="5" t="str">
        <f t="shared" si="33"/>
        <v>EXCESS</v>
      </c>
      <c r="N442" s="4">
        <f t="shared" si="34"/>
        <v>25870</v>
      </c>
      <c r="O442" s="1" t="str">
        <f t="shared" si="35"/>
        <v>Scrap / Liquidate</v>
      </c>
    </row>
    <row r="443" spans="1:15" ht="15" customHeight="1" x14ac:dyDescent="0.2">
      <c r="A443" s="3" t="str">
        <f>'1. Master Data'!A443</f>
        <v>NT10439</v>
      </c>
      <c r="B443" s="1" t="str">
        <f>'1. Master Data'!B443</f>
        <v>NovaTab 758 10in</v>
      </c>
      <c r="C443" s="3" t="str">
        <f>'1. Master Data'!C443</f>
        <v>Tablets</v>
      </c>
      <c r="D443" s="3" t="str">
        <f>'1. Master Data'!D443</f>
        <v>Central DC</v>
      </c>
      <c r="E443" s="3" t="str">
        <f>'1. Master Data'!H443</f>
        <v>Active</v>
      </c>
      <c r="F443" s="4">
        <f>'1. Master Data'!F443</f>
        <v>340</v>
      </c>
      <c r="G443" s="3">
        <f>'1. Master Data'!I443</f>
        <v>169</v>
      </c>
      <c r="H443" s="15">
        <f t="shared" si="31"/>
        <v>57460</v>
      </c>
      <c r="I443" s="3">
        <f>'1. Master Data'!J443</f>
        <v>102</v>
      </c>
      <c r="J443" s="5" t="str">
        <f t="shared" si="32"/>
        <v>Aged</v>
      </c>
      <c r="K443" s="3">
        <f>IF('3. Demand Forecast'!F443=0,99,ROUND(G443/'3. Demand Forecast'!F443,1))</f>
        <v>3.9</v>
      </c>
      <c r="L443" s="3">
        <f>IF(G443=0,0,ROUND('4. ABC XYZ Analysis'!F443/G443,1))</f>
        <v>12.3</v>
      </c>
      <c r="M443" s="5" t="str">
        <f t="shared" si="33"/>
        <v>EXCESS</v>
      </c>
      <c r="N443" s="4">
        <f t="shared" si="34"/>
        <v>57460</v>
      </c>
      <c r="O443" s="1" t="str">
        <f t="shared" si="35"/>
        <v>Reduce orders and monitor</v>
      </c>
    </row>
    <row r="444" spans="1:15" ht="15" customHeight="1" x14ac:dyDescent="0.2">
      <c r="A444" s="3" t="str">
        <f>'1. Master Data'!A444</f>
        <v>NT10440</v>
      </c>
      <c r="B444" s="1" t="str">
        <f>'1. Master Data'!B444</f>
        <v>DrawPad 640 12in</v>
      </c>
      <c r="C444" s="3" t="str">
        <f>'1. Master Data'!C444</f>
        <v>Tablets</v>
      </c>
      <c r="D444" s="3" t="str">
        <f>'1. Master Data'!D444</f>
        <v>Central DC</v>
      </c>
      <c r="E444" s="3" t="str">
        <f>'1. Master Data'!H444</f>
        <v>Active</v>
      </c>
      <c r="F444" s="4">
        <f>'1. Master Data'!F444</f>
        <v>379</v>
      </c>
      <c r="G444" s="3">
        <f>'1. Master Data'!I444</f>
        <v>264</v>
      </c>
      <c r="H444" s="15">
        <f t="shared" si="31"/>
        <v>100056</v>
      </c>
      <c r="I444" s="3">
        <f>'1. Master Data'!J444</f>
        <v>47</v>
      </c>
      <c r="J444" s="5" t="str">
        <f t="shared" si="32"/>
        <v>Watch</v>
      </c>
      <c r="K444" s="3">
        <f>IF('3. Demand Forecast'!F444=0,99,ROUND(G444/'3. Demand Forecast'!F444,1))</f>
        <v>2.8</v>
      </c>
      <c r="L444" s="3">
        <f>IF(G444=0,0,ROUND('4. ABC XYZ Analysis'!F444/G444,1))</f>
        <v>2.4</v>
      </c>
      <c r="M444" s="5" t="str">
        <f t="shared" si="33"/>
        <v>OK</v>
      </c>
      <c r="N444" s="4">
        <f t="shared" si="34"/>
        <v>0</v>
      </c>
      <c r="O444" s="1" t="str">
        <f t="shared" si="35"/>
        <v>Healthy</v>
      </c>
    </row>
    <row r="445" spans="1:15" ht="15" customHeight="1" x14ac:dyDescent="0.2">
      <c r="A445" s="3" t="str">
        <f>'1. Master Data'!A445</f>
        <v>NT10441</v>
      </c>
      <c r="B445" s="1" t="str">
        <f>'1. Master Data'!B445</f>
        <v>DrawPad 374 12in</v>
      </c>
      <c r="C445" s="3" t="str">
        <f>'1. Master Data'!C445</f>
        <v>Tablets</v>
      </c>
      <c r="D445" s="3" t="str">
        <f>'1. Master Data'!D445</f>
        <v>Central DC</v>
      </c>
      <c r="E445" s="3" t="str">
        <f>'1. Master Data'!H445</f>
        <v>Active</v>
      </c>
      <c r="F445" s="4">
        <f>'1. Master Data'!F445</f>
        <v>364</v>
      </c>
      <c r="G445" s="3">
        <f>'1. Master Data'!I445</f>
        <v>18</v>
      </c>
      <c r="H445" s="15">
        <f t="shared" si="31"/>
        <v>6552</v>
      </c>
      <c r="I445" s="3">
        <f>'1. Master Data'!J445</f>
        <v>34</v>
      </c>
      <c r="J445" s="5" t="str">
        <f t="shared" si="32"/>
        <v>Watch</v>
      </c>
      <c r="K445" s="3">
        <f>IF('3. Demand Forecast'!F445=0,99,ROUND(G445/'3. Demand Forecast'!F445,1))</f>
        <v>3.5</v>
      </c>
      <c r="L445" s="3">
        <f>IF(G445=0,0,ROUND('4. ABC XYZ Analysis'!F445/G445,1))</f>
        <v>4.9000000000000004</v>
      </c>
      <c r="M445" s="5" t="str">
        <f t="shared" si="33"/>
        <v>OK</v>
      </c>
      <c r="N445" s="4">
        <f t="shared" si="34"/>
        <v>0</v>
      </c>
      <c r="O445" s="1" t="str">
        <f t="shared" si="35"/>
        <v>Healthy</v>
      </c>
    </row>
    <row r="446" spans="1:15" ht="15" customHeight="1" x14ac:dyDescent="0.2">
      <c r="A446" s="3" t="str">
        <f>'1. Master Data'!A446</f>
        <v>NT10442</v>
      </c>
      <c r="B446" s="1" t="str">
        <f>'1. Master Data'!B446</f>
        <v>DrawPad 251 12in</v>
      </c>
      <c r="C446" s="3" t="str">
        <f>'1. Master Data'!C446</f>
        <v>Tablets</v>
      </c>
      <c r="D446" s="3" t="str">
        <f>'1. Master Data'!D446</f>
        <v>East DC</v>
      </c>
      <c r="E446" s="3" t="str">
        <f>'1. Master Data'!H446</f>
        <v>Active</v>
      </c>
      <c r="F446" s="4">
        <f>'1. Master Data'!F446</f>
        <v>133</v>
      </c>
      <c r="G446" s="3">
        <f>'1. Master Data'!I446</f>
        <v>82</v>
      </c>
      <c r="H446" s="15">
        <f t="shared" si="31"/>
        <v>10906</v>
      </c>
      <c r="I446" s="3">
        <f>'1. Master Data'!J446</f>
        <v>117</v>
      </c>
      <c r="J446" s="5" t="str">
        <f t="shared" si="32"/>
        <v>Aged</v>
      </c>
      <c r="K446" s="3">
        <f>IF('3. Demand Forecast'!F446=0,99,ROUND(G446/'3. Demand Forecast'!F446,1))</f>
        <v>3.9</v>
      </c>
      <c r="L446" s="3">
        <f>IF(G446=0,0,ROUND('4. ABC XYZ Analysis'!F446/G446,1))</f>
        <v>2.5</v>
      </c>
      <c r="M446" s="5" t="str">
        <f t="shared" si="33"/>
        <v>EXCESS</v>
      </c>
      <c r="N446" s="4">
        <f t="shared" si="34"/>
        <v>10906</v>
      </c>
      <c r="O446" s="1" t="str">
        <f t="shared" si="35"/>
        <v>Reduce orders and monitor</v>
      </c>
    </row>
    <row r="447" spans="1:15" ht="15" customHeight="1" x14ac:dyDescent="0.2">
      <c r="A447" s="3" t="str">
        <f>'1. Master Data'!A447</f>
        <v>NT10443</v>
      </c>
      <c r="B447" s="1" t="str">
        <f>'1. Master Data'!B447</f>
        <v>NovaTab 846 Kids</v>
      </c>
      <c r="C447" s="3" t="str">
        <f>'1. Master Data'!C447</f>
        <v>Tablets</v>
      </c>
      <c r="D447" s="3" t="str">
        <f>'1. Master Data'!D447</f>
        <v>Central DC</v>
      </c>
      <c r="E447" s="3" t="str">
        <f>'1. Master Data'!H447</f>
        <v>Active</v>
      </c>
      <c r="F447" s="4">
        <f>'1. Master Data'!F447</f>
        <v>244</v>
      </c>
      <c r="G447" s="3">
        <f>'1. Master Data'!I447</f>
        <v>98</v>
      </c>
      <c r="H447" s="15">
        <f t="shared" si="31"/>
        <v>23912</v>
      </c>
      <c r="I447" s="3">
        <f>'1. Master Data'!J447</f>
        <v>114</v>
      </c>
      <c r="J447" s="5" t="str">
        <f t="shared" si="32"/>
        <v>Aged</v>
      </c>
      <c r="K447" s="3">
        <f>IF('3. Demand Forecast'!F447=0,99,ROUND(G447/'3. Demand Forecast'!F447,1))</f>
        <v>4.7</v>
      </c>
      <c r="L447" s="3">
        <f>IF(G447=0,0,ROUND('4. ABC XYZ Analysis'!F447/G447,1))</f>
        <v>25.6</v>
      </c>
      <c r="M447" s="5" t="str">
        <f t="shared" si="33"/>
        <v>EXCESS</v>
      </c>
      <c r="N447" s="4">
        <f t="shared" si="34"/>
        <v>23912</v>
      </c>
      <c r="O447" s="1" t="str">
        <f t="shared" si="35"/>
        <v>Reduce orders and monitor</v>
      </c>
    </row>
    <row r="448" spans="1:15" ht="15" customHeight="1" x14ac:dyDescent="0.2">
      <c r="A448" s="3" t="str">
        <f>'1. Master Data'!A448</f>
        <v>NT10444</v>
      </c>
      <c r="B448" s="1" t="str">
        <f>'1. Master Data'!B448</f>
        <v>NovaTab 111 10in</v>
      </c>
      <c r="C448" s="3" t="str">
        <f>'1. Master Data'!C448</f>
        <v>Tablets</v>
      </c>
      <c r="D448" s="3" t="str">
        <f>'1. Master Data'!D448</f>
        <v>West DC</v>
      </c>
      <c r="E448" s="3" t="str">
        <f>'1. Master Data'!H448</f>
        <v>Active</v>
      </c>
      <c r="F448" s="4">
        <f>'1. Master Data'!F448</f>
        <v>144</v>
      </c>
      <c r="G448" s="3">
        <f>'1. Master Data'!I448</f>
        <v>31</v>
      </c>
      <c r="H448" s="15">
        <f t="shared" si="31"/>
        <v>4464</v>
      </c>
      <c r="I448" s="3">
        <f>'1. Master Data'!J448</f>
        <v>186</v>
      </c>
      <c r="J448" s="5" t="str">
        <f t="shared" si="32"/>
        <v>Obsolete Risk</v>
      </c>
      <c r="K448" s="3">
        <f>IF('3. Demand Forecast'!F448=0,99,ROUND(G448/'3. Demand Forecast'!F448,1))</f>
        <v>4.5999999999999996</v>
      </c>
      <c r="L448" s="3">
        <f>IF(G448=0,0,ROUND('4. ABC XYZ Analysis'!F448/G448,1))</f>
        <v>1.4</v>
      </c>
      <c r="M448" s="5" t="str">
        <f t="shared" si="33"/>
        <v>EXCESS</v>
      </c>
      <c r="N448" s="4">
        <f t="shared" si="34"/>
        <v>4464</v>
      </c>
      <c r="O448" s="1" t="str">
        <f t="shared" si="35"/>
        <v>Disposition Review</v>
      </c>
    </row>
    <row r="449" spans="1:15" ht="15" customHeight="1" x14ac:dyDescent="0.2">
      <c r="A449" s="3" t="str">
        <f>'1. Master Data'!A449</f>
        <v>NT10445</v>
      </c>
      <c r="B449" s="1" t="str">
        <f>'1. Master Data'!B449</f>
        <v>DrawPad 495 12in</v>
      </c>
      <c r="C449" s="3" t="str">
        <f>'1. Master Data'!C449</f>
        <v>Tablets</v>
      </c>
      <c r="D449" s="3" t="str">
        <f>'1. Master Data'!D449</f>
        <v>Central DC</v>
      </c>
      <c r="E449" s="3" t="str">
        <f>'1. Master Data'!H449</f>
        <v>Active</v>
      </c>
      <c r="F449" s="4">
        <f>'1. Master Data'!F449</f>
        <v>160</v>
      </c>
      <c r="G449" s="3">
        <f>'1. Master Data'!I449</f>
        <v>258</v>
      </c>
      <c r="H449" s="15">
        <f t="shared" si="31"/>
        <v>41280</v>
      </c>
      <c r="I449" s="3">
        <f>'1. Master Data'!J449</f>
        <v>20</v>
      </c>
      <c r="J449" s="5" t="str">
        <f t="shared" si="32"/>
        <v>Fresh</v>
      </c>
      <c r="K449" s="3">
        <f>IF('3. Demand Forecast'!F449=0,99,ROUND(G449/'3. Demand Forecast'!F449,1))</f>
        <v>2.7</v>
      </c>
      <c r="L449" s="3">
        <f>IF(G449=0,0,ROUND('4. ABC XYZ Analysis'!F449/G449,1))</f>
        <v>0.4</v>
      </c>
      <c r="M449" s="5" t="str">
        <f t="shared" si="33"/>
        <v>OK</v>
      </c>
      <c r="N449" s="4">
        <f t="shared" si="34"/>
        <v>0</v>
      </c>
      <c r="O449" s="1" t="str">
        <f t="shared" si="35"/>
        <v>Healthy</v>
      </c>
    </row>
    <row r="450" spans="1:15" ht="15" customHeight="1" x14ac:dyDescent="0.2">
      <c r="A450" s="3" t="str">
        <f>'1. Master Data'!A450</f>
        <v>NT10446</v>
      </c>
      <c r="B450" s="1" t="str">
        <f>'1. Master Data'!B450</f>
        <v>NovaTab 935 Kids</v>
      </c>
      <c r="C450" s="3" t="str">
        <f>'1. Master Data'!C450</f>
        <v>Tablets</v>
      </c>
      <c r="D450" s="3" t="str">
        <f>'1. Master Data'!D450</f>
        <v>West DC</v>
      </c>
      <c r="E450" s="3" t="str">
        <f>'1. Master Data'!H450</f>
        <v>Active</v>
      </c>
      <c r="F450" s="4">
        <f>'1. Master Data'!F450</f>
        <v>387</v>
      </c>
      <c r="G450" s="3">
        <f>'1. Master Data'!I450</f>
        <v>199</v>
      </c>
      <c r="H450" s="15">
        <f t="shared" si="31"/>
        <v>77013</v>
      </c>
      <c r="I450" s="3">
        <f>'1. Master Data'!J450</f>
        <v>22</v>
      </c>
      <c r="J450" s="5" t="str">
        <f t="shared" si="32"/>
        <v>Fresh</v>
      </c>
      <c r="K450" s="3">
        <f>IF('3. Demand Forecast'!F450=0,99,ROUND(G450/'3. Demand Forecast'!F450,1))</f>
        <v>2.2999999999999998</v>
      </c>
      <c r="L450" s="3">
        <f>IF(G450=0,0,ROUND('4. ABC XYZ Analysis'!F450/G450,1))</f>
        <v>2.7</v>
      </c>
      <c r="M450" s="5" t="str">
        <f t="shared" si="33"/>
        <v>OK</v>
      </c>
      <c r="N450" s="4">
        <f t="shared" si="34"/>
        <v>0</v>
      </c>
      <c r="O450" s="1" t="str">
        <f t="shared" si="35"/>
        <v>Healthy</v>
      </c>
    </row>
    <row r="451" spans="1:15" ht="15" customHeight="1" x14ac:dyDescent="0.2">
      <c r="A451" s="3" t="str">
        <f>'1. Master Data'!A451</f>
        <v>NT10447</v>
      </c>
      <c r="B451" s="1" t="str">
        <f>'1. Master Data'!B451</f>
        <v>DrawPad 840 12in</v>
      </c>
      <c r="C451" s="3" t="str">
        <f>'1. Master Data'!C451</f>
        <v>Tablets</v>
      </c>
      <c r="D451" s="3" t="str">
        <f>'1. Master Data'!D451</f>
        <v>Central DC</v>
      </c>
      <c r="E451" s="3" t="str">
        <f>'1. Master Data'!H451</f>
        <v>Active</v>
      </c>
      <c r="F451" s="4">
        <f>'1. Master Data'!F451</f>
        <v>284</v>
      </c>
      <c r="G451" s="3">
        <f>'1. Master Data'!I451</f>
        <v>429</v>
      </c>
      <c r="H451" s="15">
        <f t="shared" si="31"/>
        <v>121836</v>
      </c>
      <c r="I451" s="3">
        <f>'1. Master Data'!J451</f>
        <v>18</v>
      </c>
      <c r="J451" s="5" t="str">
        <f t="shared" si="32"/>
        <v>Fresh</v>
      </c>
      <c r="K451" s="3">
        <f>IF('3. Demand Forecast'!F451=0,99,ROUND(G451/'3. Demand Forecast'!F451,1))</f>
        <v>2.5</v>
      </c>
      <c r="L451" s="3">
        <f>IF(G451=0,0,ROUND('4. ABC XYZ Analysis'!F451/G451,1))</f>
        <v>1.7</v>
      </c>
      <c r="M451" s="5" t="str">
        <f t="shared" si="33"/>
        <v>OK</v>
      </c>
      <c r="N451" s="4">
        <f t="shared" si="34"/>
        <v>0</v>
      </c>
      <c r="O451" s="1" t="str">
        <f t="shared" si="35"/>
        <v>Healthy</v>
      </c>
    </row>
    <row r="452" spans="1:15" ht="15" customHeight="1" x14ac:dyDescent="0.2">
      <c r="A452" s="3" t="str">
        <f>'1. Master Data'!A452</f>
        <v>NT10448</v>
      </c>
      <c r="B452" s="1" t="str">
        <f>'1. Master Data'!B452</f>
        <v>NovaTab 743 10in</v>
      </c>
      <c r="C452" s="3" t="str">
        <f>'1. Master Data'!C452</f>
        <v>Tablets</v>
      </c>
      <c r="D452" s="3" t="str">
        <f>'1. Master Data'!D452</f>
        <v>Central DC</v>
      </c>
      <c r="E452" s="3" t="str">
        <f>'1. Master Data'!H452</f>
        <v>Active</v>
      </c>
      <c r="F452" s="4">
        <f>'1. Master Data'!F452</f>
        <v>169</v>
      </c>
      <c r="G452" s="3">
        <f>'1. Master Data'!I452</f>
        <v>29</v>
      </c>
      <c r="H452" s="15">
        <f t="shared" si="31"/>
        <v>4901</v>
      </c>
      <c r="I452" s="3">
        <f>'1. Master Data'!J452</f>
        <v>63</v>
      </c>
      <c r="J452" s="5" t="str">
        <f t="shared" si="32"/>
        <v>Watch</v>
      </c>
      <c r="K452" s="3">
        <f>IF('3. Demand Forecast'!F452=0,99,ROUND(G452/'3. Demand Forecast'!F452,1))</f>
        <v>2.6</v>
      </c>
      <c r="L452" s="3">
        <f>IF(G452=0,0,ROUND('4. ABC XYZ Analysis'!F452/G452,1))</f>
        <v>6.2</v>
      </c>
      <c r="M452" s="5" t="str">
        <f t="shared" si="33"/>
        <v>OK</v>
      </c>
      <c r="N452" s="4">
        <f t="shared" si="34"/>
        <v>0</v>
      </c>
      <c r="O452" s="1" t="str">
        <f t="shared" si="35"/>
        <v>Healthy</v>
      </c>
    </row>
    <row r="453" spans="1:15" ht="15" customHeight="1" x14ac:dyDescent="0.2">
      <c r="A453" s="3" t="str">
        <f>'1. Master Data'!A453</f>
        <v>NT10449</v>
      </c>
      <c r="B453" s="1" t="str">
        <f>'1. Master Data'!B453</f>
        <v>NovaTab 443 Kids</v>
      </c>
      <c r="C453" s="3" t="str">
        <f>'1. Master Data'!C453</f>
        <v>Tablets</v>
      </c>
      <c r="D453" s="3" t="str">
        <f>'1. Master Data'!D453</f>
        <v>Central DC</v>
      </c>
      <c r="E453" s="3" t="str">
        <f>'1. Master Data'!H453</f>
        <v>Active</v>
      </c>
      <c r="F453" s="4">
        <f>'1. Master Data'!F453</f>
        <v>264</v>
      </c>
      <c r="G453" s="3">
        <f>'1. Master Data'!I453</f>
        <v>387</v>
      </c>
      <c r="H453" s="15">
        <f t="shared" ref="H453:H504" si="36">F453*G453</f>
        <v>102168</v>
      </c>
      <c r="I453" s="3">
        <f>'1. Master Data'!J453</f>
        <v>54</v>
      </c>
      <c r="J453" s="5" t="str">
        <f t="shared" ref="J453:J504" si="37">IF(I453&lt;=30,"Fresh",IF(I453&lt;=90,"Watch",IF(I453&lt;=180,"Aged","Obsolete Risk")))</f>
        <v>Watch</v>
      </c>
      <c r="K453" s="3">
        <f>IF('3. Demand Forecast'!F453=0,99,ROUND(G453/'3. Demand Forecast'!F453,1))</f>
        <v>2.2999999999999998</v>
      </c>
      <c r="L453" s="3">
        <f>IF(G453=0,0,ROUND('4. ABC XYZ Analysis'!F453/G453,1))</f>
        <v>2.7</v>
      </c>
      <c r="M453" s="5" t="str">
        <f t="shared" ref="M453:M504" si="38">IF(OR(E453="EOL",I453&gt;90,K453&gt;6),"EXCESS","OK")</f>
        <v>OK</v>
      </c>
      <c r="N453" s="4">
        <f t="shared" ref="N453:N504" si="39">IF(M453="EXCESS",H453,0)</f>
        <v>0</v>
      </c>
      <c r="O453" s="1" t="str">
        <f t="shared" ref="O453:O504" si="40">IF(E453="EOL","Scrap / Liquidate",IF(I453&gt;180,"Disposition Review",IF(M453="EXCESS","Reduce orders and monitor","Healthy")))</f>
        <v>Healthy</v>
      </c>
    </row>
    <row r="454" spans="1:15" ht="15" customHeight="1" x14ac:dyDescent="0.2">
      <c r="A454" s="3" t="str">
        <f>'1. Master Data'!A454</f>
        <v>NT10450</v>
      </c>
      <c r="B454" s="1" t="str">
        <f>'1. Master Data'!B454</f>
        <v>DrawPad 744 12in</v>
      </c>
      <c r="C454" s="3" t="str">
        <f>'1. Master Data'!C454</f>
        <v>Tablets</v>
      </c>
      <c r="D454" s="3" t="str">
        <f>'1. Master Data'!D454</f>
        <v>Central DC</v>
      </c>
      <c r="E454" s="3" t="str">
        <f>'1. Master Data'!H454</f>
        <v>Active</v>
      </c>
      <c r="F454" s="4">
        <f>'1. Master Data'!F454</f>
        <v>182</v>
      </c>
      <c r="G454" s="3">
        <f>'1. Master Data'!I454</f>
        <v>255</v>
      </c>
      <c r="H454" s="15">
        <f t="shared" si="36"/>
        <v>46410</v>
      </c>
      <c r="I454" s="3">
        <f>'1. Master Data'!J454</f>
        <v>162</v>
      </c>
      <c r="J454" s="5" t="str">
        <f t="shared" si="37"/>
        <v>Aged</v>
      </c>
      <c r="K454" s="3">
        <f>IF('3. Demand Forecast'!F454=0,99,ROUND(G454/'3. Demand Forecast'!F454,1))</f>
        <v>3.2</v>
      </c>
      <c r="L454" s="3">
        <f>IF(G454=0,0,ROUND('4. ABC XYZ Analysis'!F454/G454,1))</f>
        <v>2</v>
      </c>
      <c r="M454" s="5" t="str">
        <f t="shared" si="38"/>
        <v>EXCESS</v>
      </c>
      <c r="N454" s="4">
        <f t="shared" si="39"/>
        <v>46410</v>
      </c>
      <c r="O454" s="1" t="str">
        <f t="shared" si="40"/>
        <v>Reduce orders and monitor</v>
      </c>
    </row>
    <row r="455" spans="1:15" ht="15" customHeight="1" x14ac:dyDescent="0.2">
      <c r="A455" s="3" t="str">
        <f>'1. Master Data'!A455</f>
        <v>NT10451</v>
      </c>
      <c r="B455" s="1" t="str">
        <f>'1. Master Data'!B455</f>
        <v>Car Mount V755</v>
      </c>
      <c r="C455" s="3" t="str">
        <f>'1. Master Data'!C455</f>
        <v>Accessories</v>
      </c>
      <c r="D455" s="3" t="str">
        <f>'1. Master Data'!D455</f>
        <v>East DC</v>
      </c>
      <c r="E455" s="3" t="str">
        <f>'1. Master Data'!H455</f>
        <v>Active</v>
      </c>
      <c r="F455" s="4">
        <f>'1. Master Data'!F455</f>
        <v>35</v>
      </c>
      <c r="G455" s="3">
        <f>'1. Master Data'!I455</f>
        <v>191</v>
      </c>
      <c r="H455" s="15">
        <f t="shared" si="36"/>
        <v>6685</v>
      </c>
      <c r="I455" s="3">
        <f>'1. Master Data'!J455</f>
        <v>51</v>
      </c>
      <c r="J455" s="5" t="str">
        <f t="shared" si="37"/>
        <v>Watch</v>
      </c>
      <c r="K455" s="3">
        <f>IF('3. Demand Forecast'!F455=0,99,ROUND(G455/'3. Demand Forecast'!F455,1))</f>
        <v>0.6</v>
      </c>
      <c r="L455" s="3">
        <f>IF(G455=0,0,ROUND('4. ABC XYZ Analysis'!F455/G455,1))</f>
        <v>5</v>
      </c>
      <c r="M455" s="5" t="str">
        <f t="shared" si="38"/>
        <v>OK</v>
      </c>
      <c r="N455" s="4">
        <f t="shared" si="39"/>
        <v>0</v>
      </c>
      <c r="O455" s="1" t="str">
        <f t="shared" si="40"/>
        <v>Healthy</v>
      </c>
    </row>
    <row r="456" spans="1:15" ht="15" customHeight="1" x14ac:dyDescent="0.2">
      <c r="A456" s="3" t="str">
        <f>'1. Master Data'!A456</f>
        <v>NT10452</v>
      </c>
      <c r="B456" s="1" t="str">
        <f>'1. Master Data'!B456</f>
        <v>Phone Case Clear V585</v>
      </c>
      <c r="C456" s="3" t="str">
        <f>'1. Master Data'!C456</f>
        <v>Accessories</v>
      </c>
      <c r="D456" s="3" t="str">
        <f>'1. Master Data'!D456</f>
        <v>West DC</v>
      </c>
      <c r="E456" s="3" t="str">
        <f>'1. Master Data'!H456</f>
        <v>Active</v>
      </c>
      <c r="F456" s="4">
        <f>'1. Master Data'!F456</f>
        <v>38</v>
      </c>
      <c r="G456" s="3">
        <f>'1. Master Data'!I456</f>
        <v>339</v>
      </c>
      <c r="H456" s="15">
        <f t="shared" si="36"/>
        <v>12882</v>
      </c>
      <c r="I456" s="3">
        <f>'1. Master Data'!J456</f>
        <v>35</v>
      </c>
      <c r="J456" s="5" t="str">
        <f t="shared" si="37"/>
        <v>Watch</v>
      </c>
      <c r="K456" s="3">
        <f>IF('3. Demand Forecast'!F456=0,99,ROUND(G456/'3. Demand Forecast'!F456,1))</f>
        <v>0.6</v>
      </c>
      <c r="L456" s="3">
        <f>IF(G456=0,0,ROUND('4. ABC XYZ Analysis'!F456/G456,1))</f>
        <v>0.2</v>
      </c>
      <c r="M456" s="5" t="str">
        <f t="shared" si="38"/>
        <v>OK</v>
      </c>
      <c r="N456" s="4">
        <f t="shared" si="39"/>
        <v>0</v>
      </c>
      <c r="O456" s="1" t="str">
        <f t="shared" si="40"/>
        <v>Healthy</v>
      </c>
    </row>
    <row r="457" spans="1:15" ht="15" customHeight="1" x14ac:dyDescent="0.2">
      <c r="A457" s="3" t="str">
        <f>'1. Master Data'!A457</f>
        <v>NT10453</v>
      </c>
      <c r="B457" s="1" t="str">
        <f>'1. Master Data'!B457</f>
        <v>Power Bank 10K V720</v>
      </c>
      <c r="C457" s="3" t="str">
        <f>'1. Master Data'!C457</f>
        <v>Accessories</v>
      </c>
      <c r="D457" s="3" t="str">
        <f>'1. Master Data'!D457</f>
        <v>West DC</v>
      </c>
      <c r="E457" s="3" t="str">
        <f>'1. Master Data'!H457</f>
        <v>Active</v>
      </c>
      <c r="F457" s="4">
        <f>'1. Master Data'!F457</f>
        <v>4</v>
      </c>
      <c r="G457" s="3">
        <f>'1. Master Data'!I457</f>
        <v>82</v>
      </c>
      <c r="H457" s="15">
        <f t="shared" si="36"/>
        <v>328</v>
      </c>
      <c r="I457" s="3">
        <f>'1. Master Data'!J457</f>
        <v>26</v>
      </c>
      <c r="J457" s="5" t="str">
        <f t="shared" si="37"/>
        <v>Fresh</v>
      </c>
      <c r="K457" s="3">
        <f>IF('3. Demand Forecast'!F457=0,99,ROUND(G457/'3. Demand Forecast'!F457,1))</f>
        <v>1.1000000000000001</v>
      </c>
      <c r="L457" s="3">
        <f>IF(G457=0,0,ROUND('4. ABC XYZ Analysis'!F457/G457,1))</f>
        <v>37.5</v>
      </c>
      <c r="M457" s="5" t="str">
        <f t="shared" si="38"/>
        <v>OK</v>
      </c>
      <c r="N457" s="4">
        <f t="shared" si="39"/>
        <v>0</v>
      </c>
      <c r="O457" s="1" t="str">
        <f t="shared" si="40"/>
        <v>Healthy</v>
      </c>
    </row>
    <row r="458" spans="1:15" ht="15" customHeight="1" x14ac:dyDescent="0.2">
      <c r="A458" s="3" t="str">
        <f>'1. Master Data'!A458</f>
        <v>NT10454</v>
      </c>
      <c r="B458" s="1" t="str">
        <f>'1. Master Data'!B458</f>
        <v>Wall Charger 65W V714</v>
      </c>
      <c r="C458" s="3" t="str">
        <f>'1. Master Data'!C458</f>
        <v>Accessories</v>
      </c>
      <c r="D458" s="3" t="str">
        <f>'1. Master Data'!D458</f>
        <v>Central DC</v>
      </c>
      <c r="E458" s="3" t="str">
        <f>'1. Master Data'!H458</f>
        <v>Active</v>
      </c>
      <c r="F458" s="4">
        <f>'1. Master Data'!F458</f>
        <v>24</v>
      </c>
      <c r="G458" s="3">
        <f>'1. Master Data'!I458</f>
        <v>965</v>
      </c>
      <c r="H458" s="15">
        <f t="shared" si="36"/>
        <v>23160</v>
      </c>
      <c r="I458" s="3">
        <f>'1. Master Data'!J458</f>
        <v>54</v>
      </c>
      <c r="J458" s="5" t="str">
        <f t="shared" si="37"/>
        <v>Watch</v>
      </c>
      <c r="K458" s="3">
        <f>IF('3. Demand Forecast'!F458=0,99,ROUND(G458/'3. Demand Forecast'!F458,1))</f>
        <v>1</v>
      </c>
      <c r="L458" s="3">
        <f>IF(G458=0,0,ROUND('4. ABC XYZ Analysis'!F458/G458,1))</f>
        <v>0.5</v>
      </c>
      <c r="M458" s="5" t="str">
        <f t="shared" si="38"/>
        <v>OK</v>
      </c>
      <c r="N458" s="4">
        <f t="shared" si="39"/>
        <v>0</v>
      </c>
      <c r="O458" s="1" t="str">
        <f t="shared" si="40"/>
        <v>Healthy</v>
      </c>
    </row>
    <row r="459" spans="1:15" ht="15" customHeight="1" x14ac:dyDescent="0.2">
      <c r="A459" s="3" t="str">
        <f>'1. Master Data'!A459</f>
        <v>NT10455</v>
      </c>
      <c r="B459" s="1" t="str">
        <f>'1. Master Data'!B459</f>
        <v>Power Bank 10K V715</v>
      </c>
      <c r="C459" s="3" t="str">
        <f>'1. Master Data'!C459</f>
        <v>Accessories</v>
      </c>
      <c r="D459" s="3" t="str">
        <f>'1. Master Data'!D459</f>
        <v>West DC</v>
      </c>
      <c r="E459" s="3" t="str">
        <f>'1. Master Data'!H459</f>
        <v>Active</v>
      </c>
      <c r="F459" s="4">
        <f>'1. Master Data'!F459</f>
        <v>24</v>
      </c>
      <c r="G459" s="3">
        <f>'1. Master Data'!I459</f>
        <v>458</v>
      </c>
      <c r="H459" s="15">
        <f t="shared" si="36"/>
        <v>10992</v>
      </c>
      <c r="I459" s="3">
        <f>'1. Master Data'!J459</f>
        <v>47</v>
      </c>
      <c r="J459" s="5" t="str">
        <f t="shared" si="37"/>
        <v>Watch</v>
      </c>
      <c r="K459" s="3">
        <f>IF('3. Demand Forecast'!F459=0,99,ROUND(G459/'3. Demand Forecast'!F459,1))</f>
        <v>0.7</v>
      </c>
      <c r="L459" s="3">
        <f>IF(G459=0,0,ROUND('4. ABC XYZ Analysis'!F459/G459,1))</f>
        <v>0.3</v>
      </c>
      <c r="M459" s="5" t="str">
        <f t="shared" si="38"/>
        <v>OK</v>
      </c>
      <c r="N459" s="4">
        <f t="shared" si="39"/>
        <v>0</v>
      </c>
      <c r="O459" s="1" t="str">
        <f t="shared" si="40"/>
        <v>Healthy</v>
      </c>
    </row>
    <row r="460" spans="1:15" ht="15" customHeight="1" x14ac:dyDescent="0.2">
      <c r="A460" s="3" t="str">
        <f>'1. Master Data'!A460</f>
        <v>NT10456</v>
      </c>
      <c r="B460" s="1" t="str">
        <f>'1. Master Data'!B460</f>
        <v>Phone Case Clear V184</v>
      </c>
      <c r="C460" s="3" t="str">
        <f>'1. Master Data'!C460</f>
        <v>Accessories</v>
      </c>
      <c r="D460" s="3" t="str">
        <f>'1. Master Data'!D460</f>
        <v>East DC</v>
      </c>
      <c r="E460" s="3" t="str">
        <f>'1. Master Data'!H460</f>
        <v>Active</v>
      </c>
      <c r="F460" s="4">
        <f>'1. Master Data'!F460</f>
        <v>34</v>
      </c>
      <c r="G460" s="3">
        <f>'1. Master Data'!I460</f>
        <v>158</v>
      </c>
      <c r="H460" s="15">
        <f t="shared" si="36"/>
        <v>5372</v>
      </c>
      <c r="I460" s="3">
        <f>'1. Master Data'!J460</f>
        <v>9</v>
      </c>
      <c r="J460" s="5" t="str">
        <f t="shared" si="37"/>
        <v>Fresh</v>
      </c>
      <c r="K460" s="3">
        <f>IF('3. Demand Forecast'!F460=0,99,ROUND(G460/'3. Demand Forecast'!F460,1))</f>
        <v>0.7</v>
      </c>
      <c r="L460" s="3">
        <f>IF(G460=0,0,ROUND('4. ABC XYZ Analysis'!F460/G460,1))</f>
        <v>0.5</v>
      </c>
      <c r="M460" s="5" t="str">
        <f t="shared" si="38"/>
        <v>OK</v>
      </c>
      <c r="N460" s="4">
        <f t="shared" si="39"/>
        <v>0</v>
      </c>
      <c r="O460" s="1" t="str">
        <f t="shared" si="40"/>
        <v>Healthy</v>
      </c>
    </row>
    <row r="461" spans="1:15" ht="15" customHeight="1" x14ac:dyDescent="0.2">
      <c r="A461" s="3" t="str">
        <f>'1. Master Data'!A461</f>
        <v>NT10457</v>
      </c>
      <c r="B461" s="1" t="str">
        <f>'1. Master Data'!B461</f>
        <v>Screen Guard 244</v>
      </c>
      <c r="C461" s="3" t="str">
        <f>'1. Master Data'!C461</f>
        <v>Accessories</v>
      </c>
      <c r="D461" s="3" t="str">
        <f>'1. Master Data'!D461</f>
        <v>Central DC</v>
      </c>
      <c r="E461" s="3" t="str">
        <f>'1. Master Data'!H461</f>
        <v>Active</v>
      </c>
      <c r="F461" s="4">
        <f>'1. Master Data'!F461</f>
        <v>23</v>
      </c>
      <c r="G461" s="3">
        <f>'1. Master Data'!I461</f>
        <v>431</v>
      </c>
      <c r="H461" s="15">
        <f t="shared" si="36"/>
        <v>9913</v>
      </c>
      <c r="I461" s="3">
        <f>'1. Master Data'!J461</f>
        <v>35</v>
      </c>
      <c r="J461" s="5" t="str">
        <f t="shared" si="37"/>
        <v>Watch</v>
      </c>
      <c r="K461" s="3">
        <f>IF('3. Demand Forecast'!F461=0,99,ROUND(G461/'3. Demand Forecast'!F461,1))</f>
        <v>1</v>
      </c>
      <c r="L461" s="3">
        <f>IF(G461=0,0,ROUND('4. ABC XYZ Analysis'!F461/G461,1))</f>
        <v>0.2</v>
      </c>
      <c r="M461" s="5" t="str">
        <f t="shared" si="38"/>
        <v>OK</v>
      </c>
      <c r="N461" s="4">
        <f t="shared" si="39"/>
        <v>0</v>
      </c>
      <c r="O461" s="1" t="str">
        <f t="shared" si="40"/>
        <v>Healthy</v>
      </c>
    </row>
    <row r="462" spans="1:15" ht="15" customHeight="1" x14ac:dyDescent="0.2">
      <c r="A462" s="3" t="str">
        <f>'1. Master Data'!A462</f>
        <v>NT10458</v>
      </c>
      <c r="B462" s="1" t="str">
        <f>'1. Master Data'!B462</f>
        <v>Screen Guard 376</v>
      </c>
      <c r="C462" s="3" t="str">
        <f>'1. Master Data'!C462</f>
        <v>Accessories</v>
      </c>
      <c r="D462" s="3" t="str">
        <f>'1. Master Data'!D462</f>
        <v>West DC</v>
      </c>
      <c r="E462" s="3" t="str">
        <f>'1. Master Data'!H462</f>
        <v>Active</v>
      </c>
      <c r="F462" s="4">
        <f>'1. Master Data'!F462</f>
        <v>37</v>
      </c>
      <c r="G462" s="3">
        <f>'1. Master Data'!I462</f>
        <v>1445</v>
      </c>
      <c r="H462" s="15">
        <f t="shared" si="36"/>
        <v>53465</v>
      </c>
      <c r="I462" s="3">
        <f>'1. Master Data'!J462</f>
        <v>138</v>
      </c>
      <c r="J462" s="5" t="str">
        <f t="shared" si="37"/>
        <v>Aged</v>
      </c>
      <c r="K462" s="3">
        <f>IF('3. Demand Forecast'!F462=0,99,ROUND(G462/'3. Demand Forecast'!F462,1))</f>
        <v>4.2</v>
      </c>
      <c r="L462" s="3">
        <f>IF(G462=0,0,ROUND('4. ABC XYZ Analysis'!F462/G462,1))</f>
        <v>0</v>
      </c>
      <c r="M462" s="5" t="str">
        <f t="shared" si="38"/>
        <v>EXCESS</v>
      </c>
      <c r="N462" s="4">
        <f t="shared" si="39"/>
        <v>53465</v>
      </c>
      <c r="O462" s="1" t="str">
        <f t="shared" si="40"/>
        <v>Reduce orders and monitor</v>
      </c>
    </row>
    <row r="463" spans="1:15" ht="15" customHeight="1" x14ac:dyDescent="0.2">
      <c r="A463" s="3" t="str">
        <f>'1. Master Data'!A463</f>
        <v>NT10459</v>
      </c>
      <c r="B463" s="1" t="str">
        <f>'1. Master Data'!B463</f>
        <v>Wall Charger 65W V938</v>
      </c>
      <c r="C463" s="3" t="str">
        <f>'1. Master Data'!C463</f>
        <v>Accessories</v>
      </c>
      <c r="D463" s="3" t="str">
        <f>'1. Master Data'!D463</f>
        <v>East DC</v>
      </c>
      <c r="E463" s="3" t="str">
        <f>'1. Master Data'!H463</f>
        <v>Active</v>
      </c>
      <c r="F463" s="4">
        <f>'1. Master Data'!F463</f>
        <v>29</v>
      </c>
      <c r="G463" s="3">
        <f>'1. Master Data'!I463</f>
        <v>455</v>
      </c>
      <c r="H463" s="15">
        <f t="shared" si="36"/>
        <v>13195</v>
      </c>
      <c r="I463" s="3">
        <f>'1. Master Data'!J463</f>
        <v>173</v>
      </c>
      <c r="J463" s="5" t="str">
        <f t="shared" si="37"/>
        <v>Aged</v>
      </c>
      <c r="K463" s="3">
        <f>IF('3. Demand Forecast'!F463=0,99,ROUND(G463/'3. Demand Forecast'!F463,1))</f>
        <v>3.4</v>
      </c>
      <c r="L463" s="3">
        <f>IF(G463=0,0,ROUND('4. ABC XYZ Analysis'!F463/G463,1))</f>
        <v>3.5</v>
      </c>
      <c r="M463" s="5" t="str">
        <f t="shared" si="38"/>
        <v>EXCESS</v>
      </c>
      <c r="N463" s="4">
        <f t="shared" si="39"/>
        <v>13195</v>
      </c>
      <c r="O463" s="1" t="str">
        <f t="shared" si="40"/>
        <v>Reduce orders and monitor</v>
      </c>
    </row>
    <row r="464" spans="1:15" ht="15" customHeight="1" x14ac:dyDescent="0.2">
      <c r="A464" s="3" t="str">
        <f>'1. Master Data'!A464</f>
        <v>NT10460</v>
      </c>
      <c r="B464" s="1" t="str">
        <f>'1. Master Data'!B464</f>
        <v>Power Bank 10K V876</v>
      </c>
      <c r="C464" s="3" t="str">
        <f>'1. Master Data'!C464</f>
        <v>Accessories</v>
      </c>
      <c r="D464" s="3" t="str">
        <f>'1. Master Data'!D464</f>
        <v>West DC</v>
      </c>
      <c r="E464" s="3" t="str">
        <f>'1. Master Data'!H464</f>
        <v>Active</v>
      </c>
      <c r="F464" s="4">
        <f>'1. Master Data'!F464</f>
        <v>18</v>
      </c>
      <c r="G464" s="3">
        <f>'1. Master Data'!I464</f>
        <v>205</v>
      </c>
      <c r="H464" s="15">
        <f t="shared" si="36"/>
        <v>3690</v>
      </c>
      <c r="I464" s="3">
        <f>'1. Master Data'!J464</f>
        <v>44</v>
      </c>
      <c r="J464" s="5" t="str">
        <f t="shared" si="37"/>
        <v>Watch</v>
      </c>
      <c r="K464" s="3">
        <f>IF('3. Demand Forecast'!F464=0,99,ROUND(G464/'3. Demand Forecast'!F464,1))</f>
        <v>0.8</v>
      </c>
      <c r="L464" s="3">
        <f>IF(G464=0,0,ROUND('4. ABC XYZ Analysis'!F464/G464,1))</f>
        <v>20.399999999999999</v>
      </c>
      <c r="M464" s="5" t="str">
        <f t="shared" si="38"/>
        <v>OK</v>
      </c>
      <c r="N464" s="4">
        <f t="shared" si="39"/>
        <v>0</v>
      </c>
      <c r="O464" s="1" t="str">
        <f t="shared" si="40"/>
        <v>Healthy</v>
      </c>
    </row>
    <row r="465" spans="1:15" ht="15" customHeight="1" x14ac:dyDescent="0.2">
      <c r="A465" s="3" t="str">
        <f>'1. Master Data'!A465</f>
        <v>NT10461</v>
      </c>
      <c r="B465" s="1" t="str">
        <f>'1. Master Data'!B465</f>
        <v>USB C Cable 2m V317</v>
      </c>
      <c r="C465" s="3" t="str">
        <f>'1. Master Data'!C465</f>
        <v>Accessories</v>
      </c>
      <c r="D465" s="3" t="str">
        <f>'1. Master Data'!D465</f>
        <v>Central DC</v>
      </c>
      <c r="E465" s="3" t="str">
        <f>'1. Master Data'!H465</f>
        <v>Active</v>
      </c>
      <c r="F465" s="4">
        <f>'1. Master Data'!F465</f>
        <v>6</v>
      </c>
      <c r="G465" s="3">
        <f>'1. Master Data'!I465</f>
        <v>217</v>
      </c>
      <c r="H465" s="15">
        <f t="shared" si="36"/>
        <v>1302</v>
      </c>
      <c r="I465" s="3">
        <f>'1. Master Data'!J465</f>
        <v>7</v>
      </c>
      <c r="J465" s="5" t="str">
        <f t="shared" si="37"/>
        <v>Fresh</v>
      </c>
      <c r="K465" s="3">
        <f>IF('3. Demand Forecast'!F465=0,99,ROUND(G465/'3. Demand Forecast'!F465,1))</f>
        <v>0.6</v>
      </c>
      <c r="L465" s="3">
        <f>IF(G465=0,0,ROUND('4. ABC XYZ Analysis'!F465/G465,1))</f>
        <v>0.8</v>
      </c>
      <c r="M465" s="5" t="str">
        <f t="shared" si="38"/>
        <v>OK</v>
      </c>
      <c r="N465" s="4">
        <f t="shared" si="39"/>
        <v>0</v>
      </c>
      <c r="O465" s="1" t="str">
        <f t="shared" si="40"/>
        <v>Healthy</v>
      </c>
    </row>
    <row r="466" spans="1:15" ht="15" customHeight="1" x14ac:dyDescent="0.2">
      <c r="A466" s="3" t="str">
        <f>'1. Master Data'!A466</f>
        <v>NT10462</v>
      </c>
      <c r="B466" s="1" t="str">
        <f>'1. Master Data'!B466</f>
        <v>Wall Charger 65W V731</v>
      </c>
      <c r="C466" s="3" t="str">
        <f>'1. Master Data'!C466</f>
        <v>Accessories</v>
      </c>
      <c r="D466" s="3" t="str">
        <f>'1. Master Data'!D466</f>
        <v>East DC</v>
      </c>
      <c r="E466" s="3" t="str">
        <f>'1. Master Data'!H466</f>
        <v>Active</v>
      </c>
      <c r="F466" s="4">
        <f>'1. Master Data'!F466</f>
        <v>14</v>
      </c>
      <c r="G466" s="3">
        <f>'1. Master Data'!I466</f>
        <v>3259</v>
      </c>
      <c r="H466" s="15">
        <f t="shared" si="36"/>
        <v>45626</v>
      </c>
      <c r="I466" s="3">
        <f>'1. Master Data'!J466</f>
        <v>161</v>
      </c>
      <c r="J466" s="5" t="str">
        <f t="shared" si="37"/>
        <v>Aged</v>
      </c>
      <c r="K466" s="3">
        <f>IF('3. Demand Forecast'!F466=0,99,ROUND(G466/'3. Demand Forecast'!F466,1))</f>
        <v>4.5</v>
      </c>
      <c r="L466" s="3">
        <f>IF(G466=0,0,ROUND('4. ABC XYZ Analysis'!F466/G466,1))</f>
        <v>1.1000000000000001</v>
      </c>
      <c r="M466" s="5" t="str">
        <f t="shared" si="38"/>
        <v>EXCESS</v>
      </c>
      <c r="N466" s="4">
        <f t="shared" si="39"/>
        <v>45626</v>
      </c>
      <c r="O466" s="1" t="str">
        <f t="shared" si="40"/>
        <v>Reduce orders and monitor</v>
      </c>
    </row>
    <row r="467" spans="1:15" ht="15" customHeight="1" x14ac:dyDescent="0.2">
      <c r="A467" s="3" t="str">
        <f>'1. Master Data'!A467</f>
        <v>NT10463</v>
      </c>
      <c r="B467" s="1" t="str">
        <f>'1. Master Data'!B467</f>
        <v>HDMI Cable 4K V901</v>
      </c>
      <c r="C467" s="3" t="str">
        <f>'1. Master Data'!C467</f>
        <v>Accessories</v>
      </c>
      <c r="D467" s="3" t="str">
        <f>'1. Master Data'!D467</f>
        <v>West DC</v>
      </c>
      <c r="E467" s="3" t="str">
        <f>'1. Master Data'!H467</f>
        <v>Active</v>
      </c>
      <c r="F467" s="4">
        <f>'1. Master Data'!F467</f>
        <v>36</v>
      </c>
      <c r="G467" s="3">
        <f>'1. Master Data'!I467</f>
        <v>201</v>
      </c>
      <c r="H467" s="15">
        <f t="shared" si="36"/>
        <v>7236</v>
      </c>
      <c r="I467" s="3">
        <f>'1. Master Data'!J467</f>
        <v>50</v>
      </c>
      <c r="J467" s="5" t="str">
        <f t="shared" si="37"/>
        <v>Watch</v>
      </c>
      <c r="K467" s="3">
        <f>IF('3. Demand Forecast'!F467=0,99,ROUND(G467/'3. Demand Forecast'!F467,1))</f>
        <v>0.4</v>
      </c>
      <c r="L467" s="3">
        <f>IF(G467=0,0,ROUND('4. ABC XYZ Analysis'!F467/G467,1))</f>
        <v>6.3</v>
      </c>
      <c r="M467" s="5" t="str">
        <f t="shared" si="38"/>
        <v>OK</v>
      </c>
      <c r="N467" s="4">
        <f t="shared" si="39"/>
        <v>0</v>
      </c>
      <c r="O467" s="1" t="str">
        <f t="shared" si="40"/>
        <v>Healthy</v>
      </c>
    </row>
    <row r="468" spans="1:15" ht="15" customHeight="1" x14ac:dyDescent="0.2">
      <c r="A468" s="3" t="str">
        <f>'1. Master Data'!A468</f>
        <v>NT10464</v>
      </c>
      <c r="B468" s="1" t="str">
        <f>'1. Master Data'!B468</f>
        <v>Phone Case Clear V580</v>
      </c>
      <c r="C468" s="3" t="str">
        <f>'1. Master Data'!C468</f>
        <v>Accessories</v>
      </c>
      <c r="D468" s="3" t="str">
        <f>'1. Master Data'!D468</f>
        <v>Central DC</v>
      </c>
      <c r="E468" s="3" t="str">
        <f>'1. Master Data'!H468</f>
        <v>Active</v>
      </c>
      <c r="F468" s="4">
        <f>'1. Master Data'!F468</f>
        <v>27</v>
      </c>
      <c r="G468" s="3">
        <f>'1. Master Data'!I468</f>
        <v>232</v>
      </c>
      <c r="H468" s="15">
        <f t="shared" si="36"/>
        <v>6264</v>
      </c>
      <c r="I468" s="3">
        <f>'1. Master Data'!J468</f>
        <v>159</v>
      </c>
      <c r="J468" s="5" t="str">
        <f t="shared" si="37"/>
        <v>Aged</v>
      </c>
      <c r="K468" s="3">
        <f>IF('3. Demand Forecast'!F468=0,99,ROUND(G468/'3. Demand Forecast'!F468,1))</f>
        <v>4.4000000000000004</v>
      </c>
      <c r="L468" s="3">
        <f>IF(G468=0,0,ROUND('4. ABC XYZ Analysis'!F468/G468,1))</f>
        <v>0.6</v>
      </c>
      <c r="M468" s="5" t="str">
        <f t="shared" si="38"/>
        <v>EXCESS</v>
      </c>
      <c r="N468" s="4">
        <f t="shared" si="39"/>
        <v>6264</v>
      </c>
      <c r="O468" s="1" t="str">
        <f t="shared" si="40"/>
        <v>Reduce orders and monitor</v>
      </c>
    </row>
    <row r="469" spans="1:15" ht="15" customHeight="1" x14ac:dyDescent="0.2">
      <c r="A469" s="3" t="str">
        <f>'1. Master Data'!A469</f>
        <v>NT10465</v>
      </c>
      <c r="B469" s="1" t="str">
        <f>'1. Master Data'!B469</f>
        <v>Power Bank 10K V432</v>
      </c>
      <c r="C469" s="3" t="str">
        <f>'1. Master Data'!C469</f>
        <v>Accessories</v>
      </c>
      <c r="D469" s="3" t="str">
        <f>'1. Master Data'!D469</f>
        <v>Central DC</v>
      </c>
      <c r="E469" s="3" t="str">
        <f>'1. Master Data'!H469</f>
        <v>Active</v>
      </c>
      <c r="F469" s="4">
        <f>'1. Master Data'!F469</f>
        <v>37</v>
      </c>
      <c r="G469" s="3">
        <f>'1. Master Data'!I469</f>
        <v>54</v>
      </c>
      <c r="H469" s="15">
        <f t="shared" si="36"/>
        <v>1998</v>
      </c>
      <c r="I469" s="3">
        <f>'1. Master Data'!J469</f>
        <v>56</v>
      </c>
      <c r="J469" s="5" t="str">
        <f t="shared" si="37"/>
        <v>Watch</v>
      </c>
      <c r="K469" s="3">
        <f>IF('3. Demand Forecast'!F469=0,99,ROUND(G469/'3. Demand Forecast'!F469,1))</f>
        <v>0.7</v>
      </c>
      <c r="L469" s="3">
        <f>IF(G469=0,0,ROUND('4. ABC XYZ Analysis'!F469/G469,1))</f>
        <v>0.5</v>
      </c>
      <c r="M469" s="5" t="str">
        <f t="shared" si="38"/>
        <v>OK</v>
      </c>
      <c r="N469" s="4">
        <f t="shared" si="39"/>
        <v>0</v>
      </c>
      <c r="O469" s="1" t="str">
        <f t="shared" si="40"/>
        <v>Healthy</v>
      </c>
    </row>
    <row r="470" spans="1:15" ht="15" customHeight="1" x14ac:dyDescent="0.2">
      <c r="A470" s="3" t="str">
        <f>'1. Master Data'!A470</f>
        <v>NT10466</v>
      </c>
      <c r="B470" s="1" t="str">
        <f>'1. Master Data'!B470</f>
        <v>USB C Cable 2m V607</v>
      </c>
      <c r="C470" s="3" t="str">
        <f>'1. Master Data'!C470</f>
        <v>Accessories</v>
      </c>
      <c r="D470" s="3" t="str">
        <f>'1. Master Data'!D470</f>
        <v>East DC</v>
      </c>
      <c r="E470" s="3" t="str">
        <f>'1. Master Data'!H470</f>
        <v>Active</v>
      </c>
      <c r="F470" s="4">
        <f>'1. Master Data'!F470</f>
        <v>39</v>
      </c>
      <c r="G470" s="3">
        <f>'1. Master Data'!I470</f>
        <v>1086</v>
      </c>
      <c r="H470" s="15">
        <f t="shared" si="36"/>
        <v>42354</v>
      </c>
      <c r="I470" s="3">
        <f>'1. Master Data'!J470</f>
        <v>35</v>
      </c>
      <c r="J470" s="5" t="str">
        <f t="shared" si="37"/>
        <v>Watch</v>
      </c>
      <c r="K470" s="3">
        <f>IF('3. Demand Forecast'!F470=0,99,ROUND(G470/'3. Demand Forecast'!F470,1))</f>
        <v>1.1000000000000001</v>
      </c>
      <c r="L470" s="3">
        <f>IF(G470=0,0,ROUND('4. ABC XYZ Analysis'!F470/G470,1))</f>
        <v>0.1</v>
      </c>
      <c r="M470" s="5" t="str">
        <f t="shared" si="38"/>
        <v>OK</v>
      </c>
      <c r="N470" s="4">
        <f t="shared" si="39"/>
        <v>0</v>
      </c>
      <c r="O470" s="1" t="str">
        <f t="shared" si="40"/>
        <v>Healthy</v>
      </c>
    </row>
    <row r="471" spans="1:15" ht="15" customHeight="1" x14ac:dyDescent="0.2">
      <c r="A471" s="3" t="str">
        <f>'1. Master Data'!A471</f>
        <v>NT10467</v>
      </c>
      <c r="B471" s="1" t="str">
        <f>'1. Master Data'!B471</f>
        <v>Screen Guard 172</v>
      </c>
      <c r="C471" s="3" t="str">
        <f>'1. Master Data'!C471</f>
        <v>Accessories</v>
      </c>
      <c r="D471" s="3" t="str">
        <f>'1. Master Data'!D471</f>
        <v>Central DC</v>
      </c>
      <c r="E471" s="3" t="str">
        <f>'1. Master Data'!H471</f>
        <v>Active</v>
      </c>
      <c r="F471" s="4">
        <f>'1. Master Data'!F471</f>
        <v>6</v>
      </c>
      <c r="G471" s="3">
        <f>'1. Master Data'!I471</f>
        <v>396</v>
      </c>
      <c r="H471" s="15">
        <f t="shared" si="36"/>
        <v>2376</v>
      </c>
      <c r="I471" s="3">
        <f>'1. Master Data'!J471</f>
        <v>21</v>
      </c>
      <c r="J471" s="5" t="str">
        <f t="shared" si="37"/>
        <v>Fresh</v>
      </c>
      <c r="K471" s="3">
        <f>IF('3. Demand Forecast'!F471=0,99,ROUND(G471/'3. Demand Forecast'!F471,1))</f>
        <v>0.7</v>
      </c>
      <c r="L471" s="3">
        <f>IF(G471=0,0,ROUND('4. ABC XYZ Analysis'!F471/G471,1))</f>
        <v>0.1</v>
      </c>
      <c r="M471" s="5" t="str">
        <f t="shared" si="38"/>
        <v>OK</v>
      </c>
      <c r="N471" s="4">
        <f t="shared" si="39"/>
        <v>0</v>
      </c>
      <c r="O471" s="1" t="str">
        <f t="shared" si="40"/>
        <v>Healthy</v>
      </c>
    </row>
    <row r="472" spans="1:15" ht="15" customHeight="1" x14ac:dyDescent="0.2">
      <c r="A472" s="3" t="str">
        <f>'1. Master Data'!A472</f>
        <v>NT10468</v>
      </c>
      <c r="B472" s="1" t="str">
        <f>'1. Master Data'!B472</f>
        <v>Car Mount V982</v>
      </c>
      <c r="C472" s="3" t="str">
        <f>'1. Master Data'!C472</f>
        <v>Accessories</v>
      </c>
      <c r="D472" s="3" t="str">
        <f>'1. Master Data'!D472</f>
        <v>West DC</v>
      </c>
      <c r="E472" s="3" t="str">
        <f>'1. Master Data'!H472</f>
        <v>Active</v>
      </c>
      <c r="F472" s="4">
        <f>'1. Master Data'!F472</f>
        <v>29</v>
      </c>
      <c r="G472" s="3">
        <f>'1. Master Data'!I472</f>
        <v>556</v>
      </c>
      <c r="H472" s="15">
        <f t="shared" si="36"/>
        <v>16124</v>
      </c>
      <c r="I472" s="3">
        <f>'1. Master Data'!J472</f>
        <v>8</v>
      </c>
      <c r="J472" s="5" t="str">
        <f t="shared" si="37"/>
        <v>Fresh</v>
      </c>
      <c r="K472" s="3">
        <f>IF('3. Demand Forecast'!F472=0,99,ROUND(G472/'3. Demand Forecast'!F472,1))</f>
        <v>0.6</v>
      </c>
      <c r="L472" s="3">
        <f>IF(G472=0,0,ROUND('4. ABC XYZ Analysis'!F472/G472,1))</f>
        <v>4.4000000000000004</v>
      </c>
      <c r="M472" s="5" t="str">
        <f t="shared" si="38"/>
        <v>OK</v>
      </c>
      <c r="N472" s="4">
        <f t="shared" si="39"/>
        <v>0</v>
      </c>
      <c r="O472" s="1" t="str">
        <f t="shared" si="40"/>
        <v>Healthy</v>
      </c>
    </row>
    <row r="473" spans="1:15" ht="15" customHeight="1" x14ac:dyDescent="0.2">
      <c r="A473" s="3" t="str">
        <f>'1. Master Data'!A473</f>
        <v>NT10469</v>
      </c>
      <c r="B473" s="1" t="str">
        <f>'1. Master Data'!B473</f>
        <v>Power Bank 10K V103</v>
      </c>
      <c r="C473" s="3" t="str">
        <f>'1. Master Data'!C473</f>
        <v>Accessories</v>
      </c>
      <c r="D473" s="3" t="str">
        <f>'1. Master Data'!D473</f>
        <v>East DC</v>
      </c>
      <c r="E473" s="3" t="str">
        <f>'1. Master Data'!H473</f>
        <v>Active</v>
      </c>
      <c r="F473" s="4">
        <f>'1. Master Data'!F473</f>
        <v>19</v>
      </c>
      <c r="G473" s="3">
        <f>'1. Master Data'!I473</f>
        <v>62</v>
      </c>
      <c r="H473" s="15">
        <f t="shared" si="36"/>
        <v>1178</v>
      </c>
      <c r="I473" s="3">
        <f>'1. Master Data'!J473</f>
        <v>13</v>
      </c>
      <c r="J473" s="5" t="str">
        <f t="shared" si="37"/>
        <v>Fresh</v>
      </c>
      <c r="K473" s="3">
        <f>IF('3. Demand Forecast'!F473=0,99,ROUND(G473/'3. Demand Forecast'!F473,1))</f>
        <v>0.6</v>
      </c>
      <c r="L473" s="3">
        <f>IF(G473=0,0,ROUND('4. ABC XYZ Analysis'!F473/G473,1))</f>
        <v>9.4</v>
      </c>
      <c r="M473" s="5" t="str">
        <f t="shared" si="38"/>
        <v>OK</v>
      </c>
      <c r="N473" s="4">
        <f t="shared" si="39"/>
        <v>0</v>
      </c>
      <c r="O473" s="1" t="str">
        <f t="shared" si="40"/>
        <v>Healthy</v>
      </c>
    </row>
    <row r="474" spans="1:15" ht="15" customHeight="1" x14ac:dyDescent="0.2">
      <c r="A474" s="3" t="str">
        <f>'1. Master Data'!A474</f>
        <v>NT10470</v>
      </c>
      <c r="B474" s="1" t="str">
        <f>'1. Master Data'!B474</f>
        <v>Power Bank 10K V409</v>
      </c>
      <c r="C474" s="3" t="str">
        <f>'1. Master Data'!C474</f>
        <v>Accessories</v>
      </c>
      <c r="D474" s="3" t="str">
        <f>'1. Master Data'!D474</f>
        <v>Central DC</v>
      </c>
      <c r="E474" s="3" t="str">
        <f>'1. Master Data'!H474</f>
        <v>Active</v>
      </c>
      <c r="F474" s="4">
        <f>'1. Master Data'!F474</f>
        <v>17</v>
      </c>
      <c r="G474" s="3">
        <f>'1. Master Data'!I474</f>
        <v>582</v>
      </c>
      <c r="H474" s="15">
        <f t="shared" si="36"/>
        <v>9894</v>
      </c>
      <c r="I474" s="3">
        <f>'1. Master Data'!J474</f>
        <v>25</v>
      </c>
      <c r="J474" s="5" t="str">
        <f t="shared" si="37"/>
        <v>Fresh</v>
      </c>
      <c r="K474" s="3">
        <f>IF('3. Demand Forecast'!F474=0,99,ROUND(G474/'3. Demand Forecast'!F474,1))</f>
        <v>0.6</v>
      </c>
      <c r="L474" s="3">
        <f>IF(G474=0,0,ROUND('4. ABC XYZ Analysis'!F474/G474,1))</f>
        <v>1.1000000000000001</v>
      </c>
      <c r="M474" s="5" t="str">
        <f t="shared" si="38"/>
        <v>OK</v>
      </c>
      <c r="N474" s="4">
        <f t="shared" si="39"/>
        <v>0</v>
      </c>
      <c r="O474" s="1" t="str">
        <f t="shared" si="40"/>
        <v>Healthy</v>
      </c>
    </row>
    <row r="475" spans="1:15" ht="15" customHeight="1" x14ac:dyDescent="0.2">
      <c r="A475" s="3" t="str">
        <f>'1. Master Data'!A475</f>
        <v>NT10471</v>
      </c>
      <c r="B475" s="1" t="str">
        <f>'1. Master Data'!B475</f>
        <v>Phone Case Clear V314</v>
      </c>
      <c r="C475" s="3" t="str">
        <f>'1. Master Data'!C475</f>
        <v>Accessories</v>
      </c>
      <c r="D475" s="3" t="str">
        <f>'1. Master Data'!D475</f>
        <v>Central DC</v>
      </c>
      <c r="E475" s="3" t="str">
        <f>'1. Master Data'!H475</f>
        <v>Active</v>
      </c>
      <c r="F475" s="4">
        <f>'1. Master Data'!F475</f>
        <v>7</v>
      </c>
      <c r="G475" s="3">
        <f>'1. Master Data'!I475</f>
        <v>374</v>
      </c>
      <c r="H475" s="15">
        <f t="shared" si="36"/>
        <v>2618</v>
      </c>
      <c r="I475" s="3">
        <f>'1. Master Data'!J475</f>
        <v>26</v>
      </c>
      <c r="J475" s="5" t="str">
        <f t="shared" si="37"/>
        <v>Fresh</v>
      </c>
      <c r="K475" s="3">
        <f>IF('3. Demand Forecast'!F475=0,99,ROUND(G475/'3. Demand Forecast'!F475,1))</f>
        <v>1.3</v>
      </c>
      <c r="L475" s="3">
        <f>IF(G475=0,0,ROUND('4. ABC XYZ Analysis'!F475/G475,1))</f>
        <v>0.2</v>
      </c>
      <c r="M475" s="5" t="str">
        <f t="shared" si="38"/>
        <v>OK</v>
      </c>
      <c r="N475" s="4">
        <f t="shared" si="39"/>
        <v>0</v>
      </c>
      <c r="O475" s="1" t="str">
        <f t="shared" si="40"/>
        <v>Healthy</v>
      </c>
    </row>
    <row r="476" spans="1:15" ht="15" customHeight="1" x14ac:dyDescent="0.2">
      <c r="A476" s="3" t="str">
        <f>'1. Master Data'!A476</f>
        <v>NT10472</v>
      </c>
      <c r="B476" s="1" t="str">
        <f>'1. Master Data'!B476</f>
        <v>Laptop Sleeve 15in V535</v>
      </c>
      <c r="C476" s="3" t="str">
        <f>'1. Master Data'!C476</f>
        <v>Accessories</v>
      </c>
      <c r="D476" s="3" t="str">
        <f>'1. Master Data'!D476</f>
        <v>West DC</v>
      </c>
      <c r="E476" s="3" t="str">
        <f>'1. Master Data'!H476</f>
        <v>Active</v>
      </c>
      <c r="F476" s="4">
        <f>'1. Master Data'!F476</f>
        <v>6</v>
      </c>
      <c r="G476" s="3">
        <f>'1. Master Data'!I476</f>
        <v>121</v>
      </c>
      <c r="H476" s="15">
        <f t="shared" si="36"/>
        <v>726</v>
      </c>
      <c r="I476" s="3">
        <f>'1. Master Data'!J476</f>
        <v>34</v>
      </c>
      <c r="J476" s="5" t="str">
        <f t="shared" si="37"/>
        <v>Watch</v>
      </c>
      <c r="K476" s="3">
        <f>IF('3. Demand Forecast'!F476=0,99,ROUND(G476/'3. Demand Forecast'!F476,1))</f>
        <v>0.7</v>
      </c>
      <c r="L476" s="3">
        <f>IF(G476=0,0,ROUND('4. ABC XYZ Analysis'!F476/G476,1))</f>
        <v>0.1</v>
      </c>
      <c r="M476" s="5" t="str">
        <f t="shared" si="38"/>
        <v>OK</v>
      </c>
      <c r="N476" s="4">
        <f t="shared" si="39"/>
        <v>0</v>
      </c>
      <c r="O476" s="1" t="str">
        <f t="shared" si="40"/>
        <v>Healthy</v>
      </c>
    </row>
    <row r="477" spans="1:15" ht="15" customHeight="1" x14ac:dyDescent="0.2">
      <c r="A477" s="3" t="str">
        <f>'1. Master Data'!A477</f>
        <v>NT10473</v>
      </c>
      <c r="B477" s="1" t="str">
        <f>'1. Master Data'!B477</f>
        <v>HDMI Cable 4K V358</v>
      </c>
      <c r="C477" s="3" t="str">
        <f>'1. Master Data'!C477</f>
        <v>Accessories</v>
      </c>
      <c r="D477" s="3" t="str">
        <f>'1. Master Data'!D477</f>
        <v>West DC</v>
      </c>
      <c r="E477" s="3" t="str">
        <f>'1. Master Data'!H477</f>
        <v>Active</v>
      </c>
      <c r="F477" s="4">
        <f>'1. Master Data'!F477</f>
        <v>9</v>
      </c>
      <c r="G477" s="3">
        <f>'1. Master Data'!I477</f>
        <v>339</v>
      </c>
      <c r="H477" s="15">
        <f t="shared" si="36"/>
        <v>3051</v>
      </c>
      <c r="I477" s="3">
        <f>'1. Master Data'!J477</f>
        <v>55</v>
      </c>
      <c r="J477" s="5" t="str">
        <f t="shared" si="37"/>
        <v>Watch</v>
      </c>
      <c r="K477" s="3">
        <f>IF('3. Demand Forecast'!F477=0,99,ROUND(G477/'3. Demand Forecast'!F477,1))</f>
        <v>0.9</v>
      </c>
      <c r="L477" s="3">
        <f>IF(G477=0,0,ROUND('4. ABC XYZ Analysis'!F477/G477,1))</f>
        <v>1.9</v>
      </c>
      <c r="M477" s="5" t="str">
        <f t="shared" si="38"/>
        <v>OK</v>
      </c>
      <c r="N477" s="4">
        <f t="shared" si="39"/>
        <v>0</v>
      </c>
      <c r="O477" s="1" t="str">
        <f t="shared" si="40"/>
        <v>Healthy</v>
      </c>
    </row>
    <row r="478" spans="1:15" ht="15" customHeight="1" x14ac:dyDescent="0.2">
      <c r="A478" s="3" t="str">
        <f>'1. Master Data'!A478</f>
        <v>NT10474</v>
      </c>
      <c r="B478" s="1" t="str">
        <f>'1. Master Data'!B478</f>
        <v>Car Mount V739</v>
      </c>
      <c r="C478" s="3" t="str">
        <f>'1. Master Data'!C478</f>
        <v>Accessories</v>
      </c>
      <c r="D478" s="3" t="str">
        <f>'1. Master Data'!D478</f>
        <v>East DC</v>
      </c>
      <c r="E478" s="3" t="str">
        <f>'1. Master Data'!H478</f>
        <v>Active</v>
      </c>
      <c r="F478" s="4">
        <f>'1. Master Data'!F478</f>
        <v>32</v>
      </c>
      <c r="G478" s="3">
        <f>'1. Master Data'!I478</f>
        <v>89</v>
      </c>
      <c r="H478" s="15">
        <f t="shared" si="36"/>
        <v>2848</v>
      </c>
      <c r="I478" s="3">
        <f>'1. Master Data'!J478</f>
        <v>20</v>
      </c>
      <c r="J478" s="5" t="str">
        <f t="shared" si="37"/>
        <v>Fresh</v>
      </c>
      <c r="K478" s="3">
        <f>IF('3. Demand Forecast'!F478=0,99,ROUND(G478/'3. Demand Forecast'!F478,1))</f>
        <v>0.4</v>
      </c>
      <c r="L478" s="3">
        <f>IF(G478=0,0,ROUND('4. ABC XYZ Analysis'!F478/G478,1))</f>
        <v>4.0999999999999996</v>
      </c>
      <c r="M478" s="5" t="str">
        <f t="shared" si="38"/>
        <v>OK</v>
      </c>
      <c r="N478" s="4">
        <f t="shared" si="39"/>
        <v>0</v>
      </c>
      <c r="O478" s="1" t="str">
        <f t="shared" si="40"/>
        <v>Healthy</v>
      </c>
    </row>
    <row r="479" spans="1:15" ht="15" customHeight="1" x14ac:dyDescent="0.2">
      <c r="A479" s="3" t="str">
        <f>'1. Master Data'!A479</f>
        <v>NT10475</v>
      </c>
      <c r="B479" s="1" t="str">
        <f>'1. Master Data'!B479</f>
        <v>HDMI Cable 4K V959</v>
      </c>
      <c r="C479" s="3" t="str">
        <f>'1. Master Data'!C479</f>
        <v>Accessories</v>
      </c>
      <c r="D479" s="3" t="str">
        <f>'1. Master Data'!D479</f>
        <v>Central DC</v>
      </c>
      <c r="E479" s="3" t="str">
        <f>'1. Master Data'!H479</f>
        <v>Active</v>
      </c>
      <c r="F479" s="4">
        <f>'1. Master Data'!F479</f>
        <v>23</v>
      </c>
      <c r="G479" s="3">
        <f>'1. Master Data'!I479</f>
        <v>1188</v>
      </c>
      <c r="H479" s="15">
        <f t="shared" si="36"/>
        <v>27324</v>
      </c>
      <c r="I479" s="3">
        <f>'1. Master Data'!J479</f>
        <v>175</v>
      </c>
      <c r="J479" s="5" t="str">
        <f t="shared" si="37"/>
        <v>Aged</v>
      </c>
      <c r="K479" s="3">
        <f>IF('3. Demand Forecast'!F479=0,99,ROUND(G479/'3. Demand Forecast'!F479,1))</f>
        <v>4.5999999999999996</v>
      </c>
      <c r="L479" s="3">
        <f>IF(G479=0,0,ROUND('4. ABC XYZ Analysis'!F479/G479,1))</f>
        <v>0.5</v>
      </c>
      <c r="M479" s="5" t="str">
        <f t="shared" si="38"/>
        <v>EXCESS</v>
      </c>
      <c r="N479" s="4">
        <f t="shared" si="39"/>
        <v>27324</v>
      </c>
      <c r="O479" s="1" t="str">
        <f t="shared" si="40"/>
        <v>Reduce orders and monitor</v>
      </c>
    </row>
    <row r="480" spans="1:15" ht="15" customHeight="1" x14ac:dyDescent="0.2">
      <c r="A480" s="3" t="str">
        <f>'1. Master Data'!A480</f>
        <v>NT10476</v>
      </c>
      <c r="B480" s="1" t="str">
        <f>'1. Master Data'!B480</f>
        <v>USB C Cable 2m V851</v>
      </c>
      <c r="C480" s="3" t="str">
        <f>'1. Master Data'!C480</f>
        <v>Accessories</v>
      </c>
      <c r="D480" s="3" t="str">
        <f>'1. Master Data'!D480</f>
        <v>West DC</v>
      </c>
      <c r="E480" s="3" t="str">
        <f>'1. Master Data'!H480</f>
        <v>Active</v>
      </c>
      <c r="F480" s="4">
        <f>'1. Master Data'!F480</f>
        <v>12</v>
      </c>
      <c r="G480" s="3">
        <f>'1. Master Data'!I480</f>
        <v>90</v>
      </c>
      <c r="H480" s="15">
        <f t="shared" si="36"/>
        <v>1080</v>
      </c>
      <c r="I480" s="3">
        <f>'1. Master Data'!J480</f>
        <v>44</v>
      </c>
      <c r="J480" s="5" t="str">
        <f t="shared" si="37"/>
        <v>Watch</v>
      </c>
      <c r="K480" s="3">
        <f>IF('3. Demand Forecast'!F480=0,99,ROUND(G480/'3. Demand Forecast'!F480,1))</f>
        <v>0.4</v>
      </c>
      <c r="L480" s="3">
        <f>IF(G480=0,0,ROUND('4. ABC XYZ Analysis'!F480/G480,1))</f>
        <v>1.8</v>
      </c>
      <c r="M480" s="5" t="str">
        <f t="shared" si="38"/>
        <v>OK</v>
      </c>
      <c r="N480" s="4">
        <f t="shared" si="39"/>
        <v>0</v>
      </c>
      <c r="O480" s="1" t="str">
        <f t="shared" si="40"/>
        <v>Healthy</v>
      </c>
    </row>
    <row r="481" spans="1:15" ht="15" customHeight="1" x14ac:dyDescent="0.2">
      <c r="A481" s="3" t="str">
        <f>'1. Master Data'!A481</f>
        <v>NT10477</v>
      </c>
      <c r="B481" s="1" t="str">
        <f>'1. Master Data'!B481</f>
        <v>Laptop Sleeve 15in V301</v>
      </c>
      <c r="C481" s="3" t="str">
        <f>'1. Master Data'!C481</f>
        <v>Accessories</v>
      </c>
      <c r="D481" s="3" t="str">
        <f>'1. Master Data'!D481</f>
        <v>East DC</v>
      </c>
      <c r="E481" s="3" t="str">
        <f>'1. Master Data'!H481</f>
        <v>Active</v>
      </c>
      <c r="F481" s="4">
        <f>'1. Master Data'!F481</f>
        <v>23</v>
      </c>
      <c r="G481" s="3">
        <f>'1. Master Data'!I481</f>
        <v>2710</v>
      </c>
      <c r="H481" s="15">
        <f t="shared" si="36"/>
        <v>62330</v>
      </c>
      <c r="I481" s="3">
        <f>'1. Master Data'!J481</f>
        <v>193</v>
      </c>
      <c r="J481" s="5" t="str">
        <f t="shared" si="37"/>
        <v>Obsolete Risk</v>
      </c>
      <c r="K481" s="3">
        <f>IF('3. Demand Forecast'!F481=0,99,ROUND(G481/'3. Demand Forecast'!F481,1))</f>
        <v>4.4000000000000004</v>
      </c>
      <c r="L481" s="3">
        <f>IF(G481=0,0,ROUND('4. ABC XYZ Analysis'!F481/G481,1))</f>
        <v>0.1</v>
      </c>
      <c r="M481" s="5" t="str">
        <f t="shared" si="38"/>
        <v>EXCESS</v>
      </c>
      <c r="N481" s="4">
        <f t="shared" si="39"/>
        <v>62330</v>
      </c>
      <c r="O481" s="1" t="str">
        <f t="shared" si="40"/>
        <v>Disposition Review</v>
      </c>
    </row>
    <row r="482" spans="1:15" ht="15" customHeight="1" x14ac:dyDescent="0.2">
      <c r="A482" s="3" t="str">
        <f>'1. Master Data'!A482</f>
        <v>NT10478</v>
      </c>
      <c r="B482" s="1" t="str">
        <f>'1. Master Data'!B482</f>
        <v>Power Bank 10K V365</v>
      </c>
      <c r="C482" s="3" t="str">
        <f>'1. Master Data'!C482</f>
        <v>Accessories</v>
      </c>
      <c r="D482" s="3" t="str">
        <f>'1. Master Data'!D482</f>
        <v>East DC</v>
      </c>
      <c r="E482" s="3" t="str">
        <f>'1. Master Data'!H482</f>
        <v>Active</v>
      </c>
      <c r="F482" s="4">
        <f>'1. Master Data'!F482</f>
        <v>22</v>
      </c>
      <c r="G482" s="3">
        <f>'1. Master Data'!I482</f>
        <v>2671</v>
      </c>
      <c r="H482" s="15">
        <f t="shared" si="36"/>
        <v>58762</v>
      </c>
      <c r="I482" s="3">
        <f>'1. Master Data'!J482</f>
        <v>102</v>
      </c>
      <c r="J482" s="5" t="str">
        <f t="shared" si="37"/>
        <v>Aged</v>
      </c>
      <c r="K482" s="3">
        <f>IF('3. Demand Forecast'!F482=0,99,ROUND(G482/'3. Demand Forecast'!F482,1))</f>
        <v>4.8</v>
      </c>
      <c r="L482" s="3">
        <f>IF(G482=0,0,ROUND('4. ABC XYZ Analysis'!F482/G482,1))</f>
        <v>0</v>
      </c>
      <c r="M482" s="5" t="str">
        <f t="shared" si="38"/>
        <v>EXCESS</v>
      </c>
      <c r="N482" s="4">
        <f t="shared" si="39"/>
        <v>58762</v>
      </c>
      <c r="O482" s="1" t="str">
        <f t="shared" si="40"/>
        <v>Reduce orders and monitor</v>
      </c>
    </row>
    <row r="483" spans="1:15" ht="15" customHeight="1" x14ac:dyDescent="0.2">
      <c r="A483" s="3" t="str">
        <f>'1. Master Data'!A483</f>
        <v>NT10479</v>
      </c>
      <c r="B483" s="1" t="str">
        <f>'1. Master Data'!B483</f>
        <v>USB C Cable 2m V217</v>
      </c>
      <c r="C483" s="3" t="str">
        <f>'1. Master Data'!C483</f>
        <v>Accessories</v>
      </c>
      <c r="D483" s="3" t="str">
        <f>'1. Master Data'!D483</f>
        <v>East DC</v>
      </c>
      <c r="E483" s="3" t="str">
        <f>'1. Master Data'!H483</f>
        <v>Active</v>
      </c>
      <c r="F483" s="4">
        <f>'1. Master Data'!F483</f>
        <v>9</v>
      </c>
      <c r="G483" s="3">
        <f>'1. Master Data'!I483</f>
        <v>123</v>
      </c>
      <c r="H483" s="15">
        <f t="shared" si="36"/>
        <v>1107</v>
      </c>
      <c r="I483" s="3">
        <f>'1. Master Data'!J483</f>
        <v>34</v>
      </c>
      <c r="J483" s="5" t="str">
        <f t="shared" si="37"/>
        <v>Watch</v>
      </c>
      <c r="K483" s="3">
        <f>IF('3. Demand Forecast'!F483=0,99,ROUND(G483/'3. Demand Forecast'!F483,1))</f>
        <v>0.6</v>
      </c>
      <c r="L483" s="3">
        <f>IF(G483=0,0,ROUND('4. ABC XYZ Analysis'!F483/G483,1))</f>
        <v>0.3</v>
      </c>
      <c r="M483" s="5" t="str">
        <f t="shared" si="38"/>
        <v>OK</v>
      </c>
      <c r="N483" s="4">
        <f t="shared" si="39"/>
        <v>0</v>
      </c>
      <c r="O483" s="1" t="str">
        <f t="shared" si="40"/>
        <v>Healthy</v>
      </c>
    </row>
    <row r="484" spans="1:15" ht="15" customHeight="1" x14ac:dyDescent="0.2">
      <c r="A484" s="3" t="str">
        <f>'1. Master Data'!A484</f>
        <v>NT10480</v>
      </c>
      <c r="B484" s="1" t="str">
        <f>'1. Master Data'!B484</f>
        <v>Wall Charger 65W V886</v>
      </c>
      <c r="C484" s="3" t="str">
        <f>'1. Master Data'!C484</f>
        <v>Accessories</v>
      </c>
      <c r="D484" s="3" t="str">
        <f>'1. Master Data'!D484</f>
        <v>West DC</v>
      </c>
      <c r="E484" s="3" t="str">
        <f>'1. Master Data'!H484</f>
        <v>Active</v>
      </c>
      <c r="F484" s="4">
        <f>'1. Master Data'!F484</f>
        <v>23</v>
      </c>
      <c r="G484" s="3">
        <f>'1. Master Data'!I484</f>
        <v>436</v>
      </c>
      <c r="H484" s="15">
        <f t="shared" si="36"/>
        <v>10028</v>
      </c>
      <c r="I484" s="3">
        <f>'1. Master Data'!J484</f>
        <v>63</v>
      </c>
      <c r="J484" s="5" t="str">
        <f t="shared" si="37"/>
        <v>Watch</v>
      </c>
      <c r="K484" s="3">
        <f>IF('3. Demand Forecast'!F484=0,99,ROUND(G484/'3. Demand Forecast'!F484,1))</f>
        <v>0.8</v>
      </c>
      <c r="L484" s="3">
        <f>IF(G484=0,0,ROUND('4. ABC XYZ Analysis'!F484/G484,1))</f>
        <v>0.5</v>
      </c>
      <c r="M484" s="5" t="str">
        <f t="shared" si="38"/>
        <v>OK</v>
      </c>
      <c r="N484" s="4">
        <f t="shared" si="39"/>
        <v>0</v>
      </c>
      <c r="O484" s="1" t="str">
        <f t="shared" si="40"/>
        <v>Healthy</v>
      </c>
    </row>
    <row r="485" spans="1:15" ht="15" customHeight="1" x14ac:dyDescent="0.2">
      <c r="A485" s="3" t="str">
        <f>'1. Master Data'!A485</f>
        <v>NT10481</v>
      </c>
      <c r="B485" s="1" t="str">
        <f>'1. Master Data'!B485</f>
        <v>Screen Guard 821</v>
      </c>
      <c r="C485" s="3" t="str">
        <f>'1. Master Data'!C485</f>
        <v>Accessories</v>
      </c>
      <c r="D485" s="3" t="str">
        <f>'1. Master Data'!D485</f>
        <v>East DC</v>
      </c>
      <c r="E485" s="3" t="str">
        <f>'1. Master Data'!H485</f>
        <v>Active</v>
      </c>
      <c r="F485" s="4">
        <f>'1. Master Data'!F485</f>
        <v>16</v>
      </c>
      <c r="G485" s="3">
        <f>'1. Master Data'!I485</f>
        <v>86</v>
      </c>
      <c r="H485" s="15">
        <f t="shared" si="36"/>
        <v>1376</v>
      </c>
      <c r="I485" s="3">
        <f>'1. Master Data'!J485</f>
        <v>5</v>
      </c>
      <c r="J485" s="5" t="str">
        <f t="shared" si="37"/>
        <v>Fresh</v>
      </c>
      <c r="K485" s="3">
        <f>IF('3. Demand Forecast'!F485=0,99,ROUND(G485/'3. Demand Forecast'!F485,1))</f>
        <v>0.5</v>
      </c>
      <c r="L485" s="3">
        <f>IF(G485=0,0,ROUND('4. ABC XYZ Analysis'!F485/G485,1))</f>
        <v>5.9</v>
      </c>
      <c r="M485" s="5" t="str">
        <f t="shared" si="38"/>
        <v>OK</v>
      </c>
      <c r="N485" s="4">
        <f t="shared" si="39"/>
        <v>0</v>
      </c>
      <c r="O485" s="1" t="str">
        <f t="shared" si="40"/>
        <v>Healthy</v>
      </c>
    </row>
    <row r="486" spans="1:15" ht="15" customHeight="1" x14ac:dyDescent="0.2">
      <c r="A486" s="3" t="str">
        <f>'1. Master Data'!A486</f>
        <v>NT10482</v>
      </c>
      <c r="B486" s="1" t="str">
        <f>'1. Master Data'!B486</f>
        <v>Car Mount V587</v>
      </c>
      <c r="C486" s="3" t="str">
        <f>'1. Master Data'!C486</f>
        <v>Accessories</v>
      </c>
      <c r="D486" s="3" t="str">
        <f>'1. Master Data'!D486</f>
        <v>East DC</v>
      </c>
      <c r="E486" s="3" t="str">
        <f>'1. Master Data'!H486</f>
        <v>Active</v>
      </c>
      <c r="F486" s="4">
        <f>'1. Master Data'!F486</f>
        <v>26</v>
      </c>
      <c r="G486" s="3">
        <f>'1. Master Data'!I486</f>
        <v>288</v>
      </c>
      <c r="H486" s="15">
        <f t="shared" si="36"/>
        <v>7488</v>
      </c>
      <c r="I486" s="3">
        <f>'1. Master Data'!J486</f>
        <v>2</v>
      </c>
      <c r="J486" s="5" t="str">
        <f t="shared" si="37"/>
        <v>Fresh</v>
      </c>
      <c r="K486" s="3">
        <f>IF('3. Demand Forecast'!F486=0,99,ROUND(G486/'3. Demand Forecast'!F486,1))</f>
        <v>1</v>
      </c>
      <c r="L486" s="3">
        <f>IF(G486=0,0,ROUND('4. ABC XYZ Analysis'!F486/G486,1))</f>
        <v>7.7</v>
      </c>
      <c r="M486" s="5" t="str">
        <f t="shared" si="38"/>
        <v>OK</v>
      </c>
      <c r="N486" s="4">
        <f t="shared" si="39"/>
        <v>0</v>
      </c>
      <c r="O486" s="1" t="str">
        <f t="shared" si="40"/>
        <v>Healthy</v>
      </c>
    </row>
    <row r="487" spans="1:15" ht="15" customHeight="1" x14ac:dyDescent="0.2">
      <c r="A487" s="3" t="str">
        <f>'1. Master Data'!A487</f>
        <v>NT10483</v>
      </c>
      <c r="B487" s="1" t="str">
        <f>'1. Master Data'!B487</f>
        <v>Laptop Sleeve 15in V271</v>
      </c>
      <c r="C487" s="3" t="str">
        <f>'1. Master Data'!C487</f>
        <v>Accessories</v>
      </c>
      <c r="D487" s="3" t="str">
        <f>'1. Master Data'!D487</f>
        <v>West DC</v>
      </c>
      <c r="E487" s="3" t="str">
        <f>'1. Master Data'!H487</f>
        <v>Active</v>
      </c>
      <c r="F487" s="4">
        <f>'1. Master Data'!F487</f>
        <v>40</v>
      </c>
      <c r="G487" s="3">
        <f>'1. Master Data'!I487</f>
        <v>234</v>
      </c>
      <c r="H487" s="15">
        <f t="shared" si="36"/>
        <v>9360</v>
      </c>
      <c r="I487" s="3">
        <f>'1. Master Data'!J487</f>
        <v>22</v>
      </c>
      <c r="J487" s="5" t="str">
        <f t="shared" si="37"/>
        <v>Fresh</v>
      </c>
      <c r="K487" s="3">
        <f>IF('3. Demand Forecast'!F487=0,99,ROUND(G487/'3. Demand Forecast'!F487,1))</f>
        <v>0.6</v>
      </c>
      <c r="L487" s="3">
        <f>IF(G487=0,0,ROUND('4. ABC XYZ Analysis'!F487/G487,1))</f>
        <v>0.7</v>
      </c>
      <c r="M487" s="5" t="str">
        <f t="shared" si="38"/>
        <v>OK</v>
      </c>
      <c r="N487" s="4">
        <f t="shared" si="39"/>
        <v>0</v>
      </c>
      <c r="O487" s="1" t="str">
        <f t="shared" si="40"/>
        <v>Healthy</v>
      </c>
    </row>
    <row r="488" spans="1:15" ht="15" customHeight="1" x14ac:dyDescent="0.2">
      <c r="A488" s="3" t="str">
        <f>'1. Master Data'!A488</f>
        <v>NT10484</v>
      </c>
      <c r="B488" s="1" t="str">
        <f>'1. Master Data'!B488</f>
        <v>Screen Guard 118</v>
      </c>
      <c r="C488" s="3" t="str">
        <f>'1. Master Data'!C488</f>
        <v>Accessories</v>
      </c>
      <c r="D488" s="3" t="str">
        <f>'1. Master Data'!D488</f>
        <v>East DC</v>
      </c>
      <c r="E488" s="3" t="str">
        <f>'1. Master Data'!H488</f>
        <v>Active</v>
      </c>
      <c r="F488" s="4">
        <f>'1. Master Data'!F488</f>
        <v>23</v>
      </c>
      <c r="G488" s="3">
        <f>'1. Master Data'!I488</f>
        <v>201</v>
      </c>
      <c r="H488" s="15">
        <f t="shared" si="36"/>
        <v>4623</v>
      </c>
      <c r="I488" s="3">
        <f>'1. Master Data'!J488</f>
        <v>30</v>
      </c>
      <c r="J488" s="5" t="str">
        <f t="shared" si="37"/>
        <v>Fresh</v>
      </c>
      <c r="K488" s="3">
        <f>IF('3. Demand Forecast'!F488=0,99,ROUND(G488/'3. Demand Forecast'!F488,1))</f>
        <v>0.9</v>
      </c>
      <c r="L488" s="3">
        <f>IF(G488=0,0,ROUND('4. ABC XYZ Analysis'!F488/G488,1))</f>
        <v>0.3</v>
      </c>
      <c r="M488" s="5" t="str">
        <f t="shared" si="38"/>
        <v>OK</v>
      </c>
      <c r="N488" s="4">
        <f t="shared" si="39"/>
        <v>0</v>
      </c>
      <c r="O488" s="1" t="str">
        <f t="shared" si="40"/>
        <v>Healthy</v>
      </c>
    </row>
    <row r="489" spans="1:15" ht="15" customHeight="1" x14ac:dyDescent="0.2">
      <c r="A489" s="3" t="str">
        <f>'1. Master Data'!A489</f>
        <v>NT10485</v>
      </c>
      <c r="B489" s="1" t="str">
        <f>'1. Master Data'!B489</f>
        <v>Power Bank 10K V686</v>
      </c>
      <c r="C489" s="3" t="str">
        <f>'1. Master Data'!C489</f>
        <v>Accessories</v>
      </c>
      <c r="D489" s="3" t="str">
        <f>'1. Master Data'!D489</f>
        <v>East DC</v>
      </c>
      <c r="E489" s="3" t="str">
        <f>'1. Master Data'!H489</f>
        <v>Active</v>
      </c>
      <c r="F489" s="4">
        <f>'1. Master Data'!F489</f>
        <v>23</v>
      </c>
      <c r="G489" s="3">
        <f>'1. Master Data'!I489</f>
        <v>291</v>
      </c>
      <c r="H489" s="15">
        <f t="shared" si="36"/>
        <v>6693</v>
      </c>
      <c r="I489" s="3">
        <f>'1. Master Data'!J489</f>
        <v>60</v>
      </c>
      <c r="J489" s="5" t="str">
        <f t="shared" si="37"/>
        <v>Watch</v>
      </c>
      <c r="K489" s="3">
        <f>IF('3. Demand Forecast'!F489=0,99,ROUND(G489/'3. Demand Forecast'!F489,1))</f>
        <v>0.6</v>
      </c>
      <c r="L489" s="3">
        <f>IF(G489=0,0,ROUND('4. ABC XYZ Analysis'!F489/G489,1))</f>
        <v>0.1</v>
      </c>
      <c r="M489" s="5" t="str">
        <f t="shared" si="38"/>
        <v>OK</v>
      </c>
      <c r="N489" s="4">
        <f t="shared" si="39"/>
        <v>0</v>
      </c>
      <c r="O489" s="1" t="str">
        <f t="shared" si="40"/>
        <v>Healthy</v>
      </c>
    </row>
    <row r="490" spans="1:15" ht="15" customHeight="1" x14ac:dyDescent="0.2">
      <c r="A490" s="3" t="str">
        <f>'1. Master Data'!A490</f>
        <v>NT10486</v>
      </c>
      <c r="B490" s="1" t="str">
        <f>'1. Master Data'!B490</f>
        <v>HDMI Cable 4K V465</v>
      </c>
      <c r="C490" s="3" t="str">
        <f>'1. Master Data'!C490</f>
        <v>Accessories</v>
      </c>
      <c r="D490" s="3" t="str">
        <f>'1. Master Data'!D490</f>
        <v>East DC</v>
      </c>
      <c r="E490" s="3" t="str">
        <f>'1. Master Data'!H490</f>
        <v>Active</v>
      </c>
      <c r="F490" s="4">
        <f>'1. Master Data'!F490</f>
        <v>16</v>
      </c>
      <c r="G490" s="3">
        <f>'1. Master Data'!I490</f>
        <v>4220</v>
      </c>
      <c r="H490" s="15">
        <f t="shared" si="36"/>
        <v>67520</v>
      </c>
      <c r="I490" s="3">
        <f>'1. Master Data'!J490</f>
        <v>167</v>
      </c>
      <c r="J490" s="5" t="str">
        <f t="shared" si="37"/>
        <v>Aged</v>
      </c>
      <c r="K490" s="3">
        <f>IF('3. Demand Forecast'!F490=0,99,ROUND(G490/'3. Demand Forecast'!F490,1))</f>
        <v>4.3</v>
      </c>
      <c r="L490" s="3">
        <f>IF(G490=0,0,ROUND('4. ABC XYZ Analysis'!F490/G490,1))</f>
        <v>0</v>
      </c>
      <c r="M490" s="5" t="str">
        <f t="shared" si="38"/>
        <v>EXCESS</v>
      </c>
      <c r="N490" s="4">
        <f t="shared" si="39"/>
        <v>67520</v>
      </c>
      <c r="O490" s="1" t="str">
        <f t="shared" si="40"/>
        <v>Reduce orders and monitor</v>
      </c>
    </row>
    <row r="491" spans="1:15" ht="15" customHeight="1" x14ac:dyDescent="0.2">
      <c r="A491" s="3" t="str">
        <f>'1. Master Data'!A491</f>
        <v>NT10487</v>
      </c>
      <c r="B491" s="1" t="str">
        <f>'1. Master Data'!B491</f>
        <v>HDMI Cable 4K V201</v>
      </c>
      <c r="C491" s="3" t="str">
        <f>'1. Master Data'!C491</f>
        <v>Accessories</v>
      </c>
      <c r="D491" s="3" t="str">
        <f>'1. Master Data'!D491</f>
        <v>Central DC</v>
      </c>
      <c r="E491" s="3" t="str">
        <f>'1. Master Data'!H491</f>
        <v>Active</v>
      </c>
      <c r="F491" s="4">
        <f>'1. Master Data'!F491</f>
        <v>22</v>
      </c>
      <c r="G491" s="3">
        <f>'1. Master Data'!I491</f>
        <v>268</v>
      </c>
      <c r="H491" s="15">
        <f t="shared" si="36"/>
        <v>5896</v>
      </c>
      <c r="I491" s="3">
        <f>'1. Master Data'!J491</f>
        <v>41</v>
      </c>
      <c r="J491" s="5" t="str">
        <f t="shared" si="37"/>
        <v>Watch</v>
      </c>
      <c r="K491" s="3">
        <f>IF('3. Demand Forecast'!F491=0,99,ROUND(G491/'3. Demand Forecast'!F491,1))</f>
        <v>0.9</v>
      </c>
      <c r="L491" s="3">
        <f>IF(G491=0,0,ROUND('4. ABC XYZ Analysis'!F491/G491,1))</f>
        <v>2.5</v>
      </c>
      <c r="M491" s="5" t="str">
        <f t="shared" si="38"/>
        <v>OK</v>
      </c>
      <c r="N491" s="4">
        <f t="shared" si="39"/>
        <v>0</v>
      </c>
      <c r="O491" s="1" t="str">
        <f t="shared" si="40"/>
        <v>Healthy</v>
      </c>
    </row>
    <row r="492" spans="1:15" ht="15" customHeight="1" x14ac:dyDescent="0.2">
      <c r="A492" s="3" t="str">
        <f>'1. Master Data'!A492</f>
        <v>NT10488</v>
      </c>
      <c r="B492" s="1" t="str">
        <f>'1. Master Data'!B492</f>
        <v>Phone Case Clear V482</v>
      </c>
      <c r="C492" s="3" t="str">
        <f>'1. Master Data'!C492</f>
        <v>Accessories</v>
      </c>
      <c r="D492" s="3" t="str">
        <f>'1. Master Data'!D492</f>
        <v>West DC</v>
      </c>
      <c r="E492" s="3" t="str">
        <f>'1. Master Data'!H492</f>
        <v>Active</v>
      </c>
      <c r="F492" s="4">
        <f>'1. Master Data'!F492</f>
        <v>27</v>
      </c>
      <c r="G492" s="3">
        <f>'1. Master Data'!I492</f>
        <v>622</v>
      </c>
      <c r="H492" s="15">
        <f t="shared" si="36"/>
        <v>16794</v>
      </c>
      <c r="I492" s="3">
        <f>'1. Master Data'!J492</f>
        <v>5</v>
      </c>
      <c r="J492" s="5" t="str">
        <f t="shared" si="37"/>
        <v>Fresh</v>
      </c>
      <c r="K492" s="3">
        <f>IF('3. Demand Forecast'!F492=0,99,ROUND(G492/'3. Demand Forecast'!F492,1))</f>
        <v>0.4</v>
      </c>
      <c r="L492" s="3">
        <f>IF(G492=0,0,ROUND('4. ABC XYZ Analysis'!F492/G492,1))</f>
        <v>0.1</v>
      </c>
      <c r="M492" s="5" t="str">
        <f t="shared" si="38"/>
        <v>OK</v>
      </c>
      <c r="N492" s="4">
        <f t="shared" si="39"/>
        <v>0</v>
      </c>
      <c r="O492" s="1" t="str">
        <f t="shared" si="40"/>
        <v>Healthy</v>
      </c>
    </row>
    <row r="493" spans="1:15" ht="15" customHeight="1" x14ac:dyDescent="0.2">
      <c r="A493" s="3" t="str">
        <f>'1. Master Data'!A493</f>
        <v>NT10489</v>
      </c>
      <c r="B493" s="1" t="str">
        <f>'1. Master Data'!B493</f>
        <v>Phone Case Clear V901</v>
      </c>
      <c r="C493" s="3" t="str">
        <f>'1. Master Data'!C493</f>
        <v>Accessories</v>
      </c>
      <c r="D493" s="3" t="str">
        <f>'1. Master Data'!D493</f>
        <v>East DC</v>
      </c>
      <c r="E493" s="3" t="str">
        <f>'1. Master Data'!H493</f>
        <v>Active</v>
      </c>
      <c r="F493" s="4">
        <f>'1. Master Data'!F493</f>
        <v>38</v>
      </c>
      <c r="G493" s="3">
        <f>'1. Master Data'!I493</f>
        <v>54</v>
      </c>
      <c r="H493" s="15">
        <f t="shared" si="36"/>
        <v>2052</v>
      </c>
      <c r="I493" s="3">
        <f>'1. Master Data'!J493</f>
        <v>54</v>
      </c>
      <c r="J493" s="5" t="str">
        <f t="shared" si="37"/>
        <v>Watch</v>
      </c>
      <c r="K493" s="3">
        <f>IF('3. Demand Forecast'!F493=0,99,ROUND(G493/'3. Demand Forecast'!F493,1))</f>
        <v>0.7</v>
      </c>
      <c r="L493" s="3">
        <f>IF(G493=0,0,ROUND('4. ABC XYZ Analysis'!F493/G493,1))</f>
        <v>0.3</v>
      </c>
      <c r="M493" s="5" t="str">
        <f t="shared" si="38"/>
        <v>OK</v>
      </c>
      <c r="N493" s="4">
        <f t="shared" si="39"/>
        <v>0</v>
      </c>
      <c r="O493" s="1" t="str">
        <f t="shared" si="40"/>
        <v>Healthy</v>
      </c>
    </row>
    <row r="494" spans="1:15" ht="15" customHeight="1" x14ac:dyDescent="0.2">
      <c r="A494" s="3" t="str">
        <f>'1. Master Data'!A494</f>
        <v>NT10490</v>
      </c>
      <c r="B494" s="1" t="str">
        <f>'1. Master Data'!B494</f>
        <v>HDMI Cable 4K V488</v>
      </c>
      <c r="C494" s="3" t="str">
        <f>'1. Master Data'!C494</f>
        <v>Accessories</v>
      </c>
      <c r="D494" s="3" t="str">
        <f>'1. Master Data'!D494</f>
        <v>East DC</v>
      </c>
      <c r="E494" s="3" t="str">
        <f>'1. Master Data'!H494</f>
        <v>Active</v>
      </c>
      <c r="F494" s="4">
        <f>'1. Master Data'!F494</f>
        <v>26</v>
      </c>
      <c r="G494" s="3">
        <f>'1. Master Data'!I494</f>
        <v>351</v>
      </c>
      <c r="H494" s="15">
        <f t="shared" si="36"/>
        <v>9126</v>
      </c>
      <c r="I494" s="3">
        <f>'1. Master Data'!J494</f>
        <v>148</v>
      </c>
      <c r="J494" s="5" t="str">
        <f t="shared" si="37"/>
        <v>Aged</v>
      </c>
      <c r="K494" s="3">
        <f>IF('3. Demand Forecast'!F494=0,99,ROUND(G494/'3. Demand Forecast'!F494,1))</f>
        <v>3.3</v>
      </c>
      <c r="L494" s="3">
        <f>IF(G494=0,0,ROUND('4. ABC XYZ Analysis'!F494/G494,1))</f>
        <v>1.1000000000000001</v>
      </c>
      <c r="M494" s="5" t="str">
        <f t="shared" si="38"/>
        <v>EXCESS</v>
      </c>
      <c r="N494" s="4">
        <f t="shared" si="39"/>
        <v>9126</v>
      </c>
      <c r="O494" s="1" t="str">
        <f t="shared" si="40"/>
        <v>Reduce orders and monitor</v>
      </c>
    </row>
    <row r="495" spans="1:15" ht="15" customHeight="1" x14ac:dyDescent="0.2">
      <c r="A495" s="3" t="str">
        <f>'1. Master Data'!A495</f>
        <v>NT10491</v>
      </c>
      <c r="B495" s="1" t="str">
        <f>'1. Master Data'!B495</f>
        <v>Car Mount V298</v>
      </c>
      <c r="C495" s="3" t="str">
        <f>'1. Master Data'!C495</f>
        <v>Accessories</v>
      </c>
      <c r="D495" s="3" t="str">
        <f>'1. Master Data'!D495</f>
        <v>Central DC</v>
      </c>
      <c r="E495" s="3" t="str">
        <f>'1. Master Data'!H495</f>
        <v>Active</v>
      </c>
      <c r="F495" s="4">
        <f>'1. Master Data'!F495</f>
        <v>9</v>
      </c>
      <c r="G495" s="3">
        <f>'1. Master Data'!I495</f>
        <v>1032</v>
      </c>
      <c r="H495" s="15">
        <f t="shared" si="36"/>
        <v>9288</v>
      </c>
      <c r="I495" s="3">
        <f>'1. Master Data'!J495</f>
        <v>184</v>
      </c>
      <c r="J495" s="5" t="str">
        <f t="shared" si="37"/>
        <v>Obsolete Risk</v>
      </c>
      <c r="K495" s="3">
        <f>IF('3. Demand Forecast'!F495=0,99,ROUND(G495/'3. Demand Forecast'!F495,1))</f>
        <v>4</v>
      </c>
      <c r="L495" s="3">
        <f>IF(G495=0,0,ROUND('4. ABC XYZ Analysis'!F495/G495,1))</f>
        <v>0.4</v>
      </c>
      <c r="M495" s="5" t="str">
        <f t="shared" si="38"/>
        <v>EXCESS</v>
      </c>
      <c r="N495" s="4">
        <f t="shared" si="39"/>
        <v>9288</v>
      </c>
      <c r="O495" s="1" t="str">
        <f t="shared" si="40"/>
        <v>Disposition Review</v>
      </c>
    </row>
    <row r="496" spans="1:15" ht="15" customHeight="1" x14ac:dyDescent="0.2">
      <c r="A496" s="3" t="str">
        <f>'1. Master Data'!A496</f>
        <v>NT10492</v>
      </c>
      <c r="B496" s="1" t="str">
        <f>'1. Master Data'!B496</f>
        <v>Wall Charger 65W V223</v>
      </c>
      <c r="C496" s="3" t="str">
        <f>'1. Master Data'!C496</f>
        <v>Accessories</v>
      </c>
      <c r="D496" s="3" t="str">
        <f>'1. Master Data'!D496</f>
        <v>East DC</v>
      </c>
      <c r="E496" s="3" t="str">
        <f>'1. Master Data'!H496</f>
        <v>Active</v>
      </c>
      <c r="F496" s="4">
        <f>'1. Master Data'!F496</f>
        <v>30</v>
      </c>
      <c r="G496" s="3">
        <f>'1. Master Data'!I496</f>
        <v>1145</v>
      </c>
      <c r="H496" s="15">
        <f t="shared" si="36"/>
        <v>34350</v>
      </c>
      <c r="I496" s="3">
        <f>'1. Master Data'!J496</f>
        <v>160</v>
      </c>
      <c r="J496" s="5" t="str">
        <f t="shared" si="37"/>
        <v>Aged</v>
      </c>
      <c r="K496" s="3">
        <f>IF('3. Demand Forecast'!F496=0,99,ROUND(G496/'3. Demand Forecast'!F496,1))</f>
        <v>4.2</v>
      </c>
      <c r="L496" s="3">
        <f>IF(G496=0,0,ROUND('4. ABC XYZ Analysis'!F496/G496,1))</f>
        <v>0.2</v>
      </c>
      <c r="M496" s="5" t="str">
        <f t="shared" si="38"/>
        <v>EXCESS</v>
      </c>
      <c r="N496" s="4">
        <f t="shared" si="39"/>
        <v>34350</v>
      </c>
      <c r="O496" s="1" t="str">
        <f t="shared" si="40"/>
        <v>Reduce orders and monitor</v>
      </c>
    </row>
    <row r="497" spans="1:15" ht="15" customHeight="1" x14ac:dyDescent="0.2">
      <c r="A497" s="3" t="str">
        <f>'1. Master Data'!A497</f>
        <v>NT10493</v>
      </c>
      <c r="B497" s="1" t="str">
        <f>'1. Master Data'!B497</f>
        <v>Wall Charger 65W V210</v>
      </c>
      <c r="C497" s="3" t="str">
        <f>'1. Master Data'!C497</f>
        <v>Accessories</v>
      </c>
      <c r="D497" s="3" t="str">
        <f>'1. Master Data'!D497</f>
        <v>Central DC</v>
      </c>
      <c r="E497" s="3" t="str">
        <f>'1. Master Data'!H497</f>
        <v>Active</v>
      </c>
      <c r="F497" s="4">
        <f>'1. Master Data'!F497</f>
        <v>19</v>
      </c>
      <c r="G497" s="3">
        <f>'1. Master Data'!I497</f>
        <v>1794</v>
      </c>
      <c r="H497" s="15">
        <f t="shared" si="36"/>
        <v>34086</v>
      </c>
      <c r="I497" s="3">
        <f>'1. Master Data'!J497</f>
        <v>169</v>
      </c>
      <c r="J497" s="5" t="str">
        <f t="shared" si="37"/>
        <v>Aged</v>
      </c>
      <c r="K497" s="3">
        <f>IF('3. Demand Forecast'!F497=0,99,ROUND(G497/'3. Demand Forecast'!F497,1))</f>
        <v>3.9</v>
      </c>
      <c r="L497" s="3">
        <f>IF(G497=0,0,ROUND('4. ABC XYZ Analysis'!F497/G497,1))</f>
        <v>0.2</v>
      </c>
      <c r="M497" s="5" t="str">
        <f t="shared" si="38"/>
        <v>EXCESS</v>
      </c>
      <c r="N497" s="4">
        <f t="shared" si="39"/>
        <v>34086</v>
      </c>
      <c r="O497" s="1" t="str">
        <f t="shared" si="40"/>
        <v>Reduce orders and monitor</v>
      </c>
    </row>
    <row r="498" spans="1:15" ht="15" customHeight="1" x14ac:dyDescent="0.2">
      <c r="A498" s="3" t="str">
        <f>'1. Master Data'!A498</f>
        <v>NT10494</v>
      </c>
      <c r="B498" s="1" t="str">
        <f>'1. Master Data'!B498</f>
        <v>Car Mount V201</v>
      </c>
      <c r="C498" s="3" t="str">
        <f>'1. Master Data'!C498</f>
        <v>Accessories</v>
      </c>
      <c r="D498" s="3" t="str">
        <f>'1. Master Data'!D498</f>
        <v>West DC</v>
      </c>
      <c r="E498" s="3" t="str">
        <f>'1. Master Data'!H498</f>
        <v>Active</v>
      </c>
      <c r="F498" s="4">
        <f>'1. Master Data'!F498</f>
        <v>30</v>
      </c>
      <c r="G498" s="3">
        <f>'1. Master Data'!I498</f>
        <v>38</v>
      </c>
      <c r="H498" s="15">
        <f t="shared" si="36"/>
        <v>1140</v>
      </c>
      <c r="I498" s="3">
        <f>'1. Master Data'!J498</f>
        <v>10</v>
      </c>
      <c r="J498" s="5" t="str">
        <f t="shared" si="37"/>
        <v>Fresh</v>
      </c>
      <c r="K498" s="3">
        <f>IF('3. Demand Forecast'!F498=0,99,ROUND(G498/'3. Demand Forecast'!F498,1))</f>
        <v>0.5</v>
      </c>
      <c r="L498" s="3">
        <f>IF(G498=0,0,ROUND('4. ABC XYZ Analysis'!F498/G498,1))</f>
        <v>11.6</v>
      </c>
      <c r="M498" s="5" t="str">
        <f t="shared" si="38"/>
        <v>OK</v>
      </c>
      <c r="N498" s="4">
        <f t="shared" si="39"/>
        <v>0</v>
      </c>
      <c r="O498" s="1" t="str">
        <f t="shared" si="40"/>
        <v>Healthy</v>
      </c>
    </row>
    <row r="499" spans="1:15" ht="15" customHeight="1" x14ac:dyDescent="0.2">
      <c r="A499" s="3" t="str">
        <f>'1. Master Data'!A499</f>
        <v>NT10495</v>
      </c>
      <c r="B499" s="1" t="str">
        <f>'1. Master Data'!B499</f>
        <v>Phone Case Clear V726</v>
      </c>
      <c r="C499" s="3" t="str">
        <f>'1. Master Data'!C499</f>
        <v>Accessories</v>
      </c>
      <c r="D499" s="3" t="str">
        <f>'1. Master Data'!D499</f>
        <v>Central DC</v>
      </c>
      <c r="E499" s="3" t="str">
        <f>'1. Master Data'!H499</f>
        <v>Active</v>
      </c>
      <c r="F499" s="4">
        <f>'1. Master Data'!F499</f>
        <v>13</v>
      </c>
      <c r="G499" s="3">
        <f>'1. Master Data'!I499</f>
        <v>340</v>
      </c>
      <c r="H499" s="15">
        <f t="shared" si="36"/>
        <v>4420</v>
      </c>
      <c r="I499" s="3">
        <f>'1. Master Data'!J499</f>
        <v>27</v>
      </c>
      <c r="J499" s="5" t="str">
        <f t="shared" si="37"/>
        <v>Fresh</v>
      </c>
      <c r="K499" s="3">
        <f>IF('3. Demand Forecast'!F499=0,99,ROUND(G499/'3. Demand Forecast'!F499,1))</f>
        <v>0.8</v>
      </c>
      <c r="L499" s="3">
        <f>IF(G499=0,0,ROUND('4. ABC XYZ Analysis'!F499/G499,1))</f>
        <v>3.2</v>
      </c>
      <c r="M499" s="5" t="str">
        <f t="shared" si="38"/>
        <v>OK</v>
      </c>
      <c r="N499" s="4">
        <f t="shared" si="39"/>
        <v>0</v>
      </c>
      <c r="O499" s="1" t="str">
        <f t="shared" si="40"/>
        <v>Healthy</v>
      </c>
    </row>
    <row r="500" spans="1:15" ht="15" customHeight="1" x14ac:dyDescent="0.2">
      <c r="A500" s="3" t="str">
        <f>'1. Master Data'!A500</f>
        <v>NT10496</v>
      </c>
      <c r="B500" s="1" t="str">
        <f>'1. Master Data'!B500</f>
        <v>HDMI Cable 4K V489</v>
      </c>
      <c r="C500" s="3" t="str">
        <f>'1. Master Data'!C500</f>
        <v>Accessories</v>
      </c>
      <c r="D500" s="3" t="str">
        <f>'1. Master Data'!D500</f>
        <v>East DC</v>
      </c>
      <c r="E500" s="3" t="str">
        <f>'1. Master Data'!H500</f>
        <v>Active</v>
      </c>
      <c r="F500" s="4">
        <f>'1. Master Data'!F500</f>
        <v>18</v>
      </c>
      <c r="G500" s="3">
        <f>'1. Master Data'!I500</f>
        <v>1519</v>
      </c>
      <c r="H500" s="15">
        <f t="shared" si="36"/>
        <v>27342</v>
      </c>
      <c r="I500" s="3">
        <f>'1. Master Data'!J500</f>
        <v>115</v>
      </c>
      <c r="J500" s="5" t="str">
        <f t="shared" si="37"/>
        <v>Aged</v>
      </c>
      <c r="K500" s="3">
        <f>IF('3. Demand Forecast'!F500=0,99,ROUND(G500/'3. Demand Forecast'!F500,1))</f>
        <v>3.9</v>
      </c>
      <c r="L500" s="3">
        <f>IF(G500=0,0,ROUND('4. ABC XYZ Analysis'!F500/G500,1))</f>
        <v>0.1</v>
      </c>
      <c r="M500" s="5" t="str">
        <f t="shared" si="38"/>
        <v>EXCESS</v>
      </c>
      <c r="N500" s="4">
        <f t="shared" si="39"/>
        <v>27342</v>
      </c>
      <c r="O500" s="1" t="str">
        <f t="shared" si="40"/>
        <v>Reduce orders and monitor</v>
      </c>
    </row>
    <row r="501" spans="1:15" ht="15" customHeight="1" x14ac:dyDescent="0.2">
      <c r="A501" s="3" t="str">
        <f>'1. Master Data'!A501</f>
        <v>NT10497</v>
      </c>
      <c r="B501" s="1" t="str">
        <f>'1. Master Data'!B501</f>
        <v>Phone Case Clear V257</v>
      </c>
      <c r="C501" s="3" t="str">
        <f>'1. Master Data'!C501</f>
        <v>Accessories</v>
      </c>
      <c r="D501" s="3" t="str">
        <f>'1. Master Data'!D501</f>
        <v>East DC</v>
      </c>
      <c r="E501" s="3" t="str">
        <f>'1. Master Data'!H501</f>
        <v>Active</v>
      </c>
      <c r="F501" s="4">
        <f>'1. Master Data'!F501</f>
        <v>16</v>
      </c>
      <c r="G501" s="3">
        <f>'1. Master Data'!I501</f>
        <v>47</v>
      </c>
      <c r="H501" s="15">
        <f t="shared" si="36"/>
        <v>752</v>
      </c>
      <c r="I501" s="3">
        <f>'1. Master Data'!J501</f>
        <v>30</v>
      </c>
      <c r="J501" s="5" t="str">
        <f t="shared" si="37"/>
        <v>Fresh</v>
      </c>
      <c r="K501" s="3">
        <f>IF('3. Demand Forecast'!F501=0,99,ROUND(G501/'3. Demand Forecast'!F501,1))</f>
        <v>0.4</v>
      </c>
      <c r="L501" s="3">
        <f>IF(G501=0,0,ROUND('4. ABC XYZ Analysis'!F501/G501,1))</f>
        <v>0.4</v>
      </c>
      <c r="M501" s="5" t="str">
        <f t="shared" si="38"/>
        <v>OK</v>
      </c>
      <c r="N501" s="4">
        <f t="shared" si="39"/>
        <v>0</v>
      </c>
      <c r="O501" s="1" t="str">
        <f t="shared" si="40"/>
        <v>Healthy</v>
      </c>
    </row>
    <row r="502" spans="1:15" ht="15" customHeight="1" x14ac:dyDescent="0.2">
      <c r="A502" s="3" t="str">
        <f>'1. Master Data'!A502</f>
        <v>NT10498</v>
      </c>
      <c r="B502" s="1" t="str">
        <f>'1. Master Data'!B502</f>
        <v>Screen Guard 259</v>
      </c>
      <c r="C502" s="3" t="str">
        <f>'1. Master Data'!C502</f>
        <v>Accessories</v>
      </c>
      <c r="D502" s="3" t="str">
        <f>'1. Master Data'!D502</f>
        <v>West DC</v>
      </c>
      <c r="E502" s="3" t="str">
        <f>'1. Master Data'!H502</f>
        <v>Active</v>
      </c>
      <c r="F502" s="4">
        <f>'1. Master Data'!F502</f>
        <v>6</v>
      </c>
      <c r="G502" s="3">
        <f>'1. Master Data'!I502</f>
        <v>64</v>
      </c>
      <c r="H502" s="15">
        <f t="shared" si="36"/>
        <v>384</v>
      </c>
      <c r="I502" s="3">
        <f>'1. Master Data'!J502</f>
        <v>50</v>
      </c>
      <c r="J502" s="5" t="str">
        <f t="shared" si="37"/>
        <v>Watch</v>
      </c>
      <c r="K502" s="3">
        <f>IF('3. Demand Forecast'!F502=0,99,ROUND(G502/'3. Demand Forecast'!F502,1))</f>
        <v>0.7</v>
      </c>
      <c r="L502" s="3">
        <f>IF(G502=0,0,ROUND('4. ABC XYZ Analysis'!F502/G502,1))</f>
        <v>14.2</v>
      </c>
      <c r="M502" s="5" t="str">
        <f t="shared" si="38"/>
        <v>OK</v>
      </c>
      <c r="N502" s="4">
        <f t="shared" si="39"/>
        <v>0</v>
      </c>
      <c r="O502" s="1" t="str">
        <f t="shared" si="40"/>
        <v>Healthy</v>
      </c>
    </row>
    <row r="503" spans="1:15" ht="15" customHeight="1" x14ac:dyDescent="0.2">
      <c r="A503" s="3" t="str">
        <f>'1. Master Data'!A503</f>
        <v>NT10499</v>
      </c>
      <c r="B503" s="1" t="str">
        <f>'1. Master Data'!B503</f>
        <v>Screen Guard 771</v>
      </c>
      <c r="C503" s="3" t="str">
        <f>'1. Master Data'!C503</f>
        <v>Accessories</v>
      </c>
      <c r="D503" s="3" t="str">
        <f>'1. Master Data'!D503</f>
        <v>West DC</v>
      </c>
      <c r="E503" s="3" t="str">
        <f>'1. Master Data'!H503</f>
        <v>Active</v>
      </c>
      <c r="F503" s="4">
        <f>'1. Master Data'!F503</f>
        <v>18</v>
      </c>
      <c r="G503" s="3">
        <f>'1. Master Data'!I503</f>
        <v>1588</v>
      </c>
      <c r="H503" s="15">
        <f t="shared" si="36"/>
        <v>28584</v>
      </c>
      <c r="I503" s="3">
        <f>'1. Master Data'!J503</f>
        <v>156</v>
      </c>
      <c r="J503" s="5" t="str">
        <f t="shared" si="37"/>
        <v>Aged</v>
      </c>
      <c r="K503" s="3">
        <f>IF('3. Demand Forecast'!F503=0,99,ROUND(G503/'3. Demand Forecast'!F503,1))</f>
        <v>4.9000000000000004</v>
      </c>
      <c r="L503" s="3">
        <f>IF(G503=0,0,ROUND('4. ABC XYZ Analysis'!F503/G503,1))</f>
        <v>0</v>
      </c>
      <c r="M503" s="5" t="str">
        <f t="shared" si="38"/>
        <v>EXCESS</v>
      </c>
      <c r="N503" s="4">
        <f t="shared" si="39"/>
        <v>28584</v>
      </c>
      <c r="O503" s="1" t="str">
        <f t="shared" si="40"/>
        <v>Reduce orders and monitor</v>
      </c>
    </row>
    <row r="504" spans="1:15" ht="15" customHeight="1" x14ac:dyDescent="0.2">
      <c r="A504" s="3" t="str">
        <f>'1. Master Data'!A504</f>
        <v>NT10500</v>
      </c>
      <c r="B504" s="1" t="str">
        <f>'1. Master Data'!B504</f>
        <v>Phone Case Clear V670</v>
      </c>
      <c r="C504" s="3" t="str">
        <f>'1. Master Data'!C504</f>
        <v>Accessories</v>
      </c>
      <c r="D504" s="3" t="str">
        <f>'1. Master Data'!D504</f>
        <v>East DC</v>
      </c>
      <c r="E504" s="3" t="str">
        <f>'1. Master Data'!H504</f>
        <v>Active</v>
      </c>
      <c r="F504" s="4">
        <f>'1. Master Data'!F504</f>
        <v>28</v>
      </c>
      <c r="G504" s="3">
        <f>'1. Master Data'!I504</f>
        <v>277</v>
      </c>
      <c r="H504" s="15">
        <f t="shared" si="36"/>
        <v>7756</v>
      </c>
      <c r="I504" s="3">
        <f>'1. Master Data'!J504</f>
        <v>10</v>
      </c>
      <c r="J504" s="5" t="str">
        <f t="shared" si="37"/>
        <v>Fresh</v>
      </c>
      <c r="K504" s="3">
        <f>IF('3. Demand Forecast'!F504=0,99,ROUND(G504/'3. Demand Forecast'!F504,1))</f>
        <v>1.1000000000000001</v>
      </c>
      <c r="L504" s="3">
        <f>IF(G504=0,0,ROUND('4. ABC XYZ Analysis'!F504/G504,1))</f>
        <v>0.2</v>
      </c>
      <c r="M504" s="5" t="str">
        <f t="shared" si="38"/>
        <v>OK</v>
      </c>
      <c r="N504" s="4">
        <f t="shared" si="39"/>
        <v>0</v>
      </c>
      <c r="O504" s="1" t="str">
        <f t="shared" si="40"/>
        <v>Healthy</v>
      </c>
    </row>
    <row r="506" spans="1:15" ht="15" customHeight="1" x14ac:dyDescent="0.2">
      <c r="A506" s="40" t="s">
        <v>1062</v>
      </c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</row>
    <row r="507" spans="1:15" ht="15" customHeight="1" x14ac:dyDescent="0.2">
      <c r="A507" s="25" t="s">
        <v>1176</v>
      </c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</row>
    <row r="508" spans="1:15" ht="15" customHeight="1" x14ac:dyDescent="0.2">
      <c r="A508" s="25" t="s">
        <v>1177</v>
      </c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</row>
    <row r="509" spans="1:15" ht="15" customHeight="1" x14ac:dyDescent="0.2">
      <c r="A509" s="25" t="s">
        <v>1178</v>
      </c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</row>
  </sheetData>
  <mergeCells count="6">
    <mergeCell ref="A509:O509"/>
    <mergeCell ref="A1:O1"/>
    <mergeCell ref="A2:O2"/>
    <mergeCell ref="A506:O506"/>
    <mergeCell ref="A507:O507"/>
    <mergeCell ref="A508:O508"/>
  </mergeCells>
  <conditionalFormatting sqref="J5:J504">
    <cfRule type="cellIs" dxfId="8" priority="2" operator="equal">
      <formula>"Fresh"</formula>
    </cfRule>
    <cfRule type="cellIs" dxfId="7" priority="3" operator="equal">
      <formula>"Watch"</formula>
    </cfRule>
    <cfRule type="cellIs" dxfId="6" priority="4" operator="equal">
      <formula>"Aged"</formula>
    </cfRule>
    <cfRule type="cellIs" dxfId="5" priority="5" operator="equal">
      <formula>"Obsolete Risk"</formula>
    </cfRule>
  </conditionalFormatting>
  <conditionalFormatting sqref="M5:M504">
    <cfRule type="cellIs" dxfId="4" priority="6" operator="equal">
      <formula>"EXCESS"</formula>
    </cfRule>
    <cfRule type="cellIs" dxfId="3" priority="7" operator="equal">
      <formula>"OK"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9"/>
  <sheetViews>
    <sheetView showGridLines="0" zoomScale="180" zoomScaleNormal="180" workbookViewId="0">
      <selection activeCell="E5" sqref="E5"/>
    </sheetView>
  </sheetViews>
  <sheetFormatPr baseColWidth="10" defaultColWidth="8.6640625" defaultRowHeight="15" x14ac:dyDescent="0.2"/>
  <cols>
    <col min="1" max="1" width="20.5" bestFit="1" customWidth="1"/>
    <col min="2" max="2" width="9.33203125" bestFit="1" customWidth="1"/>
    <col min="3" max="3" width="15" bestFit="1" customWidth="1"/>
    <col min="4" max="4" width="10.1640625" bestFit="1" customWidth="1"/>
    <col min="5" max="5" width="14.6640625" bestFit="1" customWidth="1"/>
    <col min="6" max="6" width="13.6640625" bestFit="1" customWidth="1"/>
    <col min="7" max="7" width="11.5" bestFit="1" customWidth="1"/>
    <col min="8" max="8" width="47.83203125" bestFit="1" customWidth="1"/>
  </cols>
  <sheetData>
    <row r="1" spans="1:8" ht="31.5" customHeight="1" x14ac:dyDescent="0.2">
      <c r="A1" s="42" t="s">
        <v>1179</v>
      </c>
      <c r="B1" s="42"/>
      <c r="C1" s="42"/>
      <c r="D1" s="42"/>
      <c r="E1" s="42"/>
      <c r="F1" s="42"/>
      <c r="G1" s="42"/>
      <c r="H1" s="42"/>
    </row>
    <row r="2" spans="1:8" ht="18" customHeight="1" x14ac:dyDescent="0.2">
      <c r="A2" s="32" t="s">
        <v>1180</v>
      </c>
      <c r="B2" s="32"/>
      <c r="C2" s="32"/>
      <c r="D2" s="32"/>
      <c r="E2" s="32"/>
      <c r="F2" s="32"/>
      <c r="G2" s="32"/>
      <c r="H2" s="32"/>
    </row>
    <row r="4" spans="1:8" ht="24" customHeight="1" x14ac:dyDescent="0.2">
      <c r="A4" s="2" t="s">
        <v>32</v>
      </c>
      <c r="B4" s="2" t="s">
        <v>1181</v>
      </c>
      <c r="C4" s="2" t="s">
        <v>1182</v>
      </c>
      <c r="D4" s="2" t="s">
        <v>1183</v>
      </c>
      <c r="E4" s="2" t="s">
        <v>1184</v>
      </c>
      <c r="F4" s="2" t="s">
        <v>1185</v>
      </c>
      <c r="G4" s="2" t="s">
        <v>1186</v>
      </c>
      <c r="H4" s="2" t="s">
        <v>1187</v>
      </c>
    </row>
    <row r="5" spans="1:8" ht="15" customHeight="1" x14ac:dyDescent="0.2">
      <c r="A5" s="1" t="s">
        <v>43</v>
      </c>
      <c r="B5" s="3">
        <f>COUNTIF('1. Master Data'!E$5:E$504,A5)</f>
        <v>73</v>
      </c>
      <c r="C5" s="3">
        <f>ROUND(AVERAGEIF('1. Master Data'!E$5:E$504,A5,'1. Master Data'!G$5:G$504),0)</f>
        <v>21</v>
      </c>
      <c r="D5" s="17">
        <v>0.96</v>
      </c>
      <c r="E5" s="4">
        <f>SUMPRODUCT(('1. Master Data'!E$5:E$504=A5)*'1. Master Data'!F$5:F$504*'1. Master Data'!K$5:K$504)</f>
        <v>22888171</v>
      </c>
      <c r="F5" s="18">
        <f t="shared" ref="F5:F14" si="0">E5/SUM(E$5:E$14)</f>
        <v>0.13842947442928297</v>
      </c>
      <c r="G5" s="5" t="str">
        <f t="shared" ref="G5:G14" si="1">IF(OR(D5&lt;0.88,C5&gt;35),"HIGH RISK",IF(OR(D5&lt;0.93,C5&gt;28),"WATCH","OK"))</f>
        <v>OK</v>
      </c>
      <c r="H5" s="1" t="str">
        <f t="shared" ref="H5:H14" si="2">IF(G5="HIGH RISK","Qualify a second source and raise safety stock on affected SKUs",IF(G5="WATCH","Review quarterly, track OTD trend","Maintain relationship"))</f>
        <v>Maintain relationship</v>
      </c>
    </row>
    <row r="6" spans="1:8" ht="21.75" customHeight="1" x14ac:dyDescent="0.2">
      <c r="A6" s="1" t="s">
        <v>48</v>
      </c>
      <c r="B6" s="3">
        <f>COUNTIF('1. Master Data'!E$5:E$504,A6)</f>
        <v>77</v>
      </c>
      <c r="C6" s="3">
        <f>ROUND(AVERAGEIF('1. Master Data'!E$5:E$504,A6,'1. Master Data'!G$5:G$504),0)</f>
        <v>40</v>
      </c>
      <c r="D6" s="17">
        <v>0.86</v>
      </c>
      <c r="E6" s="4">
        <f>SUMPRODUCT(('1. Master Data'!E$5:E$504=A6)*'1. Master Data'!F$5:F$504*'1. Master Data'!K$5:K$504)</f>
        <v>39266161</v>
      </c>
      <c r="F6" s="18">
        <f t="shared" si="0"/>
        <v>0.23748485757492849</v>
      </c>
      <c r="G6" s="5" t="str">
        <f t="shared" si="1"/>
        <v>HIGH RISK</v>
      </c>
      <c r="H6" s="1" t="str">
        <f t="shared" si="2"/>
        <v>Qualify a second source and raise safety stock on affected SKUs</v>
      </c>
    </row>
    <row r="7" spans="1:8" ht="15" customHeight="1" x14ac:dyDescent="0.2">
      <c r="A7" s="1" t="s">
        <v>152</v>
      </c>
      <c r="B7" s="3">
        <f>COUNTIF('1. Master Data'!E$5:E$504,A7)</f>
        <v>68</v>
      </c>
      <c r="C7" s="3">
        <f>ROUND(AVERAGEIF('1. Master Data'!E$5:E$504,A7,'1. Master Data'!G$5:G$504),0)</f>
        <v>24</v>
      </c>
      <c r="D7" s="17">
        <v>0.94</v>
      </c>
      <c r="E7" s="4">
        <f>SUMPRODUCT(('1. Master Data'!E$5:E$504=A7)*'1. Master Data'!F$5:F$504*'1. Master Data'!K$5:K$504)</f>
        <v>24412633</v>
      </c>
      <c r="F7" s="18">
        <f t="shared" si="0"/>
        <v>0.14764954157433416</v>
      </c>
      <c r="G7" s="5" t="str">
        <f t="shared" si="1"/>
        <v>OK</v>
      </c>
      <c r="H7" s="1" t="str">
        <f t="shared" si="2"/>
        <v>Maintain relationship</v>
      </c>
    </row>
    <row r="8" spans="1:8" ht="15" customHeight="1" x14ac:dyDescent="0.2">
      <c r="A8" s="1" t="s">
        <v>557</v>
      </c>
      <c r="B8" s="3">
        <f>COUNTIF('1. Master Data'!E$5:E$504,A8)</f>
        <v>53</v>
      </c>
      <c r="C8" s="3">
        <f>ROUND(AVERAGEIF('1. Master Data'!E$5:E$504,A8,'1. Master Data'!G$5:G$504),0)</f>
        <v>16</v>
      </c>
      <c r="D8" s="17">
        <v>0.97</v>
      </c>
      <c r="E8" s="4">
        <f>SUMPRODUCT(('1. Master Data'!E$5:E$504=A8)*'1. Master Data'!F$5:F$504*'1. Master Data'!K$5:K$504)</f>
        <v>17578472</v>
      </c>
      <c r="F8" s="18">
        <f t="shared" si="0"/>
        <v>0.10631599354224794</v>
      </c>
      <c r="G8" s="5" t="str">
        <f t="shared" si="1"/>
        <v>OK</v>
      </c>
      <c r="H8" s="1" t="str">
        <f t="shared" si="2"/>
        <v>Maintain relationship</v>
      </c>
    </row>
    <row r="9" spans="1:8" ht="15" customHeight="1" x14ac:dyDescent="0.2">
      <c r="A9" s="1" t="s">
        <v>659</v>
      </c>
      <c r="B9" s="3">
        <f>COUNTIF('1. Master Data'!E$5:E$504,A9)</f>
        <v>45</v>
      </c>
      <c r="C9" s="3">
        <f>ROUND(AVERAGEIF('1. Master Data'!E$5:E$504,A9,'1. Master Data'!G$5:G$504),0)</f>
        <v>18</v>
      </c>
      <c r="D9" s="17">
        <v>0.92</v>
      </c>
      <c r="E9" s="4">
        <f>SUMPRODUCT(('1. Master Data'!E$5:E$504=A9)*'1. Master Data'!F$5:F$504*'1. Master Data'!K$5:K$504)</f>
        <v>6413469</v>
      </c>
      <c r="F9" s="18">
        <f t="shared" si="0"/>
        <v>3.8789169433350486E-2</v>
      </c>
      <c r="G9" s="5" t="str">
        <f t="shared" si="1"/>
        <v>WATCH</v>
      </c>
      <c r="H9" s="1" t="str">
        <f t="shared" si="2"/>
        <v>Review quarterly, track OTD trend</v>
      </c>
    </row>
    <row r="10" spans="1:8" ht="21.75" customHeight="1" x14ac:dyDescent="0.2">
      <c r="A10" s="1" t="s">
        <v>252</v>
      </c>
      <c r="B10" s="3">
        <f>COUNTIF('1. Master Data'!E$5:E$504,A10)</f>
        <v>77</v>
      </c>
      <c r="C10" s="3">
        <f>ROUND(AVERAGEIF('1. Master Data'!E$5:E$504,A10,'1. Master Data'!G$5:G$504),0)</f>
        <v>38</v>
      </c>
      <c r="D10" s="17">
        <v>0.84</v>
      </c>
      <c r="E10" s="4">
        <f>SUMPRODUCT(('1. Master Data'!E$5:E$504=A10)*'1. Master Data'!F$5:F$504*'1. Master Data'!K$5:K$504)</f>
        <v>31133068</v>
      </c>
      <c r="F10" s="18">
        <f t="shared" si="0"/>
        <v>0.18829526573403912</v>
      </c>
      <c r="G10" s="5" t="str">
        <f t="shared" si="1"/>
        <v>HIGH RISK</v>
      </c>
      <c r="H10" s="1" t="str">
        <f t="shared" si="2"/>
        <v>Qualify a second source and raise safety stock on affected SKUs</v>
      </c>
    </row>
    <row r="11" spans="1:8" ht="15" customHeight="1" x14ac:dyDescent="0.2">
      <c r="A11" s="1" t="s">
        <v>965</v>
      </c>
      <c r="B11" s="3">
        <f>COUNTIF('1. Master Data'!E$5:E$504,A11)</f>
        <v>19</v>
      </c>
      <c r="C11" s="3">
        <f>ROUND(AVERAGEIF('1. Master Data'!E$5:E$504,A11,'1. Master Data'!G$5:G$504),0)</f>
        <v>9</v>
      </c>
      <c r="D11" s="17">
        <v>0.95</v>
      </c>
      <c r="E11" s="4">
        <f>SUMPRODUCT(('1. Master Data'!E$5:E$504=A11)*'1. Master Data'!F$5:F$504*'1. Master Data'!K$5:K$504)</f>
        <v>2423196</v>
      </c>
      <c r="F11" s="18">
        <f t="shared" si="0"/>
        <v>1.4655681693357708E-2</v>
      </c>
      <c r="G11" s="5" t="str">
        <f t="shared" si="1"/>
        <v>OK</v>
      </c>
      <c r="H11" s="1" t="str">
        <f t="shared" si="2"/>
        <v>Maintain relationship</v>
      </c>
    </row>
    <row r="12" spans="1:8" ht="15" customHeight="1" x14ac:dyDescent="0.2">
      <c r="A12" s="1" t="s">
        <v>354</v>
      </c>
      <c r="B12" s="3">
        <f>COUNTIF('1. Master Data'!E$5:E$504,A12)</f>
        <v>23</v>
      </c>
      <c r="C12" s="3">
        <f>ROUND(AVERAGEIF('1. Master Data'!E$5:E$504,A12,'1. Master Data'!G$5:G$504),0)</f>
        <v>19</v>
      </c>
      <c r="D12" s="17">
        <v>0.93</v>
      </c>
      <c r="E12" s="4">
        <f>SUMPRODUCT(('1. Master Data'!E$5:E$504=A12)*'1. Master Data'!F$5:F$504*'1. Master Data'!K$5:K$504)</f>
        <v>6049393</v>
      </c>
      <c r="F12" s="18">
        <f t="shared" si="0"/>
        <v>3.6587208895205448E-2</v>
      </c>
      <c r="G12" s="5" t="str">
        <f t="shared" si="1"/>
        <v>OK</v>
      </c>
      <c r="H12" s="1" t="str">
        <f t="shared" si="2"/>
        <v>Maintain relationship</v>
      </c>
    </row>
    <row r="13" spans="1:8" ht="15" customHeight="1" x14ac:dyDescent="0.2">
      <c r="A13" s="1" t="s">
        <v>357</v>
      </c>
      <c r="B13" s="3">
        <f>COUNTIF('1. Master Data'!E$5:E$504,A13)</f>
        <v>54</v>
      </c>
      <c r="C13" s="3">
        <f>ROUND(AVERAGEIF('1. Master Data'!E$5:E$504,A13,'1. Master Data'!G$5:G$504),0)</f>
        <v>21</v>
      </c>
      <c r="D13" s="17">
        <v>0.91</v>
      </c>
      <c r="E13" s="4">
        <f>SUMPRODUCT(('1. Master Data'!E$5:E$504=A13)*'1. Master Data'!F$5:F$504*'1. Master Data'!K$5:K$504)</f>
        <v>13907032</v>
      </c>
      <c r="F13" s="18">
        <f t="shared" si="0"/>
        <v>8.4110833086279368E-2</v>
      </c>
      <c r="G13" s="5" t="str">
        <f t="shared" si="1"/>
        <v>WATCH</v>
      </c>
      <c r="H13" s="1" t="str">
        <f t="shared" si="2"/>
        <v>Review quarterly, track OTD trend</v>
      </c>
    </row>
    <row r="14" spans="1:8" ht="15" customHeight="1" x14ac:dyDescent="0.2">
      <c r="A14" s="1" t="s">
        <v>962</v>
      </c>
      <c r="B14" s="3">
        <f>COUNTIF('1. Master Data'!E$5:E$504,A14)</f>
        <v>11</v>
      </c>
      <c r="C14" s="3">
        <f>ROUND(AVERAGEIF('1. Master Data'!E$5:E$504,A14,'1. Master Data'!G$5:G$504),0)</f>
        <v>10</v>
      </c>
      <c r="D14" s="17">
        <v>0.98</v>
      </c>
      <c r="E14" s="4">
        <f>SUMPRODUCT(('1. Master Data'!E$5:E$504=A14)*'1. Master Data'!F$5:F$504*'1. Master Data'!K$5:K$504)</f>
        <v>1270151</v>
      </c>
      <c r="F14" s="18">
        <f t="shared" si="0"/>
        <v>7.6819740369743041E-3</v>
      </c>
      <c r="G14" s="5" t="str">
        <f t="shared" si="1"/>
        <v>OK</v>
      </c>
      <c r="H14" s="1" t="str">
        <f t="shared" si="2"/>
        <v>Maintain relationship</v>
      </c>
    </row>
    <row r="36" spans="1:8" ht="15" customHeight="1" x14ac:dyDescent="0.2">
      <c r="A36" s="40" t="s">
        <v>1062</v>
      </c>
      <c r="B36" s="40"/>
      <c r="C36" s="40"/>
      <c r="D36" s="40"/>
      <c r="E36" s="40"/>
      <c r="F36" s="40"/>
      <c r="G36" s="40"/>
      <c r="H36" s="40"/>
    </row>
    <row r="37" spans="1:8" ht="15" customHeight="1" x14ac:dyDescent="0.2">
      <c r="A37" s="25" t="s">
        <v>1188</v>
      </c>
      <c r="B37" s="25"/>
      <c r="C37" s="25"/>
      <c r="D37" s="25"/>
      <c r="E37" s="25"/>
      <c r="F37" s="25"/>
      <c r="G37" s="25"/>
      <c r="H37" s="25"/>
    </row>
    <row r="38" spans="1:8" ht="15" customHeight="1" x14ac:dyDescent="0.2">
      <c r="A38" s="25" t="s">
        <v>1189</v>
      </c>
      <c r="B38" s="25"/>
      <c r="C38" s="25"/>
      <c r="D38" s="25"/>
      <c r="E38" s="25"/>
      <c r="F38" s="25"/>
      <c r="G38" s="25"/>
      <c r="H38" s="25"/>
    </row>
    <row r="39" spans="1:8" ht="15" customHeight="1" x14ac:dyDescent="0.2">
      <c r="A39" s="25" t="s">
        <v>1190</v>
      </c>
      <c r="B39" s="25"/>
      <c r="C39" s="25"/>
      <c r="D39" s="25"/>
      <c r="E39" s="25"/>
      <c r="F39" s="25"/>
      <c r="G39" s="25"/>
      <c r="H39" s="25"/>
    </row>
  </sheetData>
  <mergeCells count="6">
    <mergeCell ref="A39:H39"/>
    <mergeCell ref="A1:H1"/>
    <mergeCell ref="A2:H2"/>
    <mergeCell ref="A36:H36"/>
    <mergeCell ref="A37:H37"/>
    <mergeCell ref="A38:H38"/>
  </mergeCells>
  <conditionalFormatting sqref="G5:G14">
    <cfRule type="cellIs" dxfId="2" priority="2" operator="equal">
      <formula>"HIGH RISK"</formula>
    </cfRule>
    <cfRule type="cellIs" dxfId="1" priority="3" operator="equal">
      <formula>"WATCH"</formula>
    </cfRule>
    <cfRule type="cellIs" dxfId="0" priority="4" operator="equal">
      <formula>"OK"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56"/>
  <sheetViews>
    <sheetView showGridLines="0" tabSelected="1" topLeftCell="A45" zoomScale="160" zoomScaleNormal="160" workbookViewId="0">
      <selection activeCell="B56" sqref="B56"/>
    </sheetView>
  </sheetViews>
  <sheetFormatPr baseColWidth="10" defaultColWidth="8.6640625" defaultRowHeight="15" x14ac:dyDescent="0.2"/>
  <cols>
    <col min="1" max="2" width="14.5" customWidth="1"/>
    <col min="3" max="3" width="22" customWidth="1"/>
    <col min="4" max="4" width="36.33203125" bestFit="1" customWidth="1"/>
    <col min="5" max="10" width="14.5" customWidth="1"/>
  </cols>
  <sheetData>
    <row r="1" spans="1:10" ht="33.75" customHeight="1" x14ac:dyDescent="0.2">
      <c r="A1" s="31" t="s">
        <v>1191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5" customHeight="1" x14ac:dyDescent="0.2">
      <c r="A2" s="32" t="s">
        <v>1192</v>
      </c>
      <c r="B2" s="32"/>
      <c r="C2" s="32"/>
      <c r="D2" s="32"/>
      <c r="E2" s="32"/>
      <c r="F2" s="32"/>
      <c r="G2" s="32"/>
      <c r="H2" s="32"/>
      <c r="I2" s="32"/>
      <c r="J2" s="32"/>
    </row>
    <row r="4" spans="1:10" ht="15" customHeight="1" x14ac:dyDescent="0.2">
      <c r="A4" s="33" t="s">
        <v>1193</v>
      </c>
      <c r="B4" s="33"/>
      <c r="C4" s="34" t="s">
        <v>1194</v>
      </c>
      <c r="D4" s="34"/>
      <c r="E4" s="35" t="s">
        <v>1195</v>
      </c>
      <c r="F4" s="35"/>
      <c r="G4" s="36" t="s">
        <v>1196</v>
      </c>
      <c r="H4" s="36"/>
      <c r="I4" s="37" t="s">
        <v>1197</v>
      </c>
      <c r="J4" s="37"/>
    </row>
    <row r="5" spans="1:10" ht="15" customHeight="1" x14ac:dyDescent="0.2">
      <c r="A5" s="26">
        <f>SUM('6. Inventory Health'!H5:H504)</f>
        <v>25852107</v>
      </c>
      <c r="B5" s="26"/>
      <c r="C5" s="27">
        <f>SUM('6. Inventory Health'!N5:N504)</f>
        <v>2672960</v>
      </c>
      <c r="D5" s="27"/>
      <c r="E5" s="28">
        <f>COUNTIF('5. Replenishment Model'!O5:O504,"ORDER NOW")</f>
        <v>30</v>
      </c>
      <c r="F5" s="28"/>
      <c r="G5" s="29">
        <f>AVERAGEIF('4. ABC XYZ Analysis'!M5:M504,"&lt;&gt;Z",'3. Demand Forecast'!K5:K504)</f>
        <v>0.32356768558951954</v>
      </c>
      <c r="H5" s="29"/>
      <c r="I5" s="30">
        <f>COUNTIF('7. Supplier Performance'!G5:G14,"HIGH RISK")</f>
        <v>2</v>
      </c>
      <c r="J5" s="30"/>
    </row>
    <row r="6" spans="1:10" ht="15" customHeight="1" x14ac:dyDescent="0.2">
      <c r="A6" s="26"/>
      <c r="B6" s="26"/>
      <c r="C6" s="27"/>
      <c r="D6" s="27"/>
      <c r="E6" s="28"/>
      <c r="F6" s="28"/>
      <c r="G6" s="29"/>
      <c r="H6" s="29"/>
      <c r="I6" s="30"/>
      <c r="J6" s="30"/>
    </row>
    <row r="8" spans="1:10" ht="15" customHeight="1" x14ac:dyDescent="0.2">
      <c r="A8" s="24" t="s">
        <v>1198</v>
      </c>
      <c r="B8" s="24"/>
      <c r="C8" s="24"/>
      <c r="D8" s="24"/>
      <c r="E8" s="24"/>
      <c r="F8" s="24"/>
      <c r="G8" s="24"/>
      <c r="H8" s="24"/>
      <c r="I8" s="24"/>
      <c r="J8" s="24"/>
    </row>
    <row r="9" spans="1:10" ht="18" customHeight="1" x14ac:dyDescent="0.2">
      <c r="A9" s="21" t="s">
        <v>1199</v>
      </c>
      <c r="B9" s="21"/>
      <c r="C9" s="21"/>
      <c r="D9" s="21"/>
      <c r="E9" s="21"/>
      <c r="F9" s="21"/>
      <c r="G9" s="21"/>
      <c r="H9" s="21"/>
      <c r="I9" s="21"/>
      <c r="J9" s="21"/>
    </row>
    <row r="10" spans="1:10" ht="18" customHeight="1" x14ac:dyDescent="0.2">
      <c r="A10" s="25" t="s">
        <v>1200</v>
      </c>
      <c r="B10" s="25"/>
      <c r="C10" s="25"/>
      <c r="D10" s="25"/>
      <c r="E10" s="25"/>
      <c r="F10" s="25"/>
      <c r="G10" s="25"/>
      <c r="H10" s="25"/>
      <c r="I10" s="25"/>
      <c r="J10" s="25"/>
    </row>
    <row r="11" spans="1:10" ht="18" customHeight="1" x14ac:dyDescent="0.2">
      <c r="A11" s="21" t="s">
        <v>1201</v>
      </c>
      <c r="B11" s="21"/>
      <c r="C11" s="21"/>
      <c r="D11" s="21"/>
      <c r="E11" s="21"/>
      <c r="F11" s="21"/>
      <c r="G11" s="21"/>
      <c r="H11" s="21"/>
      <c r="I11" s="21"/>
      <c r="J11" s="21"/>
    </row>
    <row r="12" spans="1:10" ht="18" customHeight="1" x14ac:dyDescent="0.2">
      <c r="A12" s="25" t="s">
        <v>1202</v>
      </c>
      <c r="B12" s="25"/>
      <c r="C12" s="25"/>
      <c r="D12" s="25"/>
      <c r="E12" s="25"/>
      <c r="F12" s="25"/>
      <c r="G12" s="25"/>
      <c r="H12" s="25"/>
      <c r="I12" s="25"/>
      <c r="J12" s="25"/>
    </row>
    <row r="13" spans="1:10" ht="18" customHeight="1" x14ac:dyDescent="0.2">
      <c r="A13" s="21" t="s">
        <v>1203</v>
      </c>
      <c r="B13" s="21"/>
      <c r="C13" s="21"/>
      <c r="D13" s="21"/>
      <c r="E13" s="21"/>
      <c r="F13" s="21"/>
      <c r="G13" s="21"/>
      <c r="H13" s="21"/>
      <c r="I13" s="21"/>
      <c r="J13" s="21"/>
    </row>
    <row r="15" spans="1:10" ht="15" customHeight="1" x14ac:dyDescent="0.2">
      <c r="A15" s="22" t="s">
        <v>1204</v>
      </c>
      <c r="B15" s="22"/>
      <c r="C15" s="22"/>
      <c r="D15" s="22"/>
      <c r="E15" s="22"/>
      <c r="F15" s="22"/>
      <c r="G15" s="22"/>
      <c r="H15" s="22"/>
      <c r="I15" s="22"/>
      <c r="J15" s="22"/>
    </row>
    <row r="16" spans="1:10" ht="15" customHeight="1" x14ac:dyDescent="0.2">
      <c r="A16" s="2" t="s">
        <v>31</v>
      </c>
      <c r="B16" s="2" t="s">
        <v>1205</v>
      </c>
      <c r="C16" s="2" t="s">
        <v>1173</v>
      </c>
      <c r="D16" s="2" t="s">
        <v>1206</v>
      </c>
    </row>
    <row r="17" spans="1:19" ht="15" customHeight="1" x14ac:dyDescent="0.2">
      <c r="A17" s="5" t="s">
        <v>47</v>
      </c>
      <c r="B17" s="4">
        <f>SUMIF('6. Inventory Health'!D$5:D$504,A17,'6. Inventory Health'!H$5:H$504)</f>
        <v>8925451</v>
      </c>
      <c r="C17" s="4">
        <f>SUMIF('6. Inventory Health'!D$5:D$504,A17,'6. Inventory Health'!N$5:N$504)</f>
        <v>972673</v>
      </c>
      <c r="D17" s="3">
        <f>COUNTIFS('5. Replenishment Model'!C$5:C$504,A17,'5. Replenishment Model'!O$5:O$504,"ORDER NOW")</f>
        <v>12</v>
      </c>
    </row>
    <row r="18" spans="1:19" ht="15" customHeight="1" x14ac:dyDescent="0.2">
      <c r="A18" s="5" t="s">
        <v>55</v>
      </c>
      <c r="B18" s="4">
        <f>SUMIF('6. Inventory Health'!D$5:D$504,A18,'6. Inventory Health'!H$5:H$504)</f>
        <v>8508650</v>
      </c>
      <c r="C18" s="4">
        <f>SUMIF('6. Inventory Health'!D$5:D$504,A18,'6. Inventory Health'!N$5:N$504)</f>
        <v>1178378</v>
      </c>
      <c r="D18" s="3">
        <f>COUNTIFS('5. Replenishment Model'!C$5:C$504,A18,'5. Replenishment Model'!O$5:O$504,"ORDER NOW")</f>
        <v>8</v>
      </c>
    </row>
    <row r="19" spans="1:19" ht="15" customHeight="1" x14ac:dyDescent="0.2">
      <c r="A19" s="5" t="s">
        <v>42</v>
      </c>
      <c r="B19" s="4">
        <f>SUMIF('6. Inventory Health'!D$5:D$504,A19,'6. Inventory Health'!H$5:H$504)</f>
        <v>8418006</v>
      </c>
      <c r="C19" s="4">
        <f>SUMIF('6. Inventory Health'!D$5:D$504,A19,'6. Inventory Health'!N$5:N$504)</f>
        <v>521909</v>
      </c>
      <c r="D19" s="3">
        <f>COUNTIFS('5. Replenishment Model'!C$5:C$504,A19,'5. Replenishment Model'!O$5:O$504,"ORDER NOW")</f>
        <v>10</v>
      </c>
    </row>
    <row r="21" spans="1:19" ht="15" customHeight="1" x14ac:dyDescent="0.2">
      <c r="A21" s="23" t="s">
        <v>1207</v>
      </c>
      <c r="B21" s="23"/>
      <c r="C21" s="23"/>
      <c r="D21" s="23"/>
      <c r="E21" s="23"/>
      <c r="F21" s="23"/>
      <c r="G21" s="23"/>
      <c r="H21" s="23"/>
      <c r="I21" s="23"/>
      <c r="J21" s="23"/>
    </row>
    <row r="22" spans="1:19" ht="15" customHeight="1" x14ac:dyDescent="0.2">
      <c r="A22" s="2" t="s">
        <v>1208</v>
      </c>
      <c r="B22" s="2" t="s">
        <v>28</v>
      </c>
      <c r="C22" s="2" t="s">
        <v>1209</v>
      </c>
      <c r="D22" s="2" t="s">
        <v>1210</v>
      </c>
      <c r="E22" s="2" t="s">
        <v>1211</v>
      </c>
      <c r="F22" s="2" t="s">
        <v>1159</v>
      </c>
      <c r="R22" s="13" t="s">
        <v>30</v>
      </c>
      <c r="S22" s="13" t="s">
        <v>1212</v>
      </c>
    </row>
    <row r="23" spans="1:19" ht="21.75" customHeight="1" x14ac:dyDescent="0.2">
      <c r="A23" s="5">
        <v>1</v>
      </c>
      <c r="B23" s="3" t="s">
        <v>257</v>
      </c>
      <c r="C23" s="1" t="s">
        <v>258</v>
      </c>
      <c r="D23" s="1" t="s">
        <v>1213</v>
      </c>
      <c r="E23" s="4">
        <v>262608</v>
      </c>
      <c r="F23" s="19" t="s">
        <v>1214</v>
      </c>
      <c r="R23" s="13" t="s">
        <v>41</v>
      </c>
      <c r="S23" s="16">
        <f>SUMIF('6. Inventory Health'!C$5:C$504,R23,'6. Inventory Health'!H$5:H$504)</f>
        <v>5390767</v>
      </c>
    </row>
    <row r="24" spans="1:19" ht="21.75" customHeight="1" x14ac:dyDescent="0.2">
      <c r="A24" s="5">
        <v>2</v>
      </c>
      <c r="B24" s="3" t="s">
        <v>327</v>
      </c>
      <c r="C24" s="1" t="s">
        <v>328</v>
      </c>
      <c r="D24" s="1" t="s">
        <v>1215</v>
      </c>
      <c r="E24" s="4">
        <v>240151</v>
      </c>
      <c r="F24" s="19" t="s">
        <v>1214</v>
      </c>
      <c r="R24" s="13" t="s">
        <v>149</v>
      </c>
      <c r="S24" s="16">
        <f>SUMIF('6. Inventory Health'!C$5:C$504,R24,'6. Inventory Health'!H$5:H$504)</f>
        <v>5114799</v>
      </c>
    </row>
    <row r="25" spans="1:19" ht="21.75" customHeight="1" x14ac:dyDescent="0.2">
      <c r="A25" s="5">
        <v>3</v>
      </c>
      <c r="B25" s="3" t="s">
        <v>849</v>
      </c>
      <c r="C25" s="1" t="s">
        <v>850</v>
      </c>
      <c r="D25" s="1" t="s">
        <v>1216</v>
      </c>
      <c r="E25" s="4">
        <v>178360</v>
      </c>
      <c r="F25" s="19" t="s">
        <v>1214</v>
      </c>
      <c r="R25" s="13" t="s">
        <v>251</v>
      </c>
      <c r="S25" s="16">
        <f>SUMIF('6. Inventory Health'!C$5:C$504,R25,'6. Inventory Health'!H$5:H$504)</f>
        <v>5280777</v>
      </c>
    </row>
    <row r="26" spans="1:19" ht="21.75" customHeight="1" x14ac:dyDescent="0.2">
      <c r="A26" s="5">
        <v>4</v>
      </c>
      <c r="B26" s="3" t="s">
        <v>115</v>
      </c>
      <c r="C26" s="1" t="s">
        <v>116</v>
      </c>
      <c r="D26" s="1" t="s">
        <v>1217</v>
      </c>
      <c r="E26" s="4">
        <v>148466</v>
      </c>
      <c r="F26" s="19" t="s">
        <v>1214</v>
      </c>
      <c r="R26" s="13" t="s">
        <v>353</v>
      </c>
      <c r="S26" s="16">
        <f>SUMIF('6. Inventory Health'!C$5:C$504,R26,'6. Inventory Health'!H$5:H$504)</f>
        <v>1883120</v>
      </c>
    </row>
    <row r="27" spans="1:19" ht="21.75" customHeight="1" x14ac:dyDescent="0.2">
      <c r="A27" s="5">
        <v>5</v>
      </c>
      <c r="B27" s="3" t="s">
        <v>179</v>
      </c>
      <c r="C27" s="1" t="s">
        <v>180</v>
      </c>
      <c r="D27" s="1" t="s">
        <v>1218</v>
      </c>
      <c r="E27" s="4">
        <v>133245</v>
      </c>
      <c r="F27" s="19" t="s">
        <v>1214</v>
      </c>
      <c r="R27" s="13" t="s">
        <v>456</v>
      </c>
      <c r="S27" s="16">
        <f>SUMIF('6. Inventory Health'!C$5:C$504,R27,'6. Inventory Health'!H$5:H$504)</f>
        <v>1233929</v>
      </c>
    </row>
    <row r="28" spans="1:19" ht="15" customHeight="1" x14ac:dyDescent="0.2">
      <c r="A28" s="5">
        <v>6</v>
      </c>
      <c r="B28" s="3" t="s">
        <v>517</v>
      </c>
      <c r="C28" s="1" t="s">
        <v>518</v>
      </c>
      <c r="D28" s="1" t="s">
        <v>1219</v>
      </c>
      <c r="E28" s="4">
        <v>83266</v>
      </c>
      <c r="F28" s="20" t="s">
        <v>1220</v>
      </c>
      <c r="R28" s="13" t="s">
        <v>556</v>
      </c>
      <c r="S28" s="16">
        <f>SUMIF('6. Inventory Health'!C$5:C$504,R28,'6. Inventory Health'!H$5:H$504)</f>
        <v>1746839</v>
      </c>
    </row>
    <row r="29" spans="1:19" ht="15" customHeight="1" x14ac:dyDescent="0.2">
      <c r="A29" s="5">
        <v>7</v>
      </c>
      <c r="B29" s="3" t="s">
        <v>225</v>
      </c>
      <c r="C29" s="1" t="s">
        <v>226</v>
      </c>
      <c r="D29" s="1" t="s">
        <v>1221</v>
      </c>
      <c r="E29" s="4">
        <v>79460</v>
      </c>
      <c r="F29" s="20" t="s">
        <v>1220</v>
      </c>
      <c r="R29" s="13" t="s">
        <v>658</v>
      </c>
      <c r="S29" s="16">
        <f>SUMIF('6. Inventory Health'!C$5:C$504,R29,'6. Inventory Health'!H$5:H$504)</f>
        <v>933765</v>
      </c>
    </row>
    <row r="30" spans="1:19" ht="15" customHeight="1" x14ac:dyDescent="0.2">
      <c r="A30" s="5">
        <v>8</v>
      </c>
      <c r="B30" s="3" t="s">
        <v>360</v>
      </c>
      <c r="C30" s="1" t="s">
        <v>361</v>
      </c>
      <c r="D30" s="1" t="s">
        <v>1222</v>
      </c>
      <c r="E30" s="4">
        <v>78008</v>
      </c>
      <c r="F30" s="20" t="s">
        <v>1220</v>
      </c>
      <c r="R30" s="13" t="s">
        <v>760</v>
      </c>
      <c r="S30" s="16">
        <f>SUMIF('6. Inventory Health'!C$5:C$504,R30,'6. Inventory Health'!H$5:H$504)</f>
        <v>1591026</v>
      </c>
    </row>
    <row r="31" spans="1:19" ht="15" customHeight="1" x14ac:dyDescent="0.2">
      <c r="A31" s="5">
        <v>9</v>
      </c>
      <c r="B31" s="3" t="s">
        <v>527</v>
      </c>
      <c r="C31" s="1" t="s">
        <v>528</v>
      </c>
      <c r="D31" s="1" t="s">
        <v>1223</v>
      </c>
      <c r="E31" s="4">
        <v>75780</v>
      </c>
      <c r="F31" s="20" t="s">
        <v>1220</v>
      </c>
      <c r="R31" s="13" t="s">
        <v>860</v>
      </c>
      <c r="S31" s="16">
        <f>SUMIF('6. Inventory Health'!C$5:C$504,R31,'6. Inventory Health'!H$5:H$504)</f>
        <v>1954147</v>
      </c>
    </row>
    <row r="32" spans="1:19" ht="15" customHeight="1" x14ac:dyDescent="0.2">
      <c r="A32" s="5">
        <v>10</v>
      </c>
      <c r="B32" s="3" t="s">
        <v>752</v>
      </c>
      <c r="C32" s="1" t="s">
        <v>753</v>
      </c>
      <c r="D32" s="1" t="s">
        <v>1224</v>
      </c>
      <c r="E32" s="4">
        <v>75152</v>
      </c>
      <c r="F32" s="20" t="s">
        <v>1220</v>
      </c>
      <c r="R32" s="13" t="s">
        <v>961</v>
      </c>
      <c r="S32" s="16">
        <f>SUMIF('6. Inventory Health'!C$5:C$504,R32,'6. Inventory Health'!H$5:H$504)</f>
        <v>722938</v>
      </c>
    </row>
    <row r="56" spans="2:2" x14ac:dyDescent="0.2">
      <c r="B56" t="s">
        <v>1225</v>
      </c>
    </row>
  </sheetData>
  <mergeCells count="20">
    <mergeCell ref="A1:J1"/>
    <mergeCell ref="A2:J2"/>
    <mergeCell ref="A4:B4"/>
    <mergeCell ref="C4:D4"/>
    <mergeCell ref="E4:F4"/>
    <mergeCell ref="G4:H4"/>
    <mergeCell ref="I4:J4"/>
    <mergeCell ref="A5:B6"/>
    <mergeCell ref="C5:D6"/>
    <mergeCell ref="E5:F6"/>
    <mergeCell ref="G5:H6"/>
    <mergeCell ref="I5:J6"/>
    <mergeCell ref="A13:J13"/>
    <mergeCell ref="A15:J15"/>
    <mergeCell ref="A21:J21"/>
    <mergeCell ref="A8:J8"/>
    <mergeCell ref="A9:J9"/>
    <mergeCell ref="A10:J10"/>
    <mergeCell ref="A11:J11"/>
    <mergeCell ref="A12:J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0. README</vt:lpstr>
      <vt:lpstr>1. Master Data</vt:lpstr>
      <vt:lpstr>2. Demand History</vt:lpstr>
      <vt:lpstr>3. Demand Forecast</vt:lpstr>
      <vt:lpstr>4. ABC XYZ Analysis</vt:lpstr>
      <vt:lpstr>5. Replenishment Model</vt:lpstr>
      <vt:lpstr>6. Inventory Health</vt:lpstr>
      <vt:lpstr>7. Supplier Performance</vt:lpstr>
      <vt:lpstr>8. Executive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KAVISH SHAH</cp:lastModifiedBy>
  <cp:revision>2</cp:revision>
  <dcterms:created xsi:type="dcterms:W3CDTF">2026-06-12T01:52:49Z</dcterms:created>
  <dcterms:modified xsi:type="dcterms:W3CDTF">2026-06-16T00:49:31Z</dcterms:modified>
  <dc:language>en-US</dc:language>
</cp:coreProperties>
</file>